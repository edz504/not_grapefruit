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5_16TeamFolders\MomPop\Results\"/>
    </mc:Choice>
  </mc:AlternateContent>
  <bookViews>
    <workbookView xWindow="0" yWindow="0" windowWidth="18795" windowHeight="768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37" i="20" l="1"/>
  <c r="S16" i="20"/>
  <c r="S15" i="20"/>
  <c r="S14" i="20"/>
  <c r="H40" i="20"/>
  <c r="H39" i="20"/>
  <c r="H38" i="20"/>
  <c r="S36" i="20" s="1"/>
  <c r="T43" i="20" s="1"/>
  <c r="H35" i="20"/>
  <c r="S42" i="20" s="1"/>
  <c r="H34" i="20"/>
  <c r="S39" i="20" s="1"/>
  <c r="H33" i="20"/>
  <c r="H30" i="20"/>
  <c r="S40" i="20" s="1"/>
  <c r="H29" i="20"/>
  <c r="H28" i="20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D121" i="10" s="1"/>
  <c r="E110" i="10"/>
  <c r="F110" i="10"/>
  <c r="G110" i="10"/>
  <c r="G121" i="10" s="1"/>
  <c r="H110" i="10"/>
  <c r="I110" i="10"/>
  <c r="J110" i="10"/>
  <c r="K110" i="10"/>
  <c r="L110" i="10"/>
  <c r="M110" i="10"/>
  <c r="N110" i="10"/>
  <c r="O110" i="10"/>
  <c r="D111" i="10"/>
  <c r="D122" i="10" s="1"/>
  <c r="E111" i="10"/>
  <c r="F111" i="10"/>
  <c r="F122" i="10" s="1"/>
  <c r="G111" i="10"/>
  <c r="H111" i="10"/>
  <c r="H122" i="10" s="1"/>
  <c r="I111" i="10"/>
  <c r="J111" i="10"/>
  <c r="K111" i="10"/>
  <c r="K122" i="10" s="1"/>
  <c r="L111" i="10"/>
  <c r="M111" i="10"/>
  <c r="N111" i="10"/>
  <c r="O111" i="10"/>
  <c r="D112" i="10"/>
  <c r="D123" i="10" s="1"/>
  <c r="E112" i="10"/>
  <c r="F112" i="10"/>
  <c r="G112" i="10"/>
  <c r="G123" i="10" s="1"/>
  <c r="H112" i="10"/>
  <c r="I112" i="10"/>
  <c r="J112" i="10"/>
  <c r="J123" i="10" s="1"/>
  <c r="K112" i="10"/>
  <c r="L112" i="10"/>
  <c r="L123" i="10" s="1"/>
  <c r="M112" i="10"/>
  <c r="N112" i="10"/>
  <c r="O112" i="10"/>
  <c r="O123" i="10" s="1"/>
  <c r="D113" i="10"/>
  <c r="E113" i="10"/>
  <c r="F113" i="10"/>
  <c r="G113" i="10"/>
  <c r="H113" i="10"/>
  <c r="H124" i="10" s="1"/>
  <c r="I113" i="10"/>
  <c r="J113" i="10"/>
  <c r="K113" i="10"/>
  <c r="K124" i="10" s="1"/>
  <c r="L113" i="10"/>
  <c r="L124" i="10" s="1"/>
  <c r="M113" i="10"/>
  <c r="N113" i="10"/>
  <c r="O113" i="10"/>
  <c r="D114" i="10"/>
  <c r="D125" i="10" s="1"/>
  <c r="E114" i="10"/>
  <c r="F114" i="10"/>
  <c r="G114" i="10"/>
  <c r="G125" i="10" s="1"/>
  <c r="H114" i="10"/>
  <c r="I114" i="10"/>
  <c r="J114" i="10"/>
  <c r="K114" i="10"/>
  <c r="L114" i="10"/>
  <c r="L125" i="10" s="1"/>
  <c r="M114" i="10"/>
  <c r="N114" i="10"/>
  <c r="O114" i="10"/>
  <c r="O125" i="10" s="1"/>
  <c r="D115" i="10"/>
  <c r="D126" i="10" s="1"/>
  <c r="E115" i="10"/>
  <c r="F115" i="10"/>
  <c r="F126" i="10" s="1"/>
  <c r="G115" i="10"/>
  <c r="H115" i="10"/>
  <c r="H126" i="10" s="1"/>
  <c r="I115" i="10"/>
  <c r="J115" i="10"/>
  <c r="K115" i="10"/>
  <c r="K126" i="10" s="1"/>
  <c r="L115" i="10"/>
  <c r="M115" i="10"/>
  <c r="N115" i="10"/>
  <c r="O115" i="10"/>
  <c r="D116" i="10"/>
  <c r="E116" i="10"/>
  <c r="G116" i="10"/>
  <c r="J116" i="10"/>
  <c r="M116" i="10"/>
  <c r="D120" i="10"/>
  <c r="D127" i="10" s="1"/>
  <c r="E120" i="10"/>
  <c r="F120" i="10"/>
  <c r="F127" i="10" s="1"/>
  <c r="G120" i="10"/>
  <c r="I120" i="10"/>
  <c r="J120" i="10"/>
  <c r="M120" i="10"/>
  <c r="O120" i="10"/>
  <c r="E121" i="10"/>
  <c r="F121" i="10"/>
  <c r="H121" i="10"/>
  <c r="I121" i="10"/>
  <c r="J121" i="10"/>
  <c r="J127" i="10" s="1"/>
  <c r="K121" i="10"/>
  <c r="L121" i="10"/>
  <c r="M121" i="10"/>
  <c r="N121" i="10"/>
  <c r="E122" i="10"/>
  <c r="G122" i="10"/>
  <c r="I122" i="10"/>
  <c r="J122" i="10"/>
  <c r="L122" i="10"/>
  <c r="M122" i="10"/>
  <c r="N122" i="10"/>
  <c r="O122" i="10"/>
  <c r="E123" i="10"/>
  <c r="F123" i="10"/>
  <c r="H123" i="10"/>
  <c r="I123" i="10"/>
  <c r="K123" i="10"/>
  <c r="M123" i="10"/>
  <c r="N123" i="10"/>
  <c r="D124" i="10"/>
  <c r="E124" i="10"/>
  <c r="F124" i="10"/>
  <c r="G124" i="10"/>
  <c r="I124" i="10"/>
  <c r="J124" i="10"/>
  <c r="M124" i="10"/>
  <c r="N124" i="10"/>
  <c r="O124" i="10"/>
  <c r="E125" i="10"/>
  <c r="F125" i="10"/>
  <c r="H125" i="10"/>
  <c r="I125" i="10"/>
  <c r="J125" i="10"/>
  <c r="K125" i="10"/>
  <c r="M125" i="10"/>
  <c r="N125" i="10"/>
  <c r="E126" i="10"/>
  <c r="G126" i="10"/>
  <c r="I126" i="10"/>
  <c r="J126" i="10"/>
  <c r="L126" i="10"/>
  <c r="M126" i="10"/>
  <c r="N126" i="10"/>
  <c r="O126" i="10"/>
  <c r="E127" i="10"/>
  <c r="G127" i="10"/>
  <c r="M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E138" i="10"/>
  <c r="G138" i="10"/>
  <c r="J138" i="10"/>
  <c r="M138" i="10"/>
  <c r="D109" i="11"/>
  <c r="E109" i="11"/>
  <c r="F109" i="11"/>
  <c r="G109" i="11"/>
  <c r="H109" i="11"/>
  <c r="I109" i="11"/>
  <c r="I120" i="11" s="1"/>
  <c r="J109" i="11"/>
  <c r="K109" i="11"/>
  <c r="L109" i="11"/>
  <c r="M109" i="11"/>
  <c r="N109" i="11"/>
  <c r="O109" i="11"/>
  <c r="D110" i="11"/>
  <c r="D121" i="11" s="1"/>
  <c r="E110" i="11"/>
  <c r="E121" i="11" s="1"/>
  <c r="F110" i="11"/>
  <c r="G110" i="11"/>
  <c r="H110" i="11"/>
  <c r="H121" i="11" s="1"/>
  <c r="I110" i="11"/>
  <c r="J110" i="11"/>
  <c r="K110" i="11"/>
  <c r="L110" i="11"/>
  <c r="L121" i="11" s="1"/>
  <c r="M110" i="11"/>
  <c r="M121" i="11" s="1"/>
  <c r="N110" i="11"/>
  <c r="O110" i="11"/>
  <c r="D111" i="11"/>
  <c r="D122" i="11" s="1"/>
  <c r="E111" i="11"/>
  <c r="F111" i="11"/>
  <c r="F122" i="11" s="1"/>
  <c r="G111" i="11"/>
  <c r="H111" i="11"/>
  <c r="H122" i="11" s="1"/>
  <c r="I111" i="11"/>
  <c r="I122" i="11" s="1"/>
  <c r="J111" i="11"/>
  <c r="K111" i="11"/>
  <c r="L111" i="11"/>
  <c r="L122" i="11" s="1"/>
  <c r="M111" i="11"/>
  <c r="N111" i="11"/>
  <c r="N122" i="11" s="1"/>
  <c r="O111" i="11"/>
  <c r="D112" i="11"/>
  <c r="D123" i="11" s="1"/>
  <c r="E112" i="11"/>
  <c r="E123" i="11" s="1"/>
  <c r="F112" i="11"/>
  <c r="G112" i="11"/>
  <c r="H112" i="11"/>
  <c r="H123" i="11" s="1"/>
  <c r="I112" i="11"/>
  <c r="J112" i="11"/>
  <c r="J123" i="11" s="1"/>
  <c r="K112" i="11"/>
  <c r="L112" i="11"/>
  <c r="M112" i="11"/>
  <c r="M123" i="11" s="1"/>
  <c r="N112" i="11"/>
  <c r="O112" i="11"/>
  <c r="D113" i="11"/>
  <c r="D124" i="11" s="1"/>
  <c r="E113" i="11"/>
  <c r="F113" i="11"/>
  <c r="G113" i="11"/>
  <c r="H113" i="11"/>
  <c r="H124" i="11" s="1"/>
  <c r="I113" i="11"/>
  <c r="I124" i="11" s="1"/>
  <c r="J113" i="11"/>
  <c r="K113" i="11"/>
  <c r="L113" i="11"/>
  <c r="L124" i="11" s="1"/>
  <c r="M113" i="11"/>
  <c r="N113" i="11"/>
  <c r="N124" i="11" s="1"/>
  <c r="O113" i="11"/>
  <c r="D114" i="11"/>
  <c r="D125" i="11" s="1"/>
  <c r="E114" i="11"/>
  <c r="E125" i="11" s="1"/>
  <c r="F114" i="11"/>
  <c r="G114" i="11"/>
  <c r="H114" i="11"/>
  <c r="I114" i="11"/>
  <c r="J114" i="11"/>
  <c r="K114" i="11"/>
  <c r="L114" i="11"/>
  <c r="M114" i="11"/>
  <c r="M125" i="11" s="1"/>
  <c r="N114" i="11"/>
  <c r="O114" i="11"/>
  <c r="D115" i="11"/>
  <c r="D126" i="11" s="1"/>
  <c r="E115" i="11"/>
  <c r="F115" i="11"/>
  <c r="F126" i="11" s="1"/>
  <c r="G115" i="11"/>
  <c r="H115" i="11"/>
  <c r="H126" i="11" s="1"/>
  <c r="I115" i="11"/>
  <c r="I126" i="11" s="1"/>
  <c r="J115" i="11"/>
  <c r="K115" i="11"/>
  <c r="L115" i="11"/>
  <c r="M115" i="11"/>
  <c r="N115" i="11"/>
  <c r="O115" i="11"/>
  <c r="E116" i="11"/>
  <c r="G116" i="11"/>
  <c r="M116" i="11"/>
  <c r="O116" i="11"/>
  <c r="E120" i="11"/>
  <c r="G120" i="11"/>
  <c r="J120" i="11"/>
  <c r="K120" i="11"/>
  <c r="K127" i="11" s="1"/>
  <c r="L120" i="11"/>
  <c r="L127" i="11" s="1"/>
  <c r="M120" i="11"/>
  <c r="O120" i="11"/>
  <c r="F121" i="11"/>
  <c r="G121" i="11"/>
  <c r="I121" i="11"/>
  <c r="J121" i="11"/>
  <c r="K121" i="11"/>
  <c r="N121" i="11"/>
  <c r="O121" i="11"/>
  <c r="E122" i="11"/>
  <c r="G122" i="11"/>
  <c r="J122" i="11"/>
  <c r="K122" i="11"/>
  <c r="M122" i="11"/>
  <c r="O122" i="11"/>
  <c r="F123" i="11"/>
  <c r="G123" i="11"/>
  <c r="I123" i="11"/>
  <c r="K123" i="11"/>
  <c r="L123" i="11"/>
  <c r="N123" i="11"/>
  <c r="O123" i="11"/>
  <c r="E124" i="11"/>
  <c r="F124" i="11"/>
  <c r="G124" i="11"/>
  <c r="J124" i="11"/>
  <c r="K124" i="11"/>
  <c r="M124" i="11"/>
  <c r="O124" i="11"/>
  <c r="F125" i="11"/>
  <c r="G125" i="11"/>
  <c r="H125" i="11"/>
  <c r="I125" i="11"/>
  <c r="J125" i="11"/>
  <c r="K125" i="11"/>
  <c r="L125" i="11"/>
  <c r="N125" i="11"/>
  <c r="O125" i="11"/>
  <c r="E126" i="11"/>
  <c r="G126" i="11"/>
  <c r="J126" i="11"/>
  <c r="K126" i="11"/>
  <c r="L126" i="11"/>
  <c r="M126" i="11"/>
  <c r="N126" i="11"/>
  <c r="O126" i="11"/>
  <c r="M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E138" i="11"/>
  <c r="G138" i="11"/>
  <c r="J138" i="11"/>
  <c r="M138" i="11"/>
  <c r="O138" i="11"/>
  <c r="D109" i="12"/>
  <c r="D120" i="12" s="1"/>
  <c r="E109" i="12"/>
  <c r="F109" i="12"/>
  <c r="F120" i="12" s="1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G121" i="12" s="1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K122" i="12" s="1"/>
  <c r="L111" i="12"/>
  <c r="M111" i="12"/>
  <c r="N111" i="12"/>
  <c r="O111" i="12"/>
  <c r="D112" i="12"/>
  <c r="E112" i="12"/>
  <c r="F112" i="12"/>
  <c r="G112" i="12"/>
  <c r="G123" i="12" s="1"/>
  <c r="H112" i="12"/>
  <c r="I112" i="12"/>
  <c r="J112" i="12"/>
  <c r="K112" i="12"/>
  <c r="L112" i="12"/>
  <c r="M112" i="12"/>
  <c r="N112" i="12"/>
  <c r="O112" i="12"/>
  <c r="O123" i="12" s="1"/>
  <c r="D113" i="12"/>
  <c r="D124" i="12" s="1"/>
  <c r="E113" i="12"/>
  <c r="F113" i="12"/>
  <c r="G113" i="12"/>
  <c r="H113" i="12"/>
  <c r="I113" i="12"/>
  <c r="J113" i="12"/>
  <c r="K113" i="12"/>
  <c r="K124" i="12" s="1"/>
  <c r="L113" i="12"/>
  <c r="M113" i="12"/>
  <c r="N113" i="12"/>
  <c r="O113" i="12"/>
  <c r="D114" i="12"/>
  <c r="E114" i="12"/>
  <c r="F114" i="12"/>
  <c r="G114" i="12"/>
  <c r="G125" i="12" s="1"/>
  <c r="H114" i="12"/>
  <c r="H125" i="12" s="1"/>
  <c r="I114" i="12"/>
  <c r="J114" i="12"/>
  <c r="J125" i="12" s="1"/>
  <c r="K114" i="12"/>
  <c r="L114" i="12"/>
  <c r="M114" i="12"/>
  <c r="N114" i="12"/>
  <c r="O114" i="12"/>
  <c r="O125" i="12" s="1"/>
  <c r="D115" i="12"/>
  <c r="E115" i="12"/>
  <c r="F115" i="12"/>
  <c r="G115" i="12"/>
  <c r="H115" i="12"/>
  <c r="I115" i="12"/>
  <c r="J115" i="12"/>
  <c r="K115" i="12"/>
  <c r="K126" i="12" s="1"/>
  <c r="L115" i="12"/>
  <c r="M115" i="12"/>
  <c r="N115" i="12"/>
  <c r="O115" i="12"/>
  <c r="E116" i="12"/>
  <c r="H116" i="12"/>
  <c r="J116" i="12"/>
  <c r="M116" i="12"/>
  <c r="E120" i="12"/>
  <c r="G120" i="12"/>
  <c r="H120" i="12"/>
  <c r="I120" i="12"/>
  <c r="J120" i="12"/>
  <c r="L120" i="12"/>
  <c r="M120" i="12"/>
  <c r="N120" i="12"/>
  <c r="N127" i="12" s="1"/>
  <c r="O120" i="12"/>
  <c r="D121" i="12"/>
  <c r="E121" i="12"/>
  <c r="F121" i="12"/>
  <c r="H121" i="12"/>
  <c r="I121" i="12"/>
  <c r="J121" i="12"/>
  <c r="K121" i="12"/>
  <c r="L121" i="12"/>
  <c r="M121" i="12"/>
  <c r="N121" i="12"/>
  <c r="D122" i="12"/>
  <c r="E122" i="12"/>
  <c r="F122" i="12"/>
  <c r="G122" i="12"/>
  <c r="H122" i="12"/>
  <c r="I122" i="12"/>
  <c r="J122" i="12"/>
  <c r="L122" i="12"/>
  <c r="M122" i="12"/>
  <c r="N122" i="12"/>
  <c r="O122" i="12"/>
  <c r="D123" i="12"/>
  <c r="E123" i="12"/>
  <c r="F123" i="12"/>
  <c r="H123" i="12"/>
  <c r="I123" i="12"/>
  <c r="J123" i="12"/>
  <c r="K123" i="12"/>
  <c r="L123" i="12"/>
  <c r="M123" i="12"/>
  <c r="N123" i="12"/>
  <c r="E124" i="12"/>
  <c r="F124" i="12"/>
  <c r="G124" i="12"/>
  <c r="H124" i="12"/>
  <c r="I124" i="12"/>
  <c r="J124" i="12"/>
  <c r="L124" i="12"/>
  <c r="M124" i="12"/>
  <c r="N124" i="12"/>
  <c r="O124" i="12"/>
  <c r="D125" i="12"/>
  <c r="E125" i="12"/>
  <c r="F125" i="12"/>
  <c r="I125" i="12"/>
  <c r="K125" i="12"/>
  <c r="L125" i="12"/>
  <c r="M125" i="12"/>
  <c r="N125" i="12"/>
  <c r="D126" i="12"/>
  <c r="E126" i="12"/>
  <c r="F126" i="12"/>
  <c r="G126" i="12"/>
  <c r="H126" i="12"/>
  <c r="I126" i="12"/>
  <c r="J126" i="12"/>
  <c r="L126" i="12"/>
  <c r="M126" i="12"/>
  <c r="N126" i="12"/>
  <c r="O126" i="12"/>
  <c r="E127" i="12"/>
  <c r="G127" i="12"/>
  <c r="J127" i="12"/>
  <c r="M127" i="12"/>
  <c r="D131" i="12"/>
  <c r="E131" i="12"/>
  <c r="F131" i="12"/>
  <c r="G131" i="12"/>
  <c r="H131" i="12"/>
  <c r="H138" i="12" s="1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J138" i="12"/>
  <c r="M138" i="12"/>
  <c r="D109" i="13"/>
  <c r="E109" i="13"/>
  <c r="F109" i="13"/>
  <c r="G109" i="13"/>
  <c r="H109" i="13"/>
  <c r="H120" i="13" s="1"/>
  <c r="I109" i="13"/>
  <c r="I120" i="13" s="1"/>
  <c r="J109" i="13"/>
  <c r="K109" i="13"/>
  <c r="L109" i="13"/>
  <c r="M109" i="13"/>
  <c r="N109" i="13"/>
  <c r="O109" i="13"/>
  <c r="D110" i="13"/>
  <c r="E110" i="13"/>
  <c r="E121" i="13" s="1"/>
  <c r="F110" i="13"/>
  <c r="G110" i="13"/>
  <c r="H110" i="13"/>
  <c r="I110" i="13"/>
  <c r="J110" i="13"/>
  <c r="K110" i="13"/>
  <c r="L110" i="13"/>
  <c r="M110" i="13"/>
  <c r="M121" i="13" s="1"/>
  <c r="N110" i="13"/>
  <c r="O110" i="13"/>
  <c r="D111" i="13"/>
  <c r="E111" i="13"/>
  <c r="F111" i="13"/>
  <c r="G111" i="13"/>
  <c r="H111" i="13"/>
  <c r="I111" i="13"/>
  <c r="I122" i="13" s="1"/>
  <c r="J111" i="13"/>
  <c r="K111" i="13"/>
  <c r="L111" i="13"/>
  <c r="M111" i="13"/>
  <c r="N111" i="13"/>
  <c r="N122" i="13" s="1"/>
  <c r="O111" i="13"/>
  <c r="D112" i="13"/>
  <c r="E112" i="13"/>
  <c r="E123" i="13" s="1"/>
  <c r="F112" i="13"/>
  <c r="G112" i="13"/>
  <c r="H112" i="13"/>
  <c r="I112" i="13"/>
  <c r="J112" i="13"/>
  <c r="K112" i="13"/>
  <c r="L112" i="13"/>
  <c r="M112" i="13"/>
  <c r="M123" i="13" s="1"/>
  <c r="N112" i="13"/>
  <c r="O112" i="13"/>
  <c r="D113" i="13"/>
  <c r="E113" i="13"/>
  <c r="F113" i="13"/>
  <c r="F124" i="13" s="1"/>
  <c r="G113" i="13"/>
  <c r="H113" i="13"/>
  <c r="H124" i="13" s="1"/>
  <c r="I113" i="13"/>
  <c r="I124" i="13" s="1"/>
  <c r="J113" i="13"/>
  <c r="K113" i="13"/>
  <c r="L113" i="13"/>
  <c r="M113" i="13"/>
  <c r="N113" i="13"/>
  <c r="O113" i="13"/>
  <c r="D114" i="13"/>
  <c r="E114" i="13"/>
  <c r="E125" i="13" s="1"/>
  <c r="F114" i="13"/>
  <c r="G114" i="13"/>
  <c r="H114" i="13"/>
  <c r="I114" i="13"/>
  <c r="J114" i="13"/>
  <c r="J125" i="13" s="1"/>
  <c r="K114" i="13"/>
  <c r="L114" i="13"/>
  <c r="L125" i="13" s="1"/>
  <c r="M114" i="13"/>
  <c r="M125" i="13" s="1"/>
  <c r="N114" i="13"/>
  <c r="O114" i="13"/>
  <c r="D115" i="13"/>
  <c r="E115" i="13"/>
  <c r="F115" i="13"/>
  <c r="G115" i="13"/>
  <c r="H115" i="13"/>
  <c r="I115" i="13"/>
  <c r="I126" i="13" s="1"/>
  <c r="J115" i="13"/>
  <c r="K115" i="13"/>
  <c r="L115" i="13"/>
  <c r="M115" i="13"/>
  <c r="N115" i="13"/>
  <c r="N126" i="13" s="1"/>
  <c r="O115" i="13"/>
  <c r="D116" i="13"/>
  <c r="E116" i="13"/>
  <c r="G116" i="13"/>
  <c r="J116" i="13"/>
  <c r="M116" i="13"/>
  <c r="O116" i="13"/>
  <c r="D120" i="13"/>
  <c r="E120" i="13"/>
  <c r="G120" i="13"/>
  <c r="J120" i="13"/>
  <c r="K120" i="13"/>
  <c r="L120" i="13"/>
  <c r="M120" i="13"/>
  <c r="O120" i="13"/>
  <c r="D121" i="13"/>
  <c r="F121" i="13"/>
  <c r="G121" i="13"/>
  <c r="H121" i="13"/>
  <c r="I121" i="13"/>
  <c r="J121" i="13"/>
  <c r="J127" i="13" s="1"/>
  <c r="K121" i="13"/>
  <c r="L121" i="13"/>
  <c r="N121" i="13"/>
  <c r="O121" i="13"/>
  <c r="D122" i="13"/>
  <c r="E122" i="13"/>
  <c r="F122" i="13"/>
  <c r="G122" i="13"/>
  <c r="H122" i="13"/>
  <c r="J122" i="13"/>
  <c r="K122" i="13"/>
  <c r="L122" i="13"/>
  <c r="M122" i="13"/>
  <c r="O122" i="13"/>
  <c r="D123" i="13"/>
  <c r="F123" i="13"/>
  <c r="G123" i="13"/>
  <c r="H123" i="13"/>
  <c r="I123" i="13"/>
  <c r="J123" i="13"/>
  <c r="K123" i="13"/>
  <c r="L123" i="13"/>
  <c r="N123" i="13"/>
  <c r="O123" i="13"/>
  <c r="D124" i="13"/>
  <c r="E124" i="13"/>
  <c r="G124" i="13"/>
  <c r="J124" i="13"/>
  <c r="K124" i="13"/>
  <c r="L124" i="13"/>
  <c r="M124" i="13"/>
  <c r="N124" i="13"/>
  <c r="O124" i="13"/>
  <c r="D125" i="13"/>
  <c r="F125" i="13"/>
  <c r="G125" i="13"/>
  <c r="G127" i="13" s="1"/>
  <c r="H125" i="13"/>
  <c r="I125" i="13"/>
  <c r="K125" i="13"/>
  <c r="N125" i="13"/>
  <c r="O125" i="13"/>
  <c r="D126" i="13"/>
  <c r="E126" i="13"/>
  <c r="F126" i="13"/>
  <c r="G126" i="13"/>
  <c r="H126" i="13"/>
  <c r="J126" i="13"/>
  <c r="K126" i="13"/>
  <c r="L126" i="13"/>
  <c r="M126" i="13"/>
  <c r="O126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E138" i="13"/>
  <c r="G138" i="13"/>
  <c r="M138" i="13"/>
  <c r="O138" i="13"/>
  <c r="AZ14" i="14"/>
  <c r="AY259" i="14" s="1"/>
  <c r="AY181" i="14"/>
  <c r="AY179" i="14"/>
  <c r="AY177" i="14"/>
  <c r="AY260" i="14" s="1"/>
  <c r="AY175" i="14"/>
  <c r="AX259" i="14"/>
  <c r="AY14" i="14"/>
  <c r="AX181" i="14"/>
  <c r="AX179" i="14"/>
  <c r="AX177" i="14"/>
  <c r="AX175" i="14"/>
  <c r="AX260" i="14" s="1"/>
  <c r="AX14" i="14"/>
  <c r="AW259" i="14" s="1"/>
  <c r="AW181" i="14"/>
  <c r="AW179" i="14"/>
  <c r="AW177" i="14"/>
  <c r="AW175" i="14"/>
  <c r="AW14" i="14"/>
  <c r="AV259" i="14" s="1"/>
  <c r="AV181" i="14"/>
  <c r="AV179" i="14"/>
  <c r="AV177" i="14"/>
  <c r="AV260" i="14" s="1"/>
  <c r="AV175" i="14"/>
  <c r="AU259" i="14"/>
  <c r="AV14" i="14"/>
  <c r="AU181" i="14"/>
  <c r="AU260" i="14" s="1"/>
  <c r="AU179" i="14"/>
  <c r="AU177" i="14"/>
  <c r="AU175" i="14"/>
  <c r="AU14" i="14"/>
  <c r="AT259" i="14" s="1"/>
  <c r="AT181" i="14"/>
  <c r="AT179" i="14"/>
  <c r="AT177" i="14"/>
  <c r="AT175" i="14"/>
  <c r="AS260" i="14"/>
  <c r="AT14" i="14"/>
  <c r="AS259" i="14" s="1"/>
  <c r="AS181" i="14"/>
  <c r="AS179" i="14"/>
  <c r="AS177" i="14"/>
  <c r="AS175" i="14"/>
  <c r="AR259" i="14"/>
  <c r="AS14" i="14"/>
  <c r="AR181" i="14"/>
  <c r="AR179" i="14"/>
  <c r="AR177" i="14"/>
  <c r="AR175" i="14"/>
  <c r="AR260" i="14" s="1"/>
  <c r="AR14" i="14"/>
  <c r="AQ259" i="14" s="1"/>
  <c r="AQ181" i="14"/>
  <c r="AQ179" i="14"/>
  <c r="AQ177" i="14"/>
  <c r="AQ260" i="14" s="1"/>
  <c r="AQ175" i="14"/>
  <c r="AP259" i="14"/>
  <c r="AQ14" i="14"/>
  <c r="AP181" i="14"/>
  <c r="AP179" i="14"/>
  <c r="AP177" i="14"/>
  <c r="AP175" i="14"/>
  <c r="AP260" i="14" s="1"/>
  <c r="AP14" i="14"/>
  <c r="AO259" i="14" s="1"/>
  <c r="AO181" i="14"/>
  <c r="AO179" i="14"/>
  <c r="AO177" i="14"/>
  <c r="AO175" i="14"/>
  <c r="AO14" i="14"/>
  <c r="AN259" i="14" s="1"/>
  <c r="AN181" i="14"/>
  <c r="AN179" i="14"/>
  <c r="AN177" i="14"/>
  <c r="AN175" i="14"/>
  <c r="AM259" i="14"/>
  <c r="AN14" i="14"/>
  <c r="AM181" i="14"/>
  <c r="AM179" i="14"/>
  <c r="AM177" i="14"/>
  <c r="AM175" i="14"/>
  <c r="AL259" i="14"/>
  <c r="AM14" i="14"/>
  <c r="AL181" i="14"/>
  <c r="AL179" i="14"/>
  <c r="AL177" i="14"/>
  <c r="AL175" i="14"/>
  <c r="AL14" i="14"/>
  <c r="AK259" i="14" s="1"/>
  <c r="AK181" i="14"/>
  <c r="AK179" i="14"/>
  <c r="AK177" i="14"/>
  <c r="AK260" i="14" s="1"/>
  <c r="AK175" i="14"/>
  <c r="AJ259" i="14"/>
  <c r="AK14" i="14"/>
  <c r="AJ181" i="14"/>
  <c r="AJ179" i="14"/>
  <c r="AJ177" i="14"/>
  <c r="AJ175" i="14"/>
  <c r="AI260" i="14"/>
  <c r="AJ14" i="14"/>
  <c r="AI259" i="14" s="1"/>
  <c r="AI181" i="14"/>
  <c r="AI179" i="14"/>
  <c r="AI177" i="14"/>
  <c r="AI175" i="14"/>
  <c r="AH259" i="14"/>
  <c r="AI14" i="14"/>
  <c r="AH181" i="14"/>
  <c r="AH179" i="14"/>
  <c r="AH177" i="14"/>
  <c r="AH175" i="14"/>
  <c r="AH260" i="14" s="1"/>
  <c r="AH14" i="14"/>
  <c r="AG259" i="14" s="1"/>
  <c r="AG181" i="14"/>
  <c r="AG179" i="14"/>
  <c r="AG177" i="14"/>
  <c r="AG175" i="14"/>
  <c r="AF260" i="14"/>
  <c r="AG14" i="14"/>
  <c r="AF259" i="14" s="1"/>
  <c r="AF181" i="14"/>
  <c r="AF179" i="14"/>
  <c r="AF177" i="14"/>
  <c r="AF175" i="14"/>
  <c r="AE259" i="14"/>
  <c r="AF14" i="14"/>
  <c r="AE181" i="14"/>
  <c r="AE179" i="14"/>
  <c r="AE177" i="14"/>
  <c r="AE175" i="14"/>
  <c r="AE260" i="14" s="1"/>
  <c r="AD259" i="14"/>
  <c r="AE14" i="14"/>
  <c r="AD181" i="14"/>
  <c r="AD179" i="14"/>
  <c r="AD177" i="14"/>
  <c r="AD175" i="14"/>
  <c r="AD14" i="14"/>
  <c r="AC259" i="14" s="1"/>
  <c r="AC181" i="14"/>
  <c r="AC179" i="14"/>
  <c r="AC177" i="14"/>
  <c r="AC175" i="14"/>
  <c r="AC260" i="14" s="1"/>
  <c r="AB259" i="14"/>
  <c r="AC14" i="14"/>
  <c r="AB181" i="14"/>
  <c r="AB179" i="14"/>
  <c r="AB177" i="14"/>
  <c r="AB175" i="14"/>
  <c r="AB14" i="14"/>
  <c r="AA259" i="14" s="1"/>
  <c r="AA181" i="14"/>
  <c r="AA179" i="14"/>
  <c r="AA260" i="14" s="1"/>
  <c r="AA177" i="14"/>
  <c r="AA175" i="14"/>
  <c r="Z259" i="14"/>
  <c r="AA14" i="14"/>
  <c r="Z181" i="14"/>
  <c r="Z179" i="14"/>
  <c r="Z177" i="14"/>
  <c r="Z260" i="14" s="1"/>
  <c r="Z175" i="14"/>
  <c r="Z14" i="14"/>
  <c r="Y259" i="14" s="1"/>
  <c r="Y181" i="14"/>
  <c r="Y179" i="14"/>
  <c r="Y177" i="14"/>
  <c r="Y175" i="14"/>
  <c r="X260" i="14"/>
  <c r="Y14" i="14"/>
  <c r="X259" i="14" s="1"/>
  <c r="X181" i="14"/>
  <c r="X179" i="14"/>
  <c r="X177" i="14"/>
  <c r="X175" i="14"/>
  <c r="W259" i="14"/>
  <c r="X14" i="14"/>
  <c r="W181" i="14"/>
  <c r="W260" i="14" s="1"/>
  <c r="W179" i="14"/>
  <c r="W177" i="14"/>
  <c r="W175" i="14"/>
  <c r="V259" i="14"/>
  <c r="W14" i="14"/>
  <c r="V181" i="14"/>
  <c r="V179" i="14"/>
  <c r="V177" i="14"/>
  <c r="V175" i="14"/>
  <c r="V14" i="14"/>
  <c r="U259" i="14" s="1"/>
  <c r="U181" i="14"/>
  <c r="U260" i="14" s="1"/>
  <c r="U179" i="14"/>
  <c r="U177" i="14"/>
  <c r="U175" i="14"/>
  <c r="T259" i="14"/>
  <c r="U14" i="14"/>
  <c r="T181" i="14"/>
  <c r="T179" i="14"/>
  <c r="T177" i="14"/>
  <c r="T175" i="14"/>
  <c r="T14" i="14"/>
  <c r="S259" i="14" s="1"/>
  <c r="S181" i="14"/>
  <c r="S179" i="14"/>
  <c r="S177" i="14"/>
  <c r="S260" i="14" s="1"/>
  <c r="S175" i="14"/>
  <c r="R260" i="14"/>
  <c r="R259" i="14"/>
  <c r="S14" i="14"/>
  <c r="R181" i="14"/>
  <c r="R179" i="14"/>
  <c r="R177" i="14"/>
  <c r="R175" i="14"/>
  <c r="R14" i="14"/>
  <c r="Q259" i="14" s="1"/>
  <c r="Q181" i="14"/>
  <c r="Q179" i="14"/>
  <c r="Q177" i="14"/>
  <c r="Q175" i="14"/>
  <c r="Q14" i="14"/>
  <c r="P259" i="14" s="1"/>
  <c r="P181" i="14"/>
  <c r="P179" i="14"/>
  <c r="P177" i="14"/>
  <c r="P260" i="14" s="1"/>
  <c r="P175" i="14"/>
  <c r="O259" i="14"/>
  <c r="P14" i="14"/>
  <c r="O181" i="14"/>
  <c r="O179" i="14"/>
  <c r="O177" i="14"/>
  <c r="O175" i="14"/>
  <c r="N259" i="14"/>
  <c r="O14" i="14"/>
  <c r="N181" i="14"/>
  <c r="N179" i="14"/>
  <c r="N177" i="14"/>
  <c r="N175" i="14"/>
  <c r="N14" i="14"/>
  <c r="M259" i="14" s="1"/>
  <c r="M181" i="14"/>
  <c r="M179" i="14"/>
  <c r="M177" i="14"/>
  <c r="M260" i="14" s="1"/>
  <c r="M175" i="14"/>
  <c r="L259" i="14"/>
  <c r="M14" i="14"/>
  <c r="L181" i="14"/>
  <c r="L179" i="14"/>
  <c r="L177" i="14"/>
  <c r="L175" i="14"/>
  <c r="K260" i="14"/>
  <c r="L14" i="14"/>
  <c r="K259" i="14" s="1"/>
  <c r="K181" i="14"/>
  <c r="K179" i="14"/>
  <c r="K177" i="14"/>
  <c r="K175" i="14"/>
  <c r="J260" i="14"/>
  <c r="J259" i="14"/>
  <c r="K14" i="14"/>
  <c r="J181" i="14"/>
  <c r="J179" i="14"/>
  <c r="J177" i="14"/>
  <c r="J175" i="14"/>
  <c r="J14" i="14"/>
  <c r="I259" i="14" s="1"/>
  <c r="I181" i="14"/>
  <c r="I179" i="14"/>
  <c r="I177" i="14"/>
  <c r="I175" i="14"/>
  <c r="I14" i="14"/>
  <c r="H259" i="14" s="1"/>
  <c r="H181" i="14"/>
  <c r="H179" i="14"/>
  <c r="H177" i="14"/>
  <c r="H175" i="14"/>
  <c r="G259" i="14"/>
  <c r="H14" i="14"/>
  <c r="G181" i="14"/>
  <c r="G179" i="14"/>
  <c r="G177" i="14"/>
  <c r="G175" i="14"/>
  <c r="F259" i="14"/>
  <c r="G14" i="14"/>
  <c r="F181" i="14"/>
  <c r="F179" i="14"/>
  <c r="F177" i="14"/>
  <c r="F175" i="14"/>
  <c r="E260" i="14"/>
  <c r="F14" i="14"/>
  <c r="E181" i="14"/>
  <c r="E179" i="14"/>
  <c r="E177" i="14"/>
  <c r="E175" i="14"/>
  <c r="D259" i="14"/>
  <c r="E14" i="14"/>
  <c r="D181" i="14"/>
  <c r="D179" i="14"/>
  <c r="D177" i="14"/>
  <c r="D175" i="14"/>
  <c r="AZ14" i="15"/>
  <c r="AY259" i="15" s="1"/>
  <c r="AY181" i="15"/>
  <c r="AY179" i="15"/>
  <c r="AY177" i="15"/>
  <c r="AY260" i="15" s="1"/>
  <c r="AY175" i="15"/>
  <c r="AX259" i="15"/>
  <c r="AY14" i="15"/>
  <c r="AX181" i="15"/>
  <c r="AX179" i="15"/>
  <c r="AX177" i="15"/>
  <c r="AX175" i="15"/>
  <c r="AX260" i="15" s="1"/>
  <c r="AX14" i="15"/>
  <c r="AW259" i="15" s="1"/>
  <c r="AW181" i="15"/>
  <c r="AW179" i="15"/>
  <c r="AW177" i="15"/>
  <c r="AW175" i="15"/>
  <c r="AW260" i="15" s="1"/>
  <c r="AW14" i="15"/>
  <c r="AV259" i="15" s="1"/>
  <c r="AV181" i="15"/>
  <c r="AV260" i="15" s="1"/>
  <c r="AV179" i="15"/>
  <c r="AV177" i="15"/>
  <c r="AV175" i="15"/>
  <c r="AU259" i="15"/>
  <c r="AV14" i="15"/>
  <c r="AU181" i="15"/>
  <c r="AU179" i="15"/>
  <c r="AU177" i="15"/>
  <c r="AU175" i="15"/>
  <c r="AT259" i="15"/>
  <c r="AU14" i="15"/>
  <c r="AT181" i="15"/>
  <c r="AT179" i="15"/>
  <c r="AT177" i="15"/>
  <c r="AT175" i="15"/>
  <c r="AT260" i="15" s="1"/>
  <c r="AS260" i="15"/>
  <c r="AT14" i="15"/>
  <c r="AS259" i="15" s="1"/>
  <c r="AS181" i="15"/>
  <c r="AS179" i="15"/>
  <c r="AS177" i="15"/>
  <c r="AS175" i="15"/>
  <c r="AR259" i="15"/>
  <c r="AS14" i="15"/>
  <c r="AR181" i="15"/>
  <c r="AR179" i="15"/>
  <c r="AR177" i="15"/>
  <c r="AR175" i="15"/>
  <c r="AR14" i="15"/>
  <c r="AQ259" i="15" s="1"/>
  <c r="AQ181" i="15"/>
  <c r="AQ179" i="15"/>
  <c r="AQ177" i="15"/>
  <c r="AQ175" i="15"/>
  <c r="AP259" i="15"/>
  <c r="AQ14" i="15"/>
  <c r="AP181" i="15"/>
  <c r="AP179" i="15"/>
  <c r="AP177" i="15"/>
  <c r="AP175" i="15"/>
  <c r="AP260" i="15" s="1"/>
  <c r="AP14" i="15"/>
  <c r="AO259" i="15" s="1"/>
  <c r="AO181" i="15"/>
  <c r="AO179" i="15"/>
  <c r="AO177" i="15"/>
  <c r="AO175" i="15"/>
  <c r="AO260" i="15" s="1"/>
  <c r="AN260" i="15"/>
  <c r="AO14" i="15"/>
  <c r="AN259" i="15" s="1"/>
  <c r="AN181" i="15"/>
  <c r="AN179" i="15"/>
  <c r="AN177" i="15"/>
  <c r="AN175" i="15"/>
  <c r="AM259" i="15"/>
  <c r="AN14" i="15"/>
  <c r="AM181" i="15"/>
  <c r="AM260" i="15" s="1"/>
  <c r="AM179" i="15"/>
  <c r="AM177" i="15"/>
  <c r="AM175" i="15"/>
  <c r="AL259" i="15"/>
  <c r="AM14" i="15"/>
  <c r="AL181" i="15"/>
  <c r="AL179" i="15"/>
  <c r="AL177" i="15"/>
  <c r="AL175" i="15"/>
  <c r="AK260" i="15"/>
  <c r="AL14" i="15"/>
  <c r="AK259" i="15" s="1"/>
  <c r="AK181" i="15"/>
  <c r="AK179" i="15"/>
  <c r="AK177" i="15"/>
  <c r="AK175" i="15"/>
  <c r="AJ259" i="15"/>
  <c r="AK14" i="15"/>
  <c r="AJ181" i="15"/>
  <c r="AJ179" i="15"/>
  <c r="AJ177" i="15"/>
  <c r="AJ175" i="15"/>
  <c r="AJ14" i="15"/>
  <c r="AI259" i="15" s="1"/>
  <c r="AI181" i="15"/>
  <c r="AI179" i="15"/>
  <c r="AI177" i="15"/>
  <c r="AI260" i="15" s="1"/>
  <c r="AI175" i="15"/>
  <c r="AH259" i="15"/>
  <c r="AI14" i="15"/>
  <c r="AH181" i="15"/>
  <c r="AH179" i="15"/>
  <c r="AH177" i="15"/>
  <c r="AH175" i="15"/>
  <c r="AH260" i="15" s="1"/>
  <c r="AH14" i="15"/>
  <c r="AG259" i="15" s="1"/>
  <c r="AG181" i="15"/>
  <c r="AG179" i="15"/>
  <c r="AG177" i="15"/>
  <c r="AG175" i="15"/>
  <c r="AG14" i="15"/>
  <c r="AF259" i="15" s="1"/>
  <c r="AF181" i="15"/>
  <c r="AF179" i="15"/>
  <c r="AF177" i="15"/>
  <c r="AF260" i="15" s="1"/>
  <c r="AF175" i="15"/>
  <c r="AE259" i="15"/>
  <c r="AF14" i="15"/>
  <c r="AE181" i="15"/>
  <c r="AE179" i="15"/>
  <c r="AE177" i="15"/>
  <c r="AE175" i="15"/>
  <c r="AE260" i="15" s="1"/>
  <c r="AD259" i="15"/>
  <c r="AE14" i="15"/>
  <c r="AD181" i="15"/>
  <c r="AD179" i="15"/>
  <c r="AD177" i="15"/>
  <c r="AD175" i="15"/>
  <c r="AD14" i="15"/>
  <c r="AC259" i="15" s="1"/>
  <c r="AC181" i="15"/>
  <c r="AC179" i="15"/>
  <c r="AC177" i="15"/>
  <c r="AC175" i="15"/>
  <c r="AB259" i="15"/>
  <c r="AC14" i="15"/>
  <c r="AB181" i="15"/>
  <c r="AB179" i="15"/>
  <c r="AB177" i="15"/>
  <c r="AB175" i="15"/>
  <c r="AA260" i="15"/>
  <c r="AB14" i="15"/>
  <c r="AA259" i="15" s="1"/>
  <c r="AA181" i="15"/>
  <c r="AA179" i="15"/>
  <c r="AA177" i="15"/>
  <c r="AA175" i="15"/>
  <c r="Z260" i="15"/>
  <c r="Z259" i="15"/>
  <c r="AA14" i="15"/>
  <c r="Z181" i="15"/>
  <c r="Z179" i="15"/>
  <c r="Z177" i="15"/>
  <c r="Z175" i="15"/>
  <c r="Z14" i="15"/>
  <c r="Y259" i="15" s="1"/>
  <c r="Y181" i="15"/>
  <c r="Y179" i="15"/>
  <c r="Y177" i="15"/>
  <c r="Y175" i="15"/>
  <c r="Y260" i="15" s="1"/>
  <c r="Y14" i="15"/>
  <c r="X259" i="15" s="1"/>
  <c r="X181" i="15"/>
  <c r="X179" i="15"/>
  <c r="X177" i="15"/>
  <c r="X175" i="15"/>
  <c r="W259" i="15"/>
  <c r="X14" i="15"/>
  <c r="W181" i="15"/>
  <c r="W179" i="15"/>
  <c r="W177" i="15"/>
  <c r="W175" i="15"/>
  <c r="W14" i="15"/>
  <c r="V259" i="15" s="1"/>
  <c r="V181" i="15"/>
  <c r="V179" i="15"/>
  <c r="V177" i="15"/>
  <c r="V175" i="15"/>
  <c r="V260" i="15" s="1"/>
  <c r="U260" i="15"/>
  <c r="V14" i="15"/>
  <c r="U259" i="15" s="1"/>
  <c r="U181" i="15"/>
  <c r="U179" i="15"/>
  <c r="U177" i="15"/>
  <c r="U175" i="15"/>
  <c r="T259" i="15"/>
  <c r="U14" i="15"/>
  <c r="T181" i="15"/>
  <c r="T179" i="15"/>
  <c r="T177" i="15"/>
  <c r="T175" i="15"/>
  <c r="T260" i="15" s="1"/>
  <c r="T14" i="15"/>
  <c r="S259" i="15" s="1"/>
  <c r="S181" i="15"/>
  <c r="S179" i="15"/>
  <c r="S177" i="15"/>
  <c r="S260" i="15" s="1"/>
  <c r="S175" i="15"/>
  <c r="R259" i="15"/>
  <c r="S14" i="15"/>
  <c r="R181" i="15"/>
  <c r="R179" i="15"/>
  <c r="R177" i="15"/>
  <c r="R175" i="15"/>
  <c r="R260" i="15" s="1"/>
  <c r="Q259" i="15"/>
  <c r="R14" i="15"/>
  <c r="Q181" i="15"/>
  <c r="Q179" i="15"/>
  <c r="Q177" i="15"/>
  <c r="Q175" i="15"/>
  <c r="Q260" i="15" s="1"/>
  <c r="Q14" i="15"/>
  <c r="P259" i="15" s="1"/>
  <c r="P181" i="15"/>
  <c r="P260" i="15" s="1"/>
  <c r="P179" i="15"/>
  <c r="P177" i="15"/>
  <c r="P175" i="15"/>
  <c r="O259" i="15"/>
  <c r="P14" i="15"/>
  <c r="O181" i="15"/>
  <c r="O179" i="15"/>
  <c r="O177" i="15"/>
  <c r="O175" i="15"/>
  <c r="N259" i="15"/>
  <c r="O14" i="15"/>
  <c r="N181" i="15"/>
  <c r="N179" i="15"/>
  <c r="N177" i="15"/>
  <c r="N175" i="15"/>
  <c r="N14" i="15"/>
  <c r="M259" i="15" s="1"/>
  <c r="M181" i="15"/>
  <c r="M179" i="15"/>
  <c r="M177" i="15"/>
  <c r="M175" i="15"/>
  <c r="M260" i="15" s="1"/>
  <c r="L259" i="15"/>
  <c r="M14" i="15"/>
  <c r="L181" i="15"/>
  <c r="L179" i="15"/>
  <c r="L177" i="15"/>
  <c r="L175" i="15"/>
  <c r="L14" i="15"/>
  <c r="K259" i="15" s="1"/>
  <c r="K181" i="15"/>
  <c r="K179" i="15"/>
  <c r="K177" i="15"/>
  <c r="K260" i="15" s="1"/>
  <c r="K175" i="15"/>
  <c r="J259" i="15"/>
  <c r="K14" i="15"/>
  <c r="J181" i="15"/>
  <c r="J179" i="15"/>
  <c r="J177" i="15"/>
  <c r="J175" i="15"/>
  <c r="J260" i="15" s="1"/>
  <c r="J14" i="15"/>
  <c r="I259" i="15" s="1"/>
  <c r="I181" i="15"/>
  <c r="I179" i="15"/>
  <c r="I177" i="15"/>
  <c r="I175" i="15"/>
  <c r="H260" i="15"/>
  <c r="I14" i="15"/>
  <c r="H259" i="15" s="1"/>
  <c r="H181" i="15"/>
  <c r="H179" i="15"/>
  <c r="H177" i="15"/>
  <c r="H175" i="15"/>
  <c r="G260" i="15"/>
  <c r="G259" i="15"/>
  <c r="H14" i="15"/>
  <c r="G181" i="15"/>
  <c r="G179" i="15"/>
  <c r="G177" i="15"/>
  <c r="G175" i="15"/>
  <c r="G14" i="15"/>
  <c r="F259" i="15" s="1"/>
  <c r="F181" i="15"/>
  <c r="F179" i="15"/>
  <c r="F177" i="15"/>
  <c r="F175" i="15"/>
  <c r="E260" i="15"/>
  <c r="F14" i="15"/>
  <c r="E259" i="15" s="1"/>
  <c r="E181" i="15"/>
  <c r="E179" i="15"/>
  <c r="E177" i="15"/>
  <c r="E175" i="15"/>
  <c r="D259" i="15"/>
  <c r="E14" i="15"/>
  <c r="D181" i="15"/>
  <c r="D179" i="15"/>
  <c r="D177" i="15"/>
  <c r="D175" i="15"/>
  <c r="AY14" i="16"/>
  <c r="AY10" i="16" s="1"/>
  <c r="AY13" i="16" s="1"/>
  <c r="AY15" i="16"/>
  <c r="AY16" i="16"/>
  <c r="AY17" i="16"/>
  <c r="AY29" i="16"/>
  <c r="AX15" i="16"/>
  <c r="AX21" i="16"/>
  <c r="AX44" i="16" s="1"/>
  <c r="AX46" i="16" s="1"/>
  <c r="AX22" i="16"/>
  <c r="AX23" i="16"/>
  <c r="AX24" i="16"/>
  <c r="AX29" i="16"/>
  <c r="AX33" i="16"/>
  <c r="AX35" i="16" s="1"/>
  <c r="AX34" i="16"/>
  <c r="AX40" i="16" s="1"/>
  <c r="AX45" i="16"/>
  <c r="AX50" i="16"/>
  <c r="AX51" i="16"/>
  <c r="AW14" i="16"/>
  <c r="AW15" i="16"/>
  <c r="AW16" i="16"/>
  <c r="AX17" i="16" s="1"/>
  <c r="AW17" i="16"/>
  <c r="AW29" i="16"/>
  <c r="AV14" i="16"/>
  <c r="AV15" i="16"/>
  <c r="AV16" i="16"/>
  <c r="AV10" i="16"/>
  <c r="AV13" i="16" s="1"/>
  <c r="AV17" i="16"/>
  <c r="AV29" i="16"/>
  <c r="AU14" i="16"/>
  <c r="AU15" i="16"/>
  <c r="AU10" i="16" s="1"/>
  <c r="AU13" i="16" s="1"/>
  <c r="AU16" i="16"/>
  <c r="AU17" i="16"/>
  <c r="AU29" i="16"/>
  <c r="AT14" i="16"/>
  <c r="AT15" i="16"/>
  <c r="AT10" i="16" s="1"/>
  <c r="AT16" i="16"/>
  <c r="AT13" i="16"/>
  <c r="AT17" i="16"/>
  <c r="AT29" i="16"/>
  <c r="AS14" i="16"/>
  <c r="AS15" i="16"/>
  <c r="AS16" i="16"/>
  <c r="AS17" i="16"/>
  <c r="AS21" i="16"/>
  <c r="AS29" i="16"/>
  <c r="AR14" i="16"/>
  <c r="AR15" i="16"/>
  <c r="AR10" i="16" s="1"/>
  <c r="AR13" i="16" s="1"/>
  <c r="AR16" i="16"/>
  <c r="AR17" i="16"/>
  <c r="AR29" i="16"/>
  <c r="AQ14" i="16"/>
  <c r="AQ10" i="16" s="1"/>
  <c r="AQ13" i="16" s="1"/>
  <c r="AQ15" i="16"/>
  <c r="AQ16" i="16"/>
  <c r="AQ17" i="16"/>
  <c r="AQ29" i="16"/>
  <c r="AP14" i="16"/>
  <c r="AP15" i="16"/>
  <c r="AP16" i="16"/>
  <c r="AP17" i="16"/>
  <c r="AP29" i="16"/>
  <c r="AO14" i="16"/>
  <c r="AO15" i="16"/>
  <c r="AO16" i="16"/>
  <c r="AO17" i="16"/>
  <c r="AO29" i="16"/>
  <c r="AN14" i="16"/>
  <c r="AN15" i="16"/>
  <c r="AN16" i="16"/>
  <c r="AN10" i="16"/>
  <c r="AN13" i="16" s="1"/>
  <c r="AN17" i="16"/>
  <c r="AN29" i="16"/>
  <c r="AM14" i="16"/>
  <c r="AM10" i="16" s="1"/>
  <c r="AM13" i="16" s="1"/>
  <c r="AM15" i="16"/>
  <c r="AM16" i="16"/>
  <c r="AM17" i="16"/>
  <c r="AM29" i="16"/>
  <c r="AL14" i="16"/>
  <c r="AL15" i="16"/>
  <c r="AL10" i="16" s="1"/>
  <c r="AL13" i="16" s="1"/>
  <c r="AL16" i="16"/>
  <c r="AL17" i="16"/>
  <c r="AL29" i="16"/>
  <c r="AK14" i="16"/>
  <c r="AK10" i="16" s="1"/>
  <c r="AK13" i="16" s="1"/>
  <c r="AK15" i="16"/>
  <c r="AK16" i="16"/>
  <c r="AK17" i="16"/>
  <c r="AK29" i="16"/>
  <c r="AJ14" i="16"/>
  <c r="AJ15" i="16"/>
  <c r="AJ16" i="16"/>
  <c r="AJ10" i="16"/>
  <c r="AJ13" i="16" s="1"/>
  <c r="AJ17" i="16"/>
  <c r="AJ29" i="16"/>
  <c r="AI14" i="16"/>
  <c r="AI15" i="16"/>
  <c r="AI16" i="16"/>
  <c r="AI10" i="16"/>
  <c r="AI13" i="16" s="1"/>
  <c r="AI17" i="16"/>
  <c r="AI29" i="16"/>
  <c r="AH14" i="16"/>
  <c r="AH10" i="16" s="1"/>
  <c r="AH13" i="16" s="1"/>
  <c r="AH15" i="16"/>
  <c r="AH16" i="16"/>
  <c r="AH17" i="16"/>
  <c r="AH29" i="16"/>
  <c r="AG14" i="16"/>
  <c r="AG10" i="16" s="1"/>
  <c r="AG13" i="16" s="1"/>
  <c r="AG15" i="16"/>
  <c r="AG16" i="16"/>
  <c r="AG17" i="16"/>
  <c r="AG29" i="16"/>
  <c r="AF14" i="16"/>
  <c r="AF15" i="16"/>
  <c r="AF16" i="16"/>
  <c r="AF17" i="16"/>
  <c r="AF29" i="16"/>
  <c r="AE14" i="16"/>
  <c r="AE15" i="16"/>
  <c r="AE16" i="16"/>
  <c r="AE10" i="16"/>
  <c r="AE13" i="16" s="1"/>
  <c r="AE17" i="16"/>
  <c r="AE29" i="16"/>
  <c r="AD14" i="16"/>
  <c r="AD15" i="16"/>
  <c r="AD10" i="16" s="1"/>
  <c r="AD13" i="16" s="1"/>
  <c r="AD16" i="16"/>
  <c r="AD17" i="16"/>
  <c r="AD29" i="16"/>
  <c r="AC14" i="16"/>
  <c r="AC15" i="16"/>
  <c r="AC16" i="16"/>
  <c r="AC10" i="16"/>
  <c r="AC13" i="16" s="1"/>
  <c r="AC17" i="16"/>
  <c r="AC21" i="16"/>
  <c r="AC23" i="16"/>
  <c r="AC29" i="16"/>
  <c r="AB14" i="16"/>
  <c r="AB15" i="16"/>
  <c r="AB10" i="16" s="1"/>
  <c r="AB16" i="16"/>
  <c r="AB13" i="16"/>
  <c r="AB17" i="16"/>
  <c r="AB29" i="16"/>
  <c r="AA14" i="16"/>
  <c r="AA10" i="16" s="1"/>
  <c r="AA13" i="16" s="1"/>
  <c r="AA15" i="16"/>
  <c r="AA16" i="16"/>
  <c r="AA17" i="16"/>
  <c r="AA29" i="16"/>
  <c r="Z14" i="16"/>
  <c r="Z15" i="16"/>
  <c r="Z10" i="16" s="1"/>
  <c r="Z13" i="16" s="1"/>
  <c r="Z16" i="16"/>
  <c r="Z17" i="16"/>
  <c r="Z29" i="16"/>
  <c r="Y15" i="16"/>
  <c r="Y21" i="16"/>
  <c r="Y22" i="16"/>
  <c r="Y45" i="16" s="1"/>
  <c r="Y24" i="16"/>
  <c r="Y29" i="16"/>
  <c r="Y34" i="16"/>
  <c r="Y40" i="16" s="1"/>
  <c r="Y51" i="16"/>
  <c r="X14" i="16"/>
  <c r="X15" i="16"/>
  <c r="Y16" i="16" s="1"/>
  <c r="X16" i="16"/>
  <c r="Y17" i="16" s="1"/>
  <c r="X17" i="16"/>
  <c r="X29" i="16"/>
  <c r="W14" i="16"/>
  <c r="W15" i="16"/>
  <c r="W16" i="16"/>
  <c r="W10" i="16"/>
  <c r="W13" i="16"/>
  <c r="W17" i="16"/>
  <c r="W29" i="16"/>
  <c r="V14" i="16"/>
  <c r="V15" i="16"/>
  <c r="V16" i="16"/>
  <c r="V10" i="16" s="1"/>
  <c r="V13" i="16"/>
  <c r="V17" i="16"/>
  <c r="V29" i="16"/>
  <c r="U14" i="16"/>
  <c r="U15" i="16"/>
  <c r="U16" i="16"/>
  <c r="U10" i="16" s="1"/>
  <c r="U13" i="16" s="1"/>
  <c r="V21" i="16" s="1"/>
  <c r="U17" i="16"/>
  <c r="U29" i="16"/>
  <c r="T14" i="16"/>
  <c r="T10" i="16" s="1"/>
  <c r="T13" i="16" s="1"/>
  <c r="T15" i="16"/>
  <c r="T16" i="16"/>
  <c r="T17" i="16"/>
  <c r="T29" i="16"/>
  <c r="S14" i="16"/>
  <c r="S10" i="16" s="1"/>
  <c r="S13" i="16" s="1"/>
  <c r="S15" i="16"/>
  <c r="S16" i="16"/>
  <c r="S17" i="16"/>
  <c r="S29" i="16"/>
  <c r="R14" i="16"/>
  <c r="R10" i="16" s="1"/>
  <c r="R13" i="16" s="1"/>
  <c r="R15" i="16"/>
  <c r="R16" i="16"/>
  <c r="R17" i="16"/>
  <c r="R29" i="16"/>
  <c r="Q14" i="16"/>
  <c r="Q15" i="16"/>
  <c r="Q16" i="16"/>
  <c r="Q17" i="16"/>
  <c r="Q29" i="16"/>
  <c r="P14" i="16"/>
  <c r="P15" i="16"/>
  <c r="P16" i="16"/>
  <c r="P10" i="16" s="1"/>
  <c r="P13" i="16" s="1"/>
  <c r="P17" i="16"/>
  <c r="P29" i="16"/>
  <c r="O14" i="16"/>
  <c r="O15" i="16"/>
  <c r="O16" i="16"/>
  <c r="O10" i="16"/>
  <c r="O13" i="16" s="1"/>
  <c r="O17" i="16"/>
  <c r="O29" i="16"/>
  <c r="N14" i="16"/>
  <c r="N15" i="16"/>
  <c r="N16" i="16"/>
  <c r="N17" i="16"/>
  <c r="N29" i="16"/>
  <c r="M14" i="16"/>
  <c r="M15" i="16"/>
  <c r="M16" i="16"/>
  <c r="M10" i="16"/>
  <c r="M13" i="16" s="1"/>
  <c r="M17" i="16"/>
  <c r="M29" i="16"/>
  <c r="L14" i="16"/>
  <c r="L10" i="16" s="1"/>
  <c r="L13" i="16" s="1"/>
  <c r="L15" i="16"/>
  <c r="L16" i="16"/>
  <c r="L17" i="16"/>
  <c r="L29" i="16"/>
  <c r="K14" i="16"/>
  <c r="K15" i="16"/>
  <c r="K16" i="16"/>
  <c r="K17" i="16"/>
  <c r="K29" i="16"/>
  <c r="J14" i="16"/>
  <c r="J10" i="16" s="1"/>
  <c r="J15" i="16"/>
  <c r="J16" i="16"/>
  <c r="J13" i="16"/>
  <c r="J17" i="16"/>
  <c r="J29" i="16"/>
  <c r="I14" i="16"/>
  <c r="I10" i="16" s="1"/>
  <c r="I13" i="16" s="1"/>
  <c r="I15" i="16"/>
  <c r="I16" i="16"/>
  <c r="I17" i="16"/>
  <c r="I29" i="16"/>
  <c r="H14" i="16"/>
  <c r="H15" i="16"/>
  <c r="H16" i="16"/>
  <c r="H10" i="16"/>
  <c r="H13" i="16" s="1"/>
  <c r="H17" i="16"/>
  <c r="H29" i="16"/>
  <c r="G14" i="16"/>
  <c r="G15" i="16"/>
  <c r="G10" i="16" s="1"/>
  <c r="G13" i="16" s="1"/>
  <c r="G16" i="16"/>
  <c r="G17" i="16"/>
  <c r="G29" i="16"/>
  <c r="F14" i="16"/>
  <c r="F10" i="16" s="1"/>
  <c r="F15" i="16"/>
  <c r="F16" i="16"/>
  <c r="F13" i="16"/>
  <c r="F17" i="16"/>
  <c r="F29" i="16"/>
  <c r="E14" i="16"/>
  <c r="E15" i="16"/>
  <c r="E16" i="16"/>
  <c r="E17" i="16"/>
  <c r="E27" i="16"/>
  <c r="E29" i="16"/>
  <c r="D14" i="16"/>
  <c r="D15" i="16"/>
  <c r="D10" i="16" s="1"/>
  <c r="D16" i="16"/>
  <c r="D17" i="16"/>
  <c r="D27" i="16"/>
  <c r="D29" i="16"/>
  <c r="D30" i="16"/>
  <c r="AY14" i="17"/>
  <c r="AY10" i="17" s="1"/>
  <c r="AY15" i="17"/>
  <c r="AY16" i="17"/>
  <c r="AY13" i="17"/>
  <c r="AY17" i="17"/>
  <c r="AY29" i="17"/>
  <c r="AX14" i="17"/>
  <c r="AX15" i="17"/>
  <c r="AX10" i="17" s="1"/>
  <c r="AX13" i="17" s="1"/>
  <c r="AX16" i="17"/>
  <c r="AX17" i="17"/>
  <c r="AX29" i="17"/>
  <c r="AW17" i="17"/>
  <c r="AW21" i="17"/>
  <c r="AW22" i="17"/>
  <c r="AW34" i="17" s="1"/>
  <c r="AW40" i="17" s="1"/>
  <c r="AW29" i="17"/>
  <c r="AV15" i="17"/>
  <c r="AW16" i="17" s="1"/>
  <c r="AV17" i="17"/>
  <c r="AV21" i="17"/>
  <c r="AV22" i="17"/>
  <c r="AV23" i="17"/>
  <c r="AV24" i="17"/>
  <c r="AV29" i="17"/>
  <c r="AV33" i="17"/>
  <c r="AV39" i="17" s="1"/>
  <c r="AV34" i="17"/>
  <c r="AV40" i="17"/>
  <c r="AV44" i="17"/>
  <c r="AV45" i="17"/>
  <c r="AV51" i="17" s="1"/>
  <c r="AU14" i="17"/>
  <c r="AU15" i="17"/>
  <c r="AV16" i="17" s="1"/>
  <c r="AU16" i="17"/>
  <c r="AU17" i="17"/>
  <c r="AU29" i="17"/>
  <c r="AT14" i="17"/>
  <c r="AT10" i="17" s="1"/>
  <c r="AT15" i="17"/>
  <c r="AT16" i="17"/>
  <c r="AT13" i="17"/>
  <c r="AT17" i="17"/>
  <c r="AT29" i="17"/>
  <c r="AS14" i="17"/>
  <c r="AS15" i="17"/>
  <c r="AS16" i="17"/>
  <c r="AS10" i="17"/>
  <c r="AS13" i="17" s="1"/>
  <c r="AS17" i="17"/>
  <c r="AS29" i="17"/>
  <c r="AR14" i="17"/>
  <c r="AR15" i="17"/>
  <c r="AR10" i="17" s="1"/>
  <c r="AR13" i="17" s="1"/>
  <c r="AR16" i="17"/>
  <c r="AR17" i="17"/>
  <c r="AR29" i="17"/>
  <c r="AQ14" i="17"/>
  <c r="AQ10" i="17" s="1"/>
  <c r="AQ13" i="17" s="1"/>
  <c r="AQ15" i="17"/>
  <c r="AQ16" i="17"/>
  <c r="AQ17" i="17"/>
  <c r="AQ29" i="17"/>
  <c r="AP14" i="17"/>
  <c r="AP15" i="17"/>
  <c r="AP16" i="17"/>
  <c r="AP10" i="17"/>
  <c r="AP13" i="17" s="1"/>
  <c r="AP17" i="17"/>
  <c r="AP29" i="17"/>
  <c r="AO14" i="17"/>
  <c r="AO15" i="17"/>
  <c r="AO16" i="17"/>
  <c r="AO17" i="17"/>
  <c r="AO29" i="17"/>
  <c r="AN14" i="17"/>
  <c r="AN15" i="17"/>
  <c r="AN10" i="17" s="1"/>
  <c r="AN13" i="17" s="1"/>
  <c r="AN16" i="17"/>
  <c r="AN17" i="17"/>
  <c r="AN21" i="17"/>
  <c r="AN29" i="17"/>
  <c r="AM14" i="17"/>
  <c r="AM15" i="17"/>
  <c r="AM10" i="17" s="1"/>
  <c r="AM13" i="17" s="1"/>
  <c r="AM16" i="17"/>
  <c r="AM17" i="17"/>
  <c r="AM21" i="17"/>
  <c r="AM29" i="17"/>
  <c r="AL14" i="17"/>
  <c r="AL10" i="17" s="1"/>
  <c r="AL13" i="17" s="1"/>
  <c r="AL15" i="17"/>
  <c r="AL16" i="17"/>
  <c r="AL17" i="17"/>
  <c r="AL29" i="17"/>
  <c r="AK15" i="17"/>
  <c r="AK16" i="17"/>
  <c r="AK21" i="17"/>
  <c r="AK44" i="17" s="1"/>
  <c r="AK46" i="17" s="1"/>
  <c r="AK22" i="17"/>
  <c r="AK24" i="17"/>
  <c r="AK29" i="17"/>
  <c r="AK33" i="17"/>
  <c r="AK34" i="17"/>
  <c r="AK40" i="17"/>
  <c r="AK45" i="17"/>
  <c r="AK50" i="17"/>
  <c r="AK51" i="17"/>
  <c r="AJ14" i="17"/>
  <c r="AJ15" i="17"/>
  <c r="AJ16" i="17"/>
  <c r="AK17" i="17" s="1"/>
  <c r="AJ17" i="17"/>
  <c r="AJ29" i="17"/>
  <c r="AI14" i="17"/>
  <c r="AI15" i="17"/>
  <c r="AI16" i="17"/>
  <c r="AI10" i="17"/>
  <c r="AI13" i="17" s="1"/>
  <c r="AI17" i="17"/>
  <c r="AI29" i="17"/>
  <c r="AH14" i="17"/>
  <c r="AH10" i="17" s="1"/>
  <c r="AH15" i="17"/>
  <c r="AH16" i="17"/>
  <c r="AH13" i="17"/>
  <c r="AH17" i="17"/>
  <c r="AH29" i="17"/>
  <c r="AG14" i="17"/>
  <c r="AG15" i="17"/>
  <c r="AG16" i="17"/>
  <c r="AG17" i="17"/>
  <c r="AG29" i="17"/>
  <c r="AF14" i="17"/>
  <c r="AF15" i="17"/>
  <c r="AF16" i="17"/>
  <c r="AF10" i="17"/>
  <c r="AF13" i="17" s="1"/>
  <c r="AF17" i="17"/>
  <c r="AF29" i="17"/>
  <c r="AE14" i="17"/>
  <c r="AE10" i="17" s="1"/>
  <c r="AE15" i="17"/>
  <c r="AE16" i="17"/>
  <c r="AE13" i="17"/>
  <c r="AE17" i="17"/>
  <c r="AE29" i="17"/>
  <c r="AD14" i="17"/>
  <c r="AD15" i="17"/>
  <c r="AD16" i="17"/>
  <c r="AD10" i="17"/>
  <c r="AD13" i="17" s="1"/>
  <c r="AD17" i="17"/>
  <c r="AD29" i="17"/>
  <c r="AC14" i="17"/>
  <c r="AC15" i="17"/>
  <c r="AC10" i="17" s="1"/>
  <c r="AC13" i="17" s="1"/>
  <c r="AC16" i="17"/>
  <c r="AC17" i="17"/>
  <c r="AC29" i="17"/>
  <c r="AB14" i="17"/>
  <c r="AB15" i="17"/>
  <c r="AB16" i="17"/>
  <c r="AB17" i="17"/>
  <c r="AB29" i="17"/>
  <c r="AA14" i="17"/>
  <c r="AA15" i="17"/>
  <c r="AA16" i="17"/>
  <c r="AA10" i="17"/>
  <c r="AA13" i="17" s="1"/>
  <c r="AA17" i="17"/>
  <c r="AA29" i="17"/>
  <c r="Z14" i="17"/>
  <c r="Z15" i="17"/>
  <c r="Z16" i="17"/>
  <c r="Z10" i="17"/>
  <c r="Z13" i="17" s="1"/>
  <c r="Z17" i="17"/>
  <c r="Z29" i="17"/>
  <c r="Y14" i="17"/>
  <c r="Y10" i="17" s="1"/>
  <c r="Y15" i="17"/>
  <c r="Y16" i="17"/>
  <c r="Y13" i="17"/>
  <c r="Y17" i="17"/>
  <c r="Y29" i="17"/>
  <c r="X14" i="17"/>
  <c r="X10" i="17" s="1"/>
  <c r="X13" i="17" s="1"/>
  <c r="X15" i="17"/>
  <c r="X16" i="17"/>
  <c r="X17" i="17"/>
  <c r="X21" i="17"/>
  <c r="X33" i="17" s="1"/>
  <c r="X39" i="17" s="1"/>
  <c r="X29" i="17"/>
  <c r="W14" i="17"/>
  <c r="W10" i="17" s="1"/>
  <c r="W13" i="17" s="1"/>
  <c r="W15" i="17"/>
  <c r="W16" i="17"/>
  <c r="W17" i="17"/>
  <c r="W29" i="17"/>
  <c r="V14" i="17"/>
  <c r="V15" i="17"/>
  <c r="V16" i="17"/>
  <c r="V17" i="17"/>
  <c r="V29" i="17"/>
  <c r="U14" i="17"/>
  <c r="U15" i="17"/>
  <c r="U16" i="17"/>
  <c r="U17" i="17"/>
  <c r="U29" i="17"/>
  <c r="T14" i="17"/>
  <c r="T15" i="17"/>
  <c r="T10" i="17" s="1"/>
  <c r="T13" i="17" s="1"/>
  <c r="T16" i="17"/>
  <c r="T17" i="17"/>
  <c r="T29" i="17"/>
  <c r="S14" i="17"/>
  <c r="S15" i="17"/>
  <c r="S16" i="17"/>
  <c r="S17" i="17"/>
  <c r="S29" i="17"/>
  <c r="R14" i="17"/>
  <c r="R15" i="17"/>
  <c r="R16" i="17"/>
  <c r="R10" i="17"/>
  <c r="R13" i="17"/>
  <c r="R17" i="17"/>
  <c r="R29" i="17"/>
  <c r="Q14" i="17"/>
  <c r="Q10" i="17" s="1"/>
  <c r="Q15" i="17"/>
  <c r="Q16" i="17"/>
  <c r="Q13" i="17"/>
  <c r="Q17" i="17"/>
  <c r="Q29" i="17"/>
  <c r="P14" i="17"/>
  <c r="P15" i="17"/>
  <c r="P16" i="17"/>
  <c r="P17" i="17"/>
  <c r="P21" i="17"/>
  <c r="P29" i="17"/>
  <c r="P44" i="17"/>
  <c r="P50" i="17" s="1"/>
  <c r="O14" i="17"/>
  <c r="O10" i="17" s="1"/>
  <c r="O13" i="17" s="1"/>
  <c r="O15" i="17"/>
  <c r="O16" i="17"/>
  <c r="O17" i="17"/>
  <c r="O29" i="17"/>
  <c r="N14" i="17"/>
  <c r="N15" i="17"/>
  <c r="N16" i="17"/>
  <c r="N17" i="17"/>
  <c r="N29" i="17"/>
  <c r="M14" i="17"/>
  <c r="M15" i="17"/>
  <c r="M16" i="17"/>
  <c r="M10" i="17"/>
  <c r="M13" i="17" s="1"/>
  <c r="M17" i="17"/>
  <c r="M29" i="17"/>
  <c r="L14" i="17"/>
  <c r="L15" i="17"/>
  <c r="L16" i="17"/>
  <c r="L17" i="17"/>
  <c r="L29" i="17"/>
  <c r="K14" i="17"/>
  <c r="K15" i="17"/>
  <c r="K16" i="17"/>
  <c r="K10" i="17" s="1"/>
  <c r="K13" i="17" s="1"/>
  <c r="K17" i="17"/>
  <c r="K29" i="17"/>
  <c r="J14" i="17"/>
  <c r="J15" i="17"/>
  <c r="J16" i="17"/>
  <c r="J10" i="17"/>
  <c r="J13" i="17" s="1"/>
  <c r="J17" i="17"/>
  <c r="J29" i="17"/>
  <c r="I14" i="17"/>
  <c r="I10" i="17" s="1"/>
  <c r="I15" i="17"/>
  <c r="I16" i="17"/>
  <c r="I13" i="17"/>
  <c r="I17" i="17"/>
  <c r="I29" i="17"/>
  <c r="H14" i="17"/>
  <c r="H15" i="17"/>
  <c r="H16" i="17"/>
  <c r="H17" i="17"/>
  <c r="H21" i="17"/>
  <c r="H29" i="17"/>
  <c r="H44" i="17"/>
  <c r="G14" i="17"/>
  <c r="G10" i="17" s="1"/>
  <c r="G13" i="17" s="1"/>
  <c r="G15" i="17"/>
  <c r="G16" i="17"/>
  <c r="G17" i="17"/>
  <c r="G23" i="17"/>
  <c r="G29" i="17"/>
  <c r="F14" i="17"/>
  <c r="F10" i="17" s="1"/>
  <c r="F13" i="17" s="1"/>
  <c r="G21" i="17" s="1"/>
  <c r="G33" i="17" s="1"/>
  <c r="F15" i="17"/>
  <c r="F16" i="17"/>
  <c r="F17" i="17"/>
  <c r="F29" i="17"/>
  <c r="E14" i="17"/>
  <c r="E15" i="17"/>
  <c r="E10" i="17" s="1"/>
  <c r="E13" i="17" s="1"/>
  <c r="E16" i="17"/>
  <c r="E17" i="17"/>
  <c r="E29" i="17"/>
  <c r="D14" i="17"/>
  <c r="D10" i="17" s="1"/>
  <c r="D15" i="17"/>
  <c r="D16" i="17"/>
  <c r="D17" i="17"/>
  <c r="D27" i="17"/>
  <c r="E27" i="17" s="1"/>
  <c r="E30" i="17" s="1"/>
  <c r="D29" i="17"/>
  <c r="D30" i="17"/>
  <c r="AY14" i="18"/>
  <c r="AY15" i="18"/>
  <c r="AY10" i="18" s="1"/>
  <c r="AY13" i="18" s="1"/>
  <c r="AY16" i="18"/>
  <c r="AY17" i="18"/>
  <c r="AY29" i="18"/>
  <c r="AY33" i="18"/>
  <c r="AX14" i="18"/>
  <c r="AX10" i="18" s="1"/>
  <c r="AX13" i="18" s="1"/>
  <c r="AY21" i="18" s="1"/>
  <c r="AY44" i="18" s="1"/>
  <c r="AX15" i="18"/>
  <c r="AX16" i="18"/>
  <c r="AX17" i="18"/>
  <c r="AX29" i="18"/>
  <c r="AW14" i="18"/>
  <c r="AW15" i="18"/>
  <c r="AW10" i="18" s="1"/>
  <c r="AW13" i="18" s="1"/>
  <c r="AW16" i="18"/>
  <c r="AW17" i="18"/>
  <c r="AW29" i="18"/>
  <c r="AV14" i="18"/>
  <c r="AV15" i="18"/>
  <c r="AV16" i="18"/>
  <c r="AV17" i="18"/>
  <c r="AV29" i="18"/>
  <c r="AU14" i="18"/>
  <c r="AU15" i="18"/>
  <c r="AU10" i="18" s="1"/>
  <c r="AU13" i="18" s="1"/>
  <c r="AU16" i="18"/>
  <c r="AU17" i="18"/>
  <c r="AU29" i="18"/>
  <c r="AT14" i="18"/>
  <c r="AT10" i="18" s="1"/>
  <c r="AT15" i="18"/>
  <c r="AT16" i="18"/>
  <c r="AT13" i="18"/>
  <c r="AU21" i="18" s="1"/>
  <c r="AT17" i="18"/>
  <c r="AT29" i="18"/>
  <c r="AS14" i="18"/>
  <c r="AS15" i="18"/>
  <c r="AS10" i="18" s="1"/>
  <c r="AS13" i="18" s="1"/>
  <c r="AS16" i="18"/>
  <c r="AS17" i="18"/>
  <c r="AS29" i="18"/>
  <c r="AR14" i="18"/>
  <c r="AR10" i="18" s="1"/>
  <c r="AR13" i="18" s="1"/>
  <c r="AS21" i="18" s="1"/>
  <c r="AR15" i="18"/>
  <c r="AR16" i="18"/>
  <c r="AR17" i="18"/>
  <c r="AR29" i="18"/>
  <c r="AQ15" i="18"/>
  <c r="AQ17" i="18"/>
  <c r="AQ21" i="18"/>
  <c r="AQ22" i="18"/>
  <c r="AQ23" i="18"/>
  <c r="AQ29" i="18"/>
  <c r="AQ33" i="18"/>
  <c r="AQ39" i="18"/>
  <c r="AQ44" i="18"/>
  <c r="AQ50" i="18"/>
  <c r="AP14" i="18"/>
  <c r="AP15" i="18"/>
  <c r="AQ16" i="18" s="1"/>
  <c r="AP16" i="18"/>
  <c r="AP17" i="18"/>
  <c r="AP29" i="18"/>
  <c r="AO14" i="18"/>
  <c r="AO15" i="18"/>
  <c r="AO16" i="18"/>
  <c r="AO10" i="18"/>
  <c r="AO13" i="18" s="1"/>
  <c r="AO17" i="18"/>
  <c r="AO29" i="18"/>
  <c r="AN14" i="18"/>
  <c r="AN15" i="18"/>
  <c r="AN16" i="18"/>
  <c r="AN10" i="18"/>
  <c r="AN13" i="18"/>
  <c r="AN17" i="18"/>
  <c r="AN29" i="18"/>
  <c r="AM14" i="18"/>
  <c r="AM15" i="18"/>
  <c r="AM16" i="18"/>
  <c r="AM10" i="18"/>
  <c r="AM13" i="18"/>
  <c r="AM17" i="18"/>
  <c r="AM29" i="18"/>
  <c r="AL14" i="18"/>
  <c r="AL15" i="18"/>
  <c r="AL16" i="18"/>
  <c r="AL17" i="18"/>
  <c r="AL29" i="18"/>
  <c r="AK14" i="18"/>
  <c r="AK15" i="18"/>
  <c r="AK10" i="18" s="1"/>
  <c r="AK13" i="18" s="1"/>
  <c r="AK16" i="18"/>
  <c r="AK17" i="18"/>
  <c r="AK29" i="18"/>
  <c r="AJ14" i="18"/>
  <c r="AJ15" i="18"/>
  <c r="AJ16" i="18"/>
  <c r="AJ17" i="18"/>
  <c r="AJ29" i="18"/>
  <c r="AI14" i="18"/>
  <c r="AI15" i="18"/>
  <c r="AI16" i="18"/>
  <c r="AI17" i="18"/>
  <c r="AI29" i="18"/>
  <c r="AH14" i="18"/>
  <c r="AH15" i="18"/>
  <c r="AH16" i="18"/>
  <c r="AH17" i="18"/>
  <c r="AH29" i="18"/>
  <c r="AG14" i="18"/>
  <c r="AG15" i="18"/>
  <c r="AG16" i="18"/>
  <c r="AG17" i="18"/>
  <c r="AG29" i="18"/>
  <c r="AF14" i="18"/>
  <c r="AF15" i="18"/>
  <c r="AF16" i="18"/>
  <c r="AF10" i="18"/>
  <c r="AF13" i="18" s="1"/>
  <c r="AF17" i="18"/>
  <c r="AF29" i="18"/>
  <c r="AE14" i="18"/>
  <c r="AE15" i="18"/>
  <c r="AE10" i="18" s="1"/>
  <c r="AE13" i="18" s="1"/>
  <c r="AE16" i="18"/>
  <c r="AE17" i="18"/>
  <c r="AE29" i="18"/>
  <c r="AD14" i="18"/>
  <c r="AD10" i="18" s="1"/>
  <c r="AD13" i="18" s="1"/>
  <c r="AD15" i="18"/>
  <c r="AD16" i="18"/>
  <c r="AD17" i="18"/>
  <c r="AD29" i="18"/>
  <c r="AC14" i="18"/>
  <c r="AC15" i="18"/>
  <c r="AC10" i="18" s="1"/>
  <c r="AC13" i="18" s="1"/>
  <c r="AC16" i="18"/>
  <c r="AC17" i="18"/>
  <c r="AC29" i="18"/>
  <c r="AB14" i="18"/>
  <c r="AB15" i="18"/>
  <c r="AB16" i="18"/>
  <c r="AB17" i="18"/>
  <c r="AB29" i="18"/>
  <c r="AA14" i="18"/>
  <c r="AA10" i="18" s="1"/>
  <c r="AA13" i="18" s="1"/>
  <c r="AA15" i="18"/>
  <c r="AA16" i="18"/>
  <c r="AA17" i="18"/>
  <c r="AA29" i="18"/>
  <c r="Z14" i="18"/>
  <c r="Z15" i="18"/>
  <c r="Z16" i="18"/>
  <c r="Z10" i="18"/>
  <c r="Z13" i="18" s="1"/>
  <c r="Z17" i="18"/>
  <c r="Z29" i="18"/>
  <c r="Y14" i="18"/>
  <c r="Y15" i="18"/>
  <c r="Y10" i="18" s="1"/>
  <c r="Y13" i="18" s="1"/>
  <c r="Y16" i="18"/>
  <c r="Y17" i="18"/>
  <c r="Y21" i="18"/>
  <c r="Y29" i="18"/>
  <c r="X14" i="18"/>
  <c r="X15" i="18"/>
  <c r="X16" i="18"/>
  <c r="X10" i="18"/>
  <c r="X13" i="18" s="1"/>
  <c r="X17" i="18"/>
  <c r="X29" i="18"/>
  <c r="W17" i="18"/>
  <c r="W21" i="18"/>
  <c r="W22" i="18"/>
  <c r="W34" i="18" s="1"/>
  <c r="W40" i="18" s="1"/>
  <c r="W24" i="18"/>
  <c r="W29" i="18"/>
  <c r="W45" i="18"/>
  <c r="W51" i="18" s="1"/>
  <c r="V14" i="18"/>
  <c r="V15" i="18"/>
  <c r="W16" i="18" s="1"/>
  <c r="V16" i="18"/>
  <c r="V17" i="18"/>
  <c r="V29" i="18"/>
  <c r="U14" i="18"/>
  <c r="U15" i="18"/>
  <c r="U16" i="18"/>
  <c r="U10" i="18"/>
  <c r="U13" i="18" s="1"/>
  <c r="U17" i="18"/>
  <c r="U29" i="18"/>
  <c r="T14" i="18"/>
  <c r="T10" i="18" s="1"/>
  <c r="T13" i="18" s="1"/>
  <c r="T15" i="18"/>
  <c r="T16" i="18"/>
  <c r="T17" i="18"/>
  <c r="T23" i="18"/>
  <c r="T29" i="18"/>
  <c r="S14" i="18"/>
  <c r="S15" i="18"/>
  <c r="S16" i="18"/>
  <c r="S10" i="18"/>
  <c r="S13" i="18"/>
  <c r="T21" i="18" s="1"/>
  <c r="T33" i="18" s="1"/>
  <c r="S17" i="18"/>
  <c r="S29" i="18"/>
  <c r="S33" i="18"/>
  <c r="R14" i="18"/>
  <c r="R10" i="18" s="1"/>
  <c r="R13" i="18" s="1"/>
  <c r="S21" i="18" s="1"/>
  <c r="R15" i="18"/>
  <c r="R16" i="18"/>
  <c r="R17" i="18"/>
  <c r="R21" i="18"/>
  <c r="R33" i="18" s="1"/>
  <c r="R39" i="18" s="1"/>
  <c r="R29" i="18"/>
  <c r="Q14" i="18"/>
  <c r="Q15" i="18"/>
  <c r="Q16" i="18"/>
  <c r="Q10" i="18"/>
  <c r="Q13" i="18" s="1"/>
  <c r="Q17" i="18"/>
  <c r="Q29" i="18"/>
  <c r="P14" i="18"/>
  <c r="P10" i="18" s="1"/>
  <c r="P13" i="18" s="1"/>
  <c r="P15" i="18"/>
  <c r="P16" i="18"/>
  <c r="P17" i="18"/>
  <c r="P29" i="18"/>
  <c r="O14" i="18"/>
  <c r="O15" i="18"/>
  <c r="O16" i="18"/>
  <c r="O10" i="18"/>
  <c r="O13" i="18" s="1"/>
  <c r="O17" i="18"/>
  <c r="O29" i="18"/>
  <c r="N14" i="18"/>
  <c r="N15" i="18"/>
  <c r="N16" i="18"/>
  <c r="N17" i="18"/>
  <c r="N29" i="18"/>
  <c r="N33" i="18"/>
  <c r="N39" i="18" s="1"/>
  <c r="M14" i="18"/>
  <c r="M15" i="18"/>
  <c r="M10" i="18" s="1"/>
  <c r="M13" i="18" s="1"/>
  <c r="N21" i="18" s="1"/>
  <c r="M16" i="18"/>
  <c r="M17" i="18"/>
  <c r="M21" i="18"/>
  <c r="M23" i="18" s="1"/>
  <c r="M29" i="18"/>
  <c r="L14" i="18"/>
  <c r="L15" i="18"/>
  <c r="L16" i="18"/>
  <c r="L10" i="18"/>
  <c r="L13" i="18" s="1"/>
  <c r="M22" i="18" s="1"/>
  <c r="L17" i="18"/>
  <c r="L29" i="18"/>
  <c r="K14" i="18"/>
  <c r="K10" i="18" s="1"/>
  <c r="K15" i="18"/>
  <c r="K16" i="18"/>
  <c r="K13" i="18"/>
  <c r="K17" i="18"/>
  <c r="K29" i="18"/>
  <c r="J14" i="18"/>
  <c r="J15" i="18"/>
  <c r="J16" i="18"/>
  <c r="J17" i="18"/>
  <c r="J29" i="18"/>
  <c r="I14" i="18"/>
  <c r="I15" i="18"/>
  <c r="I16" i="18"/>
  <c r="I10" i="18"/>
  <c r="I13" i="18" s="1"/>
  <c r="I17" i="18"/>
  <c r="I29" i="18"/>
  <c r="H16" i="18"/>
  <c r="H17" i="18"/>
  <c r="H21" i="18"/>
  <c r="H22" i="18"/>
  <c r="H24" i="18" s="1"/>
  <c r="H23" i="18"/>
  <c r="H29" i="18"/>
  <c r="H33" i="18"/>
  <c r="H34" i="18"/>
  <c r="H40" i="18" s="1"/>
  <c r="H39" i="18"/>
  <c r="H44" i="18"/>
  <c r="H45" i="18"/>
  <c r="H51" i="18" s="1"/>
  <c r="H50" i="18"/>
  <c r="G14" i="18"/>
  <c r="H15" i="18" s="1"/>
  <c r="G15" i="18"/>
  <c r="G16" i="18"/>
  <c r="G10" i="18"/>
  <c r="G13" i="18" s="1"/>
  <c r="H14" i="18" s="1"/>
  <c r="H10" i="18" s="1"/>
  <c r="H13" i="18" s="1"/>
  <c r="G17" i="18"/>
  <c r="G29" i="18"/>
  <c r="F14" i="18"/>
  <c r="F15" i="18"/>
  <c r="F16" i="18"/>
  <c r="F17" i="18"/>
  <c r="F29" i="18"/>
  <c r="E14" i="18"/>
  <c r="E15" i="18"/>
  <c r="E16" i="18"/>
  <c r="E17" i="18"/>
  <c r="E27" i="18"/>
  <c r="E30" i="18" s="1"/>
  <c r="E29" i="18"/>
  <c r="D14" i="18"/>
  <c r="D15" i="18"/>
  <c r="D16" i="18"/>
  <c r="D17" i="18"/>
  <c r="D21" i="18"/>
  <c r="D23" i="18"/>
  <c r="D27" i="18"/>
  <c r="D29" i="18"/>
  <c r="D30" i="18"/>
  <c r="B21" i="16"/>
  <c r="B21" i="17"/>
  <c r="AY21" i="17" s="1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8"/>
  <c r="D22" i="18" s="1"/>
  <c r="D45" i="18" s="1"/>
  <c r="D51" i="18" s="1"/>
  <c r="M24" i="18" l="1"/>
  <c r="M34" i="18"/>
  <c r="M40" i="18" s="1"/>
  <c r="M45" i="18"/>
  <c r="M51" i="18" s="1"/>
  <c r="Q21" i="18"/>
  <c r="Q22" i="18"/>
  <c r="U22" i="18"/>
  <c r="U21" i="18"/>
  <c r="AA21" i="18"/>
  <c r="AA22" i="18"/>
  <c r="AB22" i="18"/>
  <c r="AB21" i="18"/>
  <c r="AS23" i="18"/>
  <c r="AS44" i="18"/>
  <c r="AS33" i="18"/>
  <c r="AY44" i="17"/>
  <c r="AY23" i="17"/>
  <c r="AY33" i="17"/>
  <c r="I21" i="18"/>
  <c r="I22" i="18"/>
  <c r="AS22" i="17"/>
  <c r="AS21" i="17"/>
  <c r="AL22" i="18"/>
  <c r="AL21" i="18"/>
  <c r="L22" i="17"/>
  <c r="L21" i="17"/>
  <c r="J22" i="18"/>
  <c r="J21" i="18"/>
  <c r="AF22" i="18"/>
  <c r="AF21" i="18"/>
  <c r="L21" i="18"/>
  <c r="L22" i="18"/>
  <c r="Z22" i="18"/>
  <c r="Z21" i="18"/>
  <c r="AG21" i="18"/>
  <c r="AG22" i="18"/>
  <c r="N22" i="18"/>
  <c r="P22" i="18"/>
  <c r="S23" i="18"/>
  <c r="S44" i="18"/>
  <c r="Y22" i="18"/>
  <c r="AX22" i="18"/>
  <c r="AX21" i="18"/>
  <c r="AY39" i="18"/>
  <c r="Y22" i="17"/>
  <c r="Y21" i="17"/>
  <c r="AA21" i="17"/>
  <c r="AG22" i="17"/>
  <c r="AG21" i="17"/>
  <c r="AM33" i="17"/>
  <c r="AM23" i="17"/>
  <c r="AM44" i="17"/>
  <c r="AN44" i="17"/>
  <c r="AN23" i="17"/>
  <c r="D33" i="18"/>
  <c r="D44" i="18"/>
  <c r="H35" i="18"/>
  <c r="R22" i="18"/>
  <c r="T39" i="18"/>
  <c r="Y23" i="18"/>
  <c r="Y33" i="18"/>
  <c r="AD21" i="18"/>
  <c r="AD22" i="18"/>
  <c r="AI10" i="18"/>
  <c r="AI13" i="18" s="1"/>
  <c r="AN22" i="18"/>
  <c r="AN21" i="18"/>
  <c r="AP22" i="18"/>
  <c r="AQ34" i="18"/>
  <c r="AQ40" i="18" s="1"/>
  <c r="AQ45" i="18"/>
  <c r="AQ51" i="18" s="1"/>
  <c r="AT22" i="18"/>
  <c r="AV22" i="18"/>
  <c r="G39" i="17"/>
  <c r="H23" i="17"/>
  <c r="H33" i="17"/>
  <c r="K21" i="17"/>
  <c r="N10" i="17"/>
  <c r="N13" i="17" s="1"/>
  <c r="P33" i="17"/>
  <c r="P23" i="17"/>
  <c r="S22" i="17"/>
  <c r="AB22" i="17"/>
  <c r="AR21" i="17"/>
  <c r="G21" i="16"/>
  <c r="G22" i="16"/>
  <c r="H22" i="16"/>
  <c r="H21" i="16"/>
  <c r="J10" i="18"/>
  <c r="J13" i="18" s="1"/>
  <c r="AQ46" i="18"/>
  <c r="AT21" i="18"/>
  <c r="AV21" i="18"/>
  <c r="AE21" i="17"/>
  <c r="AE22" i="17"/>
  <c r="AF21" i="17"/>
  <c r="AF22" i="17"/>
  <c r="Q22" i="16"/>
  <c r="Q21" i="16"/>
  <c r="V23" i="16"/>
  <c r="V33" i="16"/>
  <c r="V44" i="16"/>
  <c r="AK22" i="16"/>
  <c r="AK21" i="16"/>
  <c r="E10" i="18"/>
  <c r="E13" i="18" s="1"/>
  <c r="F27" i="18"/>
  <c r="P21" i="18"/>
  <c r="R23" i="18"/>
  <c r="S39" i="18"/>
  <c r="V10" i="18"/>
  <c r="V13" i="18" s="1"/>
  <c r="W14" i="18" s="1"/>
  <c r="W15" i="18"/>
  <c r="W44" i="18"/>
  <c r="W23" i="18"/>
  <c r="W33" i="18"/>
  <c r="Y44" i="18"/>
  <c r="AP21" i="18"/>
  <c r="AY23" i="18"/>
  <c r="F27" i="17"/>
  <c r="G44" i="17"/>
  <c r="P22" i="17"/>
  <c r="S21" i="17"/>
  <c r="V10" i="17"/>
  <c r="V13" i="17" s="1"/>
  <c r="X23" i="17"/>
  <c r="AD21" i="17"/>
  <c r="AN22" i="17"/>
  <c r="AO21" i="17"/>
  <c r="AO22" i="17"/>
  <c r="D24" i="18"/>
  <c r="D34" i="18"/>
  <c r="D40" i="18" s="1"/>
  <c r="M44" i="18"/>
  <c r="M33" i="18"/>
  <c r="V21" i="18"/>
  <c r="V22" i="18"/>
  <c r="AY22" i="18"/>
  <c r="D13" i="17"/>
  <c r="H50" i="17"/>
  <c r="N22" i="17"/>
  <c r="N21" i="17"/>
  <c r="AT21" i="17"/>
  <c r="AT22" i="17"/>
  <c r="M21" i="16"/>
  <c r="AH21" i="16"/>
  <c r="AH22" i="16"/>
  <c r="AN21" i="16"/>
  <c r="AN22" i="16"/>
  <c r="T22" i="18"/>
  <c r="AE21" i="18"/>
  <c r="AE22" i="18"/>
  <c r="AO21" i="18"/>
  <c r="AO22" i="18"/>
  <c r="AQ35" i="18"/>
  <c r="AS22" i="18"/>
  <c r="F22" i="17"/>
  <c r="F21" i="17"/>
  <c r="AN33" i="17"/>
  <c r="AC33" i="16"/>
  <c r="AC44" i="16"/>
  <c r="AS44" i="16"/>
  <c r="AS33" i="16"/>
  <c r="AS23" i="16"/>
  <c r="B22" i="17"/>
  <c r="AA22" i="17" s="1"/>
  <c r="D21" i="17"/>
  <c r="D10" i="18"/>
  <c r="H46" i="18"/>
  <c r="R44" i="18"/>
  <c r="AG10" i="18"/>
  <c r="AG13" i="18" s="1"/>
  <c r="AU22" i="18"/>
  <c r="AV10" i="18"/>
  <c r="AV13" i="18" s="1"/>
  <c r="AY50" i="18"/>
  <c r="J22" i="17"/>
  <c r="L10" i="17"/>
  <c r="L13" i="17" s="1"/>
  <c r="R21" i="17"/>
  <c r="X44" i="17"/>
  <c r="D13" i="16"/>
  <c r="I21" i="16"/>
  <c r="AA21" i="16"/>
  <c r="AA22" i="16"/>
  <c r="AM22" i="16"/>
  <c r="AM21" i="16"/>
  <c r="D21" i="16"/>
  <c r="B22" i="16"/>
  <c r="M22" i="16" s="1"/>
  <c r="N23" i="18"/>
  <c r="N44" i="18"/>
  <c r="S22" i="18"/>
  <c r="T44" i="18"/>
  <c r="AQ24" i="18"/>
  <c r="J21" i="17"/>
  <c r="R22" i="17"/>
  <c r="S10" i="17"/>
  <c r="S13" i="17" s="1"/>
  <c r="U21" i="17"/>
  <c r="U10" i="17"/>
  <c r="U13" i="17" s="1"/>
  <c r="Z22" i="17"/>
  <c r="Z21" i="17"/>
  <c r="AI21" i="17"/>
  <c r="AK35" i="17"/>
  <c r="AK39" i="17"/>
  <c r="AQ22" i="17"/>
  <c r="AQ21" i="17"/>
  <c r="AY22" i="17"/>
  <c r="AC22" i="16"/>
  <c r="AW21" i="16"/>
  <c r="AW22" i="16"/>
  <c r="AB10" i="17"/>
  <c r="AB13" i="17" s="1"/>
  <c r="E10" i="16"/>
  <c r="E13" i="16" s="1"/>
  <c r="X21" i="16"/>
  <c r="AH10" i="18"/>
  <c r="AH13" i="18" s="1"/>
  <c r="AJ10" i="18"/>
  <c r="AJ13" i="18" s="1"/>
  <c r="AJ21" i="17"/>
  <c r="X22" i="16"/>
  <c r="AD21" i="16"/>
  <c r="AD22" i="16"/>
  <c r="AL21" i="16"/>
  <c r="D260" i="15"/>
  <c r="L127" i="12"/>
  <c r="N10" i="18"/>
  <c r="N13" i="18" s="1"/>
  <c r="AL10" i="18"/>
  <c r="AL13" i="18" s="1"/>
  <c r="AU23" i="18"/>
  <c r="AU44" i="18"/>
  <c r="AZ17" i="16"/>
  <c r="Q10" i="16"/>
  <c r="Q13" i="16" s="1"/>
  <c r="AF21" i="16"/>
  <c r="AF22" i="16"/>
  <c r="AO21" i="16"/>
  <c r="AS10" i="16"/>
  <c r="AS13" i="16" s="1"/>
  <c r="AB10" i="18"/>
  <c r="AB13" i="18" s="1"/>
  <c r="AP10" i="18"/>
  <c r="AP13" i="18" s="1"/>
  <c r="AQ14" i="18" s="1"/>
  <c r="AQ10" i="18" s="1"/>
  <c r="AQ13" i="18" s="1"/>
  <c r="AU33" i="18"/>
  <c r="AB21" i="17"/>
  <c r="AU21" i="17"/>
  <c r="AV46" i="17"/>
  <c r="AV50" i="17"/>
  <c r="AW45" i="17"/>
  <c r="AW51" i="17" s="1"/>
  <c r="AW24" i="17"/>
  <c r="E30" i="16"/>
  <c r="F27" i="16"/>
  <c r="X10" i="16"/>
  <c r="X13" i="16" s="1"/>
  <c r="Y14" i="16" s="1"/>
  <c r="Y10" i="16" s="1"/>
  <c r="Y13" i="16" s="1"/>
  <c r="AE21" i="16"/>
  <c r="AE22" i="16"/>
  <c r="AR21" i="16"/>
  <c r="AW23" i="17"/>
  <c r="AW44" i="17"/>
  <c r="AW33" i="17"/>
  <c r="K21" i="16"/>
  <c r="N22" i="16"/>
  <c r="N21" i="16"/>
  <c r="V22" i="16"/>
  <c r="F10" i="18"/>
  <c r="F13" i="18" s="1"/>
  <c r="J21" i="16"/>
  <c r="P21" i="16"/>
  <c r="P22" i="16"/>
  <c r="T21" i="16"/>
  <c r="W22" i="16"/>
  <c r="W21" i="16"/>
  <c r="Y33" i="16"/>
  <c r="Y23" i="16"/>
  <c r="Y44" i="16"/>
  <c r="L127" i="13"/>
  <c r="O138" i="12"/>
  <c r="G138" i="12"/>
  <c r="K138" i="12"/>
  <c r="AZ17" i="18"/>
  <c r="AZ17" i="17"/>
  <c r="P10" i="17"/>
  <c r="P13" i="17" s="1"/>
  <c r="AK23" i="17"/>
  <c r="AO10" i="17"/>
  <c r="AO13" i="17" s="1"/>
  <c r="AU10" i="17"/>
  <c r="AU13" i="17" s="1"/>
  <c r="AV14" i="17" s="1"/>
  <c r="AV35" i="17"/>
  <c r="W260" i="15"/>
  <c r="Y260" i="14"/>
  <c r="J127" i="11"/>
  <c r="H10" i="17"/>
  <c r="H13" i="17" s="1"/>
  <c r="AG10" i="17"/>
  <c r="AG13" i="17" s="1"/>
  <c r="AI22" i="16"/>
  <c r="AI21" i="16"/>
  <c r="AJ21" i="16"/>
  <c r="AS22" i="16"/>
  <c r="AU22" i="16"/>
  <c r="AU21" i="16"/>
  <c r="AX39" i="16"/>
  <c r="L116" i="11"/>
  <c r="D120" i="11"/>
  <c r="D127" i="11" s="1"/>
  <c r="D116" i="11"/>
  <c r="L138" i="10"/>
  <c r="D138" i="10"/>
  <c r="AJ10" i="17"/>
  <c r="AJ13" i="17" s="1"/>
  <c r="AK14" i="17" s="1"/>
  <c r="AK10" i="17" s="1"/>
  <c r="AK13" i="17" s="1"/>
  <c r="S22" i="16"/>
  <c r="S21" i="16"/>
  <c r="U21" i="16"/>
  <c r="AV21" i="16"/>
  <c r="AC260" i="15"/>
  <c r="D127" i="12"/>
  <c r="H116" i="10"/>
  <c r="H120" i="10"/>
  <c r="H127" i="10" s="1"/>
  <c r="S10" i="20" s="1"/>
  <c r="N10" i="16"/>
  <c r="N13" i="16" s="1"/>
  <c r="AF10" i="16"/>
  <c r="AF13" i="16" s="1"/>
  <c r="AP10" i="16"/>
  <c r="AP13" i="16" s="1"/>
  <c r="AZ259" i="15"/>
  <c r="AQ260" i="15"/>
  <c r="I260" i="14"/>
  <c r="AD260" i="14"/>
  <c r="L138" i="13"/>
  <c r="D138" i="13"/>
  <c r="H127" i="13"/>
  <c r="G127" i="11"/>
  <c r="AX16" i="16"/>
  <c r="AW10" i="16"/>
  <c r="AW13" i="16" s="1"/>
  <c r="AX14" i="16" s="1"/>
  <c r="AX10" i="16" s="1"/>
  <c r="AX13" i="16" s="1"/>
  <c r="I260" i="15"/>
  <c r="X260" i="15"/>
  <c r="AG260" i="14"/>
  <c r="D127" i="13"/>
  <c r="S7" i="20" s="1"/>
  <c r="N116" i="13"/>
  <c r="N120" i="13"/>
  <c r="N127" i="13" s="1"/>
  <c r="F116" i="13"/>
  <c r="F120" i="13"/>
  <c r="F127" i="13" s="1"/>
  <c r="H116" i="11"/>
  <c r="H120" i="11"/>
  <c r="H127" i="11" s="1"/>
  <c r="AB21" i="16"/>
  <c r="H260" i="14"/>
  <c r="H127" i="12"/>
  <c r="F127" i="12"/>
  <c r="J116" i="11"/>
  <c r="N116" i="11"/>
  <c r="N120" i="11"/>
  <c r="N127" i="11" s="1"/>
  <c r="F116" i="11"/>
  <c r="F120" i="11"/>
  <c r="F127" i="11" s="1"/>
  <c r="K10" i="16"/>
  <c r="K13" i="16" s="1"/>
  <c r="AN260" i="14"/>
  <c r="M127" i="13"/>
  <c r="E127" i="13"/>
  <c r="I127" i="13"/>
  <c r="N116" i="10"/>
  <c r="N120" i="10"/>
  <c r="N127" i="10" s="1"/>
  <c r="F116" i="10"/>
  <c r="H10" i="20" s="1"/>
  <c r="H138" i="13"/>
  <c r="O116" i="12"/>
  <c r="O121" i="12"/>
  <c r="O127" i="12" s="1"/>
  <c r="K116" i="12"/>
  <c r="K120" i="12"/>
  <c r="K127" i="12" s="1"/>
  <c r="L138" i="11"/>
  <c r="D138" i="11"/>
  <c r="O127" i="11"/>
  <c r="H138" i="10"/>
  <c r="L116" i="10"/>
  <c r="L120" i="10"/>
  <c r="L127" i="10" s="1"/>
  <c r="AU260" i="15"/>
  <c r="E259" i="14"/>
  <c r="AZ259" i="14" s="1"/>
  <c r="BA14" i="14"/>
  <c r="G260" i="14"/>
  <c r="O260" i="14"/>
  <c r="AO260" i="14"/>
  <c r="J138" i="13"/>
  <c r="N138" i="13"/>
  <c r="F138" i="13"/>
  <c r="G116" i="12"/>
  <c r="N138" i="10"/>
  <c r="F138" i="10"/>
  <c r="AO10" i="16"/>
  <c r="AO13" i="16" s="1"/>
  <c r="AG260" i="15"/>
  <c r="F260" i="14"/>
  <c r="AM260" i="14"/>
  <c r="K127" i="13"/>
  <c r="L116" i="13"/>
  <c r="N138" i="12"/>
  <c r="F138" i="12"/>
  <c r="D116" i="12"/>
  <c r="F260" i="15"/>
  <c r="O260" i="15"/>
  <c r="AB260" i="15"/>
  <c r="AJ260" i="15"/>
  <c r="Q260" i="14"/>
  <c r="AL260" i="14"/>
  <c r="O127" i="13"/>
  <c r="L138" i="12"/>
  <c r="N116" i="12"/>
  <c r="F116" i="12"/>
  <c r="H138" i="11"/>
  <c r="E127" i="11"/>
  <c r="I127" i="11"/>
  <c r="O138" i="10"/>
  <c r="K138" i="10"/>
  <c r="N260" i="15"/>
  <c r="L260" i="14"/>
  <c r="T260" i="14"/>
  <c r="AW260" i="14"/>
  <c r="H116" i="13"/>
  <c r="H7" i="20" s="1"/>
  <c r="L116" i="12"/>
  <c r="N138" i="11"/>
  <c r="F138" i="11"/>
  <c r="O116" i="10"/>
  <c r="O121" i="10"/>
  <c r="O127" i="10" s="1"/>
  <c r="K116" i="10"/>
  <c r="K120" i="10"/>
  <c r="K127" i="10" s="1"/>
  <c r="L260" i="15"/>
  <c r="AD260" i="15"/>
  <c r="AR260" i="15"/>
  <c r="N260" i="14"/>
  <c r="AB260" i="14"/>
  <c r="AT260" i="14"/>
  <c r="I138" i="12"/>
  <c r="I116" i="12"/>
  <c r="I138" i="10"/>
  <c r="I116" i="10"/>
  <c r="T19" i="20"/>
  <c r="AL260" i="15"/>
  <c r="D260" i="14"/>
  <c r="AZ260" i="14" s="1"/>
  <c r="V260" i="14"/>
  <c r="AJ260" i="14"/>
  <c r="K138" i="13"/>
  <c r="K116" i="13"/>
  <c r="K138" i="11"/>
  <c r="K116" i="11"/>
  <c r="I138" i="13"/>
  <c r="I116" i="13"/>
  <c r="I127" i="12"/>
  <c r="I138" i="11"/>
  <c r="I116" i="11"/>
  <c r="I127" i="10"/>
  <c r="BA14" i="15"/>
  <c r="M24" i="16" l="1"/>
  <c r="M45" i="16"/>
  <c r="M51" i="16" s="1"/>
  <c r="M34" i="16"/>
  <c r="M40" i="16" s="1"/>
  <c r="AA34" i="17"/>
  <c r="AA40" i="17" s="1"/>
  <c r="AA45" i="17"/>
  <c r="AA51" i="17" s="1"/>
  <c r="AA24" i="17"/>
  <c r="T11" i="20"/>
  <c r="T45" i="20" s="1"/>
  <c r="S33" i="16"/>
  <c r="S44" i="16"/>
  <c r="S23" i="16"/>
  <c r="AC21" i="18"/>
  <c r="AC22" i="18"/>
  <c r="AS39" i="16"/>
  <c r="AT44" i="17"/>
  <c r="AT33" i="17"/>
  <c r="AT23" i="17"/>
  <c r="W35" i="18"/>
  <c r="W39" i="18"/>
  <c r="K21" i="18"/>
  <c r="K22" i="18"/>
  <c r="AN33" i="18"/>
  <c r="AN44" i="18"/>
  <c r="AN23" i="18"/>
  <c r="AM50" i="17"/>
  <c r="Y24" i="17"/>
  <c r="Y45" i="17"/>
  <c r="Y51" i="17" s="1"/>
  <c r="Y34" i="17"/>
  <c r="Y40" i="17" s="1"/>
  <c r="P24" i="18"/>
  <c r="P45" i="18"/>
  <c r="P51" i="18" s="1"/>
  <c r="P34" i="18"/>
  <c r="P40" i="18" s="1"/>
  <c r="L24" i="18"/>
  <c r="L34" i="18"/>
  <c r="L40" i="18" s="1"/>
  <c r="L45" i="18"/>
  <c r="L51" i="18" s="1"/>
  <c r="AA33" i="18"/>
  <c r="AA44" i="18"/>
  <c r="AA23" i="18"/>
  <c r="AP22" i="16"/>
  <c r="AP21" i="16"/>
  <c r="AB23" i="16"/>
  <c r="AB44" i="16"/>
  <c r="AB33" i="16"/>
  <c r="S45" i="16"/>
  <c r="S51" i="16" s="1"/>
  <c r="S24" i="16"/>
  <c r="S34" i="16"/>
  <c r="S40" i="16" s="1"/>
  <c r="Y39" i="16"/>
  <c r="Y35" i="16"/>
  <c r="X34" i="16"/>
  <c r="X40" i="16" s="1"/>
  <c r="X24" i="16"/>
  <c r="X45" i="16"/>
  <c r="X51" i="16" s="1"/>
  <c r="J23" i="17"/>
  <c r="J44" i="17"/>
  <c r="J33" i="17"/>
  <c r="X50" i="17"/>
  <c r="AN34" i="16"/>
  <c r="AN40" i="16" s="1"/>
  <c r="AN24" i="16"/>
  <c r="AN45" i="16"/>
  <c r="AN51" i="16" s="1"/>
  <c r="F21" i="18"/>
  <c r="F22" i="18"/>
  <c r="S34" i="17"/>
  <c r="S40" i="17" s="1"/>
  <c r="S45" i="17"/>
  <c r="S51" i="17" s="1"/>
  <c r="S24" i="17"/>
  <c r="AN24" i="18"/>
  <c r="AN45" i="18"/>
  <c r="AN51" i="18" s="1"/>
  <c r="AN34" i="18"/>
  <c r="AN40" i="18" s="1"/>
  <c r="R45" i="18"/>
  <c r="R51" i="18" s="1"/>
  <c r="R34" i="18"/>
  <c r="R24" i="18"/>
  <c r="N45" i="18"/>
  <c r="N51" i="18" s="1"/>
  <c r="N34" i="18"/>
  <c r="N24" i="18"/>
  <c r="L33" i="18"/>
  <c r="L23" i="18"/>
  <c r="L44" i="18"/>
  <c r="U44" i="18"/>
  <c r="U33" i="18"/>
  <c r="U23" i="18"/>
  <c r="V45" i="16"/>
  <c r="V51" i="16" s="1"/>
  <c r="V34" i="16"/>
  <c r="V40" i="16" s="1"/>
  <c r="V24" i="16"/>
  <c r="AJ23" i="17"/>
  <c r="AJ33" i="17"/>
  <c r="AJ44" i="17"/>
  <c r="AM34" i="16"/>
  <c r="AM40" i="16" s="1"/>
  <c r="AM45" i="16"/>
  <c r="AM51" i="16" s="1"/>
  <c r="AM24" i="16"/>
  <c r="R50" i="18"/>
  <c r="AN23" i="16"/>
  <c r="AN44" i="16"/>
  <c r="AN33" i="16"/>
  <c r="AO45" i="17"/>
  <c r="AO51" i="17" s="1"/>
  <c r="AO34" i="17"/>
  <c r="AO40" i="17" s="1"/>
  <c r="AO24" i="17"/>
  <c r="W46" i="18"/>
  <c r="W50" i="18"/>
  <c r="H24" i="16"/>
  <c r="H34" i="16"/>
  <c r="H40" i="16" s="1"/>
  <c r="H45" i="16"/>
  <c r="H51" i="16" s="1"/>
  <c r="AM39" i="17"/>
  <c r="AF33" i="18"/>
  <c r="AF23" i="18"/>
  <c r="AF44" i="18"/>
  <c r="U24" i="18"/>
  <c r="U45" i="18"/>
  <c r="U51" i="18" s="1"/>
  <c r="U34" i="18"/>
  <c r="U40" i="18" s="1"/>
  <c r="AS24" i="16"/>
  <c r="AS34" i="16"/>
  <c r="AS40" i="16" s="1"/>
  <c r="AS45" i="16"/>
  <c r="AS51" i="16" s="1"/>
  <c r="N23" i="16"/>
  <c r="N33" i="16"/>
  <c r="N44" i="16"/>
  <c r="AF24" i="16"/>
  <c r="AF34" i="16"/>
  <c r="AF40" i="16" s="1"/>
  <c r="AF45" i="16"/>
  <c r="AF51" i="16" s="1"/>
  <c r="AC24" i="16"/>
  <c r="AC34" i="16"/>
  <c r="AC40" i="16" s="1"/>
  <c r="AC45" i="16"/>
  <c r="AC51" i="16" s="1"/>
  <c r="AA24" i="16"/>
  <c r="AA45" i="16"/>
  <c r="AA51" i="16" s="1"/>
  <c r="AA34" i="16"/>
  <c r="AA40" i="16" s="1"/>
  <c r="AC35" i="16"/>
  <c r="AC39" i="16"/>
  <c r="N34" i="17"/>
  <c r="N40" i="17" s="1"/>
  <c r="N45" i="17"/>
  <c r="N51" i="17" s="1"/>
  <c r="N24" i="17"/>
  <c r="G50" i="17"/>
  <c r="AE24" i="17"/>
  <c r="AE34" i="17"/>
  <c r="AE40" i="17" s="1"/>
  <c r="AE45" i="17"/>
  <c r="AE51" i="17" s="1"/>
  <c r="AV24" i="18"/>
  <c r="AV34" i="18"/>
  <c r="AV40" i="18" s="1"/>
  <c r="AV45" i="18"/>
  <c r="AV51" i="18" s="1"/>
  <c r="AG33" i="17"/>
  <c r="AG23" i="17"/>
  <c r="AG44" i="17"/>
  <c r="AX33" i="18"/>
  <c r="AX44" i="18"/>
  <c r="AX23" i="18"/>
  <c r="AG34" i="18"/>
  <c r="AG40" i="18" s="1"/>
  <c r="AG45" i="18"/>
  <c r="AG51" i="18" s="1"/>
  <c r="AG24" i="18"/>
  <c r="AF24" i="18"/>
  <c r="AF45" i="18"/>
  <c r="AF51" i="18" s="1"/>
  <c r="AF34" i="18"/>
  <c r="AF40" i="18" s="1"/>
  <c r="Q24" i="18"/>
  <c r="Q45" i="18"/>
  <c r="Q51" i="18" s="1"/>
  <c r="Q34" i="18"/>
  <c r="Q40" i="18" s="1"/>
  <c r="S8" i="20"/>
  <c r="AJ33" i="16"/>
  <c r="AJ44" i="16"/>
  <c r="AJ23" i="16"/>
  <c r="T44" i="16"/>
  <c r="T33" i="16"/>
  <c r="T23" i="16"/>
  <c r="AB33" i="17"/>
  <c r="AB23" i="17"/>
  <c r="AB44" i="17"/>
  <c r="AI21" i="18"/>
  <c r="AI22" i="18"/>
  <c r="S34" i="18"/>
  <c r="S24" i="18"/>
  <c r="S45" i="18"/>
  <c r="S51" i="18" s="1"/>
  <c r="J24" i="17"/>
  <c r="J34" i="17"/>
  <c r="J40" i="17" s="1"/>
  <c r="J45" i="17"/>
  <c r="J51" i="17" s="1"/>
  <c r="AN39" i="17"/>
  <c r="AN34" i="17"/>
  <c r="AN40" i="17" s="1"/>
  <c r="AN24" i="17"/>
  <c r="AN45" i="17"/>
  <c r="AN51" i="17" s="1"/>
  <c r="V46" i="16"/>
  <c r="V50" i="16"/>
  <c r="O21" i="17"/>
  <c r="O22" i="17"/>
  <c r="D39" i="18"/>
  <c r="D35" i="18"/>
  <c r="AG23" i="18"/>
  <c r="AG33" i="18"/>
  <c r="AG44" i="18"/>
  <c r="J23" i="18"/>
  <c r="J44" i="18"/>
  <c r="J33" i="18"/>
  <c r="Q23" i="18"/>
  <c r="Q33" i="18"/>
  <c r="Q44" i="18"/>
  <c r="H9" i="20"/>
  <c r="AI44" i="16"/>
  <c r="AI33" i="16"/>
  <c r="AI23" i="16"/>
  <c r="AW15" i="17"/>
  <c r="AV10" i="17"/>
  <c r="AV13" i="17" s="1"/>
  <c r="AW14" i="17" s="1"/>
  <c r="AW10" i="17" s="1"/>
  <c r="AW13" i="17" s="1"/>
  <c r="T22" i="16"/>
  <c r="K33" i="16"/>
  <c r="K23" i="16"/>
  <c r="K44" i="16"/>
  <c r="F30" i="16"/>
  <c r="G27" i="16"/>
  <c r="H22" i="17"/>
  <c r="R21" i="16"/>
  <c r="R22" i="16"/>
  <c r="AL22" i="16"/>
  <c r="AQ44" i="17"/>
  <c r="AQ23" i="17"/>
  <c r="AQ33" i="17"/>
  <c r="U22" i="17"/>
  <c r="N50" i="18"/>
  <c r="I22" i="16"/>
  <c r="G22" i="17"/>
  <c r="D33" i="17"/>
  <c r="D23" i="17"/>
  <c r="D44" i="17"/>
  <c r="AM22" i="17"/>
  <c r="AO23" i="18"/>
  <c r="AO33" i="18"/>
  <c r="AO44" i="18"/>
  <c r="M35" i="18"/>
  <c r="M39" i="18"/>
  <c r="AD22" i="17"/>
  <c r="V39" i="16"/>
  <c r="V35" i="16"/>
  <c r="AV33" i="18"/>
  <c r="AV44" i="18"/>
  <c r="AV23" i="18"/>
  <c r="K23" i="17"/>
  <c r="K44" i="17"/>
  <c r="K33" i="17"/>
  <c r="Y39" i="18"/>
  <c r="Y45" i="18"/>
  <c r="Y51" i="18" s="1"/>
  <c r="Y34" i="18"/>
  <c r="Y40" i="18" s="1"/>
  <c r="Y24" i="18"/>
  <c r="Z44" i="18"/>
  <c r="Z23" i="18"/>
  <c r="Z33" i="18"/>
  <c r="J34" i="18"/>
  <c r="J40" i="18" s="1"/>
  <c r="J45" i="18"/>
  <c r="J51" i="18" s="1"/>
  <c r="J24" i="18"/>
  <c r="I24" i="18"/>
  <c r="I45" i="18"/>
  <c r="I51" i="18" s="1"/>
  <c r="I34" i="18"/>
  <c r="I40" i="18" s="1"/>
  <c r="AB33" i="18"/>
  <c r="AB44" i="18"/>
  <c r="AB23" i="18"/>
  <c r="L22" i="16"/>
  <c r="L21" i="16"/>
  <c r="S31" i="20"/>
  <c r="T32" i="20" s="1"/>
  <c r="I22" i="17"/>
  <c r="I21" i="17"/>
  <c r="AC22" i="17"/>
  <c r="AC21" i="17"/>
  <c r="R24" i="17"/>
  <c r="R45" i="17"/>
  <c r="R51" i="17" s="1"/>
  <c r="R34" i="17"/>
  <c r="R40" i="17" s="1"/>
  <c r="AU34" i="18"/>
  <c r="AU40" i="18" s="1"/>
  <c r="AU24" i="18"/>
  <c r="AU45" i="18"/>
  <c r="AU51" i="18" s="1"/>
  <c r="T45" i="18"/>
  <c r="T51" i="18" s="1"/>
  <c r="T34" i="18"/>
  <c r="T24" i="18"/>
  <c r="W21" i="17"/>
  <c r="W22" i="17"/>
  <c r="Q24" i="16"/>
  <c r="Q34" i="16"/>
  <c r="Q40" i="16" s="1"/>
  <c r="Q45" i="16"/>
  <c r="Q51" i="16" s="1"/>
  <c r="L45" i="17"/>
  <c r="L51" i="17" s="1"/>
  <c r="L24" i="17"/>
  <c r="L34" i="17"/>
  <c r="L40" i="17" s="1"/>
  <c r="H8" i="20"/>
  <c r="AR23" i="16"/>
  <c r="AR44" i="16"/>
  <c r="AR33" i="16"/>
  <c r="AM21" i="18"/>
  <c r="AM22" i="18"/>
  <c r="AW45" i="16"/>
  <c r="AW51" i="16" s="1"/>
  <c r="AW34" i="16"/>
  <c r="AW40" i="16" s="1"/>
  <c r="AW24" i="16"/>
  <c r="AM33" i="16"/>
  <c r="AM44" i="16"/>
  <c r="AM23" i="16"/>
  <c r="AS46" i="16"/>
  <c r="AS50" i="16"/>
  <c r="S23" i="17"/>
  <c r="S44" i="17"/>
  <c r="S33" i="17"/>
  <c r="AF45" i="17"/>
  <c r="AF51" i="17" s="1"/>
  <c r="AF24" i="17"/>
  <c r="AF34" i="17"/>
  <c r="AF40" i="17" s="1"/>
  <c r="AL44" i="18"/>
  <c r="AL23" i="18"/>
  <c r="AL33" i="18"/>
  <c r="AL21" i="17"/>
  <c r="AL22" i="17"/>
  <c r="AU24" i="16"/>
  <c r="AU45" i="16"/>
  <c r="AU51" i="16" s="1"/>
  <c r="AU34" i="16"/>
  <c r="AU40" i="16" s="1"/>
  <c r="W23" i="16"/>
  <c r="W33" i="16"/>
  <c r="W44" i="16"/>
  <c r="O21" i="18"/>
  <c r="O22" i="18"/>
  <c r="Z44" i="17"/>
  <c r="Z23" i="17"/>
  <c r="Z33" i="17"/>
  <c r="R23" i="17"/>
  <c r="R44" i="17"/>
  <c r="R33" i="17"/>
  <c r="AS24" i="18"/>
  <c r="AS34" i="18"/>
  <c r="AS40" i="18" s="1"/>
  <c r="AS45" i="18"/>
  <c r="AS51" i="18" s="1"/>
  <c r="N33" i="17"/>
  <c r="N44" i="17"/>
  <c r="N23" i="17"/>
  <c r="P45" i="17"/>
  <c r="P24" i="17"/>
  <c r="P34" i="17"/>
  <c r="P40" i="17" s="1"/>
  <c r="AF23" i="17"/>
  <c r="AF33" i="17"/>
  <c r="AF44" i="17"/>
  <c r="AS39" i="18"/>
  <c r="AS35" i="18"/>
  <c r="AE33" i="16"/>
  <c r="AE23" i="16"/>
  <c r="AE44" i="16"/>
  <c r="AK22" i="18"/>
  <c r="AK21" i="18"/>
  <c r="T50" i="18"/>
  <c r="T46" i="18"/>
  <c r="AH45" i="16"/>
  <c r="AH51" i="16" s="1"/>
  <c r="AH34" i="16"/>
  <c r="AH40" i="16" s="1"/>
  <c r="AH24" i="16"/>
  <c r="AO44" i="17"/>
  <c r="AO33" i="17"/>
  <c r="AO23" i="17"/>
  <c r="AK24" i="16"/>
  <c r="AK34" i="16"/>
  <c r="AK40" i="16" s="1"/>
  <c r="AK45" i="16"/>
  <c r="AK51" i="16" s="1"/>
  <c r="P35" i="17"/>
  <c r="P39" i="17"/>
  <c r="D50" i="18"/>
  <c r="D46" i="18"/>
  <c r="AS46" i="18"/>
  <c r="AS50" i="18"/>
  <c r="AY21" i="16"/>
  <c r="AY22" i="16"/>
  <c r="Z21" i="16"/>
  <c r="Z22" i="16"/>
  <c r="AF33" i="16"/>
  <c r="AF44" i="16"/>
  <c r="AF23" i="16"/>
  <c r="V21" i="17"/>
  <c r="V22" i="17"/>
  <c r="AZ10" i="18"/>
  <c r="D13" i="18"/>
  <c r="AH33" i="16"/>
  <c r="AH23" i="16"/>
  <c r="AH44" i="16"/>
  <c r="G27" i="17"/>
  <c r="F30" i="17"/>
  <c r="AE33" i="17"/>
  <c r="AE44" i="17"/>
  <c r="AE23" i="17"/>
  <c r="AT24" i="18"/>
  <c r="AT45" i="18"/>
  <c r="AT51" i="18" s="1"/>
  <c r="AT34" i="18"/>
  <c r="AT40" i="18" s="1"/>
  <c r="AX45" i="18"/>
  <c r="AX51" i="18" s="1"/>
  <c r="AX34" i="18"/>
  <c r="AX40" i="18" s="1"/>
  <c r="AX24" i="18"/>
  <c r="AQ21" i="16"/>
  <c r="AQ22" i="16"/>
  <c r="AV44" i="16"/>
  <c r="AV23" i="16"/>
  <c r="AV33" i="16"/>
  <c r="S9" i="20"/>
  <c r="AI24" i="16"/>
  <c r="AI45" i="16"/>
  <c r="AI51" i="16" s="1"/>
  <c r="AI34" i="16"/>
  <c r="AI40" i="16" s="1"/>
  <c r="AP21" i="17"/>
  <c r="AP22" i="17"/>
  <c r="P34" i="16"/>
  <c r="P40" i="16" s="1"/>
  <c r="P24" i="16"/>
  <c r="P45" i="16"/>
  <c r="P51" i="16" s="1"/>
  <c r="AW39" i="17"/>
  <c r="AW35" i="17"/>
  <c r="AU39" i="18"/>
  <c r="AL23" i="16"/>
  <c r="AL33" i="16"/>
  <c r="AL44" i="16"/>
  <c r="X44" i="16"/>
  <c r="X23" i="16"/>
  <c r="X33" i="16"/>
  <c r="AQ24" i="17"/>
  <c r="AQ34" i="17"/>
  <c r="AQ40" i="17" s="1"/>
  <c r="AQ45" i="17"/>
  <c r="AQ51" i="17" s="1"/>
  <c r="U33" i="17"/>
  <c r="U44" i="17"/>
  <c r="U23" i="17"/>
  <c r="I23" i="16"/>
  <c r="I44" i="16"/>
  <c r="I33" i="16"/>
  <c r="AJ22" i="17"/>
  <c r="AI22" i="17"/>
  <c r="AU22" i="17"/>
  <c r="D22" i="17"/>
  <c r="X22" i="17"/>
  <c r="AE34" i="18"/>
  <c r="AE40" i="18" s="1"/>
  <c r="AE45" i="18"/>
  <c r="AE51" i="18" s="1"/>
  <c r="AE24" i="18"/>
  <c r="M23" i="16"/>
  <c r="M33" i="16"/>
  <c r="M44" i="16"/>
  <c r="E21" i="17"/>
  <c r="E22" i="17"/>
  <c r="M46" i="18"/>
  <c r="M50" i="18"/>
  <c r="AD44" i="17"/>
  <c r="AD33" i="17"/>
  <c r="AD23" i="17"/>
  <c r="AP33" i="18"/>
  <c r="AP23" i="18"/>
  <c r="AP44" i="18"/>
  <c r="AT33" i="18"/>
  <c r="AT44" i="18"/>
  <c r="AT23" i="18"/>
  <c r="AR23" i="17"/>
  <c r="AR44" i="17"/>
  <c r="AR33" i="17"/>
  <c r="K22" i="17"/>
  <c r="AA23" i="17"/>
  <c r="AA44" i="17"/>
  <c r="AA33" i="17"/>
  <c r="S46" i="18"/>
  <c r="S50" i="18"/>
  <c r="Z24" i="18"/>
  <c r="Z45" i="18"/>
  <c r="Z51" i="18" s="1"/>
  <c r="Z34" i="18"/>
  <c r="Z40" i="18" s="1"/>
  <c r="I23" i="18"/>
  <c r="I44" i="18"/>
  <c r="I33" i="18"/>
  <c r="AB24" i="18"/>
  <c r="AB45" i="18"/>
  <c r="AB51" i="18" s="1"/>
  <c r="AB34" i="18"/>
  <c r="AB40" i="18" s="1"/>
  <c r="O22" i="16"/>
  <c r="O21" i="16"/>
  <c r="Q21" i="17"/>
  <c r="Q22" i="17"/>
  <c r="J44" i="16"/>
  <c r="J23" i="16"/>
  <c r="J33" i="16"/>
  <c r="AD23" i="16"/>
  <c r="AD33" i="16"/>
  <c r="AD44" i="16"/>
  <c r="D23" i="16"/>
  <c r="D44" i="16"/>
  <c r="D33" i="16"/>
  <c r="AZ10" i="16"/>
  <c r="F34" i="17"/>
  <c r="F40" i="17" s="1"/>
  <c r="F24" i="17"/>
  <c r="F45" i="17"/>
  <c r="F51" i="17" s="1"/>
  <c r="G27" i="18"/>
  <c r="F30" i="18"/>
  <c r="AB45" i="17"/>
  <c r="AB51" i="17" s="1"/>
  <c r="AB24" i="17"/>
  <c r="AB34" i="17"/>
  <c r="AB40" i="17" s="1"/>
  <c r="AU33" i="16"/>
  <c r="AU44" i="16"/>
  <c r="AU23" i="16"/>
  <c r="G22" i="18"/>
  <c r="G21" i="18"/>
  <c r="AT21" i="16"/>
  <c r="AT22" i="16"/>
  <c r="AI33" i="17"/>
  <c r="AI23" i="17"/>
  <c r="AI44" i="17"/>
  <c r="AH22" i="18"/>
  <c r="AH21" i="18"/>
  <c r="AY34" i="18"/>
  <c r="AY45" i="18"/>
  <c r="AY24" i="18"/>
  <c r="H44" i="16"/>
  <c r="H23" i="16"/>
  <c r="H33" i="16"/>
  <c r="AY50" i="17"/>
  <c r="AY46" i="17"/>
  <c r="AE45" i="16"/>
  <c r="AE51" i="16" s="1"/>
  <c r="AE24" i="16"/>
  <c r="AE34" i="16"/>
  <c r="AE40" i="16" s="1"/>
  <c r="AO33" i="16"/>
  <c r="AO23" i="16"/>
  <c r="AO44" i="16"/>
  <c r="AW33" i="16"/>
  <c r="AW23" i="16"/>
  <c r="AW44" i="16"/>
  <c r="AC50" i="16"/>
  <c r="AC46" i="16"/>
  <c r="V45" i="18"/>
  <c r="V51" i="18" s="1"/>
  <c r="V34" i="18"/>
  <c r="V40" i="18" s="1"/>
  <c r="V24" i="18"/>
  <c r="AK23" i="16"/>
  <c r="AK33" i="16"/>
  <c r="AK44" i="16"/>
  <c r="AJ22" i="18"/>
  <c r="AJ21" i="18"/>
  <c r="AL24" i="18"/>
  <c r="AL45" i="18"/>
  <c r="AL51" i="18" s="1"/>
  <c r="AL34" i="18"/>
  <c r="AL40" i="18" s="1"/>
  <c r="W24" i="16"/>
  <c r="W45" i="16"/>
  <c r="W51" i="16" s="1"/>
  <c r="W34" i="16"/>
  <c r="W40" i="16" s="1"/>
  <c r="AU33" i="17"/>
  <c r="AU23" i="17"/>
  <c r="AU44" i="17"/>
  <c r="Z24" i="17"/>
  <c r="Z34" i="17"/>
  <c r="Z40" i="17" s="1"/>
  <c r="Z45" i="17"/>
  <c r="Z51" i="17" s="1"/>
  <c r="M21" i="17"/>
  <c r="M22" i="17"/>
  <c r="V23" i="18"/>
  <c r="V33" i="18"/>
  <c r="V44" i="18"/>
  <c r="G45" i="16"/>
  <c r="G51" i="16" s="1"/>
  <c r="G24" i="16"/>
  <c r="G34" i="16"/>
  <c r="G40" i="16" s="1"/>
  <c r="AD24" i="18"/>
  <c r="AD45" i="18"/>
  <c r="AD51" i="18" s="1"/>
  <c r="AD34" i="18"/>
  <c r="AD40" i="18" s="1"/>
  <c r="AS23" i="17"/>
  <c r="AS33" i="17"/>
  <c r="AS44" i="17"/>
  <c r="N45" i="16"/>
  <c r="N51" i="16" s="1"/>
  <c r="N24" i="16"/>
  <c r="N34" i="16"/>
  <c r="N40" i="16" s="1"/>
  <c r="AZ260" i="15"/>
  <c r="AY24" i="17"/>
  <c r="AY45" i="17"/>
  <c r="AY51" i="17" s="1"/>
  <c r="AY34" i="17"/>
  <c r="AY40" i="17" s="1"/>
  <c r="AA23" i="16"/>
  <c r="AA44" i="16"/>
  <c r="AA33" i="16"/>
  <c r="AO34" i="18"/>
  <c r="AO40" i="18" s="1"/>
  <c r="AO45" i="18"/>
  <c r="AO51" i="18" s="1"/>
  <c r="AO24" i="18"/>
  <c r="W10" i="18"/>
  <c r="W13" i="18" s="1"/>
  <c r="G33" i="16"/>
  <c r="G23" i="16"/>
  <c r="G44" i="16"/>
  <c r="AD33" i="18"/>
  <c r="AD23" i="18"/>
  <c r="AD44" i="18"/>
  <c r="AG45" i="17"/>
  <c r="AG51" i="17" s="1"/>
  <c r="AG24" i="17"/>
  <c r="AG34" i="17"/>
  <c r="AG40" i="17" s="1"/>
  <c r="AS34" i="17"/>
  <c r="AS40" i="17" s="1"/>
  <c r="AS45" i="17"/>
  <c r="AS51" i="17" s="1"/>
  <c r="AS24" i="17"/>
  <c r="AG21" i="16"/>
  <c r="AG22" i="16"/>
  <c r="U33" i="16"/>
  <c r="U23" i="16"/>
  <c r="U44" i="16"/>
  <c r="AH22" i="17"/>
  <c r="AH21" i="17"/>
  <c r="Y50" i="16"/>
  <c r="Y46" i="16"/>
  <c r="P33" i="16"/>
  <c r="P44" i="16"/>
  <c r="P23" i="16"/>
  <c r="AW50" i="17"/>
  <c r="AW46" i="17"/>
  <c r="AR21" i="18"/>
  <c r="AR22" i="18"/>
  <c r="AU50" i="18"/>
  <c r="AD34" i="16"/>
  <c r="AD40" i="16" s="1"/>
  <c r="AD24" i="16"/>
  <c r="AD45" i="16"/>
  <c r="AD51" i="16" s="1"/>
  <c r="F21" i="16"/>
  <c r="F22" i="16"/>
  <c r="T22" i="17"/>
  <c r="T21" i="17"/>
  <c r="AJ22" i="16"/>
  <c r="D22" i="16"/>
  <c r="AB22" i="16"/>
  <c r="AV22" i="16"/>
  <c r="U22" i="16"/>
  <c r="J22" i="16"/>
  <c r="AO22" i="16"/>
  <c r="AR22" i="16"/>
  <c r="K22" i="16"/>
  <c r="E22" i="16"/>
  <c r="E21" i="16"/>
  <c r="AW21" i="18"/>
  <c r="AW22" i="18"/>
  <c r="F33" i="17"/>
  <c r="F44" i="17"/>
  <c r="F23" i="17"/>
  <c r="AE23" i="18"/>
  <c r="AE44" i="18"/>
  <c r="AE33" i="18"/>
  <c r="AT34" i="17"/>
  <c r="AT40" i="17" s="1"/>
  <c r="AT45" i="17"/>
  <c r="AT51" i="17" s="1"/>
  <c r="AT24" i="17"/>
  <c r="AZ10" i="17"/>
  <c r="Y50" i="18"/>
  <c r="Y46" i="18"/>
  <c r="P44" i="18"/>
  <c r="P23" i="18"/>
  <c r="P33" i="18"/>
  <c r="Q33" i="16"/>
  <c r="Q44" i="16"/>
  <c r="Q23" i="16"/>
  <c r="AR22" i="17"/>
  <c r="H39" i="17"/>
  <c r="AP45" i="18"/>
  <c r="AP51" i="18" s="1"/>
  <c r="AP24" i="18"/>
  <c r="AP34" i="18"/>
  <c r="AP40" i="18" s="1"/>
  <c r="AN50" i="17"/>
  <c r="Y44" i="17"/>
  <c r="Y33" i="17"/>
  <c r="Y23" i="17"/>
  <c r="L33" i="17"/>
  <c r="L23" i="17"/>
  <c r="L44" i="17"/>
  <c r="AY35" i="17"/>
  <c r="AY39" i="17"/>
  <c r="AA34" i="18"/>
  <c r="AA40" i="18" s="1"/>
  <c r="AA45" i="18"/>
  <c r="AA51" i="18" s="1"/>
  <c r="AA24" i="18"/>
  <c r="AE46" i="18" l="1"/>
  <c r="AE50" i="18"/>
  <c r="U39" i="16"/>
  <c r="AU39" i="17"/>
  <c r="I39" i="16"/>
  <c r="AE50" i="17"/>
  <c r="AE46" i="17"/>
  <c r="AG39" i="18"/>
  <c r="AG35" i="18"/>
  <c r="AP34" i="16"/>
  <c r="AP40" i="16" s="1"/>
  <c r="AP45" i="16"/>
  <c r="AP51" i="16" s="1"/>
  <c r="AP24" i="16"/>
  <c r="AT50" i="17"/>
  <c r="AT46" i="17"/>
  <c r="Y39" i="17"/>
  <c r="Y35" i="17"/>
  <c r="I39" i="18"/>
  <c r="I35" i="18"/>
  <c r="AT46" i="18"/>
  <c r="AT50" i="18"/>
  <c r="I50" i="16"/>
  <c r="V24" i="17"/>
  <c r="V34" i="17"/>
  <c r="V40" i="17" s="1"/>
  <c r="V45" i="17"/>
  <c r="V51" i="17" s="1"/>
  <c r="N50" i="17"/>
  <c r="N46" i="17"/>
  <c r="AO46" i="18"/>
  <c r="AO50" i="18"/>
  <c r="K39" i="16"/>
  <c r="U39" i="18"/>
  <c r="U35" i="18"/>
  <c r="J39" i="17"/>
  <c r="J35" i="17"/>
  <c r="AN35" i="18"/>
  <c r="AN39" i="18"/>
  <c r="T44" i="17"/>
  <c r="T33" i="17"/>
  <c r="T23" i="17"/>
  <c r="AG23" i="16"/>
  <c r="AG33" i="16"/>
  <c r="AG44" i="16"/>
  <c r="AH33" i="18"/>
  <c r="AH23" i="18"/>
  <c r="AH44" i="18"/>
  <c r="I46" i="18"/>
  <c r="I50" i="18"/>
  <c r="AT35" i="18"/>
  <c r="AT39" i="18"/>
  <c r="V33" i="17"/>
  <c r="V44" i="17"/>
  <c r="V23" i="17"/>
  <c r="AF46" i="17"/>
  <c r="AF50" i="17"/>
  <c r="AM50" i="16"/>
  <c r="AM46" i="16"/>
  <c r="I45" i="16"/>
  <c r="I51" i="16" s="1"/>
  <c r="I34" i="16"/>
  <c r="I40" i="16" s="1"/>
  <c r="I24" i="16"/>
  <c r="U46" i="18"/>
  <c r="U50" i="18"/>
  <c r="J46" i="17"/>
  <c r="J50" i="17"/>
  <c r="AS35" i="16"/>
  <c r="T24" i="17"/>
  <c r="T45" i="17"/>
  <c r="T51" i="17" s="1"/>
  <c r="T34" i="17"/>
  <c r="T40" i="17" s="1"/>
  <c r="AH45" i="18"/>
  <c r="AH51" i="18" s="1"/>
  <c r="AH24" i="18"/>
  <c r="AH34" i="18"/>
  <c r="AH40" i="18" s="1"/>
  <c r="AZ21" i="16"/>
  <c r="E45" i="17"/>
  <c r="E51" i="17" s="1"/>
  <c r="E34" i="17"/>
  <c r="E40" i="17" s="1"/>
  <c r="E24" i="17"/>
  <c r="X46" i="16"/>
  <c r="X50" i="16"/>
  <c r="G30" i="17"/>
  <c r="H27" i="17"/>
  <c r="AF35" i="17"/>
  <c r="AF39" i="17"/>
  <c r="Z50" i="17"/>
  <c r="Z46" i="17"/>
  <c r="W45" i="17"/>
  <c r="W51" i="17" s="1"/>
  <c r="W34" i="17"/>
  <c r="W40" i="17" s="1"/>
  <c r="W24" i="17"/>
  <c r="AV35" i="18"/>
  <c r="AV39" i="18"/>
  <c r="AI34" i="18"/>
  <c r="AI40" i="18" s="1"/>
  <c r="AI45" i="18"/>
  <c r="AI51" i="18" s="1"/>
  <c r="AI24" i="18"/>
  <c r="AG46" i="17"/>
  <c r="AG50" i="17"/>
  <c r="AJ39" i="17"/>
  <c r="F33" i="18"/>
  <c r="F44" i="18"/>
  <c r="F23" i="18"/>
  <c r="AA35" i="18"/>
  <c r="AA39" i="18"/>
  <c r="K23" i="18"/>
  <c r="K33" i="18"/>
  <c r="K44" i="18"/>
  <c r="F39" i="17"/>
  <c r="F35" i="17"/>
  <c r="AR33" i="18"/>
  <c r="AR23" i="18"/>
  <c r="AR44" i="18"/>
  <c r="AI50" i="17"/>
  <c r="AD50" i="16"/>
  <c r="AD46" i="16"/>
  <c r="E23" i="17"/>
  <c r="E44" i="17"/>
  <c r="E33" i="17"/>
  <c r="AV35" i="16"/>
  <c r="AV39" i="16"/>
  <c r="AF50" i="16"/>
  <c r="AF46" i="16"/>
  <c r="L24" i="16"/>
  <c r="L45" i="16"/>
  <c r="L51" i="16" s="1"/>
  <c r="L34" i="16"/>
  <c r="L40" i="16" s="1"/>
  <c r="O45" i="17"/>
  <c r="O51" i="17" s="1"/>
  <c r="O24" i="17"/>
  <c r="O34" i="17"/>
  <c r="O40" i="17" s="1"/>
  <c r="AI44" i="18"/>
  <c r="AI23" i="18"/>
  <c r="AI33" i="18"/>
  <c r="N50" i="16"/>
  <c r="N46" i="16"/>
  <c r="AB39" i="16"/>
  <c r="L46" i="17"/>
  <c r="L50" i="17"/>
  <c r="Q39" i="16"/>
  <c r="Q35" i="16"/>
  <c r="AW34" i="18"/>
  <c r="AW40" i="18" s="1"/>
  <c r="AW24" i="18"/>
  <c r="AW45" i="18"/>
  <c r="AW51" i="18" s="1"/>
  <c r="U24" i="16"/>
  <c r="U45" i="16"/>
  <c r="U51" i="16" s="1"/>
  <c r="U34" i="16"/>
  <c r="U40" i="16" s="1"/>
  <c r="F23" i="16"/>
  <c r="AZ23" i="16" s="1"/>
  <c r="F33" i="16"/>
  <c r="F44" i="16"/>
  <c r="AH24" i="17"/>
  <c r="AH45" i="17"/>
  <c r="AH51" i="17" s="1"/>
  <c r="AH34" i="17"/>
  <c r="AH40" i="17" s="1"/>
  <c r="AS50" i="17"/>
  <c r="AS46" i="17"/>
  <c r="AU35" i="16"/>
  <c r="AU39" i="16"/>
  <c r="AD39" i="16"/>
  <c r="AD35" i="16"/>
  <c r="O24" i="16"/>
  <c r="O45" i="16"/>
  <c r="O51" i="16" s="1"/>
  <c r="O34" i="16"/>
  <c r="O40" i="16" s="1"/>
  <c r="AR39" i="17"/>
  <c r="AR35" i="17"/>
  <c r="AP35" i="18"/>
  <c r="AP39" i="18"/>
  <c r="M46" i="16"/>
  <c r="M50" i="16"/>
  <c r="AU45" i="17"/>
  <c r="AU51" i="17" s="1"/>
  <c r="AU24" i="17"/>
  <c r="AU34" i="17"/>
  <c r="AU40" i="17" s="1"/>
  <c r="U39" i="17"/>
  <c r="AL39" i="16"/>
  <c r="AL35" i="16"/>
  <c r="AF39" i="16"/>
  <c r="AF35" i="16"/>
  <c r="AO50" i="17"/>
  <c r="AO46" i="17"/>
  <c r="AE50" i="16"/>
  <c r="AE46" i="16"/>
  <c r="O44" i="18"/>
  <c r="O33" i="18"/>
  <c r="O23" i="18"/>
  <c r="AL23" i="17"/>
  <c r="AL33" i="17"/>
  <c r="AL44" i="17"/>
  <c r="S50" i="17"/>
  <c r="S46" i="17"/>
  <c r="D50" i="17"/>
  <c r="D46" i="17"/>
  <c r="U34" i="17"/>
  <c r="U40" i="17" s="1"/>
  <c r="U24" i="17"/>
  <c r="U45" i="17"/>
  <c r="U51" i="17" s="1"/>
  <c r="G30" i="16"/>
  <c r="H27" i="16"/>
  <c r="J50" i="18"/>
  <c r="J46" i="18"/>
  <c r="O23" i="17"/>
  <c r="O33" i="17"/>
  <c r="O44" i="17"/>
  <c r="AB50" i="17"/>
  <c r="AB46" i="17"/>
  <c r="AJ39" i="16"/>
  <c r="AG35" i="17"/>
  <c r="AG39" i="17"/>
  <c r="N39" i="16"/>
  <c r="N35" i="16"/>
  <c r="AF50" i="18"/>
  <c r="AF46" i="18"/>
  <c r="R46" i="18"/>
  <c r="L35" i="18"/>
  <c r="L39" i="18"/>
  <c r="AB46" i="16"/>
  <c r="AB50" i="16"/>
  <c r="P46" i="18"/>
  <c r="P50" i="18"/>
  <c r="AZ22" i="16"/>
  <c r="D24" i="16"/>
  <c r="D45" i="16"/>
  <c r="D51" i="16" s="1"/>
  <c r="D34" i="16"/>
  <c r="D40" i="16" s="1"/>
  <c r="AJ24" i="18"/>
  <c r="AJ45" i="18"/>
  <c r="AJ51" i="18" s="1"/>
  <c r="AJ34" i="18"/>
  <c r="AJ40" i="18" s="1"/>
  <c r="AY51" i="18"/>
  <c r="AY46" i="18"/>
  <c r="D39" i="16"/>
  <c r="AQ44" i="16"/>
  <c r="AQ23" i="16"/>
  <c r="AQ33" i="16"/>
  <c r="AY24" i="16"/>
  <c r="AY45" i="16"/>
  <c r="AY51" i="16" s="1"/>
  <c r="AY34" i="16"/>
  <c r="AY40" i="16" s="1"/>
  <c r="AL50" i="18"/>
  <c r="AL46" i="18"/>
  <c r="I44" i="17"/>
  <c r="I33" i="17"/>
  <c r="I23" i="17"/>
  <c r="AQ50" i="17"/>
  <c r="AQ46" i="17"/>
  <c r="K24" i="16"/>
  <c r="K34" i="16"/>
  <c r="K40" i="16" s="1"/>
  <c r="K45" i="16"/>
  <c r="K51" i="16" s="1"/>
  <c r="P35" i="16"/>
  <c r="P39" i="16"/>
  <c r="AD46" i="18"/>
  <c r="AD50" i="18"/>
  <c r="AK50" i="16"/>
  <c r="AK46" i="16"/>
  <c r="G44" i="18"/>
  <c r="G23" i="18"/>
  <c r="G33" i="18"/>
  <c r="J50" i="16"/>
  <c r="AY44" i="16"/>
  <c r="AY33" i="16"/>
  <c r="AY23" i="16"/>
  <c r="Z35" i="17"/>
  <c r="Z39" i="17"/>
  <c r="G45" i="17"/>
  <c r="G24" i="17"/>
  <c r="G34" i="17"/>
  <c r="Q46" i="18"/>
  <c r="Q50" i="18"/>
  <c r="T39" i="16"/>
  <c r="T35" i="16"/>
  <c r="AX50" i="18"/>
  <c r="AX46" i="18"/>
  <c r="Y50" i="17"/>
  <c r="Y46" i="17"/>
  <c r="AU46" i="18"/>
  <c r="AK35" i="16"/>
  <c r="AK39" i="16"/>
  <c r="G34" i="18"/>
  <c r="G40" i="18" s="1"/>
  <c r="G24" i="18"/>
  <c r="G45" i="18"/>
  <c r="G51" i="18" s="1"/>
  <c r="Q24" i="17"/>
  <c r="Q45" i="17"/>
  <c r="Q51" i="17" s="1"/>
  <c r="Q34" i="17"/>
  <c r="Q40" i="17" s="1"/>
  <c r="AA46" i="17"/>
  <c r="AA50" i="17"/>
  <c r="N39" i="17"/>
  <c r="N35" i="17"/>
  <c r="AR50" i="16"/>
  <c r="AO39" i="18"/>
  <c r="AO35" i="18"/>
  <c r="R45" i="16"/>
  <c r="R51" i="16" s="1"/>
  <c r="R24" i="16"/>
  <c r="R34" i="16"/>
  <c r="R40" i="16" s="1"/>
  <c r="Q39" i="18"/>
  <c r="Q35" i="18"/>
  <c r="S40" i="18"/>
  <c r="S35" i="18"/>
  <c r="AJ50" i="17"/>
  <c r="F45" i="18"/>
  <c r="F51" i="18" s="1"/>
  <c r="F24" i="18"/>
  <c r="F34" i="18"/>
  <c r="F40" i="18" s="1"/>
  <c r="AA46" i="18"/>
  <c r="AA50" i="18"/>
  <c r="K34" i="18"/>
  <c r="K40" i="18" s="1"/>
  <c r="K45" i="18"/>
  <c r="K51" i="18" s="1"/>
  <c r="K24" i="18"/>
  <c r="AO45" i="16"/>
  <c r="AO51" i="16" s="1"/>
  <c r="AO34" i="16"/>
  <c r="AO40" i="16" s="1"/>
  <c r="AO24" i="16"/>
  <c r="AA35" i="16"/>
  <c r="AA39" i="16"/>
  <c r="AX21" i="17"/>
  <c r="AX22" i="17"/>
  <c r="AN35" i="17"/>
  <c r="AN46" i="16"/>
  <c r="AN50" i="16"/>
  <c r="AN46" i="17"/>
  <c r="F34" i="16"/>
  <c r="F40" i="16" s="1"/>
  <c r="F45" i="16"/>
  <c r="F51" i="16" s="1"/>
  <c r="F24" i="16"/>
  <c r="G50" i="16"/>
  <c r="G46" i="16"/>
  <c r="AO50" i="16"/>
  <c r="K34" i="17"/>
  <c r="K40" i="17" s="1"/>
  <c r="K45" i="17"/>
  <c r="K51" i="17" s="1"/>
  <c r="K24" i="17"/>
  <c r="AZ22" i="17"/>
  <c r="D24" i="17"/>
  <c r="D45" i="17"/>
  <c r="D51" i="17" s="1"/>
  <c r="D34" i="17"/>
  <c r="D40" i="17" s="1"/>
  <c r="AL50" i="16"/>
  <c r="AH46" i="16"/>
  <c r="AH50" i="16"/>
  <c r="AO35" i="17"/>
  <c r="AO39" i="17"/>
  <c r="O34" i="18"/>
  <c r="O40" i="18" s="1"/>
  <c r="O45" i="18"/>
  <c r="O51" i="18" s="1"/>
  <c r="O24" i="18"/>
  <c r="S39" i="17"/>
  <c r="S35" i="17"/>
  <c r="Y35" i="18"/>
  <c r="N46" i="18"/>
  <c r="AC44" i="18"/>
  <c r="AC33" i="18"/>
  <c r="AC23" i="18"/>
  <c r="P39" i="18"/>
  <c r="P35" i="18"/>
  <c r="AW23" i="18"/>
  <c r="AW44" i="18"/>
  <c r="AW33" i="18"/>
  <c r="AV34" i="16"/>
  <c r="AV40" i="16" s="1"/>
  <c r="AV24" i="16"/>
  <c r="AV45" i="16"/>
  <c r="AV51" i="16" s="1"/>
  <c r="U46" i="16"/>
  <c r="U50" i="16"/>
  <c r="G35" i="16"/>
  <c r="G39" i="16"/>
  <c r="AS35" i="17"/>
  <c r="AS39" i="17"/>
  <c r="V50" i="18"/>
  <c r="V46" i="18"/>
  <c r="AU50" i="17"/>
  <c r="AU46" i="17"/>
  <c r="AO39" i="16"/>
  <c r="AO35" i="16"/>
  <c r="H46" i="16"/>
  <c r="H50" i="16"/>
  <c r="AI39" i="17"/>
  <c r="AR50" i="17"/>
  <c r="M35" i="16"/>
  <c r="M39" i="16"/>
  <c r="AI24" i="17"/>
  <c r="AI45" i="17"/>
  <c r="AI51" i="17" s="1"/>
  <c r="AI34" i="17"/>
  <c r="AI40" i="17" s="1"/>
  <c r="AP24" i="17"/>
  <c r="AP34" i="17"/>
  <c r="AP40" i="17" s="1"/>
  <c r="AP45" i="17"/>
  <c r="AP51" i="17" s="1"/>
  <c r="AV46" i="16"/>
  <c r="AV50" i="16"/>
  <c r="AH39" i="16"/>
  <c r="AH35" i="16"/>
  <c r="Z24" i="16"/>
  <c r="Z45" i="16"/>
  <c r="Z51" i="16" s="1"/>
  <c r="Z34" i="16"/>
  <c r="Z40" i="16" s="1"/>
  <c r="R35" i="17"/>
  <c r="R39" i="17"/>
  <c r="W46" i="16"/>
  <c r="W50" i="16"/>
  <c r="AL35" i="18"/>
  <c r="AL39" i="18"/>
  <c r="T40" i="18"/>
  <c r="T35" i="18"/>
  <c r="AC33" i="17"/>
  <c r="AC44" i="17"/>
  <c r="AC23" i="17"/>
  <c r="AB50" i="18"/>
  <c r="AB46" i="18"/>
  <c r="Z35" i="18"/>
  <c r="Z39" i="18"/>
  <c r="K39" i="17"/>
  <c r="K35" i="17"/>
  <c r="AD34" i="17"/>
  <c r="AD40" i="17" s="1"/>
  <c r="AD24" i="17"/>
  <c r="AD45" i="17"/>
  <c r="AD51" i="17" s="1"/>
  <c r="AQ39" i="17"/>
  <c r="AQ35" i="17"/>
  <c r="AI39" i="16"/>
  <c r="AI35" i="16"/>
  <c r="S46" i="16"/>
  <c r="S50" i="16"/>
  <c r="E34" i="16"/>
  <c r="E40" i="16" s="1"/>
  <c r="E24" i="16"/>
  <c r="E45" i="16"/>
  <c r="E51" i="16" s="1"/>
  <c r="P50" i="16"/>
  <c r="P46" i="16"/>
  <c r="AT23" i="16"/>
  <c r="AT33" i="16"/>
  <c r="AT44" i="16"/>
  <c r="AD46" i="17"/>
  <c r="AD50" i="17"/>
  <c r="AM23" i="18"/>
  <c r="AM44" i="18"/>
  <c r="AM33" i="18"/>
  <c r="Z46" i="18"/>
  <c r="Z50" i="18"/>
  <c r="AN50" i="18"/>
  <c r="AN46" i="18"/>
  <c r="AJ24" i="16"/>
  <c r="AJ45" i="16"/>
  <c r="AJ51" i="16" s="1"/>
  <c r="AJ34" i="16"/>
  <c r="AJ40" i="16" s="1"/>
  <c r="AG45" i="16"/>
  <c r="AG51" i="16" s="1"/>
  <c r="AG24" i="16"/>
  <c r="AG34" i="16"/>
  <c r="AG40" i="16" s="1"/>
  <c r="M34" i="17"/>
  <c r="M40" i="17" s="1"/>
  <c r="M24" i="17"/>
  <c r="M45" i="17"/>
  <c r="M51" i="17" s="1"/>
  <c r="AW50" i="16"/>
  <c r="AW46" i="16"/>
  <c r="AY40" i="18"/>
  <c r="AY35" i="18"/>
  <c r="D46" i="16"/>
  <c r="D50" i="16"/>
  <c r="AA39" i="17"/>
  <c r="AA35" i="17"/>
  <c r="X39" i="16"/>
  <c r="X35" i="16"/>
  <c r="AE39" i="17"/>
  <c r="AE35" i="17"/>
  <c r="AR39" i="16"/>
  <c r="AR35" i="16"/>
  <c r="I34" i="17"/>
  <c r="I40" i="17" s="1"/>
  <c r="I24" i="17"/>
  <c r="I45" i="17"/>
  <c r="I51" i="17" s="1"/>
  <c r="AL34" i="16"/>
  <c r="AL40" i="16" s="1"/>
  <c r="AL45" i="16"/>
  <c r="AL51" i="16" s="1"/>
  <c r="AL24" i="16"/>
  <c r="AR24" i="17"/>
  <c r="AR34" i="17"/>
  <c r="AR40" i="17" s="1"/>
  <c r="AR45" i="17"/>
  <c r="AR51" i="17" s="1"/>
  <c r="AR34" i="16"/>
  <c r="AR40" i="16" s="1"/>
  <c r="AR45" i="16"/>
  <c r="AR51" i="16" s="1"/>
  <c r="AR24" i="16"/>
  <c r="M44" i="17"/>
  <c r="M33" i="17"/>
  <c r="M23" i="17"/>
  <c r="G30" i="18"/>
  <c r="H27" i="18"/>
  <c r="AV50" i="18"/>
  <c r="AV46" i="18"/>
  <c r="T45" i="16"/>
  <c r="T51" i="16" s="1"/>
  <c r="T24" i="16"/>
  <c r="T34" i="16"/>
  <c r="T40" i="16" s="1"/>
  <c r="T50" i="16"/>
  <c r="AX35" i="18"/>
  <c r="AX39" i="18"/>
  <c r="AN35" i="16"/>
  <c r="AN39" i="16"/>
  <c r="R40" i="18"/>
  <c r="R35" i="18"/>
  <c r="F50" i="17"/>
  <c r="F46" i="17"/>
  <c r="AR24" i="18"/>
  <c r="AR45" i="18"/>
  <c r="AR51" i="18" s="1"/>
  <c r="AR34" i="18"/>
  <c r="AR40" i="18" s="1"/>
  <c r="AD35" i="18"/>
  <c r="AD39" i="18"/>
  <c r="AW39" i="16"/>
  <c r="AW35" i="16"/>
  <c r="Q44" i="17"/>
  <c r="Q23" i="17"/>
  <c r="Q33" i="17"/>
  <c r="AP50" i="18"/>
  <c r="AP46" i="18"/>
  <c r="X45" i="17"/>
  <c r="X24" i="17"/>
  <c r="X34" i="17"/>
  <c r="AK23" i="18"/>
  <c r="AK44" i="18"/>
  <c r="AK33" i="18"/>
  <c r="AM35" i="16"/>
  <c r="AM39" i="16"/>
  <c r="L44" i="16"/>
  <c r="L33" i="16"/>
  <c r="L23" i="16"/>
  <c r="R33" i="16"/>
  <c r="R44" i="16"/>
  <c r="R23" i="16"/>
  <c r="L50" i="18"/>
  <c r="L46" i="18"/>
  <c r="AC24" i="18"/>
  <c r="AC34" i="18"/>
  <c r="AC40" i="18" s="1"/>
  <c r="AC45" i="18"/>
  <c r="AC51" i="18" s="1"/>
  <c r="Q50" i="16"/>
  <c r="Q46" i="16"/>
  <c r="J34" i="16"/>
  <c r="J40" i="16" s="1"/>
  <c r="J45" i="16"/>
  <c r="J51" i="16" s="1"/>
  <c r="J24" i="16"/>
  <c r="AH44" i="17"/>
  <c r="AH23" i="17"/>
  <c r="AH33" i="17"/>
  <c r="AA46" i="16"/>
  <c r="AA50" i="16"/>
  <c r="H39" i="16"/>
  <c r="H35" i="16"/>
  <c r="AU50" i="16"/>
  <c r="AU46" i="16"/>
  <c r="O44" i="16"/>
  <c r="O33" i="16"/>
  <c r="O23" i="16"/>
  <c r="U46" i="17"/>
  <c r="U50" i="17"/>
  <c r="AK24" i="18"/>
  <c r="AK34" i="18"/>
  <c r="AK40" i="18" s="1"/>
  <c r="AK45" i="18"/>
  <c r="AK51" i="18" s="1"/>
  <c r="AL34" i="17"/>
  <c r="AL40" i="17" s="1"/>
  <c r="AL24" i="17"/>
  <c r="AL45" i="17"/>
  <c r="AL51" i="17" s="1"/>
  <c r="W23" i="17"/>
  <c r="W44" i="17"/>
  <c r="W33" i="17"/>
  <c r="AM45" i="17"/>
  <c r="AM24" i="17"/>
  <c r="AM34" i="17"/>
  <c r="H45" i="17"/>
  <c r="H24" i="17"/>
  <c r="H34" i="17"/>
  <c r="J35" i="18"/>
  <c r="J39" i="18"/>
  <c r="AJ50" i="16"/>
  <c r="L35" i="17"/>
  <c r="L39" i="17"/>
  <c r="AE39" i="18"/>
  <c r="AE35" i="18"/>
  <c r="E23" i="16"/>
  <c r="E33" i="16"/>
  <c r="E44" i="16"/>
  <c r="AB24" i="16"/>
  <c r="AB45" i="16"/>
  <c r="AB51" i="16" s="1"/>
  <c r="AB34" i="16"/>
  <c r="AB40" i="16" s="1"/>
  <c r="X21" i="18"/>
  <c r="X22" i="18"/>
  <c r="V35" i="18"/>
  <c r="V39" i="18"/>
  <c r="AJ33" i="18"/>
  <c r="AJ44" i="18"/>
  <c r="AJ23" i="18"/>
  <c r="AT34" i="16"/>
  <c r="AT40" i="16" s="1"/>
  <c r="AT45" i="16"/>
  <c r="AT51" i="16" s="1"/>
  <c r="AT24" i="16"/>
  <c r="J39" i="16"/>
  <c r="J35" i="16"/>
  <c r="AD39" i="17"/>
  <c r="AJ45" i="17"/>
  <c r="AJ51" i="17" s="1"/>
  <c r="AJ34" i="17"/>
  <c r="AJ40" i="17" s="1"/>
  <c r="AJ24" i="17"/>
  <c r="AU35" i="18"/>
  <c r="AP44" i="17"/>
  <c r="AP23" i="17"/>
  <c r="AP33" i="17"/>
  <c r="AQ24" i="16"/>
  <c r="AQ45" i="16"/>
  <c r="AQ51" i="16" s="1"/>
  <c r="AQ34" i="16"/>
  <c r="AQ40" i="16" s="1"/>
  <c r="E21" i="18"/>
  <c r="E22" i="18"/>
  <c r="Z44" i="16"/>
  <c r="Z33" i="16"/>
  <c r="Z23" i="16"/>
  <c r="AE35" i="16"/>
  <c r="AE39" i="16"/>
  <c r="P51" i="17"/>
  <c r="P46" i="17"/>
  <c r="R46" i="17"/>
  <c r="R50" i="17"/>
  <c r="W35" i="16"/>
  <c r="W39" i="16"/>
  <c r="AM34" i="18"/>
  <c r="AM40" i="18" s="1"/>
  <c r="AM45" i="18"/>
  <c r="AM51" i="18" s="1"/>
  <c r="AM24" i="18"/>
  <c r="AC45" i="17"/>
  <c r="AC51" i="17" s="1"/>
  <c r="AC24" i="17"/>
  <c r="AC34" i="17"/>
  <c r="AC40" i="17" s="1"/>
  <c r="AB39" i="18"/>
  <c r="AB35" i="18"/>
  <c r="K50" i="17"/>
  <c r="D35" i="17"/>
  <c r="D39" i="17"/>
  <c r="K50" i="16"/>
  <c r="K46" i="16"/>
  <c r="AI50" i="16"/>
  <c r="AI46" i="16"/>
  <c r="AG46" i="18"/>
  <c r="AG50" i="18"/>
  <c r="AB35" i="17"/>
  <c r="AB39" i="17"/>
  <c r="AF35" i="18"/>
  <c r="AF39" i="18"/>
  <c r="N40" i="18"/>
  <c r="N35" i="18"/>
  <c r="AP44" i="16"/>
  <c r="AP23" i="16"/>
  <c r="AP33" i="16"/>
  <c r="AT35" i="17"/>
  <c r="AT39" i="17"/>
  <c r="S35" i="16"/>
  <c r="S39" i="16"/>
  <c r="K46" i="17" l="1"/>
  <c r="AM40" i="17"/>
  <c r="AM35" i="17"/>
  <c r="O50" i="16"/>
  <c r="O46" i="16"/>
  <c r="L39" i="16"/>
  <c r="L35" i="16"/>
  <c r="M39" i="17"/>
  <c r="M35" i="17"/>
  <c r="AC35" i="17"/>
  <c r="AC39" i="17"/>
  <c r="G51" i="17"/>
  <c r="G46" i="17"/>
  <c r="G39" i="18"/>
  <c r="G35" i="18"/>
  <c r="I50" i="17"/>
  <c r="I46" i="17"/>
  <c r="AQ50" i="16"/>
  <c r="AQ46" i="16"/>
  <c r="O46" i="18"/>
  <c r="O50" i="18"/>
  <c r="F50" i="16"/>
  <c r="F46" i="16"/>
  <c r="F46" i="18"/>
  <c r="F50" i="18"/>
  <c r="AG35" i="16"/>
  <c r="AG39" i="16"/>
  <c r="AP46" i="16"/>
  <c r="AP50" i="16"/>
  <c r="AD35" i="17"/>
  <c r="AJ50" i="18"/>
  <c r="AJ46" i="18"/>
  <c r="AJ46" i="16"/>
  <c r="AH50" i="17"/>
  <c r="AH46" i="17"/>
  <c r="L46" i="16"/>
  <c r="L50" i="16"/>
  <c r="X51" i="17"/>
  <c r="X46" i="17"/>
  <c r="M46" i="17"/>
  <c r="M50" i="17"/>
  <c r="AM39" i="18"/>
  <c r="AM35" i="18"/>
  <c r="AR46" i="17"/>
  <c r="AL46" i="16"/>
  <c r="AO46" i="16"/>
  <c r="D35" i="16"/>
  <c r="U35" i="17"/>
  <c r="F39" i="16"/>
  <c r="F35" i="16"/>
  <c r="AI39" i="18"/>
  <c r="AI35" i="18"/>
  <c r="F35" i="18"/>
  <c r="F39" i="18"/>
  <c r="AU35" i="17"/>
  <c r="O35" i="16"/>
  <c r="O39" i="16"/>
  <c r="AT39" i="16"/>
  <c r="AT35" i="16"/>
  <c r="AC46" i="17"/>
  <c r="AC50" i="17"/>
  <c r="O35" i="18"/>
  <c r="O39" i="18"/>
  <c r="AR39" i="18"/>
  <c r="AR35" i="18"/>
  <c r="AM51" i="17"/>
  <c r="AM46" i="17"/>
  <c r="AJ46" i="17"/>
  <c r="K35" i="18"/>
  <c r="K39" i="18"/>
  <c r="T35" i="17"/>
  <c r="T39" i="17"/>
  <c r="K35" i="16"/>
  <c r="U35" i="16"/>
  <c r="Z46" i="16"/>
  <c r="Z50" i="16"/>
  <c r="AP46" i="17"/>
  <c r="AP50" i="17"/>
  <c r="W46" i="17"/>
  <c r="W50" i="17"/>
  <c r="AK39" i="18"/>
  <c r="AK35" i="18"/>
  <c r="Q35" i="17"/>
  <c r="Q39" i="17"/>
  <c r="AC46" i="18"/>
  <c r="AC50" i="18"/>
  <c r="AZ24" i="17"/>
  <c r="AX45" i="17"/>
  <c r="AX51" i="17" s="1"/>
  <c r="AX24" i="17"/>
  <c r="AX34" i="17"/>
  <c r="AX40" i="17" s="1"/>
  <c r="AY39" i="16"/>
  <c r="AY35" i="16"/>
  <c r="AL35" i="17"/>
  <c r="AL39" i="17"/>
  <c r="AI46" i="17"/>
  <c r="AH50" i="18"/>
  <c r="AH46" i="18"/>
  <c r="T46" i="17"/>
  <c r="T50" i="17"/>
  <c r="I46" i="16"/>
  <c r="H51" i="17"/>
  <c r="H46" i="17"/>
  <c r="AH39" i="17"/>
  <c r="AH35" i="17"/>
  <c r="X40" i="17"/>
  <c r="X35" i="17"/>
  <c r="I39" i="17"/>
  <c r="I35" i="17"/>
  <c r="E50" i="16"/>
  <c r="E46" i="16"/>
  <c r="AZ24" i="16"/>
  <c r="H30" i="16"/>
  <c r="I27" i="16"/>
  <c r="AJ35" i="17"/>
  <c r="I27" i="17"/>
  <c r="H30" i="17"/>
  <c r="W35" i="17"/>
  <c r="W39" i="17"/>
  <c r="E24" i="18"/>
  <c r="AZ24" i="18" s="1"/>
  <c r="E34" i="18"/>
  <c r="E40" i="18" s="1"/>
  <c r="E45" i="18"/>
  <c r="E51" i="18" s="1"/>
  <c r="AZ22" i="18"/>
  <c r="X24" i="18"/>
  <c r="X34" i="18"/>
  <c r="X40" i="18" s="1"/>
  <c r="X45" i="18"/>
  <c r="X51" i="18" s="1"/>
  <c r="H40" i="17"/>
  <c r="H35" i="17"/>
  <c r="R46" i="16"/>
  <c r="R50" i="16"/>
  <c r="AK46" i="18"/>
  <c r="AK50" i="18"/>
  <c r="I27" i="18"/>
  <c r="H30" i="18"/>
  <c r="AW39" i="18"/>
  <c r="AW35" i="18"/>
  <c r="AX44" i="17"/>
  <c r="AX33" i="17"/>
  <c r="AX23" i="17"/>
  <c r="AZ23" i="17" s="1"/>
  <c r="AY50" i="16"/>
  <c r="AY46" i="16"/>
  <c r="O46" i="17"/>
  <c r="O50" i="17"/>
  <c r="AB35" i="16"/>
  <c r="AR50" i="18"/>
  <c r="AR46" i="18"/>
  <c r="V50" i="17"/>
  <c r="V46" i="17"/>
  <c r="AP35" i="16"/>
  <c r="AP39" i="16"/>
  <c r="E46" i="17"/>
  <c r="E50" i="17"/>
  <c r="AG46" i="16"/>
  <c r="AG50" i="16"/>
  <c r="AP35" i="17"/>
  <c r="AP39" i="17"/>
  <c r="AJ35" i="18"/>
  <c r="AJ39" i="18"/>
  <c r="AM50" i="18"/>
  <c r="AM46" i="18"/>
  <c r="G46" i="18"/>
  <c r="G50" i="18"/>
  <c r="AJ35" i="16"/>
  <c r="K50" i="18"/>
  <c r="K46" i="18"/>
  <c r="Z35" i="16"/>
  <c r="Z39" i="16"/>
  <c r="E35" i="16"/>
  <c r="E39" i="16"/>
  <c r="AI35" i="17"/>
  <c r="AC35" i="18"/>
  <c r="AC39" i="18"/>
  <c r="AL50" i="17"/>
  <c r="AL46" i="17"/>
  <c r="AI46" i="18"/>
  <c r="AI50" i="18"/>
  <c r="E33" i="18"/>
  <c r="E23" i="18"/>
  <c r="E44" i="18"/>
  <c r="AZ21" i="18"/>
  <c r="X33" i="18"/>
  <c r="X23" i="18"/>
  <c r="X44" i="18"/>
  <c r="R35" i="16"/>
  <c r="R39" i="16"/>
  <c r="Q50" i="17"/>
  <c r="Q46" i="17"/>
  <c r="T46" i="16"/>
  <c r="AT50" i="16"/>
  <c r="AT46" i="16"/>
  <c r="AW46" i="18"/>
  <c r="AW50" i="18"/>
  <c r="AR46" i="16"/>
  <c r="G40" i="17"/>
  <c r="G35" i="17"/>
  <c r="J46" i="16"/>
  <c r="AQ35" i="16"/>
  <c r="AQ39" i="16"/>
  <c r="O35" i="17"/>
  <c r="O39" i="17"/>
  <c r="E39" i="17"/>
  <c r="E35" i="17"/>
  <c r="V35" i="17"/>
  <c r="V39" i="17"/>
  <c r="AH35" i="18"/>
  <c r="AH39" i="18"/>
  <c r="I35" i="16"/>
  <c r="AZ21" i="17"/>
  <c r="X46" i="18" l="1"/>
  <c r="X50" i="18"/>
  <c r="X35" i="18"/>
  <c r="X39" i="18"/>
  <c r="J27" i="18"/>
  <c r="I30" i="18"/>
  <c r="I30" i="17"/>
  <c r="J27" i="17"/>
  <c r="E46" i="18"/>
  <c r="E50" i="18"/>
  <c r="AZ23" i="18"/>
  <c r="AX35" i="17"/>
  <c r="AX39" i="17"/>
  <c r="J27" i="16"/>
  <c r="I30" i="16"/>
  <c r="E35" i="18"/>
  <c r="E39" i="18"/>
  <c r="AX50" i="17"/>
  <c r="AX46" i="17"/>
  <c r="K27" i="17" l="1"/>
  <c r="J30" i="17"/>
  <c r="J30" i="16"/>
  <c r="K27" i="16"/>
  <c r="J30" i="18"/>
  <c r="K27" i="18"/>
  <c r="K30" i="18" l="1"/>
  <c r="L27" i="18"/>
  <c r="L27" i="16"/>
  <c r="K30" i="16"/>
  <c r="L27" i="17"/>
  <c r="K30" i="17"/>
  <c r="M27" i="17" l="1"/>
  <c r="L30" i="17"/>
  <c r="L30" i="16"/>
  <c r="M27" i="16"/>
  <c r="L30" i="18"/>
  <c r="M27" i="18"/>
  <c r="N27" i="16" l="1"/>
  <c r="M30" i="16"/>
  <c r="N27" i="17"/>
  <c r="M30" i="17"/>
  <c r="M30" i="18"/>
  <c r="N27" i="18"/>
  <c r="N30" i="16" l="1"/>
  <c r="O27" i="16"/>
  <c r="O27" i="18"/>
  <c r="N30" i="18"/>
  <c r="O27" i="17"/>
  <c r="N30" i="17"/>
  <c r="P27" i="18" l="1"/>
  <c r="O30" i="18"/>
  <c r="P27" i="16"/>
  <c r="O30" i="16"/>
  <c r="O30" i="17"/>
  <c r="P27" i="17"/>
  <c r="Q27" i="16" l="1"/>
  <c r="P30" i="16"/>
  <c r="P30" i="18"/>
  <c r="Q27" i="18"/>
  <c r="Q27" i="17"/>
  <c r="P30" i="17"/>
  <c r="R27" i="18" l="1"/>
  <c r="Q30" i="18"/>
  <c r="R27" i="16"/>
  <c r="Q30" i="16"/>
  <c r="Q30" i="17"/>
  <c r="R27" i="17"/>
  <c r="R30" i="16" l="1"/>
  <c r="S27" i="16"/>
  <c r="R30" i="18"/>
  <c r="S27" i="18"/>
  <c r="S27" i="17"/>
  <c r="R30" i="17"/>
  <c r="T27" i="18" l="1"/>
  <c r="S30" i="18"/>
  <c r="T27" i="16"/>
  <c r="S30" i="16"/>
  <c r="S30" i="17"/>
  <c r="T27" i="17"/>
  <c r="T30" i="16" l="1"/>
  <c r="U27" i="16"/>
  <c r="T30" i="18"/>
  <c r="U27" i="18"/>
  <c r="U27" i="17"/>
  <c r="T30" i="17"/>
  <c r="U30" i="18" l="1"/>
  <c r="V27" i="18"/>
  <c r="V27" i="16"/>
  <c r="U30" i="16"/>
  <c r="V27" i="17"/>
  <c r="U30" i="17"/>
  <c r="W27" i="18" l="1"/>
  <c r="V30" i="18"/>
  <c r="W27" i="17"/>
  <c r="V30" i="17"/>
  <c r="V30" i="16"/>
  <c r="W27" i="16"/>
  <c r="W30" i="17" l="1"/>
  <c r="X27" i="17"/>
  <c r="W30" i="18"/>
  <c r="X27" i="18"/>
  <c r="X27" i="16"/>
  <c r="W30" i="16"/>
  <c r="X30" i="16" l="1"/>
  <c r="Y27" i="16"/>
  <c r="Y27" i="18"/>
  <c r="X30" i="18"/>
  <c r="Y27" i="17"/>
  <c r="X30" i="17"/>
  <c r="Y30" i="17" l="1"/>
  <c r="Z27" i="17"/>
  <c r="Y30" i="18"/>
  <c r="Z27" i="18"/>
  <c r="Z27" i="16"/>
  <c r="Y30" i="16"/>
  <c r="Z30" i="16" l="1"/>
  <c r="AA27" i="16"/>
  <c r="Z30" i="18"/>
  <c r="AA27" i="18"/>
  <c r="Z30" i="17"/>
  <c r="AA27" i="17"/>
  <c r="AB27" i="18" l="1"/>
  <c r="AA30" i="18"/>
  <c r="AB27" i="16"/>
  <c r="AA30" i="16"/>
  <c r="AB27" i="17"/>
  <c r="AA30" i="17"/>
  <c r="AB30" i="16" l="1"/>
  <c r="AC27" i="16"/>
  <c r="AC27" i="18"/>
  <c r="AB30" i="18"/>
  <c r="AC27" i="17"/>
  <c r="AB30" i="17"/>
  <c r="AC30" i="18" l="1"/>
  <c r="AD27" i="18"/>
  <c r="AD27" i="16"/>
  <c r="AC30" i="16"/>
  <c r="AC30" i="17"/>
  <c r="AD27" i="17"/>
  <c r="AE27" i="16" l="1"/>
  <c r="AD30" i="16"/>
  <c r="AE27" i="18"/>
  <c r="AD30" i="18"/>
  <c r="AE27" i="17"/>
  <c r="AD30" i="17"/>
  <c r="AE30" i="16" l="1"/>
  <c r="AF27" i="16"/>
  <c r="AF27" i="17"/>
  <c r="AE30" i="17"/>
  <c r="AF27" i="18"/>
  <c r="AE30" i="18"/>
  <c r="AG27" i="16" l="1"/>
  <c r="AF30" i="16"/>
  <c r="AG27" i="18"/>
  <c r="AF30" i="18"/>
  <c r="AF30" i="17"/>
  <c r="AG27" i="17"/>
  <c r="AG30" i="18" l="1"/>
  <c r="AH27" i="18"/>
  <c r="AH27" i="17"/>
  <c r="AG30" i="17"/>
  <c r="AG30" i="16"/>
  <c r="AH27" i="16"/>
  <c r="AH30" i="17" l="1"/>
  <c r="AI27" i="17"/>
  <c r="AI27" i="18"/>
  <c r="AH30" i="18"/>
  <c r="AI27" i="16"/>
  <c r="AH30" i="16"/>
  <c r="AI30" i="18" l="1"/>
  <c r="AJ27" i="18"/>
  <c r="AJ27" i="17"/>
  <c r="AI30" i="17"/>
  <c r="AJ27" i="16"/>
  <c r="AI30" i="16"/>
  <c r="AK27" i="16" l="1"/>
  <c r="AJ30" i="16"/>
  <c r="AJ30" i="17"/>
  <c r="AK27" i="17"/>
  <c r="AK27" i="18"/>
  <c r="AJ30" i="18"/>
  <c r="AK30" i="17" l="1"/>
  <c r="AL27" i="17"/>
  <c r="AK30" i="16"/>
  <c r="AL27" i="16"/>
  <c r="AK30" i="18"/>
  <c r="AL27" i="18"/>
  <c r="AL30" i="17" l="1"/>
  <c r="AM27" i="17"/>
  <c r="AM27" i="18"/>
  <c r="AL30" i="18"/>
  <c r="AM27" i="16"/>
  <c r="AL30" i="16"/>
  <c r="AN27" i="18" l="1"/>
  <c r="AM30" i="18"/>
  <c r="AM30" i="17"/>
  <c r="AN27" i="17"/>
  <c r="AM30" i="16"/>
  <c r="AN27" i="16"/>
  <c r="AN30" i="17" l="1"/>
  <c r="AO27" i="17"/>
  <c r="AO27" i="18"/>
  <c r="AN30" i="18"/>
  <c r="AN30" i="16"/>
  <c r="AO27" i="16"/>
  <c r="AO30" i="18" l="1"/>
  <c r="AP27" i="18"/>
  <c r="AP27" i="17"/>
  <c r="AO30" i="17"/>
  <c r="AP27" i="16"/>
  <c r="AO30" i="16"/>
  <c r="AQ27" i="18" l="1"/>
  <c r="AP30" i="18"/>
  <c r="AP30" i="16"/>
  <c r="AQ27" i="16"/>
  <c r="AQ27" i="17"/>
  <c r="AP30" i="17"/>
  <c r="AR27" i="16" l="1"/>
  <c r="AQ30" i="16"/>
  <c r="AQ30" i="18"/>
  <c r="AR27" i="18"/>
  <c r="AQ30" i="17"/>
  <c r="AR27" i="17"/>
  <c r="AS27" i="18" l="1"/>
  <c r="AR30" i="18"/>
  <c r="AS27" i="16"/>
  <c r="AR30" i="16"/>
  <c r="AS27" i="17"/>
  <c r="AR30" i="17"/>
  <c r="AS30" i="16" l="1"/>
  <c r="AT27" i="16"/>
  <c r="AS30" i="18"/>
  <c r="AT27" i="18"/>
  <c r="AT27" i="17"/>
  <c r="AS30" i="17"/>
  <c r="AU27" i="18" l="1"/>
  <c r="AT30" i="18"/>
  <c r="AU27" i="16"/>
  <c r="AT30" i="16"/>
  <c r="AT30" i="17"/>
  <c r="AU27" i="17"/>
  <c r="AV27" i="17" l="1"/>
  <c r="AU30" i="17"/>
  <c r="AU30" i="16"/>
  <c r="AV27" i="16"/>
  <c r="AU30" i="18"/>
  <c r="AV27" i="18"/>
  <c r="AV30" i="16" l="1"/>
  <c r="AW27" i="16"/>
  <c r="AV30" i="18"/>
  <c r="AW27" i="18"/>
  <c r="AV30" i="17"/>
  <c r="AW27" i="17"/>
  <c r="AX27" i="17" l="1"/>
  <c r="AW30" i="17"/>
  <c r="AW30" i="18"/>
  <c r="AX27" i="18"/>
  <c r="AX27" i="16"/>
  <c r="AW30" i="16"/>
  <c r="AY27" i="18" l="1"/>
  <c r="AY30" i="18" s="1"/>
  <c r="AZ30" i="18" s="1"/>
  <c r="AX30" i="18"/>
  <c r="AY27" i="17"/>
  <c r="AY30" i="17" s="1"/>
  <c r="AX30" i="17"/>
  <c r="AX30" i="16"/>
  <c r="AY27" i="16"/>
  <c r="AY30" i="16" s="1"/>
  <c r="AZ30" i="16" s="1"/>
  <c r="AZ30" i="17" l="1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107" i="5" s="1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 l="1"/>
  <c r="H6" i="5"/>
  <c r="G16" i="5"/>
</calcChain>
</file>

<file path=xl/sharedStrings.xml><?xml version="1.0" encoding="utf-8"?>
<sst xmlns="http://schemas.openxmlformats.org/spreadsheetml/2006/main" count="2532" uniqueCount="414">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</sst>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1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5" borderId="0" xfId="0" applyFill="1"/>
    <xf numFmtId="0" fontId="0" fillId="0" borderId="0" xfId="0" applyFill="1"/>
    <xf numFmtId="0" fontId="2" fillId="0" borderId="0" xfId="0" applyFont="1"/>
    <xf numFmtId="0" fontId="2" fillId="0" borderId="0" xfId="0" applyFont="1" applyFill="1"/>
    <xf numFmtId="0" fontId="0" fillId="6" borderId="0" xfId="0" applyFill="1"/>
    <xf numFmtId="0" fontId="0" fillId="0" borderId="0" xfId="0" applyFill="1" applyBorder="1"/>
    <xf numFmtId="0" fontId="0" fillId="0" borderId="5" xfId="0" applyBorder="1"/>
    <xf numFmtId="0" fontId="0" fillId="0" borderId="11" xfId="0" applyBorder="1"/>
    <xf numFmtId="0" fontId="0" fillId="0" borderId="6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right"/>
    </xf>
    <xf numFmtId="0" fontId="0" fillId="0" borderId="8" xfId="0" applyFill="1" applyBorder="1"/>
    <xf numFmtId="0" fontId="0" fillId="5" borderId="13" xfId="0" applyFill="1" applyBorder="1" applyAlignment="1">
      <alignment horizontal="right"/>
    </xf>
    <xf numFmtId="0" fontId="0" fillId="7" borderId="8" xfId="0" applyFill="1" applyBorder="1"/>
    <xf numFmtId="0" fontId="0" fillId="0" borderId="13" xfId="0" applyBorder="1"/>
    <xf numFmtId="0" fontId="0" fillId="5" borderId="0" xfId="0" applyFill="1" applyAlignment="1">
      <alignment horizontal="right"/>
    </xf>
    <xf numFmtId="0" fontId="0" fillId="7" borderId="0" xfId="0" applyFill="1" applyBorder="1"/>
    <xf numFmtId="0" fontId="0" fillId="2" borderId="0" xfId="0" applyFill="1" applyBorder="1"/>
    <xf numFmtId="0" fontId="0" fillId="7" borderId="13" xfId="0" applyFill="1" applyBorder="1"/>
    <xf numFmtId="0" fontId="0" fillId="5" borderId="9" xfId="0" applyFill="1" applyBorder="1" applyAlignment="1">
      <alignment horizontal="right"/>
    </xf>
    <xf numFmtId="0" fontId="0" fillId="7" borderId="9" xfId="0" applyFill="1" applyBorder="1"/>
    <xf numFmtId="0" fontId="0" fillId="0" borderId="9" xfId="0" applyBorder="1"/>
    <xf numFmtId="0" fontId="0" fillId="0" borderId="8" xfId="0" applyBorder="1"/>
    <xf numFmtId="0" fontId="0" fillId="5" borderId="1" xfId="0" applyFill="1" applyBorder="1" applyAlignment="1">
      <alignment horizontal="right"/>
    </xf>
    <xf numFmtId="0" fontId="0" fillId="3" borderId="0" xfId="0" applyFill="1" applyBorder="1"/>
    <xf numFmtId="0" fontId="0" fillId="0" borderId="3" xfId="0" applyBorder="1"/>
    <xf numFmtId="0" fontId="0" fillId="8" borderId="8" xfId="0" applyFill="1" applyBorder="1"/>
    <xf numFmtId="0" fontId="0" fillId="8" borderId="0" xfId="0" applyFill="1" applyBorder="1"/>
    <xf numFmtId="0" fontId="0" fillId="5" borderId="6" xfId="0" applyFill="1" applyBorder="1" applyAlignment="1">
      <alignment horizontal="right"/>
    </xf>
    <xf numFmtId="0" fontId="0" fillId="9" borderId="8" xfId="0" applyFill="1" applyBorder="1" applyAlignment="1">
      <alignment horizontal="right"/>
    </xf>
    <xf numFmtId="0" fontId="0" fillId="5" borderId="13" xfId="0" applyFill="1" applyBorder="1"/>
    <xf numFmtId="10" fontId="0" fillId="0" borderId="13" xfId="0" applyNumberFormat="1" applyBorder="1"/>
    <xf numFmtId="0" fontId="0" fillId="5" borderId="9" xfId="0" applyFill="1" applyBorder="1"/>
    <xf numFmtId="0" fontId="0" fillId="5" borderId="8" xfId="0" applyFill="1" applyBorder="1"/>
    <xf numFmtId="0" fontId="0" fillId="6" borderId="9" xfId="0" applyFill="1" applyBorder="1"/>
    <xf numFmtId="0" fontId="0" fillId="0" borderId="9" xfId="0" applyFill="1" applyBorder="1"/>
    <xf numFmtId="0" fontId="0" fillId="0" borderId="10" xfId="0" applyFill="1" applyBorder="1"/>
    <xf numFmtId="0" fontId="0" fillId="6" borderId="8" xfId="0" applyFill="1" applyBorder="1"/>
    <xf numFmtId="0" fontId="0" fillId="0" borderId="15" xfId="0" applyFill="1" applyBorder="1"/>
    <xf numFmtId="0" fontId="0" fillId="0" borderId="0" xfId="0" applyFill="1" applyBorder="1" applyAlignment="1">
      <alignment horizontal="left"/>
    </xf>
    <xf numFmtId="0" fontId="0" fillId="7" borderId="13" xfId="0" applyFill="1" applyBorder="1" applyAlignment="1">
      <alignment horizontal="right"/>
    </xf>
    <xf numFmtId="0" fontId="0" fillId="0" borderId="13" xfId="0" applyFill="1" applyBorder="1"/>
    <xf numFmtId="0" fontId="4" fillId="0" borderId="9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4" fillId="0" borderId="0" xfId="0" applyFont="1" applyFill="1" applyBorder="1" applyAlignment="1"/>
    <xf numFmtId="0" fontId="4" fillId="5" borderId="13" xfId="0" applyFont="1" applyFill="1" applyBorder="1" applyAlignment="1">
      <alignment horizontal="right"/>
    </xf>
    <xf numFmtId="0" fontId="4" fillId="7" borderId="13" xfId="0" applyFont="1" applyFill="1" applyBorder="1" applyAlignment="1"/>
    <xf numFmtId="0" fontId="0" fillId="0" borderId="5" xfId="0" applyFill="1" applyBorder="1"/>
    <xf numFmtId="0" fontId="1" fillId="0" borderId="0" xfId="0" applyFont="1" applyBorder="1"/>
    <xf numFmtId="0" fontId="0" fillId="0" borderId="9" xfId="0" applyFill="1" applyBorder="1" applyAlignment="1">
      <alignment horizontal="right"/>
    </xf>
    <xf numFmtId="10" fontId="0" fillId="5" borderId="13" xfId="0" applyNumberFormat="1" applyFill="1" applyBorder="1"/>
    <xf numFmtId="0" fontId="0" fillId="5" borderId="0" xfId="0" applyFill="1" applyBorder="1" applyAlignment="1">
      <alignment horizontal="right"/>
    </xf>
    <xf numFmtId="10" fontId="0" fillId="0" borderId="0" xfId="0" applyNumberFormat="1" applyFill="1" applyBorder="1"/>
    <xf numFmtId="0" fontId="0" fillId="0" borderId="12" xfId="0" applyFill="1" applyBorder="1"/>
    <xf numFmtId="0" fontId="0" fillId="5" borderId="8" xfId="0" applyFill="1" applyBorder="1" applyAlignment="1">
      <alignment horizontal="right"/>
    </xf>
    <xf numFmtId="10" fontId="0" fillId="0" borderId="8" xfId="0" applyNumberFormat="1" applyFill="1" applyBorder="1"/>
    <xf numFmtId="0" fontId="0" fillId="6" borderId="9" xfId="0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0" borderId="8" xfId="0" applyNumberFormat="1" applyFill="1" applyBorder="1"/>
    <xf numFmtId="0" fontId="1" fillId="0" borderId="0" xfId="0" applyFont="1" applyFill="1" applyBorder="1" applyAlignment="1"/>
    <xf numFmtId="0" fontId="0" fillId="0" borderId="2" xfId="0" applyBorder="1"/>
    <xf numFmtId="0" fontId="0" fillId="5" borderId="0" xfId="0" applyFill="1" applyBorder="1"/>
    <xf numFmtId="0" fontId="0" fillId="0" borderId="7" xfId="0" applyBorder="1"/>
    <xf numFmtId="0" fontId="0" fillId="0" borderId="4" xfId="0" applyBorder="1"/>
    <xf numFmtId="0" fontId="0" fillId="0" borderId="3" xfId="0" applyFill="1" applyBorder="1"/>
    <xf numFmtId="0" fontId="0" fillId="6" borderId="13" xfId="0" applyFill="1" applyBorder="1" applyAlignment="1">
      <alignment horizontal="right"/>
    </xf>
    <xf numFmtId="0" fontId="0" fillId="10" borderId="0" xfId="0" applyFill="1"/>
    <xf numFmtId="0" fontId="4" fillId="10" borderId="0" xfId="0" applyFont="1" applyFill="1"/>
    <xf numFmtId="0" fontId="4" fillId="0" borderId="0" xfId="0" applyFont="1" applyFill="1"/>
    <xf numFmtId="0" fontId="4" fillId="5" borderId="0" xfId="0" applyFont="1" applyFill="1"/>
    <xf numFmtId="0" fontId="0" fillId="6" borderId="0" xfId="0" applyNumberFormat="1" applyFill="1" applyAlignment="1"/>
    <xf numFmtId="0" fontId="0" fillId="0" borderId="0" xfId="0" applyAlignment="1">
      <alignment horizontal="right"/>
    </xf>
    <xf numFmtId="0" fontId="0" fillId="6" borderId="0" xfId="0" applyFill="1" applyBorder="1"/>
    <xf numFmtId="0" fontId="0" fillId="0" borderId="0" xfId="0" applyNumberFormat="1"/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NumberFormat="1" applyFont="1" applyAlignment="1">
      <alignment horizontal="left"/>
    </xf>
    <xf numFmtId="1" fontId="0" fillId="0" borderId="10" xfId="0" applyNumberFormat="1" applyBorder="1"/>
    <xf numFmtId="164" fontId="0" fillId="0" borderId="10" xfId="0" applyNumberFormat="1" applyBorder="1"/>
    <xf numFmtId="1" fontId="0" fillId="0" borderId="12" xfId="0" applyNumberFormat="1" applyBorder="1"/>
    <xf numFmtId="164" fontId="0" fillId="0" borderId="12" xfId="0" applyNumberFormat="1" applyBorder="1"/>
    <xf numFmtId="1" fontId="0" fillId="0" borderId="15" xfId="0" applyNumberFormat="1" applyBorder="1"/>
    <xf numFmtId="164" fontId="0" fillId="0" borderId="15" xfId="0" applyNumberFormat="1" applyBorder="1"/>
    <xf numFmtId="164" fontId="0" fillId="0" borderId="13" xfId="0" applyNumberFormat="1" applyBorder="1"/>
    <xf numFmtId="1" fontId="0" fillId="0" borderId="5" xfId="0" applyNumberFormat="1" applyBorder="1"/>
    <xf numFmtId="1" fontId="0" fillId="0" borderId="10" xfId="0" applyNumberFormat="1" applyFill="1" applyBorder="1"/>
    <xf numFmtId="1" fontId="0" fillId="0" borderId="12" xfId="0" applyNumberFormat="1" applyFill="1" applyBorder="1"/>
    <xf numFmtId="1" fontId="0" fillId="0" borderId="15" xfId="0" applyNumberFormat="1" applyFill="1" applyBorder="1"/>
    <xf numFmtId="0" fontId="0" fillId="0" borderId="9" xfId="0" applyBorder="1" applyAlignment="1">
      <alignment horizontal="right"/>
    </xf>
    <xf numFmtId="164" fontId="0" fillId="0" borderId="0" xfId="0" applyNumberFormat="1"/>
    <xf numFmtId="0" fontId="13" fillId="0" borderId="0" xfId="0" applyFont="1"/>
    <xf numFmtId="164" fontId="0" fillId="0" borderId="27" xfId="0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113" t="s">
        <v>165</v>
      </c>
      <c r="E4" s="114"/>
      <c r="F4" s="115"/>
    </row>
    <row r="5" spans="2:6" x14ac:dyDescent="0.2">
      <c r="B5" s="6"/>
      <c r="C5" s="7" t="s">
        <v>111</v>
      </c>
      <c r="D5" s="116">
        <v>2009</v>
      </c>
      <c r="E5" s="117"/>
      <c r="F5" s="118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337</v>
      </c>
      <c r="D8">
        <v>2</v>
      </c>
      <c r="E8" t="s">
        <v>338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91">
        <v>-174</v>
      </c>
      <c r="D6" s="15">
        <v>552</v>
      </c>
      <c r="E6" s="15" t="s">
        <v>166</v>
      </c>
      <c r="F6" s="15" t="s">
        <v>6</v>
      </c>
      <c r="G6" s="15">
        <f t="shared" ref="G6:G15" si="0">$D6+$C6</f>
        <v>378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91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91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91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91">
        <v>-56</v>
      </c>
      <c r="D10" s="15">
        <v>570</v>
      </c>
      <c r="E10" s="15" t="s">
        <v>166</v>
      </c>
      <c r="F10" s="15" t="s">
        <v>6</v>
      </c>
      <c r="G10" s="15">
        <f t="shared" si="0"/>
        <v>514</v>
      </c>
      <c r="H10" s="17" t="str">
        <f t="shared" si="1"/>
        <v/>
      </c>
    </row>
    <row r="11" spans="2:8" x14ac:dyDescent="0.2">
      <c r="B11" s="14" t="s">
        <v>11</v>
      </c>
      <c r="C11" s="91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91">
        <v>-219</v>
      </c>
      <c r="D12" s="15">
        <v>3853</v>
      </c>
      <c r="E12" s="15" t="s">
        <v>166</v>
      </c>
      <c r="F12" s="15" t="s">
        <v>6</v>
      </c>
      <c r="G12" s="15">
        <f t="shared" si="0"/>
        <v>3634</v>
      </c>
      <c r="H12" s="17" t="str">
        <f t="shared" si="1"/>
        <v/>
      </c>
    </row>
    <row r="13" spans="2:8" x14ac:dyDescent="0.2">
      <c r="B13" s="14" t="s">
        <v>13</v>
      </c>
      <c r="C13" s="91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91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91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92">
        <v>-3</v>
      </c>
      <c r="D21" s="15">
        <v>15</v>
      </c>
      <c r="E21" s="15"/>
      <c r="F21" s="15" t="s">
        <v>6</v>
      </c>
      <c r="G21" s="15">
        <f t="shared" ref="G21:G30" si="2">$D21+$C21</f>
        <v>12</v>
      </c>
      <c r="H21" s="17"/>
    </row>
    <row r="22" spans="2:8" x14ac:dyDescent="0.2">
      <c r="B22" s="14" t="s">
        <v>7</v>
      </c>
      <c r="C22" s="92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92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92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92">
        <v>-1</v>
      </c>
      <c r="D25" s="15">
        <v>23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92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92">
        <v>-10</v>
      </c>
      <c r="D27" s="15">
        <v>66</v>
      </c>
      <c r="E27" s="15"/>
      <c r="F27" s="15" t="s">
        <v>6</v>
      </c>
      <c r="G27" s="15">
        <f t="shared" si="2"/>
        <v>56</v>
      </c>
      <c r="H27" s="17"/>
    </row>
    <row r="28" spans="2:8" x14ac:dyDescent="0.2">
      <c r="B28" s="14" t="s">
        <v>13</v>
      </c>
      <c r="C28" s="92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92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92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104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40000</v>
      </c>
      <c r="E39" s="15" t="s">
        <v>166</v>
      </c>
      <c r="F39" s="15" t="s">
        <v>6</v>
      </c>
      <c r="G39" s="15">
        <f t="shared" si="3"/>
        <v>40000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43000</v>
      </c>
      <c r="E76" s="15" t="s">
        <v>166</v>
      </c>
      <c r="F76" s="15" t="s">
        <v>6</v>
      </c>
      <c r="G76" s="15">
        <f t="shared" si="5"/>
        <v>43000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4">
        <v>0</v>
      </c>
      <c r="L6" s="94">
        <v>0</v>
      </c>
      <c r="M6" s="94">
        <v>0</v>
      </c>
      <c r="N6" s="94">
        <v>0</v>
      </c>
    </row>
    <row r="7" spans="2:14" x14ac:dyDescent="0.2">
      <c r="B7" s="36" t="s">
        <v>105</v>
      </c>
      <c r="C7" s="95">
        <v>0</v>
      </c>
      <c r="D7" s="96">
        <v>0</v>
      </c>
      <c r="E7" s="96">
        <v>0</v>
      </c>
      <c r="F7" s="96">
        <v>0</v>
      </c>
      <c r="G7" s="96">
        <v>0</v>
      </c>
      <c r="H7" s="96">
        <v>0</v>
      </c>
      <c r="I7" s="96">
        <v>0</v>
      </c>
      <c r="J7" s="96">
        <v>0</v>
      </c>
      <c r="K7" s="96">
        <v>0</v>
      </c>
      <c r="L7" s="96">
        <v>0</v>
      </c>
      <c r="M7" s="96">
        <v>0</v>
      </c>
      <c r="N7" s="96">
        <v>0</v>
      </c>
    </row>
    <row r="8" spans="2:14" x14ac:dyDescent="0.2">
      <c r="B8" s="36" t="s">
        <v>106</v>
      </c>
      <c r="C8" s="95">
        <v>0</v>
      </c>
      <c r="D8" s="96">
        <v>0</v>
      </c>
      <c r="E8" s="96">
        <v>0</v>
      </c>
      <c r="F8" s="96">
        <v>0</v>
      </c>
      <c r="G8" s="96">
        <v>0</v>
      </c>
      <c r="H8" s="96">
        <v>0</v>
      </c>
      <c r="I8" s="96">
        <v>0</v>
      </c>
      <c r="J8" s="96">
        <v>0</v>
      </c>
      <c r="K8" s="96">
        <v>0</v>
      </c>
      <c r="L8" s="96">
        <v>0</v>
      </c>
      <c r="M8" s="96">
        <v>0</v>
      </c>
      <c r="N8" s="96">
        <v>0</v>
      </c>
    </row>
    <row r="9" spans="2:14" x14ac:dyDescent="0.2">
      <c r="B9" s="36" t="s">
        <v>107</v>
      </c>
      <c r="C9" s="95">
        <v>3424.455603999153</v>
      </c>
      <c r="D9" s="96">
        <v>3424.455603999153</v>
      </c>
      <c r="E9" s="96">
        <v>3424.455603999153</v>
      </c>
      <c r="F9" s="96">
        <v>3424.455603999153</v>
      </c>
      <c r="G9" s="96">
        <v>3424.455603999153</v>
      </c>
      <c r="H9" s="96">
        <v>3424.455603999153</v>
      </c>
      <c r="I9" s="96">
        <v>3424.455603999153</v>
      </c>
      <c r="J9" s="96">
        <v>3424.455603999153</v>
      </c>
      <c r="K9" s="96">
        <v>3424.455603999153</v>
      </c>
      <c r="L9" s="96">
        <v>3424.455603999153</v>
      </c>
      <c r="M9" s="96">
        <v>3424.455603999153</v>
      </c>
      <c r="N9" s="96">
        <v>3424.455603999153</v>
      </c>
    </row>
    <row r="10" spans="2:14" x14ac:dyDescent="0.2">
      <c r="B10" s="36" t="s">
        <v>108</v>
      </c>
      <c r="C10" s="95">
        <v>3029.0378293900785</v>
      </c>
      <c r="D10" s="96">
        <v>3029.0378293900785</v>
      </c>
      <c r="E10" s="96">
        <v>3029.0378293900785</v>
      </c>
      <c r="F10" s="96">
        <v>3029.0378293900785</v>
      </c>
      <c r="G10" s="96">
        <v>3029.0378293900785</v>
      </c>
      <c r="H10" s="96">
        <v>3029.0378293900785</v>
      </c>
      <c r="I10" s="96">
        <v>3029.0378293900785</v>
      </c>
      <c r="J10" s="96">
        <v>3029.0378293900785</v>
      </c>
      <c r="K10" s="96">
        <v>3029.0378293900785</v>
      </c>
      <c r="L10" s="96">
        <v>3029.0378293900785</v>
      </c>
      <c r="M10" s="96">
        <v>3029.0378293900785</v>
      </c>
      <c r="N10" s="96">
        <v>3029.0378293900785</v>
      </c>
    </row>
    <row r="11" spans="2:14" x14ac:dyDescent="0.2">
      <c r="B11" s="37" t="s">
        <v>109</v>
      </c>
      <c r="C11" s="95">
        <v>2767.597925428513</v>
      </c>
      <c r="D11" s="96">
        <v>2767.597925428513</v>
      </c>
      <c r="E11" s="96">
        <v>2767.597925428513</v>
      </c>
      <c r="F11" s="96">
        <v>2767.597925428513</v>
      </c>
      <c r="G11" s="96">
        <v>2767.597925428513</v>
      </c>
      <c r="H11" s="96">
        <v>2767.597925428513</v>
      </c>
      <c r="I11" s="96">
        <v>2767.597925428513</v>
      </c>
      <c r="J11" s="96">
        <v>2767.597925428513</v>
      </c>
      <c r="K11" s="96">
        <v>2767.597925428513</v>
      </c>
      <c r="L11" s="96">
        <v>2767.597925428513</v>
      </c>
      <c r="M11" s="96">
        <v>2767.597925428513</v>
      </c>
      <c r="N11" s="96">
        <v>2767.597925428513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7">
        <v>1</v>
      </c>
      <c r="D17" s="97">
        <v>1</v>
      </c>
      <c r="E17" s="97">
        <v>1</v>
      </c>
      <c r="F17" s="97">
        <v>5</v>
      </c>
      <c r="G17" s="97">
        <v>1</v>
      </c>
      <c r="H17" s="97">
        <v>10</v>
      </c>
      <c r="I17" s="29" t="s">
        <v>110</v>
      </c>
    </row>
    <row r="18" spans="2:33" x14ac:dyDescent="0.2">
      <c r="B18" s="36" t="s">
        <v>105</v>
      </c>
      <c r="C18" s="98">
        <v>1</v>
      </c>
      <c r="D18" s="98">
        <v>1</v>
      </c>
      <c r="E18" s="98">
        <v>1</v>
      </c>
      <c r="F18" s="98">
        <v>5</v>
      </c>
      <c r="G18" s="98">
        <v>1</v>
      </c>
      <c r="H18" s="98">
        <v>10</v>
      </c>
      <c r="I18" s="29" t="s">
        <v>110</v>
      </c>
    </row>
    <row r="19" spans="2:33" x14ac:dyDescent="0.2">
      <c r="B19" s="36" t="s">
        <v>106</v>
      </c>
      <c r="C19" s="98">
        <v>1</v>
      </c>
      <c r="D19" s="98">
        <v>1</v>
      </c>
      <c r="E19" s="98">
        <v>1</v>
      </c>
      <c r="F19" s="98">
        <v>5</v>
      </c>
      <c r="G19" s="98">
        <v>1</v>
      </c>
      <c r="H19" s="98">
        <v>10</v>
      </c>
      <c r="I19" s="29" t="s">
        <v>110</v>
      </c>
    </row>
    <row r="20" spans="2:33" x14ac:dyDescent="0.2">
      <c r="B20" s="36" t="s">
        <v>107</v>
      </c>
      <c r="C20" s="98">
        <v>1</v>
      </c>
      <c r="D20" s="98">
        <v>1</v>
      </c>
      <c r="E20" s="98">
        <v>1</v>
      </c>
      <c r="F20" s="98">
        <v>5</v>
      </c>
      <c r="G20" s="98">
        <v>1</v>
      </c>
      <c r="H20" s="98">
        <v>10</v>
      </c>
    </row>
    <row r="21" spans="2:33" x14ac:dyDescent="0.2">
      <c r="B21" s="36" t="s">
        <v>108</v>
      </c>
      <c r="C21" s="98">
        <v>1</v>
      </c>
      <c r="D21" s="98">
        <v>1</v>
      </c>
      <c r="E21" s="98">
        <v>1</v>
      </c>
      <c r="F21" s="98">
        <v>5</v>
      </c>
      <c r="G21" s="98">
        <v>1</v>
      </c>
      <c r="H21" s="98">
        <v>10</v>
      </c>
    </row>
    <row r="22" spans="2:33" x14ac:dyDescent="0.2">
      <c r="B22" s="37" t="s">
        <v>109</v>
      </c>
      <c r="C22" s="98">
        <v>1</v>
      </c>
      <c r="D22" s="98">
        <v>1</v>
      </c>
      <c r="E22" s="98">
        <v>1</v>
      </c>
      <c r="F22" s="98">
        <v>5</v>
      </c>
      <c r="G22" s="98">
        <v>1</v>
      </c>
      <c r="H22" s="98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2004</v>
      </c>
      <c r="E28" s="49"/>
      <c r="F28" s="45">
        <f>basic_info!$D$5-4</f>
        <v>2005</v>
      </c>
      <c r="G28" s="49"/>
      <c r="H28" s="45">
        <f>basic_info!$D$5-3</f>
        <v>2006</v>
      </c>
      <c r="I28" s="49"/>
      <c r="J28" s="45">
        <f>basic_info!$D$5-2</f>
        <v>2007</v>
      </c>
      <c r="K28" s="49"/>
      <c r="L28" s="45">
        <f>basic_info!$D$5-1</f>
        <v>2008</v>
      </c>
      <c r="N28" s="45">
        <f>basic_info!$D$5</f>
        <v>2009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2009</v>
      </c>
      <c r="D30" s="44">
        <v>0.64606856993436812</v>
      </c>
      <c r="E30" s="35">
        <v>0</v>
      </c>
      <c r="F30" s="47">
        <v>0.72055098531842476</v>
      </c>
      <c r="G30" s="46">
        <v>400000</v>
      </c>
      <c r="H30" s="47">
        <v>0.71377004027579827</v>
      </c>
      <c r="I30" s="46"/>
      <c r="J30" s="47">
        <v>0.86435813324293276</v>
      </c>
      <c r="K30" s="46"/>
      <c r="L30" s="47">
        <v>0.95621221546499158</v>
      </c>
      <c r="M30" s="46"/>
      <c r="N30" s="60"/>
      <c r="O30" s="71" t="s">
        <v>162</v>
      </c>
      <c r="P30" s="41">
        <f>M30+K30+I30+E30+G30</f>
        <v>400000</v>
      </c>
      <c r="Q30" s="70"/>
    </row>
    <row r="31" spans="2:33" x14ac:dyDescent="0.2">
      <c r="B31" s="36"/>
      <c r="C31" s="47">
        <f>basic_info!$D$5+1</f>
        <v>2010</v>
      </c>
      <c r="D31" s="76"/>
      <c r="E31" s="75"/>
      <c r="F31" s="69">
        <v>0.6808876388132572</v>
      </c>
      <c r="G31" s="79">
        <v>400000</v>
      </c>
      <c r="H31" s="61">
        <v>0.71201828987937288</v>
      </c>
      <c r="I31" s="62"/>
      <c r="J31" s="61">
        <v>0.87454112416799612</v>
      </c>
      <c r="K31" s="62"/>
      <c r="L31" s="61">
        <v>0.87348276589188312</v>
      </c>
      <c r="M31" s="62"/>
      <c r="N31" s="63">
        <v>0.74769820265075293</v>
      </c>
      <c r="O31" s="86"/>
      <c r="P31" s="63">
        <f>O31+M31+K31+I31+G31</f>
        <v>400000</v>
      </c>
    </row>
    <row r="32" spans="2:33" x14ac:dyDescent="0.2">
      <c r="B32" s="36"/>
      <c r="C32" s="47">
        <f>basic_info!$D$5+2</f>
        <v>2011</v>
      </c>
      <c r="D32" s="76"/>
      <c r="E32" s="75"/>
      <c r="F32" s="75"/>
      <c r="G32" s="75"/>
      <c r="H32" s="69">
        <v>0.66759713542461396</v>
      </c>
      <c r="I32" s="79">
        <v>400000</v>
      </c>
      <c r="J32" s="61">
        <v>0.81134172439645946</v>
      </c>
      <c r="K32" s="62">
        <v>100000</v>
      </c>
      <c r="L32" s="61">
        <v>0.81188912511999345</v>
      </c>
      <c r="M32" s="62">
        <v>200000</v>
      </c>
      <c r="N32" s="63">
        <v>0.69770012734349673</v>
      </c>
      <c r="O32" s="86"/>
      <c r="P32" s="63">
        <f>O32+M32+K32+I32</f>
        <v>700000</v>
      </c>
    </row>
    <row r="33" spans="2:17" x14ac:dyDescent="0.2">
      <c r="B33" s="36"/>
      <c r="C33" s="47">
        <f>basic_info!$D$5+3</f>
        <v>2012</v>
      </c>
      <c r="D33" s="76"/>
      <c r="E33" s="75"/>
      <c r="F33" s="75"/>
      <c r="G33" s="75"/>
      <c r="H33" s="75"/>
      <c r="I33" s="75"/>
      <c r="J33" s="69">
        <v>0.77419792761206629</v>
      </c>
      <c r="K33" s="79">
        <v>100000</v>
      </c>
      <c r="L33" s="61">
        <v>0.75988620984963406</v>
      </c>
      <c r="M33" s="62"/>
      <c r="N33" s="63">
        <v>0.70400269357188838</v>
      </c>
      <c r="O33" s="86"/>
      <c r="P33" s="63">
        <f>O33+M33+K33</f>
        <v>100000</v>
      </c>
    </row>
    <row r="34" spans="2:17" x14ac:dyDescent="0.2">
      <c r="B34" s="36"/>
      <c r="C34" s="47">
        <f>basic_info!$D$5+4</f>
        <v>2013</v>
      </c>
      <c r="D34" s="76"/>
      <c r="E34" s="75"/>
      <c r="F34" s="75"/>
      <c r="G34" s="75"/>
      <c r="H34" s="75"/>
      <c r="I34" s="75"/>
      <c r="J34" s="75"/>
      <c r="K34" s="75"/>
      <c r="L34" s="69">
        <v>0.72473765751123431</v>
      </c>
      <c r="M34" s="79">
        <v>100000</v>
      </c>
      <c r="N34" s="63">
        <v>0.71441382370859263</v>
      </c>
      <c r="O34" s="86"/>
      <c r="P34" s="63">
        <f>O34+M34</f>
        <v>100000</v>
      </c>
    </row>
    <row r="35" spans="2:17" x14ac:dyDescent="0.2">
      <c r="B35" s="37"/>
      <c r="C35" s="72">
        <f>basic_info!$D$5+5</f>
        <v>2014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0.67398288510441784</v>
      </c>
      <c r="O35" s="99">
        <v>300000</v>
      </c>
      <c r="P35" s="65">
        <f>O35</f>
        <v>300000</v>
      </c>
    </row>
    <row r="36" spans="2:17" x14ac:dyDescent="0.2">
      <c r="B36" s="41" t="s">
        <v>113</v>
      </c>
      <c r="C36" s="36">
        <f>basic_info!$D$5</f>
        <v>2009</v>
      </c>
      <c r="D36" s="44">
        <v>1.051191025570035</v>
      </c>
      <c r="E36" s="35">
        <v>0</v>
      </c>
      <c r="F36" s="73">
        <v>1.0390313119782215</v>
      </c>
      <c r="G36" s="74">
        <v>300000</v>
      </c>
      <c r="H36" s="73">
        <v>0.93822729942509209</v>
      </c>
      <c r="I36" s="74"/>
      <c r="J36" s="73">
        <v>1.0511225064186411</v>
      </c>
      <c r="K36" s="74"/>
      <c r="L36" s="66">
        <v>1.0950496136559948</v>
      </c>
      <c r="M36" s="67"/>
      <c r="N36" s="68"/>
      <c r="O36" s="71" t="s">
        <v>162</v>
      </c>
      <c r="P36" s="41">
        <f>M36+K36+I36+E36+G36</f>
        <v>300000</v>
      </c>
      <c r="Q36" s="70"/>
    </row>
    <row r="37" spans="2:17" x14ac:dyDescent="0.2">
      <c r="B37" s="36"/>
      <c r="C37" s="47">
        <f>basic_info!$D$5+1</f>
        <v>2010</v>
      </c>
      <c r="D37" s="76"/>
      <c r="E37" s="75"/>
      <c r="F37" s="69">
        <v>0.95771333889663224</v>
      </c>
      <c r="G37" s="79">
        <v>300000</v>
      </c>
      <c r="H37" s="61">
        <v>0.89726357364389364</v>
      </c>
      <c r="I37" s="62"/>
      <c r="J37" s="61">
        <v>0.95780442275518196</v>
      </c>
      <c r="K37" s="62"/>
      <c r="L37" s="61">
        <v>1.0668653165767679</v>
      </c>
      <c r="M37" s="62"/>
      <c r="N37" s="61">
        <v>1.1624333463677974</v>
      </c>
      <c r="O37" s="86"/>
      <c r="P37" s="63">
        <f>O37+M37+K37+I37+G37</f>
        <v>300000</v>
      </c>
    </row>
    <row r="38" spans="2:17" x14ac:dyDescent="0.2">
      <c r="B38" s="36"/>
      <c r="C38" s="47">
        <f>basic_info!$D$5+2</f>
        <v>2011</v>
      </c>
      <c r="D38" s="76"/>
      <c r="E38" s="75"/>
      <c r="F38" s="75"/>
      <c r="G38" s="75"/>
      <c r="H38" s="69">
        <v>0.89032073213160046</v>
      </c>
      <c r="I38" s="79"/>
      <c r="J38" s="61">
        <v>0.91383547859681491</v>
      </c>
      <c r="K38" s="62">
        <v>100000</v>
      </c>
      <c r="L38" s="61">
        <v>1.0175796433406761</v>
      </c>
      <c r="M38" s="62"/>
      <c r="N38" s="61">
        <v>1.0991066984060751</v>
      </c>
      <c r="O38" s="86"/>
      <c r="P38" s="63">
        <f>O38+M38+K38+I38</f>
        <v>100000</v>
      </c>
    </row>
    <row r="39" spans="2:17" x14ac:dyDescent="0.2">
      <c r="B39" s="36"/>
      <c r="C39" s="47">
        <f>basic_info!$D$5+3</f>
        <v>2012</v>
      </c>
      <c r="D39" s="76"/>
      <c r="E39" s="75"/>
      <c r="F39" s="75"/>
      <c r="G39" s="75"/>
      <c r="H39" s="75"/>
      <c r="I39" s="75"/>
      <c r="J39" s="69">
        <v>0.87400841210782521</v>
      </c>
      <c r="K39" s="79">
        <v>100000</v>
      </c>
      <c r="L39" s="61">
        <v>0.98773074448833686</v>
      </c>
      <c r="M39" s="62">
        <v>100000</v>
      </c>
      <c r="N39" s="61">
        <v>1.0158087168858814</v>
      </c>
      <c r="O39" s="86"/>
      <c r="P39" s="63">
        <f>O39+M39+K39</f>
        <v>200000</v>
      </c>
    </row>
    <row r="40" spans="2:17" x14ac:dyDescent="0.2">
      <c r="B40" s="36"/>
      <c r="C40" s="47">
        <f>basic_info!$D$5+4</f>
        <v>2013</v>
      </c>
      <c r="D40" s="76"/>
      <c r="E40" s="75"/>
      <c r="F40" s="75"/>
      <c r="G40" s="75"/>
      <c r="H40" s="75"/>
      <c r="I40" s="75"/>
      <c r="J40" s="75"/>
      <c r="K40" s="75"/>
      <c r="L40" s="69">
        <v>0.97905324764549728</v>
      </c>
      <c r="M40" s="79"/>
      <c r="N40" s="61">
        <v>1.004390797006619</v>
      </c>
      <c r="O40" s="86"/>
      <c r="P40" s="63">
        <f>O40+M40</f>
        <v>0</v>
      </c>
    </row>
    <row r="41" spans="2:17" x14ac:dyDescent="0.2">
      <c r="B41" s="37"/>
      <c r="C41" s="72">
        <f>basic_info!$D$5+5</f>
        <v>2014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0.92318454591929922</v>
      </c>
      <c r="O41" s="86">
        <v>200000</v>
      </c>
      <c r="P41" s="64">
        <f>O41</f>
        <v>200000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100">
        <v>8.3333333333333321</v>
      </c>
      <c r="D47" s="100">
        <v>8.3333333333333321</v>
      </c>
      <c r="E47" s="100">
        <v>8.3333333333333321</v>
      </c>
      <c r="F47" s="100">
        <v>8.3333333333333321</v>
      </c>
      <c r="G47" s="100">
        <v>8.3333333333333321</v>
      </c>
      <c r="H47" s="100">
        <v>8.3333333333333321</v>
      </c>
      <c r="I47" s="100">
        <v>8.3333333333333321</v>
      </c>
      <c r="J47" s="100">
        <v>8.3333333333333321</v>
      </c>
      <c r="K47" s="100">
        <v>8.3333333333333321</v>
      </c>
      <c r="L47" s="100">
        <v>8.3333333333333321</v>
      </c>
      <c r="M47" s="100">
        <v>8.3333333333333321</v>
      </c>
      <c r="N47" s="100">
        <v>8.3333333333333321</v>
      </c>
      <c r="O47" s="33">
        <f>SUM(C47:N47)</f>
        <v>99.999999999999957</v>
      </c>
    </row>
    <row r="48" spans="2:17" x14ac:dyDescent="0.2">
      <c r="B48" s="37" t="s">
        <v>113</v>
      </c>
      <c r="C48" s="100">
        <v>8.3333333333333321</v>
      </c>
      <c r="D48" s="100">
        <v>8.3333333333333321</v>
      </c>
      <c r="E48" s="100">
        <v>8.3333333333333321</v>
      </c>
      <c r="F48" s="100">
        <v>8.3333333333333321</v>
      </c>
      <c r="G48" s="100">
        <v>8.3333333333333321</v>
      </c>
      <c r="H48" s="100">
        <v>8.3333333333333321</v>
      </c>
      <c r="I48" s="100">
        <v>8.3333333333333321</v>
      </c>
      <c r="J48" s="100">
        <v>8.3333333333333321</v>
      </c>
      <c r="K48" s="100">
        <v>8.3333333333333321</v>
      </c>
      <c r="L48" s="100">
        <v>8.3333333333333321</v>
      </c>
      <c r="M48" s="100">
        <v>8.3333333333333321</v>
      </c>
      <c r="N48" s="100">
        <v>8.3333333333333321</v>
      </c>
      <c r="O48" s="33">
        <f>SUM(C48:N48)</f>
        <v>99.999999999999957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topLeftCell="A8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101">
        <v>5.954389121754124</v>
      </c>
      <c r="D6" s="101">
        <v>0</v>
      </c>
      <c r="E6" s="101">
        <v>15.906586855076657</v>
      </c>
      <c r="F6" s="101">
        <v>20.656045102554739</v>
      </c>
      <c r="G6" s="101">
        <v>57.482978920614485</v>
      </c>
      <c r="H6" s="89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101">
        <v>0</v>
      </c>
      <c r="D7" s="101">
        <v>32.13271060587131</v>
      </c>
      <c r="E7" s="101">
        <v>0</v>
      </c>
      <c r="F7" s="101">
        <v>0</v>
      </c>
      <c r="G7" s="101">
        <v>67.86728939412869</v>
      </c>
      <c r="H7" s="89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101">
        <v>0</v>
      </c>
      <c r="D8" s="101">
        <v>15.055173399226815</v>
      </c>
      <c r="E8" s="101">
        <v>0</v>
      </c>
      <c r="F8" s="101">
        <v>0</v>
      </c>
      <c r="G8" s="101">
        <v>84.944826600773183</v>
      </c>
      <c r="H8" s="89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101">
        <v>100</v>
      </c>
      <c r="D9" s="101"/>
      <c r="E9" s="101"/>
      <c r="F9" s="101"/>
      <c r="G9" s="101"/>
      <c r="H9" s="89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101">
        <v>100</v>
      </c>
      <c r="D10" s="101"/>
      <c r="E10" s="101"/>
      <c r="F10" s="101"/>
      <c r="G10" s="101"/>
      <c r="H10" s="89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102">
        <v>100</v>
      </c>
      <c r="D11" s="102"/>
      <c r="E11" s="102"/>
      <c r="F11" s="102"/>
      <c r="G11" s="102"/>
      <c r="H11" s="88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87">
        <v>100</v>
      </c>
      <c r="D19" s="44">
        <f>100-$C$19</f>
        <v>0</v>
      </c>
      <c r="E19" s="87">
        <v>50</v>
      </c>
      <c r="F19" s="44">
        <f>100-$E$19</f>
        <v>50</v>
      </c>
      <c r="G19" s="87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103">
        <v>83.882380325502865</v>
      </c>
      <c r="D27" s="103">
        <v>100</v>
      </c>
      <c r="E27" s="103">
        <v>100</v>
      </c>
      <c r="F27" s="103">
        <v>70.444728284293831</v>
      </c>
      <c r="G27" s="103">
        <v>100</v>
      </c>
      <c r="H27" s="103">
        <v>100</v>
      </c>
      <c r="I27" s="104">
        <v>100</v>
      </c>
      <c r="P27" s="50"/>
      <c r="Q27" s="50"/>
      <c r="R27" s="50"/>
    </row>
    <row r="28" spans="2:18" x14ac:dyDescent="0.2">
      <c r="B28" s="45" t="s">
        <v>59</v>
      </c>
      <c r="C28" s="103">
        <v>16.117619674497131</v>
      </c>
      <c r="D28" s="103">
        <v>0</v>
      </c>
      <c r="E28" s="103">
        <v>0</v>
      </c>
      <c r="F28" s="103">
        <v>29.555271715706176</v>
      </c>
      <c r="G28" s="103">
        <v>0</v>
      </c>
      <c r="H28" s="103">
        <v>0</v>
      </c>
      <c r="I28" s="104">
        <v>0</v>
      </c>
      <c r="P28" s="50"/>
      <c r="Q28" s="50"/>
      <c r="R28" s="50"/>
    </row>
    <row r="29" spans="2:18" x14ac:dyDescent="0.2">
      <c r="B29" s="45" t="s">
        <v>150</v>
      </c>
      <c r="C29" s="90">
        <f>SUM($C$27:$C$28)</f>
        <v>100</v>
      </c>
      <c r="D29" s="90">
        <f>SUM($D$27:$D$28)</f>
        <v>100</v>
      </c>
      <c r="E29" s="90">
        <f>SUM($E$27:$E$28)</f>
        <v>100</v>
      </c>
      <c r="F29" s="90">
        <f>SUM($F$27:$F$28)</f>
        <v>100</v>
      </c>
      <c r="G29" s="90">
        <f>SUM($G$27:$G$28)</f>
        <v>100</v>
      </c>
      <c r="H29" s="90">
        <f>SUM($H$27:$H$28)</f>
        <v>100</v>
      </c>
      <c r="I29" s="88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106">
        <v>33.1483782973865</v>
      </c>
      <c r="D36" s="106">
        <v>33.1483782973865</v>
      </c>
      <c r="E36" s="106">
        <v>33.1483782973865</v>
      </c>
      <c r="F36" s="106">
        <v>33.1483782973865</v>
      </c>
      <c r="G36" s="106">
        <v>33.1483782973865</v>
      </c>
      <c r="H36" s="106">
        <v>33.1483782973865</v>
      </c>
      <c r="I36" s="106">
        <v>33.1483782973865</v>
      </c>
      <c r="J36" s="106">
        <v>33.1483782973865</v>
      </c>
      <c r="K36" s="106">
        <v>33.1483782973865</v>
      </c>
      <c r="L36" s="106">
        <v>33.1483782973865</v>
      </c>
      <c r="M36" s="106">
        <v>33.1483782973865</v>
      </c>
      <c r="N36" s="108">
        <v>33.1483782973865</v>
      </c>
    </row>
    <row r="37" spans="2:14" x14ac:dyDescent="0.2">
      <c r="B37" s="45" t="s">
        <v>59</v>
      </c>
      <c r="C37" s="107">
        <v>40.615531769122597</v>
      </c>
      <c r="D37" s="107">
        <v>40.615531769122597</v>
      </c>
      <c r="E37" s="107">
        <v>40.615531769122597</v>
      </c>
      <c r="F37" s="107">
        <v>40.615531769122597</v>
      </c>
      <c r="G37" s="107">
        <v>40.615531769122597</v>
      </c>
      <c r="H37" s="107">
        <v>40.615531769122597</v>
      </c>
      <c r="I37" s="107">
        <v>40.615531769122597</v>
      </c>
      <c r="J37" s="107">
        <v>40.615531769122597</v>
      </c>
      <c r="K37" s="107">
        <v>40.615531769122597</v>
      </c>
      <c r="L37" s="107">
        <v>40.615531769122597</v>
      </c>
      <c r="M37" s="107">
        <v>40.615531769122597</v>
      </c>
      <c r="N37" s="105">
        <v>40.615531769122597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109">
        <v>2.5235867262815299</v>
      </c>
      <c r="E6" s="109">
        <v>2.5235867262815299</v>
      </c>
      <c r="F6" s="109">
        <v>2.5235867262815299</v>
      </c>
      <c r="G6" s="109">
        <v>2.5235867262815299</v>
      </c>
      <c r="H6" s="109">
        <v>2.5235867262815299</v>
      </c>
      <c r="I6" s="109">
        <v>2.5235867262815299</v>
      </c>
      <c r="J6" s="109">
        <v>2.5235867262815299</v>
      </c>
      <c r="K6" s="109">
        <v>2.5235867262815299</v>
      </c>
      <c r="L6" s="109">
        <v>2.5235867262815299</v>
      </c>
      <c r="M6" s="109">
        <v>2.5235867262815299</v>
      </c>
      <c r="N6" s="109">
        <v>2.5235867262815299</v>
      </c>
      <c r="O6" s="109">
        <v>2.5235867262815299</v>
      </c>
    </row>
    <row r="7" spans="2:15" x14ac:dyDescent="0.2">
      <c r="C7" s="36" t="s">
        <v>127</v>
      </c>
      <c r="D7" s="109">
        <v>2.1341240776815487</v>
      </c>
      <c r="E7" s="109">
        <v>2.1341240776815487</v>
      </c>
      <c r="F7" s="109">
        <v>2.1341240776815487</v>
      </c>
      <c r="G7" s="109">
        <v>2.1341240776815487</v>
      </c>
      <c r="H7" s="109">
        <v>2.1341240776815487</v>
      </c>
      <c r="I7" s="109">
        <v>2.1341240776815487</v>
      </c>
      <c r="J7" s="109">
        <v>2.1341240776815487</v>
      </c>
      <c r="K7" s="109">
        <v>2.1341240776815487</v>
      </c>
      <c r="L7" s="109">
        <v>2.1341240776815487</v>
      </c>
      <c r="M7" s="109">
        <v>2.1341240776815487</v>
      </c>
      <c r="N7" s="109">
        <v>2.1341240776815487</v>
      </c>
      <c r="O7" s="109">
        <v>2.1341240776815487</v>
      </c>
    </row>
    <row r="8" spans="2:15" x14ac:dyDescent="0.2">
      <c r="C8" s="36" t="s">
        <v>128</v>
      </c>
      <c r="D8" s="109">
        <v>1.9738412176369371</v>
      </c>
      <c r="E8" s="109">
        <v>1.9738412176369371</v>
      </c>
      <c r="F8" s="109">
        <v>1.9738412176369371</v>
      </c>
      <c r="G8" s="109">
        <v>1.9738412176369371</v>
      </c>
      <c r="H8" s="109">
        <v>1.9738412176369371</v>
      </c>
      <c r="I8" s="109">
        <v>1.9738412176369371</v>
      </c>
      <c r="J8" s="109">
        <v>1.9738412176369371</v>
      </c>
      <c r="K8" s="109">
        <v>1.9738412176369371</v>
      </c>
      <c r="L8" s="109">
        <v>1.9738412176369371</v>
      </c>
      <c r="M8" s="109">
        <v>1.9738412176369371</v>
      </c>
      <c r="N8" s="109">
        <v>1.9738412176369371</v>
      </c>
      <c r="O8" s="109">
        <v>1.9738412176369371</v>
      </c>
    </row>
    <row r="9" spans="2:15" x14ac:dyDescent="0.2">
      <c r="C9" s="36" t="s">
        <v>129</v>
      </c>
      <c r="D9" s="109">
        <v>1.9491379584757023</v>
      </c>
      <c r="E9" s="109">
        <v>1.9491379584757023</v>
      </c>
      <c r="F9" s="109">
        <v>1.9491379584757023</v>
      </c>
      <c r="G9" s="109">
        <v>1.9491379584757023</v>
      </c>
      <c r="H9" s="109">
        <v>1.9491379584757023</v>
      </c>
      <c r="I9" s="109">
        <v>1.9491379584757023</v>
      </c>
      <c r="J9" s="109">
        <v>1.9491379584757023</v>
      </c>
      <c r="K9" s="109">
        <v>1.9491379584757023</v>
      </c>
      <c r="L9" s="109">
        <v>1.9491379584757023</v>
      </c>
      <c r="M9" s="109">
        <v>1.9491379584757023</v>
      </c>
      <c r="N9" s="109">
        <v>1.9491379584757023</v>
      </c>
      <c r="O9" s="109">
        <v>1.9491379584757023</v>
      </c>
    </row>
    <row r="10" spans="2:15" x14ac:dyDescent="0.2">
      <c r="C10" s="36" t="s">
        <v>130</v>
      </c>
      <c r="D10" s="109">
        <v>1.8066889189365047</v>
      </c>
      <c r="E10" s="109">
        <v>1.8066889189365047</v>
      </c>
      <c r="F10" s="109">
        <v>1.8066889189365047</v>
      </c>
      <c r="G10" s="109">
        <v>1.8066889189365047</v>
      </c>
      <c r="H10" s="109">
        <v>1.8066889189365047</v>
      </c>
      <c r="I10" s="109">
        <v>1.8066889189365047</v>
      </c>
      <c r="J10" s="109">
        <v>1.8066889189365047</v>
      </c>
      <c r="K10" s="109">
        <v>1.8066889189365047</v>
      </c>
      <c r="L10" s="109">
        <v>1.8066889189365047</v>
      </c>
      <c r="M10" s="109">
        <v>1.8066889189365047</v>
      </c>
      <c r="N10" s="109">
        <v>1.8066889189365047</v>
      </c>
      <c r="O10" s="109">
        <v>1.8066889189365047</v>
      </c>
    </row>
    <row r="11" spans="2:15" x14ac:dyDescent="0.2">
      <c r="C11" s="36" t="s">
        <v>131</v>
      </c>
      <c r="D11" s="109">
        <v>1.8366608415465673</v>
      </c>
      <c r="E11" s="109">
        <v>1.8366608415465673</v>
      </c>
      <c r="F11" s="109">
        <v>1.8366608415465673</v>
      </c>
      <c r="G11" s="109">
        <v>1.8366608415465673</v>
      </c>
      <c r="H11" s="109">
        <v>1.8366608415465673</v>
      </c>
      <c r="I11" s="109">
        <v>1.8366608415465673</v>
      </c>
      <c r="J11" s="109">
        <v>1.8366608415465673</v>
      </c>
      <c r="K11" s="109">
        <v>1.8366608415465673</v>
      </c>
      <c r="L11" s="109">
        <v>1.8366608415465673</v>
      </c>
      <c r="M11" s="109">
        <v>1.8366608415465673</v>
      </c>
      <c r="N11" s="109">
        <v>1.8366608415465673</v>
      </c>
      <c r="O11" s="109">
        <v>1.8366608415465673</v>
      </c>
    </row>
    <row r="12" spans="2:15" x14ac:dyDescent="0.2">
      <c r="C12" s="37" t="s">
        <v>132</v>
      </c>
      <c r="D12" s="109">
        <v>2.2416704340742362</v>
      </c>
      <c r="E12" s="109">
        <v>2.2416704340742362</v>
      </c>
      <c r="F12" s="109">
        <v>2.2416704340742362</v>
      </c>
      <c r="G12" s="109">
        <v>2.2416704340742362</v>
      </c>
      <c r="H12" s="109">
        <v>2.2416704340742362</v>
      </c>
      <c r="I12" s="109">
        <v>2.2416704340742362</v>
      </c>
      <c r="J12" s="109">
        <v>2.2416704340742362</v>
      </c>
      <c r="K12" s="109">
        <v>2.2416704340742362</v>
      </c>
      <c r="L12" s="109">
        <v>2.2416704340742362</v>
      </c>
      <c r="M12" s="109">
        <v>2.2416704340742362</v>
      </c>
      <c r="N12" s="109">
        <v>2.2416704340742362</v>
      </c>
      <c r="O12" s="109">
        <v>2.2416704340742362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110">
        <v>3.0387094855480896</v>
      </c>
      <c r="E15" s="110">
        <v>3.0387094855480896</v>
      </c>
      <c r="F15" s="110">
        <v>3.0387094855480896</v>
      </c>
      <c r="G15" s="110">
        <v>3.0387094855480896</v>
      </c>
      <c r="H15" s="110">
        <v>3.0387094855480896</v>
      </c>
      <c r="I15" s="110">
        <v>3.0387094855480896</v>
      </c>
      <c r="J15" s="110">
        <v>3.0387094855480896</v>
      </c>
      <c r="K15" s="110">
        <v>3.0387094855480896</v>
      </c>
      <c r="L15" s="110">
        <v>3.0387094855480896</v>
      </c>
      <c r="M15" s="110">
        <v>3.0387094855480896</v>
      </c>
      <c r="N15" s="110">
        <v>3.0387094855480896</v>
      </c>
      <c r="O15" s="110">
        <v>3.0387094855480896</v>
      </c>
    </row>
    <row r="16" spans="2:15" x14ac:dyDescent="0.2">
      <c r="C16" s="36" t="s">
        <v>127</v>
      </c>
      <c r="D16" s="110">
        <v>2.7558598991874139</v>
      </c>
      <c r="E16" s="110">
        <v>2.7558598991874139</v>
      </c>
      <c r="F16" s="110">
        <v>2.7558598991874139</v>
      </c>
      <c r="G16" s="110">
        <v>2.7558598991874139</v>
      </c>
      <c r="H16" s="110">
        <v>2.7558598991874139</v>
      </c>
      <c r="I16" s="110">
        <v>2.7558598991874139</v>
      </c>
      <c r="J16" s="110">
        <v>2.7558598991874139</v>
      </c>
      <c r="K16" s="110">
        <v>2.7558598991874139</v>
      </c>
      <c r="L16" s="110">
        <v>2.7558598991874139</v>
      </c>
      <c r="M16" s="110">
        <v>2.7558598991874139</v>
      </c>
      <c r="N16" s="110">
        <v>2.7558598991874139</v>
      </c>
      <c r="O16" s="110">
        <v>2.7558598991874139</v>
      </c>
    </row>
    <row r="17" spans="2:15" x14ac:dyDescent="0.2">
      <c r="C17" s="36" t="s">
        <v>128</v>
      </c>
      <c r="D17" s="110">
        <v>2.2015069852357154</v>
      </c>
      <c r="E17" s="110">
        <v>2.2015069852357154</v>
      </c>
      <c r="F17" s="110">
        <v>2.2015069852357154</v>
      </c>
      <c r="G17" s="110">
        <v>2.2015069852357154</v>
      </c>
      <c r="H17" s="110">
        <v>2.2015069852357154</v>
      </c>
      <c r="I17" s="110">
        <v>2.2015069852357154</v>
      </c>
      <c r="J17" s="110">
        <v>2.2015069852357154</v>
      </c>
      <c r="K17" s="110">
        <v>2.2015069852357154</v>
      </c>
      <c r="L17" s="110">
        <v>2.2015069852357154</v>
      </c>
      <c r="M17" s="110">
        <v>2.2015069852357154</v>
      </c>
      <c r="N17" s="110">
        <v>2.2015069852357154</v>
      </c>
      <c r="O17" s="110">
        <v>2.2015069852357154</v>
      </c>
    </row>
    <row r="18" spans="2:15" x14ac:dyDescent="0.2">
      <c r="C18" s="36" t="s">
        <v>129</v>
      </c>
      <c r="D18" s="110">
        <v>2.276086759208376</v>
      </c>
      <c r="E18" s="110">
        <v>2.276086759208376</v>
      </c>
      <c r="F18" s="110">
        <v>2.276086759208376</v>
      </c>
      <c r="G18" s="110">
        <v>2.276086759208376</v>
      </c>
      <c r="H18" s="110">
        <v>2.276086759208376</v>
      </c>
      <c r="I18" s="110">
        <v>2.276086759208376</v>
      </c>
      <c r="J18" s="110">
        <v>2.276086759208376</v>
      </c>
      <c r="K18" s="110">
        <v>2.276086759208376</v>
      </c>
      <c r="L18" s="110">
        <v>2.276086759208376</v>
      </c>
      <c r="M18" s="110">
        <v>2.276086759208376</v>
      </c>
      <c r="N18" s="110">
        <v>2.276086759208376</v>
      </c>
      <c r="O18" s="110">
        <v>2.276086759208376</v>
      </c>
    </row>
    <row r="19" spans="2:15" x14ac:dyDescent="0.2">
      <c r="C19" s="36" t="s">
        <v>130</v>
      </c>
      <c r="D19" s="110">
        <v>2.0672333495500124</v>
      </c>
      <c r="E19" s="110">
        <v>2.0672333495500124</v>
      </c>
      <c r="F19" s="110">
        <v>2.0672333495500124</v>
      </c>
      <c r="G19" s="110">
        <v>2.0672333495500124</v>
      </c>
      <c r="H19" s="110">
        <v>2.0672333495500124</v>
      </c>
      <c r="I19" s="110">
        <v>2.0672333495500124</v>
      </c>
      <c r="J19" s="110">
        <v>2.0672333495500124</v>
      </c>
      <c r="K19" s="110">
        <v>2.0672333495500124</v>
      </c>
      <c r="L19" s="110">
        <v>2.0672333495500124</v>
      </c>
      <c r="M19" s="110">
        <v>2.0672333495500124</v>
      </c>
      <c r="N19" s="110">
        <v>2.0672333495500124</v>
      </c>
      <c r="O19" s="110">
        <v>2.0672333495500124</v>
      </c>
    </row>
    <row r="20" spans="2:15" x14ac:dyDescent="0.2">
      <c r="C20" s="36" t="s">
        <v>131</v>
      </c>
      <c r="D20" s="110">
        <v>2.0663727657424378</v>
      </c>
      <c r="E20" s="110">
        <v>2.0663727657424378</v>
      </c>
      <c r="F20" s="110">
        <v>2.0663727657424378</v>
      </c>
      <c r="G20" s="110">
        <v>2.0663727657424378</v>
      </c>
      <c r="H20" s="110">
        <v>2.0663727657424378</v>
      </c>
      <c r="I20" s="110">
        <v>2.0663727657424378</v>
      </c>
      <c r="J20" s="110">
        <v>2.0663727657424378</v>
      </c>
      <c r="K20" s="110">
        <v>2.0663727657424378</v>
      </c>
      <c r="L20" s="110">
        <v>2.0663727657424378</v>
      </c>
      <c r="M20" s="110">
        <v>2.0663727657424378</v>
      </c>
      <c r="N20" s="110">
        <v>2.0663727657424378</v>
      </c>
      <c r="O20" s="110">
        <v>2.0663727657424378</v>
      </c>
    </row>
    <row r="21" spans="2:15" x14ac:dyDescent="0.2">
      <c r="C21" s="37" t="s">
        <v>132</v>
      </c>
      <c r="D21" s="110">
        <v>2.4555939786947043</v>
      </c>
      <c r="E21" s="110">
        <v>2.4555939786947043</v>
      </c>
      <c r="F21" s="110">
        <v>2.4555939786947043</v>
      </c>
      <c r="G21" s="110">
        <v>2.4555939786947043</v>
      </c>
      <c r="H21" s="110">
        <v>2.4555939786947043</v>
      </c>
      <c r="I21" s="110">
        <v>2.4555939786947043</v>
      </c>
      <c r="J21" s="110">
        <v>2.4555939786947043</v>
      </c>
      <c r="K21" s="110">
        <v>2.4555939786947043</v>
      </c>
      <c r="L21" s="110">
        <v>2.4555939786947043</v>
      </c>
      <c r="M21" s="110">
        <v>2.4555939786947043</v>
      </c>
      <c r="N21" s="110">
        <v>2.4555939786947043</v>
      </c>
      <c r="O21" s="110">
        <v>2.4555939786947043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111">
        <v>1.8049999999999999</v>
      </c>
      <c r="E24" s="111">
        <v>1.8049999999999999</v>
      </c>
      <c r="F24" s="111">
        <v>1.8049999999999999</v>
      </c>
      <c r="G24" s="111">
        <v>1.8049999999999999</v>
      </c>
      <c r="H24" s="111">
        <v>1.8049999999999999</v>
      </c>
      <c r="I24" s="111">
        <v>1.8049999999999999</v>
      </c>
      <c r="J24" s="111">
        <v>1.8049999999999999</v>
      </c>
      <c r="K24" s="111">
        <v>1.8049999999999999</v>
      </c>
      <c r="L24" s="111">
        <v>1.8049999999999999</v>
      </c>
      <c r="M24" s="111">
        <v>1.8049999999999999</v>
      </c>
      <c r="N24" s="111">
        <v>1.8049999999999999</v>
      </c>
      <c r="O24" s="111">
        <v>1.8049999999999999</v>
      </c>
    </row>
    <row r="25" spans="2:15" x14ac:dyDescent="0.2">
      <c r="C25" s="36" t="s">
        <v>127</v>
      </c>
      <c r="D25" s="111">
        <v>1.8049999999999999</v>
      </c>
      <c r="E25" s="111">
        <v>1.8049999999999999</v>
      </c>
      <c r="F25" s="111">
        <v>1.8049999999999999</v>
      </c>
      <c r="G25" s="111">
        <v>1.8049999999999999</v>
      </c>
      <c r="H25" s="111">
        <v>1.8049999999999999</v>
      </c>
      <c r="I25" s="111">
        <v>1.8049999999999999</v>
      </c>
      <c r="J25" s="111">
        <v>1.8049999999999999</v>
      </c>
      <c r="K25" s="111">
        <v>1.8049999999999999</v>
      </c>
      <c r="L25" s="111">
        <v>1.8049999999999999</v>
      </c>
      <c r="M25" s="111">
        <v>1.8049999999999999</v>
      </c>
      <c r="N25" s="111">
        <v>1.8049999999999999</v>
      </c>
      <c r="O25" s="111">
        <v>1.8049999999999999</v>
      </c>
    </row>
    <row r="26" spans="2:15" x14ac:dyDescent="0.2">
      <c r="C26" s="36" t="s">
        <v>128</v>
      </c>
      <c r="D26" s="111">
        <v>2.0425</v>
      </c>
      <c r="E26" s="111">
        <v>2.0425</v>
      </c>
      <c r="F26" s="111">
        <v>2.0425</v>
      </c>
      <c r="G26" s="111">
        <v>2.0425</v>
      </c>
      <c r="H26" s="111">
        <v>2.0425</v>
      </c>
      <c r="I26" s="111">
        <v>2.0425</v>
      </c>
      <c r="J26" s="111">
        <v>2.0425</v>
      </c>
      <c r="K26" s="111">
        <v>2.0425</v>
      </c>
      <c r="L26" s="111">
        <v>2.0425</v>
      </c>
      <c r="M26" s="111">
        <v>2.0425</v>
      </c>
      <c r="N26" s="111">
        <v>2.0425</v>
      </c>
      <c r="O26" s="111">
        <v>2.0425</v>
      </c>
    </row>
    <row r="27" spans="2:15" x14ac:dyDescent="0.2">
      <c r="C27" s="36" t="s">
        <v>129</v>
      </c>
      <c r="D27" s="111">
        <v>2.09</v>
      </c>
      <c r="E27" s="111">
        <v>2.09</v>
      </c>
      <c r="F27" s="111">
        <v>2.09</v>
      </c>
      <c r="G27" s="111">
        <v>2.09</v>
      </c>
      <c r="H27" s="111">
        <v>2.09</v>
      </c>
      <c r="I27" s="111">
        <v>2.09</v>
      </c>
      <c r="J27" s="111">
        <v>2.09</v>
      </c>
      <c r="K27" s="111">
        <v>2.09</v>
      </c>
      <c r="L27" s="111">
        <v>2.09</v>
      </c>
      <c r="M27" s="111">
        <v>2.09</v>
      </c>
      <c r="N27" s="111">
        <v>2.09</v>
      </c>
      <c r="O27" s="111">
        <v>2.09</v>
      </c>
    </row>
    <row r="28" spans="2:15" x14ac:dyDescent="0.2">
      <c r="C28" s="36" t="s">
        <v>130</v>
      </c>
      <c r="D28" s="111">
        <v>2.09</v>
      </c>
      <c r="E28" s="111">
        <v>2.09</v>
      </c>
      <c r="F28" s="111">
        <v>2.09</v>
      </c>
      <c r="G28" s="111">
        <v>2.09</v>
      </c>
      <c r="H28" s="111">
        <v>2.09</v>
      </c>
      <c r="I28" s="111">
        <v>2.09</v>
      </c>
      <c r="J28" s="111">
        <v>2.09</v>
      </c>
      <c r="K28" s="111">
        <v>2.09</v>
      </c>
      <c r="L28" s="111">
        <v>2.09</v>
      </c>
      <c r="M28" s="111">
        <v>2.09</v>
      </c>
      <c r="N28" s="111">
        <v>2.09</v>
      </c>
      <c r="O28" s="111">
        <v>2.09</v>
      </c>
    </row>
    <row r="29" spans="2:15" x14ac:dyDescent="0.2">
      <c r="C29" s="36" t="s">
        <v>131</v>
      </c>
      <c r="D29" s="111">
        <v>2.3861349115742527</v>
      </c>
      <c r="E29" s="111">
        <v>2.3861349115742527</v>
      </c>
      <c r="F29" s="111">
        <v>2.3861349115742527</v>
      </c>
      <c r="G29" s="111">
        <v>2.3861349115742527</v>
      </c>
      <c r="H29" s="111">
        <v>2.3861349115742527</v>
      </c>
      <c r="I29" s="111">
        <v>2.3861349115742527</v>
      </c>
      <c r="J29" s="111">
        <v>2.3861349115742527</v>
      </c>
      <c r="K29" s="111">
        <v>2.3861349115742527</v>
      </c>
      <c r="L29" s="111">
        <v>2.3861349115742527</v>
      </c>
      <c r="M29" s="111">
        <v>2.3861349115742527</v>
      </c>
      <c r="N29" s="111">
        <v>2.3861349115742527</v>
      </c>
      <c r="O29" s="111">
        <v>2.3861349115742527</v>
      </c>
    </row>
    <row r="30" spans="2:15" x14ac:dyDescent="0.2">
      <c r="C30" s="37" t="s">
        <v>132</v>
      </c>
      <c r="D30" s="111">
        <v>1.8</v>
      </c>
      <c r="E30" s="111">
        <v>1.8</v>
      </c>
      <c r="F30" s="111">
        <v>2.09</v>
      </c>
      <c r="G30" s="111">
        <v>2.09</v>
      </c>
      <c r="H30" s="111">
        <v>2.09</v>
      </c>
      <c r="I30" s="111">
        <v>2.09</v>
      </c>
      <c r="J30" s="111">
        <v>2.09</v>
      </c>
      <c r="K30" s="111">
        <v>2.09</v>
      </c>
      <c r="L30" s="111">
        <v>2.09</v>
      </c>
      <c r="M30" s="111">
        <v>2.09</v>
      </c>
      <c r="N30" s="111">
        <v>2.09</v>
      </c>
      <c r="O30" s="111">
        <v>2.09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112">
        <v>1.8172519803571427</v>
      </c>
      <c r="E33" s="112">
        <v>1.8172519803571427</v>
      </c>
      <c r="F33" s="112">
        <v>1.8172519803571427</v>
      </c>
      <c r="G33" s="112">
        <v>1.8172519803571427</v>
      </c>
      <c r="H33" s="112">
        <v>1.8172519803571427</v>
      </c>
      <c r="I33" s="112">
        <v>1.8172519803571427</v>
      </c>
      <c r="J33" s="112">
        <v>1.8172519803571427</v>
      </c>
      <c r="K33" s="112">
        <v>1.8172519803571427</v>
      </c>
      <c r="L33" s="112">
        <v>1.8172519803571427</v>
      </c>
      <c r="M33" s="112">
        <v>1.8172519803571427</v>
      </c>
      <c r="N33" s="112">
        <v>1.8172519803571427</v>
      </c>
      <c r="O33" s="112">
        <v>1.8172519803571427</v>
      </c>
    </row>
    <row r="34" spans="3:15" x14ac:dyDescent="0.2">
      <c r="C34" s="36" t="s">
        <v>127</v>
      </c>
      <c r="D34" s="112">
        <v>1.9627019000000001</v>
      </c>
      <c r="E34" s="112">
        <v>1.9627019000000001</v>
      </c>
      <c r="F34" s="112">
        <v>1.9627019000000001</v>
      </c>
      <c r="G34" s="112">
        <v>1.9627019000000001</v>
      </c>
      <c r="H34" s="112">
        <v>1.9627019000000001</v>
      </c>
      <c r="I34" s="112">
        <v>1.9627019000000001</v>
      </c>
      <c r="J34" s="112">
        <v>1.9627019000000001</v>
      </c>
      <c r="K34" s="112">
        <v>1.9627019000000001</v>
      </c>
      <c r="L34" s="112">
        <v>1.9627019000000001</v>
      </c>
      <c r="M34" s="112">
        <v>1.9627019000000001</v>
      </c>
      <c r="N34" s="112">
        <v>1.9627019000000001</v>
      </c>
      <c r="O34" s="112">
        <v>1.9627019000000001</v>
      </c>
    </row>
    <row r="35" spans="3:15" x14ac:dyDescent="0.2">
      <c r="C35" s="36" t="s">
        <v>128</v>
      </c>
      <c r="D35" s="112">
        <v>1.8584004104166665</v>
      </c>
      <c r="E35" s="112">
        <v>1.8584004104166665</v>
      </c>
      <c r="F35" s="112">
        <v>1.8584004104166665</v>
      </c>
      <c r="G35" s="112">
        <v>1.8584004104166665</v>
      </c>
      <c r="H35" s="112">
        <v>1.8584004104166665</v>
      </c>
      <c r="I35" s="112">
        <v>1.8584004104166665</v>
      </c>
      <c r="J35" s="112">
        <v>1.8584004104166665</v>
      </c>
      <c r="K35" s="112">
        <v>1.8584004104166665</v>
      </c>
      <c r="L35" s="112">
        <v>1.8584004104166665</v>
      </c>
      <c r="M35" s="112">
        <v>1.8584004104166665</v>
      </c>
      <c r="N35" s="112">
        <v>1.8584004104166665</v>
      </c>
      <c r="O35" s="112">
        <v>1.8584004104166665</v>
      </c>
    </row>
    <row r="36" spans="3:15" x14ac:dyDescent="0.2">
      <c r="C36" s="36" t="s">
        <v>129</v>
      </c>
      <c r="D36" s="112">
        <v>2.1405815193181814</v>
      </c>
      <c r="E36" s="112">
        <v>2.1405815193181814</v>
      </c>
      <c r="F36" s="112">
        <v>2.1405815193181814</v>
      </c>
      <c r="G36" s="112">
        <v>2.1405815193181814</v>
      </c>
      <c r="H36" s="112">
        <v>2.1405815193181814</v>
      </c>
      <c r="I36" s="112">
        <v>2.1405815193181814</v>
      </c>
      <c r="J36" s="112">
        <v>2.1405815193181814</v>
      </c>
      <c r="K36" s="112">
        <v>2.1405815193181814</v>
      </c>
      <c r="L36" s="112">
        <v>2.1405815193181814</v>
      </c>
      <c r="M36" s="112">
        <v>2.1405815193181814</v>
      </c>
      <c r="N36" s="112">
        <v>2.1405815193181814</v>
      </c>
      <c r="O36" s="112">
        <v>2.1405815193181814</v>
      </c>
    </row>
    <row r="37" spans="3:15" x14ac:dyDescent="0.2">
      <c r="C37" s="36" t="s">
        <v>130</v>
      </c>
      <c r="D37" s="112">
        <v>1.7897407437499997</v>
      </c>
      <c r="E37" s="112">
        <v>1.7897407437499997</v>
      </c>
      <c r="F37" s="112">
        <v>1.7897407437499997</v>
      </c>
      <c r="G37" s="112">
        <v>1.7897407437499997</v>
      </c>
      <c r="H37" s="112">
        <v>1.7897407437499997</v>
      </c>
      <c r="I37" s="112">
        <v>1.7897407437499997</v>
      </c>
      <c r="J37" s="112">
        <v>1.7897407437499997</v>
      </c>
      <c r="K37" s="112">
        <v>1.7897407437499997</v>
      </c>
      <c r="L37" s="112">
        <v>1.7897407437499997</v>
      </c>
      <c r="M37" s="112">
        <v>1.7897407437499997</v>
      </c>
      <c r="N37" s="112">
        <v>1.7897407437499997</v>
      </c>
      <c r="O37" s="112">
        <v>1.7897407437499997</v>
      </c>
    </row>
    <row r="38" spans="3:15" x14ac:dyDescent="0.2">
      <c r="C38" s="36" t="s">
        <v>131</v>
      </c>
      <c r="D38" s="112">
        <v>1.949710946875</v>
      </c>
      <c r="E38" s="112">
        <v>1.949710946875</v>
      </c>
      <c r="F38" s="112">
        <v>1.949710946875</v>
      </c>
      <c r="G38" s="112">
        <v>1.949710946875</v>
      </c>
      <c r="H38" s="112">
        <v>1.949710946875</v>
      </c>
      <c r="I38" s="112">
        <v>1.949710946875</v>
      </c>
      <c r="J38" s="112">
        <v>1.949710946875</v>
      </c>
      <c r="K38" s="112">
        <v>1.949710946875</v>
      </c>
      <c r="L38" s="112">
        <v>1.949710946875</v>
      </c>
      <c r="M38" s="112">
        <v>1.949710946875</v>
      </c>
      <c r="N38" s="112">
        <v>1.949710946875</v>
      </c>
      <c r="O38" s="112">
        <v>1.949710946875</v>
      </c>
    </row>
    <row r="39" spans="3:15" x14ac:dyDescent="0.2">
      <c r="C39" s="37" t="s">
        <v>132</v>
      </c>
      <c r="D39" s="112">
        <v>1.987587194273474</v>
      </c>
      <c r="E39" s="112">
        <v>1.987587194273474</v>
      </c>
      <c r="F39" s="112">
        <v>1.987587194273474</v>
      </c>
      <c r="G39" s="112">
        <v>1.987587194273474</v>
      </c>
      <c r="H39" s="112">
        <v>1.987587194273474</v>
      </c>
      <c r="I39" s="112">
        <v>1.987587194273474</v>
      </c>
      <c r="J39" s="112">
        <v>1.987587194273474</v>
      </c>
      <c r="K39" s="112">
        <v>1.987587194273474</v>
      </c>
      <c r="L39" s="112">
        <v>1.987587194273474</v>
      </c>
      <c r="M39" s="112">
        <v>1.987587194273474</v>
      </c>
      <c r="N39" s="112">
        <v>1.987587194273474</v>
      </c>
      <c r="O39" s="112">
        <v>1.987587194273474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customWidth="1"/>
    <col min="7" max="7" width="2.7109375" customWidth="1"/>
    <col min="8" max="8" width="11.140625" customWidth="1"/>
    <col min="11" max="12" width="4.7109375" customWidth="1"/>
    <col min="18" max="18" width="2.7109375" customWidth="1"/>
    <col min="19" max="19" width="14.7109375" customWidth="1"/>
    <col min="20" max="20" width="16.7109375" customWidth="1"/>
    <col min="21" max="21" width="4.7109375" customWidth="1"/>
  </cols>
  <sheetData>
    <row r="1" spans="1:20" x14ac:dyDescent="0.2">
      <c r="A1" s="194"/>
    </row>
    <row r="2" spans="1:20" ht="15.75" x14ac:dyDescent="0.25">
      <c r="C2" s="195" t="s">
        <v>165</v>
      </c>
      <c r="D2" s="195"/>
      <c r="E2" s="195"/>
      <c r="F2" s="195"/>
      <c r="G2" s="195"/>
      <c r="H2" s="195"/>
    </row>
    <row r="3" spans="1:20" ht="18.75" x14ac:dyDescent="0.25">
      <c r="C3" s="196" t="s">
        <v>413</v>
      </c>
      <c r="D3" s="196"/>
      <c r="E3" s="196"/>
      <c r="F3" s="196"/>
      <c r="G3" s="196"/>
    </row>
    <row r="5" spans="1:20" ht="15.75" x14ac:dyDescent="0.25">
      <c r="A5" s="197" t="s">
        <v>352</v>
      </c>
      <c r="B5" s="198"/>
      <c r="G5" s="199"/>
      <c r="L5" s="197" t="s">
        <v>353</v>
      </c>
      <c r="M5" s="198"/>
      <c r="R5" s="199"/>
    </row>
    <row r="6" spans="1:20" x14ac:dyDescent="0.2">
      <c r="A6" s="200" t="s">
        <v>354</v>
      </c>
      <c r="B6" s="198"/>
      <c r="G6" s="201"/>
      <c r="H6" s="128"/>
      <c r="L6" s="200" t="s">
        <v>355</v>
      </c>
      <c r="M6" s="198"/>
      <c r="S6" s="142"/>
    </row>
    <row r="7" spans="1:20" x14ac:dyDescent="0.2">
      <c r="A7" s="198"/>
      <c r="B7" s="198" t="s">
        <v>356</v>
      </c>
      <c r="G7" s="201"/>
      <c r="H7" s="202">
        <f>SUM(ORA!$D$116:$O$116)</f>
        <v>49819</v>
      </c>
      <c r="L7" s="198"/>
      <c r="M7" s="198" t="s">
        <v>356</v>
      </c>
      <c r="S7" s="203">
        <f>SUM(ORA!$D$127:$O$127)</f>
        <v>207047258.68194419</v>
      </c>
    </row>
    <row r="8" spans="1:20" x14ac:dyDescent="0.2">
      <c r="A8" s="198"/>
      <c r="B8" s="198" t="s">
        <v>357</v>
      </c>
      <c r="G8" s="201"/>
      <c r="H8" s="204">
        <f>SUM(POJ!$D$116:$O$116)</f>
        <v>35058.511824789304</v>
      </c>
      <c r="L8" s="198"/>
      <c r="M8" s="198" t="s">
        <v>357</v>
      </c>
      <c r="S8" s="205">
        <f>SUM(POJ!$D$127:$O$127)</f>
        <v>152169538.57184929</v>
      </c>
    </row>
    <row r="9" spans="1:20" x14ac:dyDescent="0.2">
      <c r="A9" s="198"/>
      <c r="B9" s="198" t="s">
        <v>358</v>
      </c>
      <c r="G9" s="201"/>
      <c r="H9" s="204">
        <f>SUM(ROJ!$D$116:$O$116)</f>
        <v>64642.668338778378</v>
      </c>
      <c r="L9" s="198"/>
      <c r="M9" s="198" t="s">
        <v>358</v>
      </c>
      <c r="S9" s="205">
        <f>SUM(ROJ!$D$127:$O$127)</f>
        <v>254890351.62314981</v>
      </c>
    </row>
    <row r="10" spans="1:20" x14ac:dyDescent="0.2">
      <c r="A10" s="198"/>
      <c r="B10" s="198" t="s">
        <v>359</v>
      </c>
      <c r="G10" s="201"/>
      <c r="H10" s="206">
        <f>SUM(FCOJ!$D$116:$O$116)</f>
        <v>63063.35050743162</v>
      </c>
      <c r="L10" s="198"/>
      <c r="M10" s="198" t="s">
        <v>359</v>
      </c>
      <c r="S10" s="207">
        <f>SUM(FCOJ!$D$127:$O$127)</f>
        <v>241521625.29015014</v>
      </c>
    </row>
    <row r="11" spans="1:20" x14ac:dyDescent="0.2">
      <c r="A11" s="198"/>
      <c r="B11" s="198"/>
      <c r="G11" s="201"/>
      <c r="M11" s="198" t="s">
        <v>360</v>
      </c>
      <c r="T11" s="208">
        <f>SUM($S$7:$S$10)</f>
        <v>855628774.16709352</v>
      </c>
    </row>
    <row r="12" spans="1:20" x14ac:dyDescent="0.2">
      <c r="A12" s="200" t="s">
        <v>361</v>
      </c>
      <c r="B12" s="198"/>
      <c r="G12" s="201"/>
    </row>
    <row r="13" spans="1:20" x14ac:dyDescent="0.2">
      <c r="A13" s="198"/>
      <c r="B13" s="198" t="s">
        <v>362</v>
      </c>
      <c r="G13" s="201"/>
      <c r="H13" s="209">
        <f>SUM(grove!$C$48:$AX$53)</f>
        <v>418485.47211737739</v>
      </c>
      <c r="L13" s="200" t="s">
        <v>363</v>
      </c>
      <c r="M13" s="198"/>
    </row>
    <row r="14" spans="1:20" x14ac:dyDescent="0.2">
      <c r="A14" s="198"/>
      <c r="B14" s="198" t="s">
        <v>364</v>
      </c>
      <c r="G14" s="201"/>
      <c r="H14" s="202">
        <f>raw_materials!$P$30</f>
        <v>400000</v>
      </c>
      <c r="L14" s="198"/>
      <c r="M14" s="198" t="s">
        <v>365</v>
      </c>
      <c r="S14" s="203">
        <f>SUM(grove!$C$58:$AX$63)</f>
        <v>612277260.10729802</v>
      </c>
    </row>
    <row r="15" spans="1:20" x14ac:dyDescent="0.2">
      <c r="A15" s="198"/>
      <c r="B15" s="198" t="s">
        <v>366</v>
      </c>
      <c r="G15" s="201"/>
      <c r="H15" s="206">
        <f>raw_materials!$P$36</f>
        <v>300000</v>
      </c>
      <c r="L15" s="198"/>
      <c r="M15" s="198" t="s">
        <v>367</v>
      </c>
      <c r="S15" s="205">
        <f>(raw_materials!D30*raw_materials!E30+raw_materials!F30*raw_materials!G30+raw_materials!H30*raw_materials!I30+raw_materials!J30*raw_materials!K30+raw_materials!L30*raw_materials!M30)*2000</f>
        <v>576440788.25473988</v>
      </c>
    </row>
    <row r="16" spans="1:20" x14ac:dyDescent="0.2">
      <c r="A16" s="198"/>
      <c r="B16" s="198" t="s">
        <v>368</v>
      </c>
      <c r="G16" s="201"/>
      <c r="H16" s="210">
        <v>88176.121148923572</v>
      </c>
      <c r="L16" s="198"/>
      <c r="M16" s="198" t="s">
        <v>369</v>
      </c>
      <c r="S16" s="205">
        <f>(raw_materials!D36*raw_materials!E36+raw_materials!F36*raw_materials!G36+raw_materials!H36*raw_materials!I36+raw_materials!J36*raw_materials!K36+raw_materials!L36*raw_materials!M36)*2000</f>
        <v>623418787.18693292</v>
      </c>
    </row>
    <row r="17" spans="1:21" x14ac:dyDescent="0.2">
      <c r="A17" s="198"/>
      <c r="B17" s="198" t="s">
        <v>370</v>
      </c>
      <c r="G17" s="201"/>
      <c r="H17" s="211">
        <v>185.72707850474731</v>
      </c>
      <c r="L17" s="198"/>
      <c r="M17" s="198" t="s">
        <v>371</v>
      </c>
      <c r="S17" s="205">
        <v>202554864.95823649</v>
      </c>
    </row>
    <row r="18" spans="1:21" x14ac:dyDescent="0.2">
      <c r="A18" s="198"/>
      <c r="B18" s="198" t="s">
        <v>372</v>
      </c>
      <c r="G18" s="201"/>
      <c r="H18" s="212">
        <v>234096.20507091674</v>
      </c>
      <c r="L18" s="198"/>
      <c r="M18" s="198" t="s">
        <v>373</v>
      </c>
      <c r="S18" s="207">
        <v>93486132.950835213</v>
      </c>
    </row>
    <row r="19" spans="1:21" x14ac:dyDescent="0.2">
      <c r="A19" s="198"/>
      <c r="B19" s="198" t="s">
        <v>374</v>
      </c>
      <c r="G19" s="201"/>
      <c r="H19" s="211">
        <v>724693.06338892016</v>
      </c>
      <c r="L19" s="198"/>
      <c r="M19" s="198" t="s">
        <v>375</v>
      </c>
      <c r="S19" s="213" t="s">
        <v>376</v>
      </c>
      <c r="T19" s="214">
        <f>SUM($S$14:$S$18)</f>
        <v>2108177833.4580424</v>
      </c>
      <c r="U19" t="s">
        <v>377</v>
      </c>
    </row>
    <row r="20" spans="1:21" x14ac:dyDescent="0.2">
      <c r="A20" s="198"/>
      <c r="B20" s="198" t="s">
        <v>378</v>
      </c>
      <c r="G20" s="201"/>
      <c r="H20" s="206">
        <v>169349.578199026</v>
      </c>
      <c r="L20" s="198"/>
      <c r="M20" s="198"/>
    </row>
    <row r="21" spans="1:21" x14ac:dyDescent="0.2">
      <c r="A21" s="198"/>
      <c r="B21" s="198"/>
      <c r="G21" s="201"/>
      <c r="L21" s="200" t="s">
        <v>379</v>
      </c>
      <c r="M21" s="198"/>
      <c r="S21" s="142"/>
    </row>
    <row r="22" spans="1:21" x14ac:dyDescent="0.2">
      <c r="A22" s="200" t="s">
        <v>380</v>
      </c>
      <c r="B22" s="198"/>
      <c r="G22" s="201"/>
      <c r="L22" s="198"/>
      <c r="M22" s="198" t="s">
        <v>381</v>
      </c>
      <c r="S22" s="205">
        <v>176352242.29784721</v>
      </c>
    </row>
    <row r="23" spans="1:21" x14ac:dyDescent="0.2">
      <c r="A23" s="198"/>
      <c r="B23" s="198" t="s">
        <v>382</v>
      </c>
      <c r="G23" s="201"/>
      <c r="H23" s="202">
        <f>SUM(raw_materials!$O$31:$O$35)</f>
        <v>300000</v>
      </c>
      <c r="L23" s="198"/>
      <c r="M23" s="198" t="s">
        <v>383</v>
      </c>
      <c r="S23" s="205">
        <v>185727.0785047473</v>
      </c>
    </row>
    <row r="24" spans="1:21" x14ac:dyDescent="0.2">
      <c r="A24" s="198"/>
      <c r="B24" s="198" t="s">
        <v>384</v>
      </c>
      <c r="G24" s="201"/>
      <c r="H24" s="206">
        <f>SUM(raw_materials!$O$37:$O$41)</f>
        <v>200000</v>
      </c>
      <c r="L24" s="198"/>
      <c r="M24" s="198" t="s">
        <v>385</v>
      </c>
      <c r="S24" s="207">
        <v>152162533.29609591</v>
      </c>
    </row>
    <row r="25" spans="1:21" x14ac:dyDescent="0.2">
      <c r="A25" s="198"/>
      <c r="B25" s="198"/>
      <c r="G25" s="201"/>
      <c r="L25" s="198"/>
      <c r="M25" s="198" t="s">
        <v>386</v>
      </c>
      <c r="S25" s="213" t="s">
        <v>376</v>
      </c>
      <c r="T25" s="214">
        <f>SUM($S$22:$S$24)</f>
        <v>328700502.67244786</v>
      </c>
      <c r="U25" t="s">
        <v>377</v>
      </c>
    </row>
    <row r="26" spans="1:21" x14ac:dyDescent="0.2">
      <c r="A26" s="200" t="s">
        <v>387</v>
      </c>
      <c r="B26" s="198"/>
      <c r="G26" s="201"/>
      <c r="L26" s="198"/>
      <c r="M26" s="198"/>
    </row>
    <row r="27" spans="1:21" x14ac:dyDescent="0.2">
      <c r="A27" s="198"/>
      <c r="B27" s="198" t="s">
        <v>388</v>
      </c>
      <c r="G27" s="201"/>
      <c r="H27" s="202">
        <f>SUMIF(facilities!$C$6:$C$15,"&gt;0",facilities!$C$6:$C$15)</f>
        <v>0</v>
      </c>
      <c r="L27" s="200" t="s">
        <v>389</v>
      </c>
      <c r="M27" s="198"/>
    </row>
    <row r="28" spans="1:21" x14ac:dyDescent="0.2">
      <c r="A28" s="198"/>
      <c r="B28" s="198" t="s">
        <v>390</v>
      </c>
      <c r="G28" s="201"/>
      <c r="H28" s="204">
        <f>SUMIF(facilities!$C$36:$C$106,"&gt;0",facilities!$C$36:$C$106)</f>
        <v>0</v>
      </c>
      <c r="L28" s="198"/>
      <c r="M28" s="198" t="s">
        <v>391</v>
      </c>
      <c r="S28" s="203">
        <v>85860504</v>
      </c>
    </row>
    <row r="29" spans="1:21" x14ac:dyDescent="0.2">
      <c r="A29" s="198"/>
      <c r="B29" s="198" t="s">
        <v>392</v>
      </c>
      <c r="G29" s="201"/>
      <c r="H29" s="204">
        <f>SUMIF(facilities!$C$6:$C$15,"&lt;0",facilities!$C$6:$C$15)</f>
        <v>-449</v>
      </c>
      <c r="L29" s="198"/>
      <c r="M29" s="198" t="s">
        <v>393</v>
      </c>
      <c r="S29" s="205">
        <v>26937608.25006916</v>
      </c>
    </row>
    <row r="30" spans="1:21" x14ac:dyDescent="0.2">
      <c r="A30" s="198"/>
      <c r="B30" s="198" t="s">
        <v>394</v>
      </c>
      <c r="G30" s="201"/>
      <c r="H30" s="206">
        <f>SUMIF(facilities!$C$36:$C$106,"&lt;0",facilities!$C$36:$C$106)</f>
        <v>0</v>
      </c>
      <c r="L30" s="198"/>
      <c r="M30" s="198" t="s">
        <v>395</v>
      </c>
      <c r="S30" s="205">
        <v>159467375.58609468</v>
      </c>
    </row>
    <row r="31" spans="1:21" x14ac:dyDescent="0.2">
      <c r="L31" s="198"/>
      <c r="M31" s="198" t="s">
        <v>396</v>
      </c>
      <c r="S31" s="207">
        <f>SUM(ORA!D138:O138)+SUM(POJ!D138:O138)+SUM(ROJ!D138:O138)+SUM(FCOJ!D138:O138)</f>
        <v>195327063.2574445</v>
      </c>
    </row>
    <row r="32" spans="1:21" x14ac:dyDescent="0.2">
      <c r="A32" s="200" t="s">
        <v>397</v>
      </c>
      <c r="B32" s="198"/>
      <c r="G32" s="201"/>
      <c r="L32" s="198"/>
      <c r="M32" s="198" t="s">
        <v>398</v>
      </c>
      <c r="S32" s="130" t="s">
        <v>376</v>
      </c>
      <c r="T32" s="214">
        <f>SUM($S$28:$S$31)</f>
        <v>467592551.09360832</v>
      </c>
      <c r="U32" t="s">
        <v>377</v>
      </c>
    </row>
    <row r="33" spans="1:21" x14ac:dyDescent="0.2">
      <c r="A33" s="198"/>
      <c r="B33" s="198" t="s">
        <v>399</v>
      </c>
      <c r="G33" s="201"/>
      <c r="H33" s="202">
        <f>COUNTIF(facilities!$H$6:$H$15,"=new")</f>
        <v>0</v>
      </c>
      <c r="M33" s="198"/>
    </row>
    <row r="34" spans="1:21" x14ac:dyDescent="0.2">
      <c r="A34" s="198"/>
      <c r="B34" s="198" t="s">
        <v>400</v>
      </c>
      <c r="G34" s="201"/>
      <c r="H34" s="204">
        <f>COUNTIF(facilities!$H$36:$H$106,"=new")</f>
        <v>0</v>
      </c>
      <c r="L34" s="200" t="s">
        <v>401</v>
      </c>
      <c r="M34" s="198"/>
    </row>
    <row r="35" spans="1:21" x14ac:dyDescent="0.2">
      <c r="B35" s="198" t="s">
        <v>18</v>
      </c>
      <c r="H35" s="206">
        <f>SUMIF(facilities!$C$21:$C$30,"&gt;0",facilities!$C$21:$C$30)</f>
        <v>0</v>
      </c>
      <c r="L35" s="198"/>
      <c r="M35" s="198" t="s">
        <v>402</v>
      </c>
      <c r="S35" s="203">
        <v>36437500</v>
      </c>
    </row>
    <row r="36" spans="1:21" x14ac:dyDescent="0.2">
      <c r="L36" s="198"/>
      <c r="M36" s="198" t="s">
        <v>403</v>
      </c>
      <c r="S36" s="205">
        <f>H33*12000000-H38*70/100*12000000</f>
        <v>0</v>
      </c>
    </row>
    <row r="37" spans="1:21" x14ac:dyDescent="0.2">
      <c r="A37" s="200" t="s">
        <v>404</v>
      </c>
      <c r="L37" s="198"/>
      <c r="M37" s="198" t="s">
        <v>405</v>
      </c>
      <c r="S37" s="205">
        <f>H27*8000+H29*70/100*8000</f>
        <v>-2514400</v>
      </c>
    </row>
    <row r="38" spans="1:21" x14ac:dyDescent="0.2">
      <c r="B38" s="198" t="s">
        <v>399</v>
      </c>
      <c r="H38" s="202">
        <f>COUNTIF(facilities!$H$6:$H$15,"=sold")</f>
        <v>0</v>
      </c>
      <c r="L38" s="198"/>
      <c r="M38" s="198" t="s">
        <v>406</v>
      </c>
      <c r="S38" s="205">
        <v>68950000</v>
      </c>
    </row>
    <row r="39" spans="1:21" x14ac:dyDescent="0.2">
      <c r="B39" s="198" t="s">
        <v>400</v>
      </c>
      <c r="H39" s="204">
        <f>COUNTIF(facilities!$H$36:$H$106,"=sold")</f>
        <v>0</v>
      </c>
      <c r="L39" s="198"/>
      <c r="M39" s="198" t="s">
        <v>407</v>
      </c>
      <c r="S39" s="205">
        <f>H34*9000000-H39*80/100*9000000</f>
        <v>0</v>
      </c>
    </row>
    <row r="40" spans="1:21" x14ac:dyDescent="0.2">
      <c r="B40" s="198" t="s">
        <v>18</v>
      </c>
      <c r="H40" s="206">
        <f>-SUMIF(facilities!$C$21:$C$30,"&lt;0",facilities!$C$21:$C$30)</f>
        <v>14</v>
      </c>
      <c r="L40" s="198"/>
      <c r="M40" s="198" t="s">
        <v>408</v>
      </c>
      <c r="S40" s="205">
        <f>H28*6000+H30*80/100*6000</f>
        <v>0</v>
      </c>
    </row>
    <row r="41" spans="1:21" x14ac:dyDescent="0.2">
      <c r="L41" s="198"/>
      <c r="M41" s="198" t="s">
        <v>409</v>
      </c>
      <c r="S41" s="205">
        <v>31350</v>
      </c>
    </row>
    <row r="42" spans="1:21" x14ac:dyDescent="0.2">
      <c r="L42" s="198"/>
      <c r="M42" s="198" t="s">
        <v>410</v>
      </c>
      <c r="S42" s="207">
        <f>H35*100000-H40*60/100*100000</f>
        <v>-840000</v>
      </c>
    </row>
    <row r="43" spans="1:21" x14ac:dyDescent="0.2">
      <c r="L43" s="198"/>
      <c r="M43" s="198" t="s">
        <v>411</v>
      </c>
      <c r="S43" s="192" t="s">
        <v>376</v>
      </c>
      <c r="T43" s="214">
        <f>SUM($S$35:$S$42)</f>
        <v>102064450</v>
      </c>
      <c r="U43" t="s">
        <v>377</v>
      </c>
    </row>
    <row r="44" spans="1:21" x14ac:dyDescent="0.2">
      <c r="L44" s="198"/>
      <c r="S44" s="128"/>
    </row>
    <row r="45" spans="1:21" ht="14.25" thickBot="1" x14ac:dyDescent="0.3">
      <c r="L45" s="215" t="s">
        <v>412</v>
      </c>
      <c r="M45" s="198"/>
      <c r="T45" s="216">
        <f>$T$11-$T$19-$T$25-$T$32-$T$43</f>
        <v>-2150906563.0570049</v>
      </c>
    </row>
    <row r="46" spans="1:21" ht="13.5" thickTop="1" x14ac:dyDescent="0.2">
      <c r="M46" s="198"/>
    </row>
    <row r="316" spans="1:1" x14ac:dyDescent="0.2">
      <c r="A316" s="194"/>
    </row>
    <row r="317" spans="1:1" x14ac:dyDescent="0.2">
      <c r="A317" s="194"/>
    </row>
    <row r="318" spans="1:1" x14ac:dyDescent="0.2">
      <c r="A318" s="194"/>
    </row>
    <row r="319" spans="1:1" x14ac:dyDescent="0.2">
      <c r="A319" s="194"/>
    </row>
    <row r="320" spans="1:1" x14ac:dyDescent="0.2">
      <c r="A320" s="194"/>
    </row>
    <row r="321" spans="1:1" x14ac:dyDescent="0.2">
      <c r="A321" s="194"/>
    </row>
    <row r="322" spans="1:1" x14ac:dyDescent="0.2">
      <c r="A322" s="194"/>
    </row>
    <row r="323" spans="1:1" x14ac:dyDescent="0.2">
      <c r="A323" s="194"/>
    </row>
    <row r="325" spans="1:1" x14ac:dyDescent="0.2">
      <c r="A325" s="194"/>
    </row>
    <row r="326" spans="1:1" x14ac:dyDescent="0.2">
      <c r="A326" s="194"/>
    </row>
    <row r="327" spans="1:1" x14ac:dyDescent="0.2">
      <c r="A327" s="194"/>
    </row>
    <row r="328" spans="1:1" x14ac:dyDescent="0.2">
      <c r="A328" s="194"/>
    </row>
    <row r="329" spans="1:1" x14ac:dyDescent="0.2">
      <c r="A329" s="194"/>
    </row>
    <row r="330" spans="1:1" x14ac:dyDescent="0.2">
      <c r="A330" s="194"/>
    </row>
    <row r="331" spans="1:1" x14ac:dyDescent="0.2">
      <c r="A331" s="194"/>
    </row>
    <row r="332" spans="1:1" x14ac:dyDescent="0.2">
      <c r="A332" s="194"/>
    </row>
    <row r="334" spans="1:1" x14ac:dyDescent="0.2">
      <c r="A334" s="194"/>
    </row>
    <row r="335" spans="1:1" x14ac:dyDescent="0.2">
      <c r="A335" s="194"/>
    </row>
    <row r="336" spans="1:1" x14ac:dyDescent="0.2">
      <c r="A336" s="194"/>
    </row>
    <row r="337" spans="1:1" x14ac:dyDescent="0.2">
      <c r="A337" s="194"/>
    </row>
    <row r="338" spans="1:1" x14ac:dyDescent="0.2">
      <c r="A338" s="194"/>
    </row>
    <row r="339" spans="1:1" x14ac:dyDescent="0.2">
      <c r="A339" s="194"/>
    </row>
    <row r="340" spans="1:1" x14ac:dyDescent="0.2">
      <c r="A340" s="194"/>
    </row>
    <row r="341" spans="1:1" x14ac:dyDescent="0.2">
      <c r="A341" s="194"/>
    </row>
    <row r="343" spans="1:1" x14ac:dyDescent="0.2">
      <c r="A343" s="194"/>
    </row>
    <row r="344" spans="1:1" x14ac:dyDescent="0.2">
      <c r="A344" s="194"/>
    </row>
    <row r="345" spans="1:1" x14ac:dyDescent="0.2">
      <c r="A345" s="194"/>
    </row>
    <row r="346" spans="1:1" x14ac:dyDescent="0.2">
      <c r="A346" s="194"/>
    </row>
    <row r="347" spans="1:1" x14ac:dyDescent="0.2">
      <c r="A347" s="194"/>
    </row>
    <row r="348" spans="1:1" x14ac:dyDescent="0.2">
      <c r="A348" s="194"/>
    </row>
    <row r="349" spans="1:1" x14ac:dyDescent="0.2">
      <c r="A349" s="194"/>
    </row>
    <row r="350" spans="1:1" x14ac:dyDescent="0.2">
      <c r="A350" s="194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topLeftCell="A25" workbookViewId="0">
      <selection activeCell="C38" sqref="C38:AX43"/>
    </sheetView>
  </sheetViews>
  <sheetFormatPr defaultRowHeight="12.75" x14ac:dyDescent="0.2"/>
  <cols>
    <col min="1" max="1" width="4.7109375" customWidth="1"/>
    <col min="2" max="2" width="15.7109375" customWidth="1"/>
  </cols>
  <sheetData>
    <row r="2" spans="2:14" x14ac:dyDescent="0.2">
      <c r="B2" s="1" t="s">
        <v>313</v>
      </c>
    </row>
    <row r="3" spans="2:14" x14ac:dyDescent="0.2">
      <c r="B3" s="121" t="s">
        <v>314</v>
      </c>
    </row>
    <row r="4" spans="2:14" x14ac:dyDescent="0.2">
      <c r="B4" s="187" t="s">
        <v>91</v>
      </c>
      <c r="C4" s="187" t="s">
        <v>92</v>
      </c>
      <c r="D4" s="187" t="s">
        <v>93</v>
      </c>
      <c r="E4" s="187" t="s">
        <v>94</v>
      </c>
      <c r="F4" s="187" t="s">
        <v>95</v>
      </c>
      <c r="G4" s="187" t="s">
        <v>96</v>
      </c>
      <c r="H4" s="187" t="s">
        <v>97</v>
      </c>
      <c r="I4" s="187" t="s">
        <v>98</v>
      </c>
      <c r="J4" s="187" t="s">
        <v>99</v>
      </c>
      <c r="K4" s="187" t="s">
        <v>100</v>
      </c>
      <c r="L4" s="187" t="s">
        <v>101</v>
      </c>
      <c r="M4" s="187" t="s">
        <v>102</v>
      </c>
      <c r="N4" s="187" t="s">
        <v>103</v>
      </c>
    </row>
    <row r="5" spans="2:14" x14ac:dyDescent="0.2">
      <c r="B5" s="188" t="s">
        <v>104</v>
      </c>
      <c r="C5">
        <v>0.81220234009089987</v>
      </c>
      <c r="D5">
        <v>0.66184550088469896</v>
      </c>
      <c r="E5">
        <v>1.0312255985603151</v>
      </c>
      <c r="F5">
        <v>0.59435608810509022</v>
      </c>
      <c r="G5">
        <v>0.61748761595419221</v>
      </c>
      <c r="H5">
        <v>0.69967699492210211</v>
      </c>
      <c r="I5">
        <v>0.68020184257664129</v>
      </c>
      <c r="J5">
        <v>0.6792570322031446</v>
      </c>
      <c r="K5">
        <v>0.63706487451071381</v>
      </c>
      <c r="L5">
        <v>0.94201155875411302</v>
      </c>
      <c r="M5">
        <v>0.52485218545131629</v>
      </c>
      <c r="N5">
        <v>0.58061100835209456</v>
      </c>
    </row>
    <row r="6" spans="2:14" x14ac:dyDescent="0.2">
      <c r="B6" s="188" t="s">
        <v>105</v>
      </c>
      <c r="C6">
        <v>0.69405306973627978</v>
      </c>
      <c r="D6">
        <v>0.77570406314354112</v>
      </c>
      <c r="E6">
        <v>0.84202286077100585</v>
      </c>
      <c r="F6">
        <v>0.66444379340357729</v>
      </c>
      <c r="G6">
        <v>0.69350334760618604</v>
      </c>
      <c r="H6">
        <v>0.63518064638512672</v>
      </c>
      <c r="I6">
        <v>0.67370382220619074</v>
      </c>
      <c r="J6">
        <v>0.64380759038108082</v>
      </c>
      <c r="K6">
        <v>0.67909600199901432</v>
      </c>
      <c r="L6">
        <v>0.75761286389128968</v>
      </c>
      <c r="M6">
        <v>0.6853758768014192</v>
      </c>
      <c r="N6">
        <v>0.6959488141065181</v>
      </c>
    </row>
    <row r="7" spans="2:14" x14ac:dyDescent="0.2">
      <c r="B7" s="188" t="s">
        <v>106</v>
      </c>
      <c r="C7">
        <v>0.77921511598366688</v>
      </c>
      <c r="D7">
        <v>0.74986085538637248</v>
      </c>
      <c r="E7">
        <v>0.76021836526779918</v>
      </c>
      <c r="F7">
        <v>0.76477532698583006</v>
      </c>
      <c r="G7">
        <v>0.70782757639592786</v>
      </c>
      <c r="H7">
        <v>0.93098720510794719</v>
      </c>
      <c r="I7">
        <v>0.75904793213371002</v>
      </c>
      <c r="J7">
        <v>0.70273806772392178</v>
      </c>
      <c r="K7">
        <v>0.75781574011271291</v>
      </c>
      <c r="L7">
        <v>0.70452827609466928</v>
      </c>
      <c r="M7">
        <v>0.72050697527872465</v>
      </c>
      <c r="N7">
        <v>0.75779228097207563</v>
      </c>
    </row>
    <row r="8" spans="2:14" x14ac:dyDescent="0.2">
      <c r="B8" s="188" t="s">
        <v>107</v>
      </c>
      <c r="C8">
        <v>0.79608015351066497</v>
      </c>
      <c r="D8">
        <v>0.69022386255116819</v>
      </c>
      <c r="E8">
        <v>0.73316475746301901</v>
      </c>
      <c r="F8">
        <v>0.72564020174951505</v>
      </c>
      <c r="G8">
        <v>0.7245059237527538</v>
      </c>
      <c r="H8">
        <v>0.69928596626459782</v>
      </c>
      <c r="I8">
        <v>0.70756304476929355</v>
      </c>
      <c r="J8">
        <v>0.78900558338818516</v>
      </c>
      <c r="K8">
        <v>0.68277826832913158</v>
      </c>
      <c r="L8">
        <v>0.69324540489408315</v>
      </c>
      <c r="M8">
        <v>0.71308630800326023</v>
      </c>
      <c r="N8">
        <v>0.71981695650367405</v>
      </c>
    </row>
    <row r="9" spans="2:14" x14ac:dyDescent="0.2">
      <c r="B9" s="188" t="s">
        <v>108</v>
      </c>
      <c r="C9">
        <v>2.0490955686569214</v>
      </c>
      <c r="D9">
        <v>2.0432240998744966</v>
      </c>
      <c r="E9">
        <v>2.0280443167686464</v>
      </c>
      <c r="F9">
        <v>2.0907162344455719</v>
      </c>
      <c r="G9">
        <v>2.09505277633667</v>
      </c>
      <c r="H9">
        <v>2.0737362658977507</v>
      </c>
      <c r="I9">
        <v>2.056356451511383</v>
      </c>
      <c r="J9">
        <v>2.0712339317798616</v>
      </c>
      <c r="K9">
        <v>2.0821373796463014</v>
      </c>
      <c r="L9">
        <v>2.0515693700313569</v>
      </c>
      <c r="M9">
        <v>2.0305963969230652</v>
      </c>
      <c r="N9">
        <v>2.0502963221073149</v>
      </c>
    </row>
    <row r="10" spans="2:14" x14ac:dyDescent="0.2">
      <c r="B10" s="188" t="s">
        <v>109</v>
      </c>
      <c r="C10">
        <v>0.65460352897644047</v>
      </c>
      <c r="D10">
        <v>0.66021096110343935</v>
      </c>
      <c r="E10">
        <v>0.69155150651931763</v>
      </c>
      <c r="F10">
        <v>0.67179134488105774</v>
      </c>
      <c r="G10">
        <v>0.65203740596771242</v>
      </c>
      <c r="H10">
        <v>0.61715249419212348</v>
      </c>
      <c r="I10">
        <v>0.6979974150657654</v>
      </c>
      <c r="J10">
        <v>0.6456420958042145</v>
      </c>
      <c r="K10">
        <v>0.67591972351074225</v>
      </c>
      <c r="L10">
        <v>0.63420183062553404</v>
      </c>
      <c r="M10">
        <v>0.60576053857803347</v>
      </c>
      <c r="N10">
        <v>0.67061932682991032</v>
      </c>
    </row>
    <row r="11" spans="2:14" x14ac:dyDescent="0.2">
      <c r="B11" s="189"/>
      <c r="C11" s="120"/>
      <c r="D11" s="120"/>
      <c r="E11" s="120"/>
      <c r="F11" s="120"/>
      <c r="G11" s="120"/>
    </row>
    <row r="12" spans="2:14" x14ac:dyDescent="0.2">
      <c r="B12" s="122" t="s">
        <v>315</v>
      </c>
      <c r="C12" s="120"/>
      <c r="D12" s="120"/>
      <c r="E12" s="120"/>
      <c r="F12" s="120"/>
      <c r="G12" s="120"/>
    </row>
    <row r="13" spans="2:14" x14ac:dyDescent="0.2">
      <c r="B13" s="188" t="s">
        <v>316</v>
      </c>
      <c r="C13" s="188" t="s">
        <v>92</v>
      </c>
      <c r="D13" s="188" t="s">
        <v>93</v>
      </c>
      <c r="E13" s="187" t="s">
        <v>94</v>
      </c>
      <c r="F13" s="187" t="s">
        <v>95</v>
      </c>
      <c r="G13" s="187" t="s">
        <v>96</v>
      </c>
      <c r="H13" s="187" t="s">
        <v>97</v>
      </c>
      <c r="I13" s="187" t="s">
        <v>98</v>
      </c>
      <c r="J13" s="187" t="s">
        <v>99</v>
      </c>
      <c r="K13" s="187" t="s">
        <v>100</v>
      </c>
      <c r="L13" s="187" t="s">
        <v>101</v>
      </c>
      <c r="M13" s="187" t="s">
        <v>102</v>
      </c>
      <c r="N13" s="187" t="s">
        <v>103</v>
      </c>
    </row>
    <row r="14" spans="2:14" x14ac:dyDescent="0.2">
      <c r="B14" s="187" t="s">
        <v>317</v>
      </c>
      <c r="C14" s="120">
        <v>0.36533636782321538</v>
      </c>
      <c r="D14" s="120">
        <v>0.36669245024312003</v>
      </c>
      <c r="E14" s="120">
        <v>0.36804471689488055</v>
      </c>
      <c r="F14" s="120">
        <v>0.36938936274722722</v>
      </c>
      <c r="G14" s="120">
        <v>0.37072260421242725</v>
      </c>
      <c r="H14">
        <v>0.37204068979260957</v>
      </c>
      <c r="I14">
        <v>0.37333991063579414</v>
      </c>
      <c r="J14">
        <v>0.37461661097192395</v>
      </c>
      <c r="K14">
        <v>0.37586719839953386</v>
      </c>
      <c r="L14">
        <v>0.37708815399411172</v>
      </c>
      <c r="M14">
        <v>0.3782760422097094</v>
      </c>
      <c r="N14">
        <v>0.37942752054594098</v>
      </c>
    </row>
    <row r="15" spans="2:14" x14ac:dyDescent="0.2">
      <c r="B15" s="187" t="s">
        <v>318</v>
      </c>
      <c r="C15">
        <v>1.058185295746392</v>
      </c>
      <c r="D15">
        <v>1.0609909029365809</v>
      </c>
      <c r="E15">
        <v>1.0637886156607819</v>
      </c>
      <c r="F15">
        <v>1.0665705616665908</v>
      </c>
      <c r="G15">
        <v>1.0693289130662691</v>
      </c>
      <c r="H15">
        <v>1.0720559083629886</v>
      </c>
      <c r="I15">
        <v>1.0747438742902651</v>
      </c>
      <c r="J15">
        <v>1.0773852474031282</v>
      </c>
      <c r="K15">
        <v>1.0799725953602741</v>
      </c>
      <c r="L15">
        <v>1.0824986378373165</v>
      </c>
      <c r="M15">
        <v>1.0849562670122865</v>
      </c>
      <c r="N15">
        <v>1.0873385675657481</v>
      </c>
    </row>
    <row r="16" spans="2:14" x14ac:dyDescent="0.2">
      <c r="B16" s="120"/>
    </row>
    <row r="17" spans="2:14" x14ac:dyDescent="0.2">
      <c r="B17" s="121" t="s">
        <v>319</v>
      </c>
    </row>
    <row r="18" spans="2:14" x14ac:dyDescent="0.2">
      <c r="B18" s="119" t="s">
        <v>91</v>
      </c>
      <c r="C18" s="119" t="s">
        <v>92</v>
      </c>
      <c r="D18" s="119" t="s">
        <v>93</v>
      </c>
      <c r="E18" s="119" t="s">
        <v>94</v>
      </c>
      <c r="F18" s="119" t="s">
        <v>95</v>
      </c>
      <c r="G18" s="119" t="s">
        <v>96</v>
      </c>
      <c r="H18" s="119" t="s">
        <v>97</v>
      </c>
      <c r="I18" s="119" t="s">
        <v>98</v>
      </c>
      <c r="J18" s="119" t="s">
        <v>99</v>
      </c>
      <c r="K18" s="119" t="s">
        <v>100</v>
      </c>
      <c r="L18" s="119" t="s">
        <v>101</v>
      </c>
      <c r="M18" s="119" t="s">
        <v>102</v>
      </c>
      <c r="N18" s="119" t="s">
        <v>103</v>
      </c>
    </row>
    <row r="19" spans="2:14" x14ac:dyDescent="0.2">
      <c r="B19" s="190" t="s">
        <v>104</v>
      </c>
      <c r="C19">
        <f>C5</f>
        <v>0.81220234009089987</v>
      </c>
      <c r="D19">
        <f t="shared" ref="D19:N20" si="0">D5</f>
        <v>0.66184550088469896</v>
      </c>
      <c r="E19">
        <f t="shared" si="0"/>
        <v>1.0312255985603151</v>
      </c>
      <c r="F19">
        <f t="shared" si="0"/>
        <v>0.59435608810509022</v>
      </c>
      <c r="G19">
        <f t="shared" si="0"/>
        <v>0.61748761595419221</v>
      </c>
      <c r="H19">
        <f t="shared" si="0"/>
        <v>0.69967699492210211</v>
      </c>
      <c r="I19">
        <f t="shared" si="0"/>
        <v>0.68020184257664129</v>
      </c>
      <c r="J19">
        <f t="shared" si="0"/>
        <v>0.6792570322031446</v>
      </c>
      <c r="K19">
        <f t="shared" si="0"/>
        <v>0.63706487451071381</v>
      </c>
      <c r="L19">
        <f t="shared" si="0"/>
        <v>0.94201155875411302</v>
      </c>
      <c r="M19">
        <f t="shared" si="0"/>
        <v>0.52485218545131629</v>
      </c>
      <c r="N19">
        <f t="shared" si="0"/>
        <v>0.58061100835209456</v>
      </c>
    </row>
    <row r="20" spans="2:14" x14ac:dyDescent="0.2">
      <c r="B20" s="190" t="s">
        <v>105</v>
      </c>
      <c r="C20">
        <f>C6</f>
        <v>0.69405306973627978</v>
      </c>
      <c r="D20">
        <f t="shared" si="0"/>
        <v>0.77570406314354112</v>
      </c>
      <c r="E20">
        <f t="shared" si="0"/>
        <v>0.84202286077100585</v>
      </c>
      <c r="F20">
        <f t="shared" si="0"/>
        <v>0.66444379340357729</v>
      </c>
      <c r="G20">
        <f t="shared" si="0"/>
        <v>0.69350334760618604</v>
      </c>
      <c r="H20">
        <f t="shared" si="0"/>
        <v>0.63518064638512672</v>
      </c>
      <c r="I20">
        <f t="shared" si="0"/>
        <v>0.67370382220619074</v>
      </c>
      <c r="J20">
        <f t="shared" si="0"/>
        <v>0.64380759038108082</v>
      </c>
      <c r="K20">
        <f t="shared" si="0"/>
        <v>0.67909600199901432</v>
      </c>
      <c r="L20">
        <f t="shared" si="0"/>
        <v>0.75761286389128968</v>
      </c>
      <c r="M20">
        <f t="shared" si="0"/>
        <v>0.6853758768014192</v>
      </c>
      <c r="N20">
        <f t="shared" si="0"/>
        <v>0.6959488141065181</v>
      </c>
    </row>
    <row r="21" spans="2:14" x14ac:dyDescent="0.2">
      <c r="B21" s="190" t="s">
        <v>106</v>
      </c>
      <c r="C21">
        <f t="shared" ref="C21:N22" si="1">C7</f>
        <v>0.77921511598366688</v>
      </c>
      <c r="D21">
        <f t="shared" si="1"/>
        <v>0.74986085538637248</v>
      </c>
      <c r="E21">
        <f t="shared" si="1"/>
        <v>0.76021836526779918</v>
      </c>
      <c r="F21">
        <f t="shared" si="1"/>
        <v>0.76477532698583006</v>
      </c>
      <c r="G21">
        <f t="shared" si="1"/>
        <v>0.70782757639592786</v>
      </c>
      <c r="H21">
        <f t="shared" si="1"/>
        <v>0.93098720510794719</v>
      </c>
      <c r="I21">
        <f t="shared" si="1"/>
        <v>0.75904793213371002</v>
      </c>
      <c r="J21">
        <f t="shared" si="1"/>
        <v>0.70273806772392178</v>
      </c>
      <c r="K21">
        <f t="shared" si="1"/>
        <v>0.75781574011271291</v>
      </c>
      <c r="L21">
        <f t="shared" si="1"/>
        <v>0.70452827609466928</v>
      </c>
      <c r="M21">
        <f t="shared" si="1"/>
        <v>0.72050697527872465</v>
      </c>
      <c r="N21">
        <f t="shared" si="1"/>
        <v>0.75779228097207563</v>
      </c>
    </row>
    <row r="22" spans="2:14" x14ac:dyDescent="0.2">
      <c r="B22" s="190" t="s">
        <v>107</v>
      </c>
      <c r="C22">
        <f t="shared" si="1"/>
        <v>0.79608015351066497</v>
      </c>
      <c r="D22">
        <f t="shared" si="1"/>
        <v>0.69022386255116819</v>
      </c>
      <c r="E22">
        <f t="shared" si="1"/>
        <v>0.73316475746301901</v>
      </c>
      <c r="F22">
        <f t="shared" si="1"/>
        <v>0.72564020174951505</v>
      </c>
      <c r="G22">
        <f t="shared" si="1"/>
        <v>0.7245059237527538</v>
      </c>
      <c r="H22">
        <f t="shared" si="1"/>
        <v>0.69928596626459782</v>
      </c>
      <c r="I22">
        <f t="shared" si="1"/>
        <v>0.70756304476929355</v>
      </c>
      <c r="J22">
        <f t="shared" si="1"/>
        <v>0.78900558338818516</v>
      </c>
      <c r="K22">
        <f t="shared" si="1"/>
        <v>0.68277826832913158</v>
      </c>
      <c r="L22">
        <f t="shared" si="1"/>
        <v>0.69324540489408315</v>
      </c>
      <c r="M22">
        <f t="shared" si="1"/>
        <v>0.71308630800326023</v>
      </c>
      <c r="N22">
        <f t="shared" si="1"/>
        <v>0.71981695650367405</v>
      </c>
    </row>
    <row r="23" spans="2:14" x14ac:dyDescent="0.2">
      <c r="B23" s="190" t="s">
        <v>108</v>
      </c>
      <c r="C23">
        <f>C9*C14</f>
        <v>0.74860913237576576</v>
      </c>
      <c r="D23">
        <f t="shared" ref="D23:N24" si="2">D9*D14</f>
        <v>0.74923485157877256</v>
      </c>
      <c r="E23">
        <f t="shared" si="2"/>
        <v>0.74641099641538788</v>
      </c>
      <c r="F23">
        <f t="shared" si="2"/>
        <v>0.77228833752713233</v>
      </c>
      <c r="G23">
        <f t="shared" si="2"/>
        <v>0.7766834212060062</v>
      </c>
      <c r="H23">
        <f t="shared" si="2"/>
        <v>0.77151427081254964</v>
      </c>
      <c r="I23">
        <f t="shared" si="2"/>
        <v>0.76771993384259851</v>
      </c>
      <c r="J23">
        <f t="shared" si="2"/>
        <v>0.77591863605342493</v>
      </c>
      <c r="K23">
        <f t="shared" si="2"/>
        <v>0.7826071435706019</v>
      </c>
      <c r="L23">
        <f t="shared" si="2"/>
        <v>0.77362250653598708</v>
      </c>
      <c r="M23">
        <f t="shared" si="2"/>
        <v>0.76812596835335323</v>
      </c>
      <c r="N23">
        <f t="shared" si="2"/>
        <v>0.77793884988164042</v>
      </c>
    </row>
    <row r="24" spans="2:14" x14ac:dyDescent="0.2">
      <c r="B24" s="190" t="s">
        <v>109</v>
      </c>
      <c r="C24">
        <f>C10*C15</f>
        <v>0.69269182890656655</v>
      </c>
      <c r="D24">
        <f t="shared" si="2"/>
        <v>0.70047782374976608</v>
      </c>
      <c r="E24">
        <f t="shared" si="2"/>
        <v>0.7356646197783131</v>
      </c>
      <c r="F24">
        <f t="shared" si="2"/>
        <v>0.71651287203254421</v>
      </c>
      <c r="G24">
        <f t="shared" si="2"/>
        <v>0.69724245060200352</v>
      </c>
      <c r="H24">
        <f t="shared" si="2"/>
        <v>0.66162197775962095</v>
      </c>
      <c r="I24">
        <f t="shared" si="2"/>
        <v>0.75016844611237099</v>
      </c>
      <c r="J24">
        <f t="shared" si="2"/>
        <v>0.69560526912189791</v>
      </c>
      <c r="K24">
        <f t="shared" si="2"/>
        <v>0.72997477805509525</v>
      </c>
      <c r="L24">
        <f t="shared" si="2"/>
        <v>0.68652261776607304</v>
      </c>
      <c r="M24">
        <f t="shared" si="2"/>
        <v>0.6572236926389754</v>
      </c>
      <c r="N24">
        <f t="shared" si="2"/>
        <v>0.7291902582171409</v>
      </c>
    </row>
    <row r="25" spans="2:14" x14ac:dyDescent="0.2">
      <c r="B25" s="189"/>
    </row>
    <row r="26" spans="2:14" x14ac:dyDescent="0.2">
      <c r="B26" s="122" t="s">
        <v>320</v>
      </c>
    </row>
    <row r="27" spans="2:14" x14ac:dyDescent="0.2">
      <c r="B27" s="119" t="s">
        <v>321</v>
      </c>
      <c r="C27" s="119" t="s">
        <v>92</v>
      </c>
      <c r="D27" s="119" t="s">
        <v>93</v>
      </c>
      <c r="E27" s="119" t="s">
        <v>94</v>
      </c>
      <c r="F27" s="119" t="s">
        <v>95</v>
      </c>
      <c r="G27" s="119" t="s">
        <v>96</v>
      </c>
      <c r="H27" s="119" t="s">
        <v>97</v>
      </c>
      <c r="I27" s="119" t="s">
        <v>98</v>
      </c>
      <c r="J27" s="119" t="s">
        <v>99</v>
      </c>
      <c r="K27" s="119" t="s">
        <v>100</v>
      </c>
      <c r="L27" s="119" t="s">
        <v>101</v>
      </c>
      <c r="M27" s="119" t="s">
        <v>102</v>
      </c>
      <c r="N27" s="119" t="s">
        <v>103</v>
      </c>
    </row>
    <row r="28" spans="2:14" x14ac:dyDescent="0.2">
      <c r="B28" s="119" t="s">
        <v>104</v>
      </c>
      <c r="C28">
        <f>IF(C19&lt;=raw_materials!$D17,raw_materials!$C17,IF(C19&lt;=raw_materials!$F17,raw_materials!$E17,IF(C19&lt;=raw_materials!$H17,raw_materials!$G17,0)))</f>
        <v>1</v>
      </c>
      <c r="D28">
        <f>IF(D19&lt;=raw_materials!$D17,raw_materials!$C17,IF(D19&lt;=raw_materials!$F17,raw_materials!$E17,IF(D19&lt;=raw_materials!$H17,raw_materials!$G17,0)))</f>
        <v>1</v>
      </c>
      <c r="E28">
        <f>IF(E19&lt;=raw_materials!$D17,raw_materials!$C17,IF(E19&lt;=raw_materials!$F17,raw_materials!$E17,IF(E19&lt;=raw_materials!$H17,raw_materials!$G17,0)))</f>
        <v>1</v>
      </c>
      <c r="F28">
        <f>IF(F19&lt;=raw_materials!$D17,raw_materials!$C17,IF(F19&lt;=raw_materials!$F17,raw_materials!$E17,IF(F19&lt;=raw_materials!$H17,raw_materials!$G17,0)))</f>
        <v>1</v>
      </c>
      <c r="G28">
        <f>IF(G19&lt;=raw_materials!$D17,raw_materials!$C17,IF(G19&lt;=raw_materials!$F17,raw_materials!$E17,IF(G19&lt;=raw_materials!$H17,raw_materials!$G17,0)))</f>
        <v>1</v>
      </c>
      <c r="H28">
        <f>IF(H19&lt;=raw_materials!$D17,raw_materials!$C17,IF(H19&lt;=raw_materials!$F17,raw_materials!$E17,IF(H19&lt;=raw_materials!$H17,raw_materials!$G17,0)))</f>
        <v>1</v>
      </c>
      <c r="I28">
        <f>IF(I19&lt;=raw_materials!$D17,raw_materials!$C17,IF(I19&lt;=raw_materials!$F17,raw_materials!$E17,IF(I19&lt;=raw_materials!$H17,raw_materials!$G17,0)))</f>
        <v>1</v>
      </c>
      <c r="J28">
        <f>IF(J19&lt;=raw_materials!$D17,raw_materials!$C17,IF(J19&lt;=raw_materials!$F17,raw_materials!$E17,IF(J19&lt;=raw_materials!$H17,raw_materials!$G17,0)))</f>
        <v>1</v>
      </c>
      <c r="K28">
        <f>IF(K19&lt;=raw_materials!$D17,raw_materials!$C17,IF(K19&lt;=raw_materials!$F17,raw_materials!$E17,IF(K19&lt;=raw_materials!$H17,raw_materials!$G17,0)))</f>
        <v>1</v>
      </c>
      <c r="L28">
        <f>IF(L19&lt;=raw_materials!$D17,raw_materials!$C17,IF(L19&lt;=raw_materials!$F17,raw_materials!$E17,IF(L19&lt;=raw_materials!$H17,raw_materials!$G17,0)))</f>
        <v>1</v>
      </c>
      <c r="M28">
        <f>IF(M19&lt;=raw_materials!$D17,raw_materials!$C17,IF(M19&lt;=raw_materials!$F17,raw_materials!$E17,IF(M19&lt;=raw_materials!$H17,raw_materials!$G17,0)))</f>
        <v>1</v>
      </c>
      <c r="N28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19" t="s">
        <v>105</v>
      </c>
      <c r="C29">
        <f>IF(C20&lt;=raw_materials!$D18,raw_materials!$C18,IF(C20&lt;=raw_materials!$F18,raw_materials!$E18,IF(C20&lt;=raw_materials!$H18,raw_materials!$G18,0)))</f>
        <v>1</v>
      </c>
      <c r="D29">
        <f>IF(D20&lt;=raw_materials!$D18,raw_materials!$C18,IF(D20&lt;=raw_materials!$F18,raw_materials!$E18,IF(D20&lt;=raw_materials!$H18,raw_materials!$G18,0)))</f>
        <v>1</v>
      </c>
      <c r="E29">
        <f>IF(E20&lt;=raw_materials!$D18,raw_materials!$C18,IF(E20&lt;=raw_materials!$F18,raw_materials!$E18,IF(E20&lt;=raw_materials!$H18,raw_materials!$G18,0)))</f>
        <v>1</v>
      </c>
      <c r="F29">
        <f>IF(F20&lt;=raw_materials!$D18,raw_materials!$C18,IF(F20&lt;=raw_materials!$F18,raw_materials!$E18,IF(F20&lt;=raw_materials!$H18,raw_materials!$G18,0)))</f>
        <v>1</v>
      </c>
      <c r="G29">
        <f>IF(G20&lt;=raw_materials!$D18,raw_materials!$C18,IF(G20&lt;=raw_materials!$F18,raw_materials!$E18,IF(G20&lt;=raw_materials!$H18,raw_materials!$G18,0)))</f>
        <v>1</v>
      </c>
      <c r="H29">
        <f>IF(H20&lt;=raw_materials!$D18,raw_materials!$C18,IF(H20&lt;=raw_materials!$F18,raw_materials!$E18,IF(H20&lt;=raw_materials!$H18,raw_materials!$G18,0)))</f>
        <v>1</v>
      </c>
      <c r="I29">
        <f>IF(I20&lt;=raw_materials!$D18,raw_materials!$C18,IF(I20&lt;=raw_materials!$F18,raw_materials!$E18,IF(I20&lt;=raw_materials!$H18,raw_materials!$G18,0)))</f>
        <v>1</v>
      </c>
      <c r="J29">
        <f>IF(J20&lt;=raw_materials!$D18,raw_materials!$C18,IF(J20&lt;=raw_materials!$F18,raw_materials!$E18,IF(J20&lt;=raw_materials!$H18,raw_materials!$G18,0)))</f>
        <v>1</v>
      </c>
      <c r="K29">
        <f>IF(K20&lt;=raw_materials!$D18,raw_materials!$C18,IF(K20&lt;=raw_materials!$F18,raw_materials!$E18,IF(K20&lt;=raw_materials!$H18,raw_materials!$G18,0)))</f>
        <v>1</v>
      </c>
      <c r="L29">
        <f>IF(L20&lt;=raw_materials!$D18,raw_materials!$C18,IF(L20&lt;=raw_materials!$F18,raw_materials!$E18,IF(L20&lt;=raw_materials!$H18,raw_materials!$G18,0)))</f>
        <v>1</v>
      </c>
      <c r="M29">
        <f>IF(M20&lt;=raw_materials!$D18,raw_materials!$C18,IF(M20&lt;=raw_materials!$F18,raw_materials!$E18,IF(M20&lt;=raw_materials!$H18,raw_materials!$G18,0)))</f>
        <v>1</v>
      </c>
      <c r="N29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19" t="s">
        <v>106</v>
      </c>
      <c r="C30">
        <f>IF(C21&lt;=raw_materials!$D19,raw_materials!$C19,IF(C21&lt;=raw_materials!$F19,raw_materials!$E19,IF(C21&lt;=raw_materials!$H19,raw_materials!$G19,0)))</f>
        <v>1</v>
      </c>
      <c r="D30">
        <f>IF(D21&lt;=raw_materials!$D19,raw_materials!$C19,IF(D21&lt;=raw_materials!$F19,raw_materials!$E19,IF(D21&lt;=raw_materials!$H19,raw_materials!$G19,0)))</f>
        <v>1</v>
      </c>
      <c r="E30">
        <f>IF(E21&lt;=raw_materials!$D19,raw_materials!$C19,IF(E21&lt;=raw_materials!$F19,raw_materials!$E19,IF(E21&lt;=raw_materials!$H19,raw_materials!$G19,0)))</f>
        <v>1</v>
      </c>
      <c r="F30">
        <f>IF(F21&lt;=raw_materials!$D19,raw_materials!$C19,IF(F21&lt;=raw_materials!$F19,raw_materials!$E19,IF(F21&lt;=raw_materials!$H19,raw_materials!$G19,0)))</f>
        <v>1</v>
      </c>
      <c r="G30">
        <f>IF(G21&lt;=raw_materials!$D19,raw_materials!$C19,IF(G21&lt;=raw_materials!$F19,raw_materials!$E19,IF(G21&lt;=raw_materials!$H19,raw_materials!$G19,0)))</f>
        <v>1</v>
      </c>
      <c r="H30">
        <f>IF(H21&lt;=raw_materials!$D19,raw_materials!$C19,IF(H21&lt;=raw_materials!$F19,raw_materials!$E19,IF(H21&lt;=raw_materials!$H19,raw_materials!$G19,0)))</f>
        <v>1</v>
      </c>
      <c r="I30">
        <f>IF(I21&lt;=raw_materials!$D19,raw_materials!$C19,IF(I21&lt;=raw_materials!$F19,raw_materials!$E19,IF(I21&lt;=raw_materials!$H19,raw_materials!$G19,0)))</f>
        <v>1</v>
      </c>
      <c r="J30">
        <f>IF(J21&lt;=raw_materials!$D19,raw_materials!$C19,IF(J21&lt;=raw_materials!$F19,raw_materials!$E19,IF(J21&lt;=raw_materials!$H19,raw_materials!$G19,0)))</f>
        <v>1</v>
      </c>
      <c r="K30">
        <f>IF(K21&lt;=raw_materials!$D19,raw_materials!$C19,IF(K21&lt;=raw_materials!$F19,raw_materials!$E19,IF(K21&lt;=raw_materials!$H19,raw_materials!$G19,0)))</f>
        <v>1</v>
      </c>
      <c r="L30">
        <f>IF(L21&lt;=raw_materials!$D19,raw_materials!$C19,IF(L21&lt;=raw_materials!$F19,raw_materials!$E19,IF(L21&lt;=raw_materials!$H19,raw_materials!$G19,0)))</f>
        <v>1</v>
      </c>
      <c r="M30">
        <f>IF(M21&lt;=raw_materials!$D19,raw_materials!$C19,IF(M21&lt;=raw_materials!$F19,raw_materials!$E19,IF(M21&lt;=raw_materials!$H19,raw_materials!$G19,0)))</f>
        <v>1</v>
      </c>
      <c r="N30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19" t="s">
        <v>107</v>
      </c>
      <c r="C31">
        <f>IF(C22&lt;=raw_materials!$D20,raw_materials!$C20,IF(C22&lt;=raw_materials!$F20,raw_materials!$E20,IF(C22&lt;=raw_materials!$H20,raw_materials!$G20,0)))</f>
        <v>1</v>
      </c>
      <c r="D31">
        <f>IF(D22&lt;=raw_materials!$D20,raw_materials!$C20,IF(D22&lt;=raw_materials!$F20,raw_materials!$E20,IF(D22&lt;=raw_materials!$H20,raw_materials!$G20,0)))</f>
        <v>1</v>
      </c>
      <c r="E31">
        <f>IF(E22&lt;=raw_materials!$D20,raw_materials!$C20,IF(E22&lt;=raw_materials!$F20,raw_materials!$E20,IF(E22&lt;=raw_materials!$H20,raw_materials!$G20,0)))</f>
        <v>1</v>
      </c>
      <c r="F31">
        <f>IF(F22&lt;=raw_materials!$D20,raw_materials!$C20,IF(F22&lt;=raw_materials!$F20,raw_materials!$E20,IF(F22&lt;=raw_materials!$H20,raw_materials!$G20,0)))</f>
        <v>1</v>
      </c>
      <c r="G31">
        <f>IF(G22&lt;=raw_materials!$D20,raw_materials!$C20,IF(G22&lt;=raw_materials!$F20,raw_materials!$E20,IF(G22&lt;=raw_materials!$H20,raw_materials!$G20,0)))</f>
        <v>1</v>
      </c>
      <c r="H31">
        <f>IF(H22&lt;=raw_materials!$D20,raw_materials!$C20,IF(H22&lt;=raw_materials!$F20,raw_materials!$E20,IF(H22&lt;=raw_materials!$H20,raw_materials!$G20,0)))</f>
        <v>1</v>
      </c>
      <c r="I31">
        <f>IF(I22&lt;=raw_materials!$D20,raw_materials!$C20,IF(I22&lt;=raw_materials!$F20,raw_materials!$E20,IF(I22&lt;=raw_materials!$H20,raw_materials!$G20,0)))</f>
        <v>1</v>
      </c>
      <c r="J31">
        <f>IF(J22&lt;=raw_materials!$D20,raw_materials!$C20,IF(J22&lt;=raw_materials!$F20,raw_materials!$E20,IF(J22&lt;=raw_materials!$H20,raw_materials!$G20,0)))</f>
        <v>1</v>
      </c>
      <c r="K31">
        <f>IF(K22&lt;=raw_materials!$D20,raw_materials!$C20,IF(K22&lt;=raw_materials!$F20,raw_materials!$E20,IF(K22&lt;=raw_materials!$H20,raw_materials!$G20,0)))</f>
        <v>1</v>
      </c>
      <c r="L31">
        <f>IF(L22&lt;=raw_materials!$D20,raw_materials!$C20,IF(L22&lt;=raw_materials!$F20,raw_materials!$E20,IF(L22&lt;=raw_materials!$H20,raw_materials!$G20,0)))</f>
        <v>1</v>
      </c>
      <c r="M31">
        <f>IF(M22&lt;=raw_materials!$D20,raw_materials!$C20,IF(M22&lt;=raw_materials!$F20,raw_materials!$E20,IF(M22&lt;=raw_materials!$H20,raw_materials!$G20,0)))</f>
        <v>1</v>
      </c>
      <c r="N31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19" t="s">
        <v>108</v>
      </c>
      <c r="C32">
        <f>IF(C23&lt;=raw_materials!$D21,raw_materials!$C21,IF(C23&lt;=raw_materials!$F21,raw_materials!$E21,IF(C23&lt;=raw_materials!$H21,raw_materials!$G21,0)))</f>
        <v>1</v>
      </c>
      <c r="D32">
        <f>IF(D23&lt;=raw_materials!$D21,raw_materials!$C21,IF(D23&lt;=raw_materials!$F21,raw_materials!$E21,IF(D23&lt;=raw_materials!$H21,raw_materials!$G21,0)))</f>
        <v>1</v>
      </c>
      <c r="E32">
        <f>IF(E23&lt;=raw_materials!$D21,raw_materials!$C21,IF(E23&lt;=raw_materials!$F21,raw_materials!$E21,IF(E23&lt;=raw_materials!$H21,raw_materials!$G21,0)))</f>
        <v>1</v>
      </c>
      <c r="F32">
        <f>IF(F23&lt;=raw_materials!$D21,raw_materials!$C21,IF(F23&lt;=raw_materials!$F21,raw_materials!$E21,IF(F23&lt;=raw_materials!$H21,raw_materials!$G21,0)))</f>
        <v>1</v>
      </c>
      <c r="G32">
        <f>IF(G23&lt;=raw_materials!$D21,raw_materials!$C21,IF(G23&lt;=raw_materials!$F21,raw_materials!$E21,IF(G23&lt;=raw_materials!$H21,raw_materials!$G21,0)))</f>
        <v>1</v>
      </c>
      <c r="H32">
        <f>IF(H23&lt;=raw_materials!$D21,raw_materials!$C21,IF(H23&lt;=raw_materials!$F21,raw_materials!$E21,IF(H23&lt;=raw_materials!$H21,raw_materials!$G21,0)))</f>
        <v>1</v>
      </c>
      <c r="I32">
        <f>IF(I23&lt;=raw_materials!$D21,raw_materials!$C21,IF(I23&lt;=raw_materials!$F21,raw_materials!$E21,IF(I23&lt;=raw_materials!$H21,raw_materials!$G21,0)))</f>
        <v>1</v>
      </c>
      <c r="J32">
        <f>IF(J23&lt;=raw_materials!$D21,raw_materials!$C21,IF(J23&lt;=raw_materials!$F21,raw_materials!$E21,IF(J23&lt;=raw_materials!$H21,raw_materials!$G21,0)))</f>
        <v>1</v>
      </c>
      <c r="K32">
        <f>IF(K23&lt;=raw_materials!$D21,raw_materials!$C21,IF(K23&lt;=raw_materials!$F21,raw_materials!$E21,IF(K23&lt;=raw_materials!$H21,raw_materials!$G21,0)))</f>
        <v>1</v>
      </c>
      <c r="L32">
        <f>IF(L23&lt;=raw_materials!$D21,raw_materials!$C21,IF(L23&lt;=raw_materials!$F21,raw_materials!$E21,IF(L23&lt;=raw_materials!$H21,raw_materials!$G21,0)))</f>
        <v>1</v>
      </c>
      <c r="M32">
        <f>IF(M23&lt;=raw_materials!$D21,raw_materials!$C21,IF(M23&lt;=raw_materials!$F21,raw_materials!$E21,IF(M23&lt;=raw_materials!$H21,raw_materials!$G21,0)))</f>
        <v>1</v>
      </c>
      <c r="N32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19" t="s">
        <v>109</v>
      </c>
      <c r="C33">
        <f>IF(C24&lt;=raw_materials!$D22,raw_materials!$C22,IF(C24&lt;=raw_materials!$F22,raw_materials!$E22,IF(C24&lt;=raw_materials!$H22,raw_materials!$G22,0)))</f>
        <v>1</v>
      </c>
      <c r="D33">
        <f>IF(D24&lt;=raw_materials!$D22,raw_materials!$C22,IF(D24&lt;=raw_materials!$F22,raw_materials!$E22,IF(D24&lt;=raw_materials!$H22,raw_materials!$G22,0)))</f>
        <v>1</v>
      </c>
      <c r="E33">
        <f>IF(E24&lt;=raw_materials!$D22,raw_materials!$C22,IF(E24&lt;=raw_materials!$F22,raw_materials!$E22,IF(E24&lt;=raw_materials!$H22,raw_materials!$G22,0)))</f>
        <v>1</v>
      </c>
      <c r="F33">
        <f>IF(F24&lt;=raw_materials!$D22,raw_materials!$C22,IF(F24&lt;=raw_materials!$F22,raw_materials!$E22,IF(F24&lt;=raw_materials!$H22,raw_materials!$G22,0)))</f>
        <v>1</v>
      </c>
      <c r="G33">
        <f>IF(G24&lt;=raw_materials!$D22,raw_materials!$C22,IF(G24&lt;=raw_materials!$F22,raw_materials!$E22,IF(G24&lt;=raw_materials!$H22,raw_materials!$G22,0)))</f>
        <v>1</v>
      </c>
      <c r="H33">
        <f>IF(H24&lt;=raw_materials!$D22,raw_materials!$C22,IF(H24&lt;=raw_materials!$F22,raw_materials!$E22,IF(H24&lt;=raw_materials!$H22,raw_materials!$G22,0)))</f>
        <v>1</v>
      </c>
      <c r="I33">
        <f>IF(I24&lt;=raw_materials!$D22,raw_materials!$C22,IF(I24&lt;=raw_materials!$F22,raw_materials!$E22,IF(I24&lt;=raw_materials!$H22,raw_materials!$G22,0)))</f>
        <v>1</v>
      </c>
      <c r="J33">
        <f>IF(J24&lt;=raw_materials!$D22,raw_materials!$C22,IF(J24&lt;=raw_materials!$F22,raw_materials!$E22,IF(J24&lt;=raw_materials!$H22,raw_materials!$G22,0)))</f>
        <v>1</v>
      </c>
      <c r="K33">
        <f>IF(K24&lt;=raw_materials!$D22,raw_materials!$C22,IF(K24&lt;=raw_materials!$F22,raw_materials!$E22,IF(K24&lt;=raw_materials!$H22,raw_materials!$G22,0)))</f>
        <v>1</v>
      </c>
      <c r="L33">
        <f>IF(L24&lt;=raw_materials!$D22,raw_materials!$C22,IF(L24&lt;=raw_materials!$F22,raw_materials!$E22,IF(L24&lt;=raw_materials!$H22,raw_materials!$G22,0)))</f>
        <v>1</v>
      </c>
      <c r="M33">
        <f>IF(M24&lt;=raw_materials!$D22,raw_materials!$C22,IF(M24&lt;=raw_materials!$F22,raw_materials!$E22,IF(M24&lt;=raw_materials!$H22,raw_materials!$G22,0)))</f>
        <v>1</v>
      </c>
      <c r="N33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21" t="s">
        <v>322</v>
      </c>
    </row>
    <row r="36" spans="2:50" x14ac:dyDescent="0.2">
      <c r="B36" s="187" t="s">
        <v>274</v>
      </c>
      <c r="C36" s="187" t="s">
        <v>92</v>
      </c>
      <c r="D36" s="120"/>
      <c r="E36" s="120"/>
      <c r="F36" s="120"/>
      <c r="G36" s="187" t="s">
        <v>93</v>
      </c>
      <c r="H36" s="120"/>
      <c r="I36" s="120"/>
      <c r="J36" s="120"/>
      <c r="K36" s="187" t="s">
        <v>94</v>
      </c>
      <c r="L36" s="120"/>
      <c r="M36" s="120"/>
      <c r="N36" s="120"/>
      <c r="O36" s="187" t="s">
        <v>95</v>
      </c>
      <c r="P36" s="120"/>
      <c r="Q36" s="120"/>
      <c r="R36" s="120"/>
      <c r="S36" s="187" t="s">
        <v>96</v>
      </c>
      <c r="T36" s="120"/>
      <c r="U36" s="120"/>
      <c r="V36" s="120"/>
      <c r="W36" s="187" t="s">
        <v>97</v>
      </c>
      <c r="X36" s="120"/>
      <c r="Y36" s="120"/>
      <c r="Z36" s="120"/>
      <c r="AA36" s="187" t="s">
        <v>98</v>
      </c>
      <c r="AB36" s="120"/>
      <c r="AC36" s="120"/>
      <c r="AD36" s="120"/>
      <c r="AE36" s="187" t="s">
        <v>99</v>
      </c>
      <c r="AF36" s="120"/>
      <c r="AG36" s="120"/>
      <c r="AH36" s="120"/>
      <c r="AI36" s="187" t="s">
        <v>100</v>
      </c>
      <c r="AJ36" s="120"/>
      <c r="AK36" s="120"/>
      <c r="AL36" s="120"/>
      <c r="AM36" s="187" t="s">
        <v>101</v>
      </c>
      <c r="AN36" s="120"/>
      <c r="AO36" s="120"/>
      <c r="AP36" s="120"/>
      <c r="AQ36" s="187" t="s">
        <v>102</v>
      </c>
      <c r="AR36" s="120"/>
      <c r="AS36" s="120"/>
      <c r="AT36" s="120"/>
      <c r="AU36" s="187" t="s">
        <v>103</v>
      </c>
      <c r="AV36" s="120"/>
      <c r="AW36" s="120"/>
      <c r="AX36" s="120"/>
    </row>
    <row r="37" spans="2:50" x14ac:dyDescent="0.2">
      <c r="B37" s="187" t="s">
        <v>323</v>
      </c>
      <c r="C37" s="187">
        <v>1</v>
      </c>
      <c r="D37" s="187">
        <v>2</v>
      </c>
      <c r="E37" s="187">
        <v>3</v>
      </c>
      <c r="F37" s="187">
        <v>4</v>
      </c>
      <c r="G37" s="187">
        <v>1</v>
      </c>
      <c r="H37" s="187">
        <v>2</v>
      </c>
      <c r="I37" s="187">
        <v>3</v>
      </c>
      <c r="J37" s="187">
        <v>4</v>
      </c>
      <c r="K37" s="187">
        <v>1</v>
      </c>
      <c r="L37" s="187">
        <v>2</v>
      </c>
      <c r="M37" s="187">
        <v>3</v>
      </c>
      <c r="N37" s="187">
        <v>4</v>
      </c>
      <c r="O37" s="187">
        <v>1</v>
      </c>
      <c r="P37" s="187">
        <v>2</v>
      </c>
      <c r="Q37" s="187">
        <v>3</v>
      </c>
      <c r="R37" s="187">
        <v>4</v>
      </c>
      <c r="S37" s="187">
        <v>1</v>
      </c>
      <c r="T37" s="187">
        <v>2</v>
      </c>
      <c r="U37" s="187">
        <v>3</v>
      </c>
      <c r="V37" s="187">
        <v>4</v>
      </c>
      <c r="W37" s="187">
        <v>1</v>
      </c>
      <c r="X37" s="187">
        <v>2</v>
      </c>
      <c r="Y37" s="187">
        <v>3</v>
      </c>
      <c r="Z37" s="187">
        <v>4</v>
      </c>
      <c r="AA37" s="187">
        <v>1</v>
      </c>
      <c r="AB37" s="187">
        <v>2</v>
      </c>
      <c r="AC37" s="187">
        <v>3</v>
      </c>
      <c r="AD37" s="187">
        <v>4</v>
      </c>
      <c r="AE37" s="187">
        <v>1</v>
      </c>
      <c r="AF37" s="187">
        <v>2</v>
      </c>
      <c r="AG37" s="187">
        <v>3</v>
      </c>
      <c r="AH37" s="187">
        <v>4</v>
      </c>
      <c r="AI37" s="187">
        <v>1</v>
      </c>
      <c r="AJ37" s="187">
        <v>2</v>
      </c>
      <c r="AK37" s="187">
        <v>3</v>
      </c>
      <c r="AL37" s="187">
        <v>4</v>
      </c>
      <c r="AM37" s="187">
        <v>1</v>
      </c>
      <c r="AN37" s="187">
        <v>2</v>
      </c>
      <c r="AO37" s="187">
        <v>3</v>
      </c>
      <c r="AP37" s="187">
        <v>4</v>
      </c>
      <c r="AQ37" s="187">
        <v>1</v>
      </c>
      <c r="AR37" s="187">
        <v>2</v>
      </c>
      <c r="AS37" s="187">
        <v>3</v>
      </c>
      <c r="AT37" s="187">
        <v>4</v>
      </c>
      <c r="AU37" s="187">
        <v>1</v>
      </c>
      <c r="AV37" s="187">
        <v>2</v>
      </c>
      <c r="AW37" s="187">
        <v>3</v>
      </c>
      <c r="AX37" s="187">
        <v>4</v>
      </c>
    </row>
    <row r="38" spans="2:50" x14ac:dyDescent="0.2">
      <c r="B38" s="187" t="s">
        <v>104</v>
      </c>
      <c r="C38">
        <v>10021.961005604602</v>
      </c>
      <c r="D38">
        <v>10043.926701050497</v>
      </c>
      <c r="E38">
        <v>2516.4733912812585</v>
      </c>
      <c r="F38">
        <v>25219.64518704552</v>
      </c>
      <c r="G38">
        <v>25274.541764850626</v>
      </c>
      <c r="H38">
        <v>17730.590384044619</v>
      </c>
      <c r="I38">
        <v>25384.255583806131</v>
      </c>
      <c r="J38">
        <v>25439.055203174696</v>
      </c>
      <c r="K38">
        <v>10863.016725037007</v>
      </c>
      <c r="L38">
        <v>12388.453386631885</v>
      </c>
      <c r="M38">
        <v>8866.9747372568745</v>
      </c>
      <c r="N38">
        <v>7941.244776811116</v>
      </c>
      <c r="O38">
        <v>25712.128310447646</v>
      </c>
      <c r="P38">
        <v>25766.496428023554</v>
      </c>
      <c r="Q38">
        <v>25820.761922544945</v>
      </c>
      <c r="R38">
        <v>25874.916053205223</v>
      </c>
      <c r="S38">
        <v>25928.950094808049</v>
      </c>
      <c r="T38">
        <v>25982.855339308269</v>
      </c>
      <c r="U38">
        <v>26036.623097350748</v>
      </c>
      <c r="V38">
        <v>26090.24469980675</v>
      </c>
      <c r="W38">
        <v>26143.711499307632</v>
      </c>
      <c r="X38">
        <v>26197.014871775551</v>
      </c>
      <c r="Y38">
        <v>18375.102352565613</v>
      </c>
      <c r="Z38">
        <v>26303.096964916222</v>
      </c>
      <c r="AA38">
        <v>26355.858567616488</v>
      </c>
      <c r="AB38">
        <v>18485.895757262515</v>
      </c>
      <c r="AC38">
        <v>26460.780308405316</v>
      </c>
      <c r="AD38">
        <v>26512.923509318131</v>
      </c>
      <c r="AE38">
        <v>26564.8436946238</v>
      </c>
      <c r="AF38">
        <v>26616.532481229282</v>
      </c>
      <c r="AG38">
        <v>18667.587066050899</v>
      </c>
      <c r="AH38">
        <v>18703.427758326601</v>
      </c>
      <c r="AI38">
        <v>18739.089026104397</v>
      </c>
      <c r="AJ38">
        <v>26820.807301044035</v>
      </c>
      <c r="AK38">
        <v>26871.21469072756</v>
      </c>
      <c r="AL38">
        <v>26921.341209603564</v>
      </c>
      <c r="AM38">
        <v>2697.1178763785615</v>
      </c>
      <c r="AN38">
        <v>27020.719306543244</v>
      </c>
      <c r="AO38">
        <v>10827.981935896303</v>
      </c>
      <c r="AP38">
        <v>10847.550966107259</v>
      </c>
      <c r="AQ38">
        <v>27167.47913646403</v>
      </c>
      <c r="AR38">
        <v>27215.752159530173</v>
      </c>
      <c r="AS38">
        <v>27263.688694937566</v>
      </c>
      <c r="AT38">
        <v>27311.281008823513</v>
      </c>
      <c r="AU38">
        <v>19150.964997065872</v>
      </c>
      <c r="AV38">
        <v>27405.40232323145</v>
      </c>
      <c r="AW38">
        <v>27451.916146805794</v>
      </c>
      <c r="AX38">
        <v>27498.055397691911</v>
      </c>
    </row>
    <row r="39" spans="2:50" x14ac:dyDescent="0.2">
      <c r="B39" s="187" t="s">
        <v>105</v>
      </c>
      <c r="C39">
        <v>15032.941508406904</v>
      </c>
      <c r="D39">
        <v>15065.890051575743</v>
      </c>
      <c r="E39">
        <v>15098.84034768755</v>
      </c>
      <c r="F39">
        <v>15131.787112227312</v>
      </c>
      <c r="G39">
        <v>15164.725058910377</v>
      </c>
      <c r="H39">
        <v>15197.648900609674</v>
      </c>
      <c r="I39">
        <v>15230.553350283679</v>
      </c>
      <c r="J39">
        <v>6105.3732487619272</v>
      </c>
      <c r="K39">
        <v>6118.5131725553128</v>
      </c>
      <c r="L39">
        <v>1532.9097497521016</v>
      </c>
      <c r="M39">
        <v>15361.87154289072</v>
      </c>
      <c r="N39">
        <v>15394.599794814729</v>
      </c>
      <c r="O39">
        <v>15427.276986268587</v>
      </c>
      <c r="P39">
        <v>15459.897856814132</v>
      </c>
      <c r="Q39">
        <v>15492.457153526968</v>
      </c>
      <c r="R39">
        <v>15524.949631923135</v>
      </c>
      <c r="S39">
        <v>15557.370056884829</v>
      </c>
      <c r="T39">
        <v>15589.713203584963</v>
      </c>
      <c r="U39">
        <v>15621.973858410449</v>
      </c>
      <c r="V39">
        <v>15654.14681988405</v>
      </c>
      <c r="W39">
        <v>15686.226899584581</v>
      </c>
      <c r="X39">
        <v>15718.208923065331</v>
      </c>
      <c r="Y39">
        <v>15750.087730770527</v>
      </c>
      <c r="Z39">
        <v>15781.858178949733</v>
      </c>
      <c r="AA39">
        <v>15813.515140569893</v>
      </c>
      <c r="AB39">
        <v>15845.053506225015</v>
      </c>
      <c r="AC39">
        <v>15876.468185043188</v>
      </c>
      <c r="AD39">
        <v>15907.754105590879</v>
      </c>
      <c r="AE39">
        <v>15938.90621677428</v>
      </c>
      <c r="AF39">
        <v>15969.919488737569</v>
      </c>
      <c r="AG39">
        <v>16000.788913757913</v>
      </c>
      <c r="AH39">
        <v>16031.509507137089</v>
      </c>
      <c r="AI39">
        <v>16062.076308089485</v>
      </c>
      <c r="AJ39">
        <v>16092.48438062642</v>
      </c>
      <c r="AK39">
        <v>16122.728814436536</v>
      </c>
      <c r="AL39">
        <v>16152.80472576214</v>
      </c>
      <c r="AM39">
        <v>16182.707258271368</v>
      </c>
      <c r="AN39">
        <v>16212.431583925947</v>
      </c>
      <c r="AO39">
        <v>1624.1972903844453</v>
      </c>
      <c r="AP39">
        <v>16271.326449160888</v>
      </c>
      <c r="AQ39">
        <v>16300.487481878417</v>
      </c>
      <c r="AR39">
        <v>16329.451295718105</v>
      </c>
      <c r="AS39">
        <v>16358.213216962538</v>
      </c>
      <c r="AT39">
        <v>16386.768605294106</v>
      </c>
      <c r="AU39">
        <v>16415.112854627889</v>
      </c>
      <c r="AV39">
        <v>11510.268975757208</v>
      </c>
      <c r="AW39">
        <v>16471.149688083475</v>
      </c>
      <c r="AX39">
        <v>16498.833238615145</v>
      </c>
    </row>
    <row r="40" spans="2:50" x14ac:dyDescent="0.2">
      <c r="B40" s="187" t="s">
        <v>106</v>
      </c>
      <c r="C40">
        <v>5010.9805028023011</v>
      </c>
      <c r="D40">
        <v>5021.9633505252477</v>
      </c>
      <c r="E40">
        <v>5032.946782562517</v>
      </c>
      <c r="F40">
        <v>5043.9290374091042</v>
      </c>
      <c r="G40">
        <v>5054.9083529701256</v>
      </c>
      <c r="H40">
        <v>5065.8829668698918</v>
      </c>
      <c r="I40">
        <v>5076.851116761226</v>
      </c>
      <c r="J40">
        <v>5087.8110406349388</v>
      </c>
      <c r="K40">
        <v>5098.7609771294274</v>
      </c>
      <c r="L40">
        <v>5109.6991658403376</v>
      </c>
      <c r="M40">
        <v>5120.6238476302397</v>
      </c>
      <c r="N40">
        <v>5131.5332649382435</v>
      </c>
      <c r="O40">
        <v>5142.4256620895294</v>
      </c>
      <c r="P40">
        <v>5153.2992856047113</v>
      </c>
      <c r="Q40">
        <v>5164.1523845089887</v>
      </c>
      <c r="R40">
        <v>5174.9832106410449</v>
      </c>
      <c r="S40">
        <v>5185.7900189616103</v>
      </c>
      <c r="T40">
        <v>5196.5710678616542</v>
      </c>
      <c r="U40">
        <v>5207.3246194701496</v>
      </c>
      <c r="V40">
        <v>5218.0489399613498</v>
      </c>
      <c r="W40">
        <v>5228.7422998615266</v>
      </c>
      <c r="X40">
        <v>5239.40297435511</v>
      </c>
      <c r="Y40">
        <v>2100.0116974360703</v>
      </c>
      <c r="Z40">
        <v>2104.2477571932977</v>
      </c>
      <c r="AA40">
        <v>5271.1717135232975</v>
      </c>
      <c r="AB40">
        <v>5281.6845020750052</v>
      </c>
      <c r="AC40">
        <v>5292.156061681063</v>
      </c>
      <c r="AD40">
        <v>5302.5847018636268</v>
      </c>
      <c r="AE40">
        <v>5312.9687389247601</v>
      </c>
      <c r="AF40">
        <v>5323.3064962458566</v>
      </c>
      <c r="AG40">
        <v>5333.5963045859717</v>
      </c>
      <c r="AH40">
        <v>5343.8365023790293</v>
      </c>
      <c r="AI40">
        <v>5354.0254360298286</v>
      </c>
      <c r="AJ40">
        <v>5364.1614602088066</v>
      </c>
      <c r="AK40">
        <v>5374.2429381455113</v>
      </c>
      <c r="AL40">
        <v>5384.2682419207131</v>
      </c>
      <c r="AM40">
        <v>5394.2357527571221</v>
      </c>
      <c r="AN40">
        <v>5404.1438613086484</v>
      </c>
      <c r="AO40">
        <v>5413.9909679481507</v>
      </c>
      <c r="AP40">
        <v>5423.7754830536296</v>
      </c>
      <c r="AQ40">
        <v>5433.4958272928061</v>
      </c>
      <c r="AR40">
        <v>5443.150431906035</v>
      </c>
      <c r="AS40">
        <v>5452.7377389875128</v>
      </c>
      <c r="AT40">
        <v>5462.2562017647024</v>
      </c>
      <c r="AU40">
        <v>5471.7042848759638</v>
      </c>
      <c r="AV40">
        <v>5481.0804646462902</v>
      </c>
      <c r="AW40">
        <v>5490.3832293611586</v>
      </c>
      <c r="AX40">
        <v>5499.611079538382</v>
      </c>
    </row>
    <row r="41" spans="2:50" x14ac:dyDescent="0.2">
      <c r="B41" s="187" t="s">
        <v>107</v>
      </c>
      <c r="C41">
        <v>300.65883016813808</v>
      </c>
      <c r="D41">
        <v>3013.1780103151486</v>
      </c>
      <c r="E41">
        <v>3019.7680695375102</v>
      </c>
      <c r="F41">
        <v>3026.3574224454624</v>
      </c>
      <c r="G41">
        <v>3032.9450117820752</v>
      </c>
      <c r="H41">
        <v>3039.5297801219349</v>
      </c>
      <c r="I41">
        <v>3046.1106700567357</v>
      </c>
      <c r="J41">
        <v>3052.6866243809636</v>
      </c>
      <c r="K41">
        <v>1223.7026345110626</v>
      </c>
      <c r="L41">
        <v>3065.8194995042027</v>
      </c>
      <c r="M41">
        <v>3072.3743085781439</v>
      </c>
      <c r="N41">
        <v>3078.9199589629461</v>
      </c>
      <c r="O41">
        <v>3085.4553972537178</v>
      </c>
      <c r="P41">
        <v>3091.9795713628264</v>
      </c>
      <c r="Q41">
        <v>3098.4914307053937</v>
      </c>
      <c r="R41">
        <v>3104.9899263846269</v>
      </c>
      <c r="S41">
        <v>3111.4740113769658</v>
      </c>
      <c r="T41">
        <v>3117.9426407169926</v>
      </c>
      <c r="U41">
        <v>3124.3947716820899</v>
      </c>
      <c r="V41">
        <v>3130.8293639768099</v>
      </c>
      <c r="W41">
        <v>2196.071765941841</v>
      </c>
      <c r="X41">
        <v>3143.6417846130662</v>
      </c>
      <c r="Y41">
        <v>3150.0175461541053</v>
      </c>
      <c r="Z41">
        <v>3156.3716357899466</v>
      </c>
      <c r="AA41">
        <v>3162.7030281139782</v>
      </c>
      <c r="AB41">
        <v>3169.010701245003</v>
      </c>
      <c r="AC41">
        <v>3175.2936370086377</v>
      </c>
      <c r="AD41">
        <v>3181.5508211181759</v>
      </c>
      <c r="AE41">
        <v>318.77812433548564</v>
      </c>
      <c r="AF41">
        <v>3193.9838977475138</v>
      </c>
      <c r="AG41">
        <v>3200.1577827515825</v>
      </c>
      <c r="AH41">
        <v>3206.3019014274178</v>
      </c>
      <c r="AI41">
        <v>3212.4152616178967</v>
      </c>
      <c r="AJ41">
        <v>3218.496876125284</v>
      </c>
      <c r="AK41">
        <v>3224.5457628873069</v>
      </c>
      <c r="AL41">
        <v>3230.5609451524278</v>
      </c>
      <c r="AM41">
        <v>3236.5414516542737</v>
      </c>
      <c r="AN41">
        <v>3242.486316785189</v>
      </c>
      <c r="AO41">
        <v>3248.3945807688906</v>
      </c>
      <c r="AP41">
        <v>3254.2652898321776</v>
      </c>
      <c r="AQ41">
        <v>2282.0682474629784</v>
      </c>
      <c r="AR41">
        <v>3265.8902591436208</v>
      </c>
      <c r="AS41">
        <v>3271.6426433925076</v>
      </c>
      <c r="AT41">
        <v>3277.3537210588215</v>
      </c>
      <c r="AU41">
        <v>3283.0225709255783</v>
      </c>
      <c r="AV41">
        <v>2302.0537951514416</v>
      </c>
      <c r="AW41">
        <v>2305.9609563316867</v>
      </c>
      <c r="AX41">
        <v>3299.7666477230291</v>
      </c>
    </row>
    <row r="42" spans="2:50" x14ac:dyDescent="0.2">
      <c r="B42" s="187" t="s">
        <v>108</v>
      </c>
      <c r="C42">
        <v>10000000</v>
      </c>
      <c r="D42">
        <v>10000000</v>
      </c>
      <c r="E42">
        <v>10000000</v>
      </c>
      <c r="F42">
        <v>10000000</v>
      </c>
      <c r="G42">
        <v>10000000</v>
      </c>
      <c r="H42">
        <v>10000000</v>
      </c>
      <c r="I42">
        <v>10000000</v>
      </c>
      <c r="J42">
        <v>10000000</v>
      </c>
      <c r="K42">
        <v>10000000</v>
      </c>
      <c r="L42">
        <v>10000000</v>
      </c>
      <c r="M42">
        <v>10000000</v>
      </c>
      <c r="N42">
        <v>10000000</v>
      </c>
      <c r="O42">
        <v>10000000</v>
      </c>
      <c r="P42">
        <v>10000000</v>
      </c>
      <c r="Q42">
        <v>10000000</v>
      </c>
      <c r="R42">
        <v>10000000</v>
      </c>
      <c r="S42">
        <v>10000000</v>
      </c>
      <c r="T42">
        <v>10000000</v>
      </c>
      <c r="U42">
        <v>10000000</v>
      </c>
      <c r="V42">
        <v>10000000</v>
      </c>
      <c r="W42">
        <v>10000000</v>
      </c>
      <c r="X42">
        <v>10000000</v>
      </c>
      <c r="Y42">
        <v>10000000</v>
      </c>
      <c r="Z42">
        <v>10000000</v>
      </c>
      <c r="AA42">
        <v>10000000</v>
      </c>
      <c r="AB42">
        <v>10000000</v>
      </c>
      <c r="AC42">
        <v>10000000</v>
      </c>
      <c r="AD42">
        <v>10000000</v>
      </c>
      <c r="AE42">
        <v>10000000</v>
      </c>
      <c r="AF42">
        <v>10000000</v>
      </c>
      <c r="AG42">
        <v>10000000</v>
      </c>
      <c r="AH42">
        <v>10000000</v>
      </c>
      <c r="AI42">
        <v>10000000</v>
      </c>
      <c r="AJ42">
        <v>10000000</v>
      </c>
      <c r="AK42">
        <v>10000000</v>
      </c>
      <c r="AL42">
        <v>10000000</v>
      </c>
      <c r="AM42">
        <v>10000000</v>
      </c>
      <c r="AN42">
        <v>10000000</v>
      </c>
      <c r="AO42">
        <v>10000000</v>
      </c>
      <c r="AP42">
        <v>10000000</v>
      </c>
      <c r="AQ42">
        <v>10000000</v>
      </c>
      <c r="AR42">
        <v>10000000</v>
      </c>
      <c r="AS42">
        <v>10000000</v>
      </c>
      <c r="AT42">
        <v>10000000</v>
      </c>
      <c r="AU42">
        <v>10000000</v>
      </c>
      <c r="AV42">
        <v>10000000</v>
      </c>
      <c r="AW42">
        <v>10000000</v>
      </c>
      <c r="AX42">
        <v>10000000</v>
      </c>
    </row>
    <row r="43" spans="2:50" x14ac:dyDescent="0.2">
      <c r="B43" s="187" t="s">
        <v>109</v>
      </c>
      <c r="C43">
        <v>10000000</v>
      </c>
      <c r="D43">
        <v>10000000</v>
      </c>
      <c r="E43">
        <v>10000000</v>
      </c>
      <c r="F43">
        <v>10000000</v>
      </c>
      <c r="G43">
        <v>10000000</v>
      </c>
      <c r="H43">
        <v>10000000</v>
      </c>
      <c r="I43">
        <v>10000000</v>
      </c>
      <c r="J43">
        <v>10000000</v>
      </c>
      <c r="K43">
        <v>10000000</v>
      </c>
      <c r="L43">
        <v>10000000</v>
      </c>
      <c r="M43">
        <v>10000000</v>
      </c>
      <c r="N43">
        <v>10000000</v>
      </c>
      <c r="O43">
        <v>10000000</v>
      </c>
      <c r="P43">
        <v>10000000</v>
      </c>
      <c r="Q43">
        <v>10000000</v>
      </c>
      <c r="R43">
        <v>10000000</v>
      </c>
      <c r="S43">
        <v>10000000</v>
      </c>
      <c r="T43">
        <v>10000000</v>
      </c>
      <c r="U43">
        <v>10000000</v>
      </c>
      <c r="V43">
        <v>10000000</v>
      </c>
      <c r="W43">
        <v>10000000</v>
      </c>
      <c r="X43">
        <v>10000000</v>
      </c>
      <c r="Y43">
        <v>10000000</v>
      </c>
      <c r="Z43">
        <v>10000000</v>
      </c>
      <c r="AA43">
        <v>10000000</v>
      </c>
      <c r="AB43">
        <v>10000000</v>
      </c>
      <c r="AC43">
        <v>10000000</v>
      </c>
      <c r="AD43">
        <v>10000000</v>
      </c>
      <c r="AE43">
        <v>10000000</v>
      </c>
      <c r="AF43">
        <v>10000000</v>
      </c>
      <c r="AG43">
        <v>10000000</v>
      </c>
      <c r="AH43">
        <v>10000000</v>
      </c>
      <c r="AI43">
        <v>10000000</v>
      </c>
      <c r="AJ43">
        <v>10000000</v>
      </c>
      <c r="AK43">
        <v>10000000</v>
      </c>
      <c r="AL43">
        <v>10000000</v>
      </c>
      <c r="AM43">
        <v>10000000</v>
      </c>
      <c r="AN43">
        <v>10000000</v>
      </c>
      <c r="AO43">
        <v>10000000</v>
      </c>
      <c r="AP43">
        <v>10000000</v>
      </c>
      <c r="AQ43">
        <v>10000000</v>
      </c>
      <c r="AR43">
        <v>10000000</v>
      </c>
      <c r="AS43">
        <v>10000000</v>
      </c>
      <c r="AT43">
        <v>10000000</v>
      </c>
      <c r="AU43">
        <v>10000000</v>
      </c>
      <c r="AV43">
        <v>10000000</v>
      </c>
      <c r="AW43">
        <v>10000000</v>
      </c>
      <c r="AX43">
        <v>10000000</v>
      </c>
    </row>
    <row r="45" spans="2:50" x14ac:dyDescent="0.2">
      <c r="B45" s="121" t="s">
        <v>324</v>
      </c>
    </row>
    <row r="46" spans="2:50" x14ac:dyDescent="0.2">
      <c r="B46" s="119" t="s">
        <v>274</v>
      </c>
      <c r="C46" s="119" t="s">
        <v>92</v>
      </c>
      <c r="D46" s="120"/>
      <c r="E46" s="120"/>
      <c r="F46" s="120"/>
      <c r="G46" s="119" t="s">
        <v>93</v>
      </c>
      <c r="H46" s="120"/>
      <c r="I46" s="120"/>
      <c r="J46" s="120"/>
      <c r="K46" s="119" t="s">
        <v>94</v>
      </c>
      <c r="L46" s="120"/>
      <c r="M46" s="120"/>
      <c r="N46" s="120"/>
      <c r="O46" s="119" t="s">
        <v>95</v>
      </c>
      <c r="P46" s="120"/>
      <c r="Q46" s="120"/>
      <c r="R46" s="120"/>
      <c r="S46" s="119" t="s">
        <v>96</v>
      </c>
      <c r="T46" s="120"/>
      <c r="U46" s="120"/>
      <c r="V46" s="120"/>
      <c r="W46" s="119" t="s">
        <v>97</v>
      </c>
      <c r="X46" s="120"/>
      <c r="Y46" s="120"/>
      <c r="Z46" s="120"/>
      <c r="AA46" s="119" t="s">
        <v>98</v>
      </c>
      <c r="AB46" s="120"/>
      <c r="AC46" s="120"/>
      <c r="AD46" s="120"/>
      <c r="AE46" s="119" t="s">
        <v>99</v>
      </c>
      <c r="AF46" s="120"/>
      <c r="AG46" s="120"/>
      <c r="AH46" s="120"/>
      <c r="AI46" s="119" t="s">
        <v>100</v>
      </c>
      <c r="AJ46" s="120"/>
      <c r="AK46" s="120"/>
      <c r="AL46" s="120"/>
      <c r="AM46" s="119" t="s">
        <v>101</v>
      </c>
      <c r="AN46" s="120"/>
      <c r="AO46" s="120"/>
      <c r="AP46" s="120"/>
      <c r="AQ46" s="119" t="s">
        <v>102</v>
      </c>
      <c r="AR46" s="120"/>
      <c r="AS46" s="120"/>
      <c r="AT46" s="120"/>
      <c r="AU46" s="119" t="s">
        <v>103</v>
      </c>
      <c r="AV46" s="120"/>
      <c r="AW46" s="120"/>
    </row>
    <row r="47" spans="2:50" x14ac:dyDescent="0.2">
      <c r="B47" s="119" t="s">
        <v>325</v>
      </c>
      <c r="C47" s="119">
        <v>1</v>
      </c>
      <c r="D47" s="119">
        <v>2</v>
      </c>
      <c r="E47" s="119">
        <v>3</v>
      </c>
      <c r="F47" s="119">
        <v>4</v>
      </c>
      <c r="G47" s="119">
        <v>1</v>
      </c>
      <c r="H47" s="119">
        <v>2</v>
      </c>
      <c r="I47" s="119">
        <v>3</v>
      </c>
      <c r="J47" s="119">
        <v>4</v>
      </c>
      <c r="K47" s="119">
        <v>1</v>
      </c>
      <c r="L47" s="119">
        <v>2</v>
      </c>
      <c r="M47" s="119">
        <v>3</v>
      </c>
      <c r="N47" s="119">
        <v>4</v>
      </c>
      <c r="O47" s="119">
        <v>1</v>
      </c>
      <c r="P47" s="119">
        <v>2</v>
      </c>
      <c r="Q47" s="119">
        <v>3</v>
      </c>
      <c r="R47" s="119">
        <v>4</v>
      </c>
      <c r="S47" s="119">
        <v>1</v>
      </c>
      <c r="T47" s="119">
        <v>2</v>
      </c>
      <c r="U47" s="119">
        <v>3</v>
      </c>
      <c r="V47" s="119">
        <v>4</v>
      </c>
      <c r="W47" s="119">
        <v>1</v>
      </c>
      <c r="X47" s="119">
        <v>2</v>
      </c>
      <c r="Y47" s="119">
        <v>3</v>
      </c>
      <c r="Z47" s="119">
        <v>4</v>
      </c>
      <c r="AA47" s="119">
        <v>1</v>
      </c>
      <c r="AB47" s="119">
        <v>2</v>
      </c>
      <c r="AC47" s="119">
        <v>3</v>
      </c>
      <c r="AD47" s="119">
        <v>4</v>
      </c>
      <c r="AE47" s="119">
        <v>1</v>
      </c>
      <c r="AF47" s="119">
        <v>2</v>
      </c>
      <c r="AG47" s="119">
        <v>3</v>
      </c>
      <c r="AH47" s="119">
        <v>4</v>
      </c>
      <c r="AI47" s="119">
        <v>1</v>
      </c>
      <c r="AJ47" s="119">
        <v>2</v>
      </c>
      <c r="AK47" s="119">
        <v>3</v>
      </c>
      <c r="AL47" s="119">
        <v>4</v>
      </c>
      <c r="AM47" s="119">
        <v>1</v>
      </c>
      <c r="AN47" s="119">
        <v>2</v>
      </c>
      <c r="AO47" s="119">
        <v>3</v>
      </c>
      <c r="AP47" s="119">
        <v>4</v>
      </c>
      <c r="AQ47" s="119">
        <v>1</v>
      </c>
      <c r="AR47" s="119">
        <v>2</v>
      </c>
      <c r="AS47" s="119">
        <v>3</v>
      </c>
      <c r="AT47" s="119">
        <v>4</v>
      </c>
      <c r="AU47" s="119">
        <v>1</v>
      </c>
      <c r="AV47" s="119">
        <v>2</v>
      </c>
      <c r="AW47" s="119">
        <v>3</v>
      </c>
      <c r="AX47" s="119">
        <v>4</v>
      </c>
    </row>
    <row r="48" spans="2:50" x14ac:dyDescent="0.2">
      <c r="B48" s="119" t="s">
        <v>104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</row>
    <row r="49" spans="2:51" x14ac:dyDescent="0.2">
      <c r="B49" s="119" t="s">
        <v>105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</row>
    <row r="50" spans="2:51" x14ac:dyDescent="0.2">
      <c r="B50" s="119" t="s">
        <v>106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 s="129"/>
    </row>
    <row r="51" spans="2:51" x14ac:dyDescent="0.2">
      <c r="B51" s="119" t="s">
        <v>107</v>
      </c>
      <c r="C51">
        <v>300.65883016813808</v>
      </c>
      <c r="D51">
        <v>3013.1780103151486</v>
      </c>
      <c r="E51">
        <v>3019.7680695375102</v>
      </c>
      <c r="F51">
        <v>3026.3574224454624</v>
      </c>
      <c r="G51">
        <v>3032.9450117820752</v>
      </c>
      <c r="H51">
        <v>3039.5297801219349</v>
      </c>
      <c r="I51">
        <v>3046.1106700567357</v>
      </c>
      <c r="J51">
        <v>3052.6866243809636</v>
      </c>
      <c r="K51">
        <v>1223.7026345110626</v>
      </c>
      <c r="L51">
        <v>3065.8194995042027</v>
      </c>
      <c r="M51">
        <v>3072.3743085781439</v>
      </c>
      <c r="N51">
        <v>3078.9199589629461</v>
      </c>
      <c r="O51">
        <v>3085.4553972537178</v>
      </c>
      <c r="P51">
        <v>3091.9795713628264</v>
      </c>
      <c r="Q51">
        <v>3098.4914307053937</v>
      </c>
      <c r="R51">
        <v>3104.9899263846269</v>
      </c>
      <c r="S51">
        <v>3111.4740113769658</v>
      </c>
      <c r="T51">
        <v>3117.9426407169926</v>
      </c>
      <c r="U51">
        <v>3124.3947716820899</v>
      </c>
      <c r="V51">
        <v>3130.8293639768099</v>
      </c>
      <c r="W51">
        <v>2196.071765941841</v>
      </c>
      <c r="X51">
        <v>3143.6417846130662</v>
      </c>
      <c r="Y51">
        <v>3150.0175461541053</v>
      </c>
      <c r="Z51">
        <v>3156.3716357899466</v>
      </c>
      <c r="AA51">
        <v>3162.7030281139782</v>
      </c>
      <c r="AB51">
        <v>3169.010701245003</v>
      </c>
      <c r="AC51">
        <v>3175.2936370086377</v>
      </c>
      <c r="AD51">
        <v>3181.5508211181759</v>
      </c>
      <c r="AE51">
        <v>318.77812433548564</v>
      </c>
      <c r="AF51">
        <v>3193.9838977475138</v>
      </c>
      <c r="AG51">
        <v>3200.1577827515825</v>
      </c>
      <c r="AH51">
        <v>3206.3019014274178</v>
      </c>
      <c r="AI51">
        <v>3212.4152616178967</v>
      </c>
      <c r="AJ51">
        <v>3218.496876125284</v>
      </c>
      <c r="AK51">
        <v>3224.5457628873069</v>
      </c>
      <c r="AL51">
        <v>3230.5609451524278</v>
      </c>
      <c r="AM51">
        <v>3236.5414516542737</v>
      </c>
      <c r="AN51">
        <v>3242.486316785189</v>
      </c>
      <c r="AO51">
        <v>3248.3945807688906</v>
      </c>
      <c r="AP51">
        <v>3254.2652898321776</v>
      </c>
      <c r="AQ51">
        <v>2282.0682474629784</v>
      </c>
      <c r="AR51">
        <v>3265.8902591436208</v>
      </c>
      <c r="AS51">
        <v>3271.6426433925076</v>
      </c>
      <c r="AT51">
        <v>3277.3537210588215</v>
      </c>
      <c r="AU51">
        <v>3283.0225709255783</v>
      </c>
      <c r="AV51">
        <v>2302.0537951514416</v>
      </c>
      <c r="AW51">
        <v>2305.9609563316867</v>
      </c>
      <c r="AX51">
        <v>3299.7666477230291</v>
      </c>
      <c r="AY51" s="9"/>
    </row>
    <row r="52" spans="2:51" x14ac:dyDescent="0.2">
      <c r="B52" s="119" t="s">
        <v>108</v>
      </c>
      <c r="C52">
        <v>3029.0378293900785</v>
      </c>
      <c r="D52">
        <v>3029.0378293900785</v>
      </c>
      <c r="E52">
        <v>3029.0378293900785</v>
      </c>
      <c r="F52">
        <v>3029.0378293900785</v>
      </c>
      <c r="G52">
        <v>3029.0378293900785</v>
      </c>
      <c r="H52">
        <v>3029.0378293900785</v>
      </c>
      <c r="I52">
        <v>3029.0378293900785</v>
      </c>
      <c r="J52">
        <v>3029.0378293900785</v>
      </c>
      <c r="K52">
        <v>3029.0378293900785</v>
      </c>
      <c r="L52">
        <v>3029.0378293900785</v>
      </c>
      <c r="M52">
        <v>3029.0378293900785</v>
      </c>
      <c r="N52">
        <v>3029.0378293900785</v>
      </c>
      <c r="O52">
        <v>3029.0378293900785</v>
      </c>
      <c r="P52">
        <v>3029.0378293900785</v>
      </c>
      <c r="Q52">
        <v>3029.0378293900785</v>
      </c>
      <c r="R52">
        <v>3029.0378293900785</v>
      </c>
      <c r="S52">
        <v>3029.0378293900785</v>
      </c>
      <c r="T52">
        <v>3029.0378293900785</v>
      </c>
      <c r="U52">
        <v>3029.0378293900785</v>
      </c>
      <c r="V52">
        <v>3029.0378293900785</v>
      </c>
      <c r="W52">
        <v>3029.0378293900785</v>
      </c>
      <c r="X52">
        <v>3029.0378293900785</v>
      </c>
      <c r="Y52">
        <v>3029.0378293900785</v>
      </c>
      <c r="Z52">
        <v>3029.0378293900785</v>
      </c>
      <c r="AA52">
        <v>3029.0378293900785</v>
      </c>
      <c r="AB52">
        <v>3029.0378293900785</v>
      </c>
      <c r="AC52">
        <v>3029.0378293900785</v>
      </c>
      <c r="AD52">
        <v>3029.0378293900785</v>
      </c>
      <c r="AE52">
        <v>3029.0378293900785</v>
      </c>
      <c r="AF52">
        <v>3029.0378293900785</v>
      </c>
      <c r="AG52">
        <v>3029.0378293900785</v>
      </c>
      <c r="AH52">
        <v>3029.0378293900785</v>
      </c>
      <c r="AI52">
        <v>3029.0378293900785</v>
      </c>
      <c r="AJ52">
        <v>3029.0378293900785</v>
      </c>
      <c r="AK52">
        <v>3029.0378293900785</v>
      </c>
      <c r="AL52">
        <v>3029.0378293900785</v>
      </c>
      <c r="AM52">
        <v>3029.0378293900785</v>
      </c>
      <c r="AN52">
        <v>3029.0378293900785</v>
      </c>
      <c r="AO52">
        <v>3029.0378293900785</v>
      </c>
      <c r="AP52">
        <v>3029.0378293900785</v>
      </c>
      <c r="AQ52">
        <v>3029.0378293900785</v>
      </c>
      <c r="AR52">
        <v>3029.0378293900785</v>
      </c>
      <c r="AS52">
        <v>3029.0378293900785</v>
      </c>
      <c r="AT52">
        <v>3029.0378293900785</v>
      </c>
      <c r="AU52">
        <v>3029.0378293900785</v>
      </c>
      <c r="AV52">
        <v>3029.0378293900785</v>
      </c>
      <c r="AW52">
        <v>3029.0378293900785</v>
      </c>
      <c r="AX52">
        <v>3029.0378293900785</v>
      </c>
    </row>
    <row r="53" spans="2:51" x14ac:dyDescent="0.2">
      <c r="B53" s="119" t="s">
        <v>109</v>
      </c>
      <c r="C53">
        <v>2767.597925428513</v>
      </c>
      <c r="D53">
        <v>2767.597925428513</v>
      </c>
      <c r="E53">
        <v>2767.597925428513</v>
      </c>
      <c r="F53">
        <v>2767.597925428513</v>
      </c>
      <c r="G53">
        <v>2767.597925428513</v>
      </c>
      <c r="H53">
        <v>2767.597925428513</v>
      </c>
      <c r="I53">
        <v>2767.597925428513</v>
      </c>
      <c r="J53">
        <v>2767.597925428513</v>
      </c>
      <c r="K53">
        <v>2767.597925428513</v>
      </c>
      <c r="L53">
        <v>2767.597925428513</v>
      </c>
      <c r="M53">
        <v>2767.597925428513</v>
      </c>
      <c r="N53">
        <v>2767.597925428513</v>
      </c>
      <c r="O53">
        <v>2767.597925428513</v>
      </c>
      <c r="P53">
        <v>2767.597925428513</v>
      </c>
      <c r="Q53">
        <v>2767.597925428513</v>
      </c>
      <c r="R53">
        <v>2767.597925428513</v>
      </c>
      <c r="S53">
        <v>2767.597925428513</v>
      </c>
      <c r="T53">
        <v>2767.597925428513</v>
      </c>
      <c r="U53">
        <v>2767.597925428513</v>
      </c>
      <c r="V53">
        <v>2767.597925428513</v>
      </c>
      <c r="W53">
        <v>2767.597925428513</v>
      </c>
      <c r="X53">
        <v>2767.597925428513</v>
      </c>
      <c r="Y53">
        <v>2767.597925428513</v>
      </c>
      <c r="Z53">
        <v>2767.597925428513</v>
      </c>
      <c r="AA53">
        <v>2767.597925428513</v>
      </c>
      <c r="AB53">
        <v>2767.597925428513</v>
      </c>
      <c r="AC53">
        <v>2767.597925428513</v>
      </c>
      <c r="AD53">
        <v>2767.597925428513</v>
      </c>
      <c r="AE53">
        <v>2767.597925428513</v>
      </c>
      <c r="AF53">
        <v>2767.597925428513</v>
      </c>
      <c r="AG53">
        <v>2767.597925428513</v>
      </c>
      <c r="AH53">
        <v>2767.597925428513</v>
      </c>
      <c r="AI53">
        <v>2767.597925428513</v>
      </c>
      <c r="AJ53">
        <v>2767.597925428513</v>
      </c>
      <c r="AK53">
        <v>2767.597925428513</v>
      </c>
      <c r="AL53">
        <v>2767.597925428513</v>
      </c>
      <c r="AM53">
        <v>2767.597925428513</v>
      </c>
      <c r="AN53">
        <v>2767.597925428513</v>
      </c>
      <c r="AO53">
        <v>2767.597925428513</v>
      </c>
      <c r="AP53">
        <v>2767.597925428513</v>
      </c>
      <c r="AQ53">
        <v>2767.597925428513</v>
      </c>
      <c r="AR53">
        <v>2767.597925428513</v>
      </c>
      <c r="AS53">
        <v>2767.597925428513</v>
      </c>
      <c r="AT53">
        <v>2767.597925428513</v>
      </c>
      <c r="AU53">
        <v>2767.597925428513</v>
      </c>
      <c r="AV53">
        <v>2767.597925428513</v>
      </c>
      <c r="AW53">
        <v>2767.597925428513</v>
      </c>
      <c r="AX53">
        <v>2767.597925428513</v>
      </c>
    </row>
    <row r="55" spans="2:51" x14ac:dyDescent="0.2">
      <c r="B55" s="53" t="s">
        <v>326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</row>
    <row r="56" spans="2:51" x14ac:dyDescent="0.2">
      <c r="B56" s="123" t="s">
        <v>274</v>
      </c>
      <c r="C56" s="123" t="s">
        <v>92</v>
      </c>
      <c r="D56" s="120"/>
      <c r="E56" s="120"/>
      <c r="F56" s="120"/>
      <c r="G56" s="123" t="s">
        <v>93</v>
      </c>
      <c r="H56" s="120"/>
      <c r="I56" s="120"/>
      <c r="J56" s="120"/>
      <c r="K56" s="123" t="s">
        <v>94</v>
      </c>
      <c r="L56" s="120"/>
      <c r="M56" s="120"/>
      <c r="N56" s="120"/>
      <c r="O56" s="123" t="s">
        <v>95</v>
      </c>
      <c r="P56" s="120"/>
      <c r="Q56" s="120"/>
      <c r="R56" s="120"/>
      <c r="S56" s="123" t="s">
        <v>96</v>
      </c>
      <c r="T56" s="120"/>
      <c r="U56" s="120"/>
      <c r="V56" s="120"/>
      <c r="W56" s="123" t="s">
        <v>97</v>
      </c>
      <c r="X56" s="120"/>
      <c r="Y56" s="120"/>
      <c r="Z56" s="120"/>
      <c r="AA56" s="123" t="s">
        <v>98</v>
      </c>
      <c r="AB56" s="120"/>
      <c r="AC56" s="120"/>
      <c r="AD56" s="120"/>
      <c r="AE56" s="123" t="s">
        <v>99</v>
      </c>
      <c r="AF56" s="120"/>
      <c r="AG56" s="120"/>
      <c r="AH56" s="120"/>
      <c r="AI56" s="123" t="s">
        <v>100</v>
      </c>
      <c r="AJ56" s="120"/>
      <c r="AK56" s="120"/>
      <c r="AL56" s="120"/>
      <c r="AM56" s="123" t="s">
        <v>101</v>
      </c>
      <c r="AN56" s="120"/>
      <c r="AO56" s="120"/>
      <c r="AP56" s="120"/>
      <c r="AQ56" s="123" t="s">
        <v>102</v>
      </c>
      <c r="AR56" s="120"/>
      <c r="AS56" s="120"/>
      <c r="AT56" s="120"/>
      <c r="AU56" s="123" t="s">
        <v>103</v>
      </c>
      <c r="AV56" s="120"/>
      <c r="AW56" s="120"/>
    </row>
    <row r="57" spans="2:51" x14ac:dyDescent="0.2">
      <c r="B57" s="123" t="s">
        <v>325</v>
      </c>
      <c r="C57" s="123">
        <v>1</v>
      </c>
      <c r="D57" s="123">
        <v>2</v>
      </c>
      <c r="E57" s="123">
        <v>3</v>
      </c>
      <c r="F57" s="123">
        <v>4</v>
      </c>
      <c r="G57" s="123">
        <v>1</v>
      </c>
      <c r="H57" s="123">
        <v>2</v>
      </c>
      <c r="I57" s="123">
        <v>3</v>
      </c>
      <c r="J57" s="123">
        <v>4</v>
      </c>
      <c r="K57" s="123">
        <v>1</v>
      </c>
      <c r="L57" s="123">
        <v>2</v>
      </c>
      <c r="M57" s="123">
        <v>3</v>
      </c>
      <c r="N57" s="123">
        <v>4</v>
      </c>
      <c r="O57" s="123">
        <v>1</v>
      </c>
      <c r="P57" s="123">
        <v>2</v>
      </c>
      <c r="Q57" s="123">
        <v>3</v>
      </c>
      <c r="R57" s="123">
        <v>4</v>
      </c>
      <c r="S57" s="123">
        <v>1</v>
      </c>
      <c r="T57" s="123">
        <v>2</v>
      </c>
      <c r="U57" s="123">
        <v>3</v>
      </c>
      <c r="V57" s="123">
        <v>4</v>
      </c>
      <c r="W57" s="123">
        <v>1</v>
      </c>
      <c r="X57" s="123">
        <v>2</v>
      </c>
      <c r="Y57" s="123">
        <v>3</v>
      </c>
      <c r="Z57" s="123">
        <v>4</v>
      </c>
      <c r="AA57" s="123">
        <v>1</v>
      </c>
      <c r="AB57" s="123">
        <v>2</v>
      </c>
      <c r="AC57" s="123">
        <v>3</v>
      </c>
      <c r="AD57" s="123">
        <v>4</v>
      </c>
      <c r="AE57" s="123">
        <v>1</v>
      </c>
      <c r="AF57" s="123">
        <v>2</v>
      </c>
      <c r="AG57" s="123">
        <v>3</v>
      </c>
      <c r="AH57" s="123">
        <v>4</v>
      </c>
      <c r="AI57" s="123">
        <v>1</v>
      </c>
      <c r="AJ57" s="123">
        <v>2</v>
      </c>
      <c r="AK57" s="123">
        <v>3</v>
      </c>
      <c r="AL57" s="123">
        <v>4</v>
      </c>
      <c r="AM57" s="123">
        <v>1</v>
      </c>
      <c r="AN57" s="123">
        <v>2</v>
      </c>
      <c r="AO57" s="123">
        <v>3</v>
      </c>
      <c r="AP57" s="123">
        <v>4</v>
      </c>
      <c r="AQ57" s="123">
        <v>1</v>
      </c>
      <c r="AR57" s="123">
        <v>2</v>
      </c>
      <c r="AS57" s="123">
        <v>3</v>
      </c>
      <c r="AT57" s="123">
        <v>4</v>
      </c>
      <c r="AU57" s="123">
        <v>1</v>
      </c>
      <c r="AV57" s="123">
        <v>2</v>
      </c>
      <c r="AW57" s="123">
        <v>3</v>
      </c>
      <c r="AX57" s="123">
        <v>4</v>
      </c>
    </row>
    <row r="58" spans="2:51" x14ac:dyDescent="0.2">
      <c r="B58" s="123" t="s">
        <v>104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</row>
    <row r="59" spans="2:51" x14ac:dyDescent="0.2">
      <c r="B59" s="123" t="s">
        <v>105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</row>
    <row r="60" spans="2:51" x14ac:dyDescent="0.2">
      <c r="B60" s="123" t="s">
        <v>106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</row>
    <row r="61" spans="2:51" x14ac:dyDescent="0.2">
      <c r="B61" s="123" t="s">
        <v>107</v>
      </c>
      <c r="C61">
        <v>478697.05534917657</v>
      </c>
      <c r="D61">
        <v>4797462.4260132872</v>
      </c>
      <c r="E61">
        <v>4807954.8567280509</v>
      </c>
      <c r="F61">
        <v>4818446.1628770474</v>
      </c>
      <c r="G61">
        <v>4186822.0418750443</v>
      </c>
      <c r="H61">
        <v>4195911.9703501305</v>
      </c>
      <c r="I61">
        <v>4204996.5448897751</v>
      </c>
      <c r="J61">
        <v>4214074.3060770324</v>
      </c>
      <c r="K61">
        <v>1794351.290476321</v>
      </c>
      <c r="L61">
        <v>4495501.619558786</v>
      </c>
      <c r="M61">
        <v>4505113.1295686113</v>
      </c>
      <c r="N61">
        <v>4514711.2099222336</v>
      </c>
      <c r="O61">
        <v>4477860.9539046353</v>
      </c>
      <c r="P61">
        <v>4487329.3599382006</v>
      </c>
      <c r="Q61">
        <v>4496779.8937924104</v>
      </c>
      <c r="R61">
        <v>4506211.0332239056</v>
      </c>
      <c r="S61">
        <v>4508562.7056907099</v>
      </c>
      <c r="T61">
        <v>4517935.8262415305</v>
      </c>
      <c r="U61">
        <v>4527285.0404516142</v>
      </c>
      <c r="V61">
        <v>4536608.8409205303</v>
      </c>
      <c r="W61">
        <v>3071364.3336660839</v>
      </c>
      <c r="X61">
        <v>4396609.1658858256</v>
      </c>
      <c r="Y61">
        <v>4405526.127025621</v>
      </c>
      <c r="Z61">
        <v>4414412.7784470841</v>
      </c>
      <c r="AA61">
        <v>4475623.5685467822</v>
      </c>
      <c r="AB61">
        <v>4484549.721358777</v>
      </c>
      <c r="AC61">
        <v>4493440.8676767917</v>
      </c>
      <c r="AD61">
        <v>4502295.5721572451</v>
      </c>
      <c r="AE61">
        <v>503035.43992542254</v>
      </c>
      <c r="AF61">
        <v>5040142.2571494933</v>
      </c>
      <c r="AG61">
        <v>5049884.7166283065</v>
      </c>
      <c r="AH61">
        <v>5059580.204508774</v>
      </c>
      <c r="AI61">
        <v>4386734.6589630833</v>
      </c>
      <c r="AJ61">
        <v>4395039.4474070817</v>
      </c>
      <c r="AK61">
        <v>4403299.5442644674</v>
      </c>
      <c r="AL61">
        <v>4411513.6157257948</v>
      </c>
      <c r="AM61">
        <v>4487434.9782171007</v>
      </c>
      <c r="AN61">
        <v>4495677.4790865453</v>
      </c>
      <c r="AO61">
        <v>4503869.2328017503</v>
      </c>
      <c r="AP61">
        <v>4512008.916964937</v>
      </c>
      <c r="AQ61">
        <v>3254623.2423896915</v>
      </c>
      <c r="AR61">
        <v>4657723.2544730706</v>
      </c>
      <c r="AS61">
        <v>4665927.1473655803</v>
      </c>
      <c r="AT61">
        <v>4674072.1299411636</v>
      </c>
      <c r="AU61">
        <v>4726350.6302730348</v>
      </c>
      <c r="AV61">
        <v>3314114.7130672862</v>
      </c>
      <c r="AW61">
        <v>3319739.5948059526</v>
      </c>
      <c r="AX61">
        <v>4750455.971072644</v>
      </c>
    </row>
    <row r="62" spans="2:51" x14ac:dyDescent="0.2">
      <c r="B62" s="123" t="s">
        <v>108</v>
      </c>
      <c r="C62">
        <v>4535130.7627861584</v>
      </c>
      <c r="D62">
        <v>4535130.7627861584</v>
      </c>
      <c r="E62">
        <v>4535130.7627861584</v>
      </c>
      <c r="F62">
        <v>4535130.7627861584</v>
      </c>
      <c r="G62">
        <v>4538921.4170591254</v>
      </c>
      <c r="H62">
        <v>4538921.4170591254</v>
      </c>
      <c r="I62">
        <v>4538921.4170591254</v>
      </c>
      <c r="J62">
        <v>4538921.4170591254</v>
      </c>
      <c r="K62">
        <v>4521814.288829904</v>
      </c>
      <c r="L62">
        <v>4521814.288829904</v>
      </c>
      <c r="M62">
        <v>4521814.288829904</v>
      </c>
      <c r="N62">
        <v>4521814.288829904</v>
      </c>
      <c r="O62">
        <v>4678581.1791329142</v>
      </c>
      <c r="P62">
        <v>4678581.1791329142</v>
      </c>
      <c r="Q62">
        <v>4678581.1791329142</v>
      </c>
      <c r="R62">
        <v>4678581.1791329142</v>
      </c>
      <c r="S62">
        <v>4705206.9285862027</v>
      </c>
      <c r="T62">
        <v>4705206.9285862027</v>
      </c>
      <c r="U62">
        <v>4705206.9285862027</v>
      </c>
      <c r="V62">
        <v>4705206.9285862027</v>
      </c>
      <c r="W62">
        <v>4673891.824411029</v>
      </c>
      <c r="X62">
        <v>4673891.824411029</v>
      </c>
      <c r="Y62">
        <v>4673891.824411029</v>
      </c>
      <c r="Z62">
        <v>4673891.824411029</v>
      </c>
      <c r="AA62">
        <v>4650905.4439721582</v>
      </c>
      <c r="AB62">
        <v>4650905.4439721582</v>
      </c>
      <c r="AC62">
        <v>4650905.4439721582</v>
      </c>
      <c r="AD62">
        <v>4650905.4439721582</v>
      </c>
      <c r="AE62">
        <v>4700573.8022691533</v>
      </c>
      <c r="AF62">
        <v>4700573.8022691533</v>
      </c>
      <c r="AG62">
        <v>4700573.8022691533</v>
      </c>
      <c r="AH62">
        <v>4700573.8022691533</v>
      </c>
      <c r="AI62">
        <v>4741093.2868525311</v>
      </c>
      <c r="AJ62">
        <v>4741093.2868525311</v>
      </c>
      <c r="AK62">
        <v>4741093.2868525311</v>
      </c>
      <c r="AL62">
        <v>4741093.2868525311</v>
      </c>
      <c r="AM62">
        <v>4686663.6759301564</v>
      </c>
      <c r="AN62">
        <v>4686663.6759301564</v>
      </c>
      <c r="AO62">
        <v>4686663.6759301564</v>
      </c>
      <c r="AP62">
        <v>4686663.6759301564</v>
      </c>
      <c r="AQ62">
        <v>4653365.2317583868</v>
      </c>
      <c r="AR62">
        <v>4653365.2317583868</v>
      </c>
      <c r="AS62">
        <v>4653365.2317583868</v>
      </c>
      <c r="AT62">
        <v>4653365.2317583868</v>
      </c>
      <c r="AU62">
        <v>4712812.4104873966</v>
      </c>
      <c r="AV62">
        <v>4712812.4104873966</v>
      </c>
      <c r="AW62">
        <v>4712812.4104873966</v>
      </c>
      <c r="AX62">
        <v>4712812.4104873966</v>
      </c>
    </row>
    <row r="63" spans="2:51" x14ac:dyDescent="0.2">
      <c r="B63" s="123" t="s">
        <v>109</v>
      </c>
      <c r="C63">
        <v>3834184.9372861921</v>
      </c>
      <c r="D63">
        <v>3834184.9372861921</v>
      </c>
      <c r="E63">
        <v>3834184.9372861921</v>
      </c>
      <c r="F63">
        <v>3834184.9372861921</v>
      </c>
      <c r="G63">
        <v>3877281.9436370642</v>
      </c>
      <c r="H63">
        <v>3877281.9436370642</v>
      </c>
      <c r="I63">
        <v>3877281.9436370642</v>
      </c>
      <c r="J63">
        <v>3877281.9436370642</v>
      </c>
      <c r="K63">
        <v>4072047.7510192306</v>
      </c>
      <c r="L63">
        <v>4072047.7510192306</v>
      </c>
      <c r="M63">
        <v>4072047.7510192306</v>
      </c>
      <c r="N63">
        <v>4072047.7510192306</v>
      </c>
      <c r="O63">
        <v>3966039.0763601898</v>
      </c>
      <c r="P63">
        <v>3966039.0763601898</v>
      </c>
      <c r="Q63">
        <v>3966039.0763601898</v>
      </c>
      <c r="R63">
        <v>3966039.0763601898</v>
      </c>
      <c r="S63">
        <v>3859373.5196135947</v>
      </c>
      <c r="T63">
        <v>3859373.5196135947</v>
      </c>
      <c r="U63">
        <v>3859373.5196135947</v>
      </c>
      <c r="V63">
        <v>3859373.5196135947</v>
      </c>
      <c r="W63">
        <v>3662207.2261308734</v>
      </c>
      <c r="X63">
        <v>3662207.2261308734</v>
      </c>
      <c r="Y63">
        <v>3662207.2261308734</v>
      </c>
      <c r="Z63">
        <v>3662207.2261308734</v>
      </c>
      <c r="AA63">
        <v>4152329.2703650584</v>
      </c>
      <c r="AB63">
        <v>4152329.2703650584</v>
      </c>
      <c r="AC63">
        <v>4152329.2703650584</v>
      </c>
      <c r="AD63">
        <v>4152329.2703650584</v>
      </c>
      <c r="AE63">
        <v>3850311.3994778143</v>
      </c>
      <c r="AF63">
        <v>3850311.3994778143</v>
      </c>
      <c r="AG63">
        <v>3850311.3994778143</v>
      </c>
      <c r="AH63">
        <v>3850311.3994778143</v>
      </c>
      <c r="AI63">
        <v>4040553.3627208415</v>
      </c>
      <c r="AJ63">
        <v>4040553.3627208415</v>
      </c>
      <c r="AK63">
        <v>4040553.3627208415</v>
      </c>
      <c r="AL63">
        <v>4040553.3627208415</v>
      </c>
      <c r="AM63">
        <v>3800037.1453782716</v>
      </c>
      <c r="AN63">
        <v>3800037.1453782716</v>
      </c>
      <c r="AO63">
        <v>3800037.1453782716</v>
      </c>
      <c r="AP63">
        <v>3800037.1453782716</v>
      </c>
      <c r="AQ63">
        <v>3637861.8565801899</v>
      </c>
      <c r="AR63">
        <v>3637861.8565801899</v>
      </c>
      <c r="AS63">
        <v>3637861.8565801899</v>
      </c>
      <c r="AT63">
        <v>3637861.8565801899</v>
      </c>
      <c r="AU63">
        <v>4036210.8917688816</v>
      </c>
      <c r="AV63">
        <v>4036210.8917688816</v>
      </c>
      <c r="AW63">
        <v>4036210.8917688816</v>
      </c>
      <c r="AX63">
        <v>4036210.8917688816</v>
      </c>
    </row>
    <row r="64" spans="2:51" x14ac:dyDescent="0.2">
      <c r="B64" s="120"/>
    </row>
    <row r="65" spans="1:14" x14ac:dyDescent="0.2">
      <c r="B65" s="122" t="s">
        <v>327</v>
      </c>
    </row>
    <row r="66" spans="1:14" x14ac:dyDescent="0.2">
      <c r="B66" s="119" t="s">
        <v>328</v>
      </c>
      <c r="C66" s="119" t="s">
        <v>92</v>
      </c>
      <c r="D66" s="119" t="s">
        <v>93</v>
      </c>
      <c r="E66" s="119" t="s">
        <v>94</v>
      </c>
      <c r="F66" s="119" t="s">
        <v>95</v>
      </c>
      <c r="G66" s="119" t="s">
        <v>96</v>
      </c>
      <c r="H66" s="119" t="s">
        <v>97</v>
      </c>
      <c r="I66" s="119" t="s">
        <v>98</v>
      </c>
      <c r="J66" s="119" t="s">
        <v>99</v>
      </c>
      <c r="K66" s="119" t="s">
        <v>100</v>
      </c>
      <c r="L66" s="119" t="s">
        <v>101</v>
      </c>
      <c r="M66" s="119" t="s">
        <v>102</v>
      </c>
      <c r="N66" s="119" t="s">
        <v>103</v>
      </c>
    </row>
    <row r="67" spans="1:14" x14ac:dyDescent="0.2">
      <c r="B67" s="119" t="s">
        <v>329</v>
      </c>
      <c r="C67">
        <v>33333.333333333328</v>
      </c>
      <c r="D67">
        <v>33333.333333333328</v>
      </c>
      <c r="E67">
        <v>33333.333333333328</v>
      </c>
      <c r="F67">
        <v>33333.333333333328</v>
      </c>
      <c r="G67">
        <v>33333.333333333328</v>
      </c>
      <c r="H67">
        <v>33333.333333333328</v>
      </c>
      <c r="I67">
        <v>33333.333333333328</v>
      </c>
      <c r="J67">
        <v>33333.333333333328</v>
      </c>
      <c r="K67">
        <v>33333.333333333328</v>
      </c>
      <c r="L67">
        <v>33333.333333333328</v>
      </c>
      <c r="M67">
        <v>33333.333333333328</v>
      </c>
      <c r="N67">
        <v>33333.333333333328</v>
      </c>
    </row>
    <row r="68" spans="1:14" x14ac:dyDescent="0.2">
      <c r="B68" s="119" t="s">
        <v>330</v>
      </c>
      <c r="C68">
        <v>24999.999999999996</v>
      </c>
      <c r="D68">
        <v>24999.999999999996</v>
      </c>
      <c r="E68">
        <v>24999.999999999996</v>
      </c>
      <c r="F68">
        <v>24999.999999999996</v>
      </c>
      <c r="G68">
        <v>24999.999999999996</v>
      </c>
      <c r="H68">
        <v>24999.999999999996</v>
      </c>
      <c r="I68">
        <v>24999.999999999996</v>
      </c>
      <c r="J68">
        <v>24999.999999999996</v>
      </c>
      <c r="K68">
        <v>24999.999999999996</v>
      </c>
      <c r="L68">
        <v>24999.999999999996</v>
      </c>
      <c r="M68">
        <v>24999.999999999996</v>
      </c>
      <c r="N68">
        <v>24999.999999999996</v>
      </c>
    </row>
    <row r="70" spans="1:14" x14ac:dyDescent="0.2">
      <c r="B70" s="122" t="s">
        <v>331</v>
      </c>
    </row>
    <row r="71" spans="1:14" x14ac:dyDescent="0.2">
      <c r="A71" s="123" t="s">
        <v>121</v>
      </c>
      <c r="B71" s="123" t="s">
        <v>332</v>
      </c>
      <c r="C71" s="123" t="s">
        <v>22</v>
      </c>
      <c r="D71" s="123" t="s">
        <v>59</v>
      </c>
    </row>
    <row r="72" spans="1:14" x14ac:dyDescent="0.2">
      <c r="A72" s="123" t="s">
        <v>104</v>
      </c>
      <c r="B72" s="123" t="s">
        <v>92</v>
      </c>
      <c r="C72">
        <v>6777276.9183990033</v>
      </c>
      <c r="D72">
        <v>1013234.1608372619</v>
      </c>
    </row>
    <row r="73" spans="1:14" x14ac:dyDescent="0.2">
      <c r="B73" s="123" t="s">
        <v>93</v>
      </c>
      <c r="C73">
        <v>6777276.9183990033</v>
      </c>
      <c r="D73">
        <v>1013234.1608372619</v>
      </c>
    </row>
    <row r="74" spans="1:14" x14ac:dyDescent="0.2">
      <c r="B74" s="123" t="s">
        <v>94</v>
      </c>
      <c r="C74">
        <v>6777276.9183990033</v>
      </c>
      <c r="D74">
        <v>1013234.1608372619</v>
      </c>
    </row>
    <row r="75" spans="1:14" x14ac:dyDescent="0.2">
      <c r="B75" s="123" t="s">
        <v>95</v>
      </c>
      <c r="C75">
        <v>6777276.9183990033</v>
      </c>
      <c r="D75">
        <v>1013234.1608372619</v>
      </c>
    </row>
    <row r="76" spans="1:14" x14ac:dyDescent="0.2">
      <c r="B76" s="123" t="s">
        <v>96</v>
      </c>
      <c r="C76">
        <v>6777276.9183990033</v>
      </c>
      <c r="D76">
        <v>1013234.1608372619</v>
      </c>
    </row>
    <row r="77" spans="1:14" x14ac:dyDescent="0.2">
      <c r="B77" s="123" t="s">
        <v>97</v>
      </c>
      <c r="C77">
        <v>6777276.9183990033</v>
      </c>
      <c r="D77">
        <v>1013234.1608372619</v>
      </c>
    </row>
    <row r="78" spans="1:14" x14ac:dyDescent="0.2">
      <c r="B78" s="123" t="s">
        <v>98</v>
      </c>
      <c r="C78">
        <v>6777276.9183990033</v>
      </c>
      <c r="D78">
        <v>1013234.1608372619</v>
      </c>
    </row>
    <row r="79" spans="1:14" x14ac:dyDescent="0.2">
      <c r="B79" s="123" t="s">
        <v>99</v>
      </c>
      <c r="C79">
        <v>6777276.9183990033</v>
      </c>
      <c r="D79">
        <v>1013234.1608372619</v>
      </c>
    </row>
    <row r="80" spans="1:14" x14ac:dyDescent="0.2">
      <c r="B80" s="123" t="s">
        <v>100</v>
      </c>
      <c r="C80">
        <v>6777276.9183990033</v>
      </c>
      <c r="D80">
        <v>1013234.1608372619</v>
      </c>
    </row>
    <row r="81" spans="2:50" x14ac:dyDescent="0.2">
      <c r="B81" s="123" t="s">
        <v>101</v>
      </c>
      <c r="C81">
        <v>6777276.9183990033</v>
      </c>
      <c r="D81">
        <v>1013234.1608372619</v>
      </c>
    </row>
    <row r="82" spans="2:50" x14ac:dyDescent="0.2">
      <c r="B82" s="123" t="s">
        <v>102</v>
      </c>
      <c r="C82">
        <v>6777276.9183990033</v>
      </c>
      <c r="D82">
        <v>1013234.1608372619</v>
      </c>
    </row>
    <row r="83" spans="2:50" x14ac:dyDescent="0.2">
      <c r="B83" s="123" t="s">
        <v>103</v>
      </c>
      <c r="C83">
        <v>6777276.9183990033</v>
      </c>
      <c r="D83">
        <v>1013234.1608372619</v>
      </c>
    </row>
    <row r="85" spans="2:50" x14ac:dyDescent="0.2">
      <c r="B85" s="121" t="s">
        <v>333</v>
      </c>
    </row>
    <row r="86" spans="2:50" x14ac:dyDescent="0.2">
      <c r="B86" s="119" t="s">
        <v>274</v>
      </c>
      <c r="C86" s="119" t="s">
        <v>92</v>
      </c>
      <c r="D86" s="120"/>
      <c r="E86" s="120"/>
      <c r="F86" s="120"/>
      <c r="G86" s="119" t="s">
        <v>93</v>
      </c>
      <c r="H86" s="120"/>
      <c r="I86" s="120"/>
      <c r="J86" s="120"/>
      <c r="K86" s="119" t="s">
        <v>94</v>
      </c>
      <c r="L86" s="120"/>
      <c r="M86" s="120"/>
      <c r="N86" s="120"/>
      <c r="O86" s="119" t="s">
        <v>95</v>
      </c>
      <c r="P86" s="120"/>
      <c r="Q86" s="120"/>
      <c r="R86" s="120"/>
      <c r="S86" s="119" t="s">
        <v>96</v>
      </c>
      <c r="T86" s="120"/>
      <c r="U86" s="120"/>
      <c r="V86" s="120"/>
      <c r="W86" s="119" t="s">
        <v>97</v>
      </c>
      <c r="X86" s="120"/>
      <c r="Y86" s="120"/>
      <c r="Z86" s="120"/>
      <c r="AA86" s="119" t="s">
        <v>98</v>
      </c>
      <c r="AB86" s="120"/>
      <c r="AC86" s="120"/>
      <c r="AD86" s="120"/>
      <c r="AE86" s="119" t="s">
        <v>99</v>
      </c>
      <c r="AF86" s="120"/>
      <c r="AG86" s="120"/>
      <c r="AH86" s="120"/>
      <c r="AI86" s="119" t="s">
        <v>100</v>
      </c>
      <c r="AJ86" s="120"/>
      <c r="AK86" s="120"/>
      <c r="AL86" s="120"/>
      <c r="AM86" s="119" t="s">
        <v>101</v>
      </c>
      <c r="AN86" s="120"/>
      <c r="AO86" s="120"/>
      <c r="AP86" s="120"/>
      <c r="AQ86" s="119" t="s">
        <v>102</v>
      </c>
      <c r="AR86" s="120"/>
      <c r="AS86" s="120"/>
      <c r="AT86" s="120"/>
      <c r="AU86" s="119" t="s">
        <v>103</v>
      </c>
      <c r="AV86" s="120"/>
      <c r="AW86" s="120"/>
    </row>
    <row r="87" spans="2:50" x14ac:dyDescent="0.2">
      <c r="B87" s="119" t="s">
        <v>334</v>
      </c>
      <c r="C87" s="119">
        <v>1</v>
      </c>
      <c r="D87" s="119">
        <v>2</v>
      </c>
      <c r="E87" s="119">
        <v>3</v>
      </c>
      <c r="F87" s="119">
        <v>4</v>
      </c>
      <c r="G87" s="119">
        <v>1</v>
      </c>
      <c r="H87" s="119">
        <v>2</v>
      </c>
      <c r="I87" s="119">
        <v>3</v>
      </c>
      <c r="J87" s="119">
        <v>4</v>
      </c>
      <c r="K87" s="119">
        <v>1</v>
      </c>
      <c r="L87" s="119">
        <v>2</v>
      </c>
      <c r="M87" s="119">
        <v>3</v>
      </c>
      <c r="N87" s="119">
        <v>4</v>
      </c>
      <c r="O87" s="119">
        <v>1</v>
      </c>
      <c r="P87" s="119">
        <v>2</v>
      </c>
      <c r="Q87" s="119">
        <v>3</v>
      </c>
      <c r="R87" s="119">
        <v>4</v>
      </c>
      <c r="S87" s="119">
        <v>1</v>
      </c>
      <c r="T87" s="119">
        <v>2</v>
      </c>
      <c r="U87" s="119">
        <v>3</v>
      </c>
      <c r="V87" s="119">
        <v>4</v>
      </c>
      <c r="W87" s="119">
        <v>1</v>
      </c>
      <c r="X87" s="119">
        <v>2</v>
      </c>
      <c r="Y87" s="119">
        <v>3</v>
      </c>
      <c r="Z87" s="119">
        <v>4</v>
      </c>
      <c r="AA87" s="119">
        <v>1</v>
      </c>
      <c r="AB87" s="119">
        <v>2</v>
      </c>
      <c r="AC87" s="119">
        <v>3</v>
      </c>
      <c r="AD87" s="119">
        <v>4</v>
      </c>
      <c r="AE87" s="119">
        <v>1</v>
      </c>
      <c r="AF87" s="119">
        <v>2</v>
      </c>
      <c r="AG87" s="119">
        <v>3</v>
      </c>
      <c r="AH87" s="119">
        <v>4</v>
      </c>
      <c r="AI87" s="119">
        <v>1</v>
      </c>
      <c r="AJ87" s="119">
        <v>2</v>
      </c>
      <c r="AK87" s="119">
        <v>3</v>
      </c>
      <c r="AL87" s="119">
        <v>4</v>
      </c>
      <c r="AM87" s="119">
        <v>1</v>
      </c>
      <c r="AN87" s="119">
        <v>2</v>
      </c>
      <c r="AO87" s="119">
        <v>3</v>
      </c>
      <c r="AP87" s="119">
        <v>4</v>
      </c>
      <c r="AQ87" s="119">
        <v>1</v>
      </c>
      <c r="AR87" s="119">
        <v>2</v>
      </c>
      <c r="AS87" s="119">
        <v>3</v>
      </c>
      <c r="AT87" s="119">
        <v>4</v>
      </c>
      <c r="AU87" s="119">
        <v>1</v>
      </c>
      <c r="AV87" s="119">
        <v>2</v>
      </c>
      <c r="AW87" s="119">
        <v>3</v>
      </c>
      <c r="AX87" s="119">
        <v>4</v>
      </c>
    </row>
    <row r="88" spans="2:50" x14ac:dyDescent="0.2">
      <c r="B88" s="119" t="s">
        <v>104</v>
      </c>
      <c r="C88">
        <f>C48+$C$67/4</f>
        <v>8333.3333333333321</v>
      </c>
      <c r="D88">
        <f>D48+$C$67/4</f>
        <v>8333.3333333333321</v>
      </c>
      <c r="E88">
        <f>E48+$C$67/4</f>
        <v>8333.3333333333321</v>
      </c>
      <c r="F88">
        <f>F48+$C$67/4</f>
        <v>8333.3333333333321</v>
      </c>
      <c r="G88">
        <f>G48+$D$67/4</f>
        <v>8333.3333333333321</v>
      </c>
      <c r="H88">
        <f>H48+$D$67/4</f>
        <v>8333.3333333333321</v>
      </c>
      <c r="I88">
        <f>I48+$D$67/4</f>
        <v>8333.3333333333321</v>
      </c>
      <c r="J88">
        <f>J48+$D$67/4</f>
        <v>8333.3333333333321</v>
      </c>
      <c r="K88">
        <f>K48+$E$67/4</f>
        <v>8333.3333333333321</v>
      </c>
      <c r="L88">
        <f>L48+$E$67/4</f>
        <v>8333.3333333333321</v>
      </c>
      <c r="M88">
        <f>M48+$E$67/4</f>
        <v>8333.3333333333321</v>
      </c>
      <c r="N88">
        <f>N48+$E$67/4</f>
        <v>8333.3333333333321</v>
      </c>
      <c r="O88">
        <f>O48+$F$67/4</f>
        <v>8333.3333333333321</v>
      </c>
      <c r="P88">
        <f>P48+$F$67/4</f>
        <v>8333.3333333333321</v>
      </c>
      <c r="Q88">
        <f>Q48+$F$67/4</f>
        <v>8333.3333333333321</v>
      </c>
      <c r="R88">
        <f>R48+$F$67/4</f>
        <v>8333.3333333333321</v>
      </c>
      <c r="S88">
        <f>S48+$G$67/4</f>
        <v>8333.3333333333321</v>
      </c>
      <c r="T88">
        <f>T48+$G$67/4</f>
        <v>8333.3333333333321</v>
      </c>
      <c r="U88">
        <f>U48+$G$67/4</f>
        <v>8333.3333333333321</v>
      </c>
      <c r="V88">
        <f>V48+$G$67/4</f>
        <v>8333.3333333333321</v>
      </c>
      <c r="W88">
        <f>W48+$H$67/4</f>
        <v>8333.3333333333321</v>
      </c>
      <c r="X88">
        <f>X48+$H$67/4</f>
        <v>8333.3333333333321</v>
      </c>
      <c r="Y88">
        <f>Y48+$H$67/4</f>
        <v>8333.3333333333321</v>
      </c>
      <c r="Z88">
        <f>Z48+$H$67/4</f>
        <v>8333.3333333333321</v>
      </c>
      <c r="AA88">
        <f>AA48+$I$67/4</f>
        <v>8333.3333333333321</v>
      </c>
      <c r="AB88">
        <f>AB48+$I$67/4</f>
        <v>8333.3333333333321</v>
      </c>
      <c r="AC88">
        <f>AC48+$I$67/4</f>
        <v>8333.3333333333321</v>
      </c>
      <c r="AD88">
        <f>AD48+$I$67/4</f>
        <v>8333.3333333333321</v>
      </c>
      <c r="AE88">
        <f>AE48+$J$67/4</f>
        <v>8333.3333333333321</v>
      </c>
      <c r="AF88">
        <f>AF48+$J$67/4</f>
        <v>8333.3333333333321</v>
      </c>
      <c r="AG88">
        <f>AG48+$J$67/4</f>
        <v>8333.3333333333321</v>
      </c>
      <c r="AH88">
        <f>AH48+$J$67/4</f>
        <v>8333.3333333333321</v>
      </c>
      <c r="AI88">
        <f>AI48+$K$67/4</f>
        <v>8333.3333333333321</v>
      </c>
      <c r="AJ88">
        <f>AJ48+$K$67/4</f>
        <v>8333.3333333333321</v>
      </c>
      <c r="AK88">
        <f>AK48+$K$67/4</f>
        <v>8333.3333333333321</v>
      </c>
      <c r="AL88">
        <f>AL48+$K$67/4</f>
        <v>8333.3333333333321</v>
      </c>
      <c r="AM88">
        <f>AM48+$L$67/4</f>
        <v>8333.3333333333321</v>
      </c>
      <c r="AN88">
        <f>AN48+$L$67/4</f>
        <v>8333.3333333333321</v>
      </c>
      <c r="AO88">
        <f>AO48+$L$67/4</f>
        <v>8333.3333333333321</v>
      </c>
      <c r="AP88">
        <f>AP48+$L$67/4</f>
        <v>8333.3333333333321</v>
      </c>
      <c r="AQ88">
        <f>AQ48+$M$67/4</f>
        <v>8333.3333333333321</v>
      </c>
      <c r="AR88">
        <f>AR48+$M$67/4</f>
        <v>8333.3333333333321</v>
      </c>
      <c r="AS88">
        <f>AS48+$M$67/4</f>
        <v>8333.3333333333321</v>
      </c>
      <c r="AT88">
        <f>AT48+$M$67/4</f>
        <v>8333.3333333333321</v>
      </c>
      <c r="AU88">
        <f>AU48+$N$67/4</f>
        <v>8333.3333333333321</v>
      </c>
      <c r="AV88">
        <f>AV48+$N$67/4</f>
        <v>8333.3333333333321</v>
      </c>
      <c r="AW88">
        <f>AW48+$N$67/4</f>
        <v>8333.3333333333321</v>
      </c>
      <c r="AX88">
        <f>AX48+$N$67/4</f>
        <v>8333.3333333333321</v>
      </c>
    </row>
    <row r="89" spans="2:50" x14ac:dyDescent="0.2">
      <c r="B89" s="119" t="s">
        <v>105</v>
      </c>
      <c r="C89">
        <f>C49</f>
        <v>0</v>
      </c>
      <c r="D89">
        <f t="shared" ref="D89:AX93" si="3">D49</f>
        <v>0</v>
      </c>
      <c r="E89">
        <f t="shared" si="3"/>
        <v>0</v>
      </c>
      <c r="F89">
        <f t="shared" si="3"/>
        <v>0</v>
      </c>
      <c r="G89">
        <f t="shared" si="3"/>
        <v>0</v>
      </c>
      <c r="H89">
        <f t="shared" si="3"/>
        <v>0</v>
      </c>
      <c r="I89">
        <f t="shared" si="3"/>
        <v>0</v>
      </c>
      <c r="J89">
        <f t="shared" si="3"/>
        <v>0</v>
      </c>
      <c r="K89">
        <f t="shared" si="3"/>
        <v>0</v>
      </c>
      <c r="L89">
        <f t="shared" si="3"/>
        <v>0</v>
      </c>
      <c r="M89">
        <f t="shared" si="3"/>
        <v>0</v>
      </c>
      <c r="N89">
        <f t="shared" si="3"/>
        <v>0</v>
      </c>
      <c r="O89">
        <f t="shared" si="3"/>
        <v>0</v>
      </c>
      <c r="P89">
        <f t="shared" si="3"/>
        <v>0</v>
      </c>
      <c r="Q89">
        <f t="shared" si="3"/>
        <v>0</v>
      </c>
      <c r="R89">
        <f t="shared" si="3"/>
        <v>0</v>
      </c>
      <c r="S89">
        <f t="shared" si="3"/>
        <v>0</v>
      </c>
      <c r="T89">
        <f t="shared" si="3"/>
        <v>0</v>
      </c>
      <c r="U89">
        <f t="shared" si="3"/>
        <v>0</v>
      </c>
      <c r="V89">
        <f t="shared" si="3"/>
        <v>0</v>
      </c>
      <c r="W89">
        <f t="shared" si="3"/>
        <v>0</v>
      </c>
      <c r="X89">
        <f t="shared" si="3"/>
        <v>0</v>
      </c>
      <c r="Y89">
        <f t="shared" si="3"/>
        <v>0</v>
      </c>
      <c r="Z89">
        <f t="shared" si="3"/>
        <v>0</v>
      </c>
      <c r="AA89">
        <f t="shared" si="3"/>
        <v>0</v>
      </c>
      <c r="AB89">
        <f t="shared" si="3"/>
        <v>0</v>
      </c>
      <c r="AC89">
        <f t="shared" si="3"/>
        <v>0</v>
      </c>
      <c r="AD89">
        <f t="shared" si="3"/>
        <v>0</v>
      </c>
      <c r="AE89">
        <f t="shared" si="3"/>
        <v>0</v>
      </c>
      <c r="AF89">
        <f t="shared" si="3"/>
        <v>0</v>
      </c>
      <c r="AG89">
        <f t="shared" si="3"/>
        <v>0</v>
      </c>
      <c r="AH89">
        <f t="shared" si="3"/>
        <v>0</v>
      </c>
      <c r="AI89">
        <f t="shared" si="3"/>
        <v>0</v>
      </c>
      <c r="AJ89">
        <f t="shared" si="3"/>
        <v>0</v>
      </c>
      <c r="AK89">
        <f t="shared" si="3"/>
        <v>0</v>
      </c>
      <c r="AL89">
        <f t="shared" si="3"/>
        <v>0</v>
      </c>
      <c r="AM89">
        <f t="shared" si="3"/>
        <v>0</v>
      </c>
      <c r="AN89">
        <f t="shared" si="3"/>
        <v>0</v>
      </c>
      <c r="AO89">
        <f t="shared" si="3"/>
        <v>0</v>
      </c>
      <c r="AP89">
        <f t="shared" si="3"/>
        <v>0</v>
      </c>
      <c r="AQ89">
        <f t="shared" si="3"/>
        <v>0</v>
      </c>
      <c r="AR89">
        <f t="shared" si="3"/>
        <v>0</v>
      </c>
      <c r="AS89">
        <f t="shared" si="3"/>
        <v>0</v>
      </c>
      <c r="AT89">
        <f t="shared" si="3"/>
        <v>0</v>
      </c>
      <c r="AU89">
        <f t="shared" si="3"/>
        <v>0</v>
      </c>
      <c r="AV89">
        <f t="shared" si="3"/>
        <v>0</v>
      </c>
      <c r="AW89">
        <f t="shared" si="3"/>
        <v>0</v>
      </c>
      <c r="AX89">
        <f t="shared" si="3"/>
        <v>0</v>
      </c>
    </row>
    <row r="90" spans="2:50" x14ac:dyDescent="0.2">
      <c r="B90" s="119" t="s">
        <v>106</v>
      </c>
      <c r="C90">
        <f t="shared" ref="C90:R93" si="4">C50</f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3"/>
        <v>0</v>
      </c>
      <c r="T90">
        <f t="shared" si="3"/>
        <v>0</v>
      </c>
      <c r="U90">
        <f t="shared" si="3"/>
        <v>0</v>
      </c>
      <c r="V90">
        <f t="shared" si="3"/>
        <v>0</v>
      </c>
      <c r="W90">
        <f t="shared" si="3"/>
        <v>0</v>
      </c>
      <c r="X90">
        <f t="shared" si="3"/>
        <v>0</v>
      </c>
      <c r="Y90">
        <f t="shared" si="3"/>
        <v>0</v>
      </c>
      <c r="Z90">
        <f t="shared" si="3"/>
        <v>0</v>
      </c>
      <c r="AA90">
        <f t="shared" si="3"/>
        <v>0</v>
      </c>
      <c r="AB90">
        <f t="shared" si="3"/>
        <v>0</v>
      </c>
      <c r="AC90">
        <f t="shared" si="3"/>
        <v>0</v>
      </c>
      <c r="AD90">
        <f t="shared" si="3"/>
        <v>0</v>
      </c>
      <c r="AE90">
        <f t="shared" si="3"/>
        <v>0</v>
      </c>
      <c r="AF90">
        <f t="shared" si="3"/>
        <v>0</v>
      </c>
      <c r="AG90">
        <f t="shared" si="3"/>
        <v>0</v>
      </c>
      <c r="AH90">
        <f t="shared" si="3"/>
        <v>0</v>
      </c>
      <c r="AI90">
        <f t="shared" si="3"/>
        <v>0</v>
      </c>
      <c r="AJ90">
        <f t="shared" si="3"/>
        <v>0</v>
      </c>
      <c r="AK90">
        <f t="shared" si="3"/>
        <v>0</v>
      </c>
      <c r="AL90">
        <f t="shared" si="3"/>
        <v>0</v>
      </c>
      <c r="AM90">
        <f t="shared" si="3"/>
        <v>0</v>
      </c>
      <c r="AN90">
        <f t="shared" si="3"/>
        <v>0</v>
      </c>
      <c r="AO90">
        <f t="shared" si="3"/>
        <v>0</v>
      </c>
      <c r="AP90">
        <f t="shared" si="3"/>
        <v>0</v>
      </c>
      <c r="AQ90">
        <f t="shared" si="3"/>
        <v>0</v>
      </c>
      <c r="AR90">
        <f t="shared" si="3"/>
        <v>0</v>
      </c>
      <c r="AS90">
        <f t="shared" si="3"/>
        <v>0</v>
      </c>
      <c r="AT90">
        <f t="shared" si="3"/>
        <v>0</v>
      </c>
      <c r="AU90">
        <f t="shared" si="3"/>
        <v>0</v>
      </c>
      <c r="AV90">
        <f t="shared" si="3"/>
        <v>0</v>
      </c>
      <c r="AW90">
        <f t="shared" si="3"/>
        <v>0</v>
      </c>
      <c r="AX90">
        <f t="shared" si="3"/>
        <v>0</v>
      </c>
    </row>
    <row r="91" spans="2:50" x14ac:dyDescent="0.2">
      <c r="B91" s="119" t="s">
        <v>107</v>
      </c>
      <c r="C91">
        <f t="shared" si="4"/>
        <v>300.65883016813808</v>
      </c>
      <c r="D91">
        <f t="shared" si="3"/>
        <v>3013.1780103151486</v>
      </c>
      <c r="E91">
        <f t="shared" si="3"/>
        <v>3019.7680695375102</v>
      </c>
      <c r="F91">
        <f t="shared" si="3"/>
        <v>3026.3574224454624</v>
      </c>
      <c r="G91">
        <f t="shared" si="3"/>
        <v>3032.9450117820752</v>
      </c>
      <c r="H91">
        <f t="shared" si="3"/>
        <v>3039.5297801219349</v>
      </c>
      <c r="I91">
        <f t="shared" si="3"/>
        <v>3046.1106700567357</v>
      </c>
      <c r="J91">
        <f t="shared" si="3"/>
        <v>3052.6866243809636</v>
      </c>
      <c r="K91">
        <f t="shared" si="3"/>
        <v>1223.7026345110626</v>
      </c>
      <c r="L91">
        <f t="shared" si="3"/>
        <v>3065.8194995042027</v>
      </c>
      <c r="M91">
        <f t="shared" si="3"/>
        <v>3072.3743085781439</v>
      </c>
      <c r="N91">
        <f t="shared" si="3"/>
        <v>3078.9199589629461</v>
      </c>
      <c r="O91">
        <f t="shared" si="3"/>
        <v>3085.4553972537178</v>
      </c>
      <c r="P91">
        <f t="shared" si="3"/>
        <v>3091.9795713628264</v>
      </c>
      <c r="Q91">
        <f t="shared" si="3"/>
        <v>3098.4914307053937</v>
      </c>
      <c r="R91">
        <f t="shared" si="3"/>
        <v>3104.9899263846269</v>
      </c>
      <c r="S91">
        <f t="shared" si="3"/>
        <v>3111.4740113769658</v>
      </c>
      <c r="T91">
        <f t="shared" si="3"/>
        <v>3117.9426407169926</v>
      </c>
      <c r="U91">
        <f t="shared" si="3"/>
        <v>3124.3947716820899</v>
      </c>
      <c r="V91">
        <f t="shared" si="3"/>
        <v>3130.8293639768099</v>
      </c>
      <c r="W91">
        <f t="shared" si="3"/>
        <v>2196.071765941841</v>
      </c>
      <c r="X91">
        <f t="shared" si="3"/>
        <v>3143.6417846130662</v>
      </c>
      <c r="Y91">
        <f t="shared" si="3"/>
        <v>3150.0175461541053</v>
      </c>
      <c r="Z91">
        <f t="shared" si="3"/>
        <v>3156.3716357899466</v>
      </c>
      <c r="AA91">
        <f t="shared" si="3"/>
        <v>3162.7030281139782</v>
      </c>
      <c r="AB91">
        <f t="shared" si="3"/>
        <v>3169.010701245003</v>
      </c>
      <c r="AC91">
        <f t="shared" si="3"/>
        <v>3175.2936370086377</v>
      </c>
      <c r="AD91">
        <f t="shared" si="3"/>
        <v>3181.5508211181759</v>
      </c>
      <c r="AE91">
        <f t="shared" si="3"/>
        <v>318.77812433548564</v>
      </c>
      <c r="AF91">
        <f t="shared" si="3"/>
        <v>3193.9838977475138</v>
      </c>
      <c r="AG91">
        <f t="shared" si="3"/>
        <v>3200.1577827515825</v>
      </c>
      <c r="AH91">
        <f t="shared" si="3"/>
        <v>3206.3019014274178</v>
      </c>
      <c r="AI91">
        <f t="shared" si="3"/>
        <v>3212.4152616178967</v>
      </c>
      <c r="AJ91">
        <f t="shared" si="3"/>
        <v>3218.496876125284</v>
      </c>
      <c r="AK91">
        <f t="shared" si="3"/>
        <v>3224.5457628873069</v>
      </c>
      <c r="AL91">
        <f t="shared" si="3"/>
        <v>3230.5609451524278</v>
      </c>
      <c r="AM91">
        <f t="shared" si="3"/>
        <v>3236.5414516542737</v>
      </c>
      <c r="AN91">
        <f t="shared" si="3"/>
        <v>3242.486316785189</v>
      </c>
      <c r="AO91">
        <f t="shared" si="3"/>
        <v>3248.3945807688906</v>
      </c>
      <c r="AP91">
        <f t="shared" si="3"/>
        <v>3254.2652898321776</v>
      </c>
      <c r="AQ91">
        <f t="shared" si="3"/>
        <v>2282.0682474629784</v>
      </c>
      <c r="AR91">
        <f t="shared" si="3"/>
        <v>3265.8902591436208</v>
      </c>
      <c r="AS91">
        <f t="shared" si="3"/>
        <v>3271.6426433925076</v>
      </c>
      <c r="AT91">
        <f t="shared" si="3"/>
        <v>3277.3537210588215</v>
      </c>
      <c r="AU91">
        <f t="shared" si="3"/>
        <v>3283.0225709255783</v>
      </c>
      <c r="AV91">
        <f t="shared" si="3"/>
        <v>2302.0537951514416</v>
      </c>
      <c r="AW91">
        <f t="shared" si="3"/>
        <v>2305.9609563316867</v>
      </c>
      <c r="AX91">
        <f t="shared" si="3"/>
        <v>3299.7666477230291</v>
      </c>
    </row>
    <row r="92" spans="2:50" x14ac:dyDescent="0.2">
      <c r="B92" s="119" t="s">
        <v>108</v>
      </c>
      <c r="C92">
        <f t="shared" si="4"/>
        <v>3029.0378293900785</v>
      </c>
      <c r="D92">
        <f t="shared" si="4"/>
        <v>3029.0378293900785</v>
      </c>
      <c r="E92">
        <f t="shared" si="4"/>
        <v>3029.0378293900785</v>
      </c>
      <c r="F92">
        <f t="shared" si="4"/>
        <v>3029.0378293900785</v>
      </c>
      <c r="G92">
        <f t="shared" si="4"/>
        <v>3029.0378293900785</v>
      </c>
      <c r="H92">
        <f t="shared" si="4"/>
        <v>3029.0378293900785</v>
      </c>
      <c r="I92">
        <f t="shared" si="4"/>
        <v>3029.0378293900785</v>
      </c>
      <c r="J92">
        <f t="shared" si="4"/>
        <v>3029.0378293900785</v>
      </c>
      <c r="K92">
        <f t="shared" si="4"/>
        <v>3029.0378293900785</v>
      </c>
      <c r="L92">
        <f t="shared" si="4"/>
        <v>3029.0378293900785</v>
      </c>
      <c r="M92">
        <f t="shared" si="4"/>
        <v>3029.0378293900785</v>
      </c>
      <c r="N92">
        <f t="shared" si="4"/>
        <v>3029.0378293900785</v>
      </c>
      <c r="O92">
        <f t="shared" si="4"/>
        <v>3029.0378293900785</v>
      </c>
      <c r="P92">
        <f t="shared" si="4"/>
        <v>3029.0378293900785</v>
      </c>
      <c r="Q92">
        <f t="shared" si="4"/>
        <v>3029.0378293900785</v>
      </c>
      <c r="R92">
        <f t="shared" si="4"/>
        <v>3029.0378293900785</v>
      </c>
      <c r="S92">
        <f t="shared" si="3"/>
        <v>3029.0378293900785</v>
      </c>
      <c r="T92">
        <f t="shared" si="3"/>
        <v>3029.0378293900785</v>
      </c>
      <c r="U92">
        <f t="shared" si="3"/>
        <v>3029.0378293900785</v>
      </c>
      <c r="V92">
        <f t="shared" si="3"/>
        <v>3029.0378293900785</v>
      </c>
      <c r="W92">
        <f t="shared" si="3"/>
        <v>3029.0378293900785</v>
      </c>
      <c r="X92">
        <f t="shared" si="3"/>
        <v>3029.0378293900785</v>
      </c>
      <c r="Y92">
        <f t="shared" si="3"/>
        <v>3029.0378293900785</v>
      </c>
      <c r="Z92">
        <f t="shared" si="3"/>
        <v>3029.0378293900785</v>
      </c>
      <c r="AA92">
        <f t="shared" si="3"/>
        <v>3029.0378293900785</v>
      </c>
      <c r="AB92">
        <f t="shared" si="3"/>
        <v>3029.0378293900785</v>
      </c>
      <c r="AC92">
        <f t="shared" si="3"/>
        <v>3029.0378293900785</v>
      </c>
      <c r="AD92">
        <f t="shared" si="3"/>
        <v>3029.0378293900785</v>
      </c>
      <c r="AE92">
        <f t="shared" si="3"/>
        <v>3029.0378293900785</v>
      </c>
      <c r="AF92">
        <f t="shared" si="3"/>
        <v>3029.0378293900785</v>
      </c>
      <c r="AG92">
        <f t="shared" si="3"/>
        <v>3029.0378293900785</v>
      </c>
      <c r="AH92">
        <f t="shared" si="3"/>
        <v>3029.0378293900785</v>
      </c>
      <c r="AI92">
        <f t="shared" si="3"/>
        <v>3029.0378293900785</v>
      </c>
      <c r="AJ92">
        <f t="shared" si="3"/>
        <v>3029.0378293900785</v>
      </c>
      <c r="AK92">
        <f t="shared" si="3"/>
        <v>3029.0378293900785</v>
      </c>
      <c r="AL92">
        <f t="shared" si="3"/>
        <v>3029.0378293900785</v>
      </c>
      <c r="AM92">
        <f t="shared" si="3"/>
        <v>3029.0378293900785</v>
      </c>
      <c r="AN92">
        <f t="shared" si="3"/>
        <v>3029.0378293900785</v>
      </c>
      <c r="AO92">
        <f t="shared" si="3"/>
        <v>3029.0378293900785</v>
      </c>
      <c r="AP92">
        <f t="shared" si="3"/>
        <v>3029.0378293900785</v>
      </c>
      <c r="AQ92">
        <f t="shared" si="3"/>
        <v>3029.0378293900785</v>
      </c>
      <c r="AR92">
        <f t="shared" si="3"/>
        <v>3029.0378293900785</v>
      </c>
      <c r="AS92">
        <f t="shared" si="3"/>
        <v>3029.0378293900785</v>
      </c>
      <c r="AT92">
        <f t="shared" si="3"/>
        <v>3029.0378293900785</v>
      </c>
      <c r="AU92">
        <f t="shared" si="3"/>
        <v>3029.0378293900785</v>
      </c>
      <c r="AV92">
        <f t="shared" si="3"/>
        <v>3029.0378293900785</v>
      </c>
      <c r="AW92">
        <f t="shared" si="3"/>
        <v>3029.0378293900785</v>
      </c>
      <c r="AX92">
        <f t="shared" si="3"/>
        <v>3029.0378293900785</v>
      </c>
    </row>
    <row r="93" spans="2:50" x14ac:dyDescent="0.2">
      <c r="B93" s="119" t="s">
        <v>109</v>
      </c>
      <c r="C93">
        <f t="shared" si="4"/>
        <v>2767.597925428513</v>
      </c>
      <c r="D93">
        <f t="shared" si="4"/>
        <v>2767.597925428513</v>
      </c>
      <c r="E93">
        <f t="shared" si="4"/>
        <v>2767.597925428513</v>
      </c>
      <c r="F93">
        <f t="shared" si="4"/>
        <v>2767.597925428513</v>
      </c>
      <c r="G93">
        <f t="shared" si="4"/>
        <v>2767.597925428513</v>
      </c>
      <c r="H93">
        <f t="shared" si="4"/>
        <v>2767.597925428513</v>
      </c>
      <c r="I93">
        <f t="shared" si="4"/>
        <v>2767.597925428513</v>
      </c>
      <c r="J93">
        <f t="shared" si="4"/>
        <v>2767.597925428513</v>
      </c>
      <c r="K93">
        <f t="shared" si="4"/>
        <v>2767.597925428513</v>
      </c>
      <c r="L93">
        <f t="shared" si="4"/>
        <v>2767.597925428513</v>
      </c>
      <c r="M93">
        <f t="shared" si="4"/>
        <v>2767.597925428513</v>
      </c>
      <c r="N93">
        <f t="shared" si="4"/>
        <v>2767.597925428513</v>
      </c>
      <c r="O93">
        <f t="shared" si="4"/>
        <v>2767.597925428513</v>
      </c>
      <c r="P93">
        <f t="shared" si="4"/>
        <v>2767.597925428513</v>
      </c>
      <c r="Q93">
        <f t="shared" si="4"/>
        <v>2767.597925428513</v>
      </c>
      <c r="R93">
        <f t="shared" si="4"/>
        <v>2767.597925428513</v>
      </c>
      <c r="S93">
        <f t="shared" si="3"/>
        <v>2767.597925428513</v>
      </c>
      <c r="T93">
        <f t="shared" si="3"/>
        <v>2767.597925428513</v>
      </c>
      <c r="U93">
        <f t="shared" si="3"/>
        <v>2767.597925428513</v>
      </c>
      <c r="V93">
        <f t="shared" si="3"/>
        <v>2767.597925428513</v>
      </c>
      <c r="W93">
        <f t="shared" si="3"/>
        <v>2767.597925428513</v>
      </c>
      <c r="X93">
        <f t="shared" si="3"/>
        <v>2767.597925428513</v>
      </c>
      <c r="Y93">
        <f t="shared" si="3"/>
        <v>2767.597925428513</v>
      </c>
      <c r="Z93">
        <f t="shared" si="3"/>
        <v>2767.597925428513</v>
      </c>
      <c r="AA93">
        <f t="shared" si="3"/>
        <v>2767.597925428513</v>
      </c>
      <c r="AB93">
        <f t="shared" si="3"/>
        <v>2767.597925428513</v>
      </c>
      <c r="AC93">
        <f t="shared" si="3"/>
        <v>2767.597925428513</v>
      </c>
      <c r="AD93">
        <f t="shared" si="3"/>
        <v>2767.597925428513</v>
      </c>
      <c r="AE93">
        <f t="shared" si="3"/>
        <v>2767.597925428513</v>
      </c>
      <c r="AF93">
        <f t="shared" si="3"/>
        <v>2767.597925428513</v>
      </c>
      <c r="AG93">
        <f t="shared" si="3"/>
        <v>2767.597925428513</v>
      </c>
      <c r="AH93">
        <f t="shared" si="3"/>
        <v>2767.597925428513</v>
      </c>
      <c r="AI93">
        <f t="shared" si="3"/>
        <v>2767.597925428513</v>
      </c>
      <c r="AJ93">
        <f t="shared" si="3"/>
        <v>2767.597925428513</v>
      </c>
      <c r="AK93">
        <f t="shared" si="3"/>
        <v>2767.597925428513</v>
      </c>
      <c r="AL93">
        <f t="shared" si="3"/>
        <v>2767.597925428513</v>
      </c>
      <c r="AM93">
        <f t="shared" si="3"/>
        <v>2767.597925428513</v>
      </c>
      <c r="AN93">
        <f t="shared" si="3"/>
        <v>2767.597925428513</v>
      </c>
      <c r="AO93">
        <f t="shared" si="3"/>
        <v>2767.597925428513</v>
      </c>
      <c r="AP93">
        <f t="shared" si="3"/>
        <v>2767.597925428513</v>
      </c>
      <c r="AQ93">
        <f t="shared" si="3"/>
        <v>2767.597925428513</v>
      </c>
      <c r="AR93">
        <f t="shared" si="3"/>
        <v>2767.597925428513</v>
      </c>
      <c r="AS93">
        <f t="shared" si="3"/>
        <v>2767.597925428513</v>
      </c>
      <c r="AT93">
        <f t="shared" si="3"/>
        <v>2767.597925428513</v>
      </c>
      <c r="AU93">
        <f t="shared" si="3"/>
        <v>2767.597925428513</v>
      </c>
      <c r="AV93">
        <f t="shared" si="3"/>
        <v>2767.597925428513</v>
      </c>
      <c r="AW93">
        <f t="shared" si="3"/>
        <v>2767.597925428513</v>
      </c>
      <c r="AX93">
        <f t="shared" si="3"/>
        <v>2767.597925428513</v>
      </c>
    </row>
    <row r="94" spans="2:50" x14ac:dyDescent="0.2">
      <c r="B94" s="120"/>
    </row>
    <row r="95" spans="2:50" x14ac:dyDescent="0.2">
      <c r="B95" s="53" t="s">
        <v>335</v>
      </c>
    </row>
    <row r="96" spans="2:50" x14ac:dyDescent="0.2">
      <c r="B96" s="29"/>
      <c r="C96" s="123" t="s">
        <v>92</v>
      </c>
      <c r="D96" s="120"/>
      <c r="E96" s="120"/>
      <c r="F96" s="120"/>
      <c r="G96" s="123" t="s">
        <v>93</v>
      </c>
      <c r="H96" s="120"/>
      <c r="I96" s="120"/>
      <c r="J96" s="120"/>
      <c r="K96" s="123" t="s">
        <v>94</v>
      </c>
      <c r="L96" s="120"/>
      <c r="M96" s="120"/>
      <c r="N96" s="120"/>
      <c r="O96" s="123" t="s">
        <v>95</v>
      </c>
      <c r="P96" s="120"/>
      <c r="Q96" s="120"/>
      <c r="R96" s="120"/>
      <c r="S96" s="123" t="s">
        <v>96</v>
      </c>
      <c r="T96" s="120"/>
      <c r="U96" s="120"/>
      <c r="V96" s="120"/>
      <c r="W96" s="123" t="s">
        <v>97</v>
      </c>
      <c r="X96" s="120"/>
      <c r="Y96" s="120"/>
      <c r="Z96" s="120"/>
      <c r="AA96" s="123" t="s">
        <v>98</v>
      </c>
      <c r="AB96" s="120"/>
      <c r="AC96" s="120"/>
      <c r="AD96" s="120"/>
      <c r="AE96" s="123" t="s">
        <v>99</v>
      </c>
      <c r="AF96" s="120"/>
      <c r="AG96" s="120"/>
      <c r="AH96" s="120"/>
      <c r="AI96" s="123" t="s">
        <v>100</v>
      </c>
      <c r="AJ96" s="120"/>
      <c r="AK96" s="120"/>
      <c r="AL96" s="120"/>
      <c r="AM96" s="123" t="s">
        <v>101</v>
      </c>
      <c r="AN96" s="120"/>
      <c r="AO96" s="120"/>
      <c r="AP96" s="120"/>
      <c r="AQ96" s="123" t="s">
        <v>102</v>
      </c>
      <c r="AR96" s="120"/>
      <c r="AS96" s="120"/>
      <c r="AT96" s="120"/>
      <c r="AU96" s="123" t="s">
        <v>103</v>
      </c>
      <c r="AV96" s="120"/>
      <c r="AW96" s="120"/>
    </row>
    <row r="97" spans="1:50" x14ac:dyDescent="0.2">
      <c r="A97" s="191" t="s">
        <v>121</v>
      </c>
      <c r="B97" s="191" t="s">
        <v>336</v>
      </c>
      <c r="C97" s="123">
        <v>1</v>
      </c>
      <c r="D97" s="123">
        <v>2</v>
      </c>
      <c r="E97" s="123">
        <v>3</v>
      </c>
      <c r="F97" s="123">
        <v>4</v>
      </c>
      <c r="G97" s="123">
        <v>1</v>
      </c>
      <c r="H97" s="123">
        <v>2</v>
      </c>
      <c r="I97" s="123">
        <v>3</v>
      </c>
      <c r="J97" s="123">
        <v>4</v>
      </c>
      <c r="K97" s="123">
        <v>1</v>
      </c>
      <c r="L97" s="123">
        <v>2</v>
      </c>
      <c r="M97" s="123">
        <v>3</v>
      </c>
      <c r="N97" s="123">
        <v>4</v>
      </c>
      <c r="O97" s="123">
        <v>1</v>
      </c>
      <c r="P97" s="123">
        <v>2</v>
      </c>
      <c r="Q97" s="123">
        <v>3</v>
      </c>
      <c r="R97" s="123">
        <v>4</v>
      </c>
      <c r="S97" s="123">
        <v>1</v>
      </c>
      <c r="T97" s="123">
        <v>2</v>
      </c>
      <c r="U97" s="123">
        <v>3</v>
      </c>
      <c r="V97" s="123">
        <v>4</v>
      </c>
      <c r="W97" s="123">
        <v>1</v>
      </c>
      <c r="X97" s="123">
        <v>2</v>
      </c>
      <c r="Y97" s="123">
        <v>3</v>
      </c>
      <c r="Z97" s="123">
        <v>4</v>
      </c>
      <c r="AA97" s="123">
        <v>1</v>
      </c>
      <c r="AB97" s="123">
        <v>2</v>
      </c>
      <c r="AC97" s="123">
        <v>3</v>
      </c>
      <c r="AD97" s="123">
        <v>4</v>
      </c>
      <c r="AE97" s="123">
        <v>1</v>
      </c>
      <c r="AF97" s="123">
        <v>2</v>
      </c>
      <c r="AG97" s="123">
        <v>3</v>
      </c>
      <c r="AH97" s="123">
        <v>4</v>
      </c>
      <c r="AI97" s="123">
        <v>1</v>
      </c>
      <c r="AJ97" s="123">
        <v>2</v>
      </c>
      <c r="AK97" s="123">
        <v>3</v>
      </c>
      <c r="AL97" s="123">
        <v>4</v>
      </c>
      <c r="AM97" s="123">
        <v>1</v>
      </c>
      <c r="AN97" s="123">
        <v>2</v>
      </c>
      <c r="AO97" s="123">
        <v>3</v>
      </c>
      <c r="AP97" s="123">
        <v>4</v>
      </c>
      <c r="AQ97" s="123">
        <v>1</v>
      </c>
      <c r="AR97" s="123">
        <v>2</v>
      </c>
      <c r="AS97" s="123">
        <v>3</v>
      </c>
      <c r="AT97" s="123">
        <v>4</v>
      </c>
      <c r="AU97" s="123">
        <v>1</v>
      </c>
      <c r="AV97" s="123">
        <v>2</v>
      </c>
      <c r="AW97" s="123">
        <v>3</v>
      </c>
      <c r="AX97" s="123">
        <v>4</v>
      </c>
    </row>
    <row r="98" spans="1:50" x14ac:dyDescent="0.2">
      <c r="A98" s="123" t="s">
        <v>104</v>
      </c>
      <c r="B98" s="123" t="s">
        <v>5</v>
      </c>
      <c r="C98">
        <v>49560.365456733489</v>
      </c>
      <c r="D98">
        <v>49560.365456733489</v>
      </c>
      <c r="E98">
        <v>49560.365456733489</v>
      </c>
      <c r="F98">
        <v>49560.365456733489</v>
      </c>
      <c r="G98">
        <v>49560.365456733489</v>
      </c>
      <c r="H98">
        <v>49560.365456733489</v>
      </c>
      <c r="I98">
        <v>49560.365456733489</v>
      </c>
      <c r="J98">
        <v>49560.365456733489</v>
      </c>
      <c r="K98">
        <v>49560.365456733489</v>
      </c>
      <c r="L98">
        <v>49560.365456733489</v>
      </c>
      <c r="M98">
        <v>49560.365456733489</v>
      </c>
      <c r="N98">
        <v>49560.365456733489</v>
      </c>
      <c r="O98">
        <v>49560.365456733489</v>
      </c>
      <c r="P98">
        <v>49560.365456733489</v>
      </c>
      <c r="Q98">
        <v>49560.365456733489</v>
      </c>
      <c r="R98">
        <v>49560.365456733489</v>
      </c>
      <c r="S98">
        <v>49560.365456733489</v>
      </c>
      <c r="T98">
        <v>49560.365456733489</v>
      </c>
      <c r="U98">
        <v>49560.365456733489</v>
      </c>
      <c r="V98">
        <v>49560.365456733489</v>
      </c>
      <c r="W98">
        <v>49560.365456733489</v>
      </c>
      <c r="X98">
        <v>49560.365456733489</v>
      </c>
      <c r="Y98">
        <v>49560.365456733489</v>
      </c>
      <c r="Z98">
        <v>49560.365456733489</v>
      </c>
      <c r="AA98">
        <v>49560.365456733489</v>
      </c>
      <c r="AB98">
        <v>49560.365456733489</v>
      </c>
      <c r="AC98">
        <v>49560.365456733489</v>
      </c>
      <c r="AD98">
        <v>49560.365456733489</v>
      </c>
      <c r="AE98">
        <v>49560.365456733489</v>
      </c>
      <c r="AF98">
        <v>49560.365456733489</v>
      </c>
      <c r="AG98">
        <v>49560.365456733489</v>
      </c>
      <c r="AH98">
        <v>49560.365456733489</v>
      </c>
      <c r="AI98">
        <v>49560.365456733489</v>
      </c>
      <c r="AJ98">
        <v>49560.365456733489</v>
      </c>
      <c r="AK98">
        <v>49560.365456733489</v>
      </c>
      <c r="AL98">
        <v>49560.365456733489</v>
      </c>
      <c r="AM98">
        <v>49560.365456733489</v>
      </c>
      <c r="AN98">
        <v>49560.365456733489</v>
      </c>
      <c r="AO98">
        <v>49560.365456733489</v>
      </c>
      <c r="AP98">
        <v>49560.365456733489</v>
      </c>
      <c r="AQ98">
        <v>49560.365456733489</v>
      </c>
      <c r="AR98">
        <v>49560.365456733489</v>
      </c>
      <c r="AS98">
        <v>49560.365456733489</v>
      </c>
      <c r="AT98">
        <v>49560.365456733489</v>
      </c>
      <c r="AU98">
        <v>49560.365456733489</v>
      </c>
      <c r="AV98">
        <v>49560.365456733489</v>
      </c>
      <c r="AW98">
        <v>49560.365456733489</v>
      </c>
      <c r="AX98">
        <v>49560.365456733489</v>
      </c>
    </row>
    <row r="99" spans="1:50" x14ac:dyDescent="0.2">
      <c r="B99" s="123" t="s">
        <v>10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</row>
    <row r="100" spans="1:50" x14ac:dyDescent="0.2">
      <c r="B100" s="123" t="s">
        <v>12</v>
      </c>
      <c r="C100">
        <v>338571.70121030655</v>
      </c>
      <c r="D100">
        <v>338571.70121030655</v>
      </c>
      <c r="E100">
        <v>338571.70121030655</v>
      </c>
      <c r="F100">
        <v>338571.70121030655</v>
      </c>
      <c r="G100">
        <v>338571.70121030655</v>
      </c>
      <c r="H100">
        <v>338571.70121030655</v>
      </c>
      <c r="I100">
        <v>338571.70121030655</v>
      </c>
      <c r="J100">
        <v>338571.70121030655</v>
      </c>
      <c r="K100">
        <v>338571.70121030655</v>
      </c>
      <c r="L100">
        <v>338571.70121030655</v>
      </c>
      <c r="M100">
        <v>338571.70121030655</v>
      </c>
      <c r="N100">
        <v>338571.70121030655</v>
      </c>
      <c r="O100">
        <v>338571.70121030655</v>
      </c>
      <c r="P100">
        <v>338571.70121030655</v>
      </c>
      <c r="Q100">
        <v>338571.70121030655</v>
      </c>
      <c r="R100">
        <v>338571.70121030655</v>
      </c>
      <c r="S100">
        <v>338571.70121030655</v>
      </c>
      <c r="T100">
        <v>338571.70121030655</v>
      </c>
      <c r="U100">
        <v>338571.70121030655</v>
      </c>
      <c r="V100">
        <v>338571.70121030655</v>
      </c>
      <c r="W100">
        <v>338571.70121030655</v>
      </c>
      <c r="X100">
        <v>338571.70121030655</v>
      </c>
      <c r="Y100">
        <v>338571.70121030655</v>
      </c>
      <c r="Z100">
        <v>338571.70121030655</v>
      </c>
      <c r="AA100">
        <v>338571.70121030655</v>
      </c>
      <c r="AB100">
        <v>338571.70121030655</v>
      </c>
      <c r="AC100">
        <v>338571.70121030655</v>
      </c>
      <c r="AD100">
        <v>338571.70121030655</v>
      </c>
      <c r="AE100">
        <v>338571.70121030655</v>
      </c>
      <c r="AF100">
        <v>338571.70121030655</v>
      </c>
      <c r="AG100">
        <v>338571.70121030655</v>
      </c>
      <c r="AH100">
        <v>338571.70121030655</v>
      </c>
      <c r="AI100">
        <v>338571.70121030655</v>
      </c>
      <c r="AJ100">
        <v>338571.70121030655</v>
      </c>
      <c r="AK100">
        <v>338571.70121030655</v>
      </c>
      <c r="AL100">
        <v>338571.70121030655</v>
      </c>
      <c r="AM100">
        <v>338571.70121030655</v>
      </c>
      <c r="AN100">
        <v>338571.70121030655</v>
      </c>
      <c r="AO100">
        <v>338571.70121030655</v>
      </c>
      <c r="AP100">
        <v>338571.70121030655</v>
      </c>
      <c r="AQ100">
        <v>338571.70121030655</v>
      </c>
      <c r="AR100">
        <v>338571.70121030655</v>
      </c>
      <c r="AS100">
        <v>338571.70121030655</v>
      </c>
      <c r="AT100">
        <v>338571.70121030655</v>
      </c>
      <c r="AU100">
        <v>338571.70121030655</v>
      </c>
      <c r="AV100">
        <v>338571.70121030655</v>
      </c>
      <c r="AW100">
        <v>338571.70121030655</v>
      </c>
      <c r="AX100">
        <v>338571.70121030655</v>
      </c>
    </row>
    <row r="101" spans="1:50" x14ac:dyDescent="0.2">
      <c r="B101" s="123" t="s">
        <v>22</v>
      </c>
      <c r="C101">
        <v>556301.72135363659</v>
      </c>
      <c r="D101">
        <v>556301.72135363659</v>
      </c>
      <c r="E101">
        <v>556301.72135363659</v>
      </c>
      <c r="F101">
        <v>556301.72135363659</v>
      </c>
      <c r="G101">
        <v>556301.72135363659</v>
      </c>
      <c r="H101">
        <v>556301.72135363659</v>
      </c>
      <c r="I101">
        <v>556301.72135363659</v>
      </c>
      <c r="J101">
        <v>556301.72135363659</v>
      </c>
      <c r="K101">
        <v>556301.72135363659</v>
      </c>
      <c r="L101">
        <v>556301.72135363659</v>
      </c>
      <c r="M101">
        <v>556301.72135363659</v>
      </c>
      <c r="N101">
        <v>556301.72135363659</v>
      </c>
      <c r="O101">
        <v>556301.72135363659</v>
      </c>
      <c r="P101">
        <v>556301.72135363659</v>
      </c>
      <c r="Q101">
        <v>556301.72135363659</v>
      </c>
      <c r="R101">
        <v>556301.72135363659</v>
      </c>
      <c r="S101">
        <v>556301.72135363659</v>
      </c>
      <c r="T101">
        <v>556301.72135363659</v>
      </c>
      <c r="U101">
        <v>556301.72135363659</v>
      </c>
      <c r="V101">
        <v>556301.72135363659</v>
      </c>
      <c r="W101">
        <v>556301.72135363659</v>
      </c>
      <c r="X101">
        <v>556301.72135363659</v>
      </c>
      <c r="Y101">
        <v>556301.72135363659</v>
      </c>
      <c r="Z101">
        <v>556301.72135363659</v>
      </c>
      <c r="AA101">
        <v>556301.72135363659</v>
      </c>
      <c r="AB101">
        <v>556301.72135363659</v>
      </c>
      <c r="AC101">
        <v>556301.72135363659</v>
      </c>
      <c r="AD101">
        <v>556301.72135363659</v>
      </c>
      <c r="AE101">
        <v>556301.72135363659</v>
      </c>
      <c r="AF101">
        <v>556301.72135363659</v>
      </c>
      <c r="AG101">
        <v>556301.72135363659</v>
      </c>
      <c r="AH101">
        <v>556301.72135363659</v>
      </c>
      <c r="AI101">
        <v>556301.72135363659</v>
      </c>
      <c r="AJ101">
        <v>556301.72135363659</v>
      </c>
      <c r="AK101">
        <v>556301.72135363659</v>
      </c>
      <c r="AL101">
        <v>556301.72135363659</v>
      </c>
      <c r="AM101">
        <v>556301.72135363659</v>
      </c>
      <c r="AN101">
        <v>556301.72135363659</v>
      </c>
      <c r="AO101">
        <v>556301.72135363659</v>
      </c>
      <c r="AP101">
        <v>556301.72135363659</v>
      </c>
      <c r="AQ101">
        <v>556301.72135363659</v>
      </c>
      <c r="AR101">
        <v>556301.72135363659</v>
      </c>
      <c r="AS101">
        <v>556301.72135363659</v>
      </c>
      <c r="AT101">
        <v>556301.72135363659</v>
      </c>
      <c r="AU101">
        <v>556301.72135363659</v>
      </c>
      <c r="AV101">
        <v>556301.72135363659</v>
      </c>
      <c r="AW101">
        <v>556301.72135363659</v>
      </c>
      <c r="AX101">
        <v>556301.72135363659</v>
      </c>
    </row>
    <row r="102" spans="1:50" x14ac:dyDescent="0.2">
      <c r="B102" s="123" t="s">
        <v>59</v>
      </c>
      <c r="C102">
        <v>1204555.8232814763</v>
      </c>
      <c r="D102">
        <v>1204555.8232814763</v>
      </c>
      <c r="E102">
        <v>1204555.8232814763</v>
      </c>
      <c r="F102">
        <v>1204555.8232814763</v>
      </c>
      <c r="G102">
        <v>1204555.8232814763</v>
      </c>
      <c r="H102">
        <v>1204555.8232814763</v>
      </c>
      <c r="I102">
        <v>1204555.8232814763</v>
      </c>
      <c r="J102">
        <v>1204555.8232814763</v>
      </c>
      <c r="K102">
        <v>1204555.8232814763</v>
      </c>
      <c r="L102">
        <v>1204555.8232814763</v>
      </c>
      <c r="M102">
        <v>1204555.8232814763</v>
      </c>
      <c r="N102">
        <v>1204555.8232814763</v>
      </c>
      <c r="O102">
        <v>1204555.8232814763</v>
      </c>
      <c r="P102">
        <v>1204555.8232814763</v>
      </c>
      <c r="Q102">
        <v>1204555.8232814763</v>
      </c>
      <c r="R102">
        <v>1204555.8232814763</v>
      </c>
      <c r="S102">
        <v>1204555.8232814763</v>
      </c>
      <c r="T102">
        <v>1204555.8232814763</v>
      </c>
      <c r="U102">
        <v>1204555.8232814763</v>
      </c>
      <c r="V102">
        <v>1204555.8232814763</v>
      </c>
      <c r="W102">
        <v>1204555.8232814763</v>
      </c>
      <c r="X102">
        <v>1204555.8232814763</v>
      </c>
      <c r="Y102">
        <v>1204555.8232814763</v>
      </c>
      <c r="Z102">
        <v>1204555.8232814763</v>
      </c>
      <c r="AA102">
        <v>1204555.8232814763</v>
      </c>
      <c r="AB102">
        <v>1204555.8232814763</v>
      </c>
      <c r="AC102">
        <v>1204555.8232814763</v>
      </c>
      <c r="AD102">
        <v>1204555.8232814763</v>
      </c>
      <c r="AE102">
        <v>1204555.8232814763</v>
      </c>
      <c r="AF102">
        <v>1204555.8232814763</v>
      </c>
      <c r="AG102">
        <v>1204555.8232814763</v>
      </c>
      <c r="AH102">
        <v>1204555.8232814763</v>
      </c>
      <c r="AI102">
        <v>1204555.8232814763</v>
      </c>
      <c r="AJ102">
        <v>1204555.8232814763</v>
      </c>
      <c r="AK102">
        <v>1204555.8232814763</v>
      </c>
      <c r="AL102">
        <v>1204555.8232814763</v>
      </c>
      <c r="AM102">
        <v>1204555.8232814763</v>
      </c>
      <c r="AN102">
        <v>1204555.8232814763</v>
      </c>
      <c r="AO102">
        <v>1204555.8232814763</v>
      </c>
      <c r="AP102">
        <v>1204555.8232814763</v>
      </c>
      <c r="AQ102">
        <v>1204555.8232814763</v>
      </c>
      <c r="AR102">
        <v>1204555.8232814763</v>
      </c>
      <c r="AS102">
        <v>1204555.8232814763</v>
      </c>
      <c r="AT102">
        <v>1204555.8232814763</v>
      </c>
      <c r="AU102">
        <v>1204555.8232814763</v>
      </c>
      <c r="AV102">
        <v>1204555.8232814763</v>
      </c>
      <c r="AW102">
        <v>1204555.8232814763</v>
      </c>
      <c r="AX102">
        <v>1204555.8232814763</v>
      </c>
    </row>
    <row r="103" spans="1:50" x14ac:dyDescent="0.2">
      <c r="B103" t="s">
        <v>278</v>
      </c>
      <c r="C103" s="123">
        <f>SUM(C$98:C$102)</f>
        <v>2148989.6113021532</v>
      </c>
      <c r="D103" s="123">
        <f t="shared" ref="D103:AX103" si="5">SUM(D$98:D$102)</f>
        <v>2148989.6113021532</v>
      </c>
      <c r="E103" s="123">
        <f t="shared" si="5"/>
        <v>2148989.6113021532</v>
      </c>
      <c r="F103" s="123">
        <f t="shared" si="5"/>
        <v>2148989.6113021532</v>
      </c>
      <c r="G103" s="123">
        <f t="shared" si="5"/>
        <v>2148989.6113021532</v>
      </c>
      <c r="H103" s="123">
        <f t="shared" si="5"/>
        <v>2148989.6113021532</v>
      </c>
      <c r="I103" s="123">
        <f t="shared" si="5"/>
        <v>2148989.6113021532</v>
      </c>
      <c r="J103" s="123">
        <f t="shared" si="5"/>
        <v>2148989.6113021532</v>
      </c>
      <c r="K103" s="123">
        <f t="shared" si="5"/>
        <v>2148989.6113021532</v>
      </c>
      <c r="L103" s="123">
        <f t="shared" si="5"/>
        <v>2148989.6113021532</v>
      </c>
      <c r="M103" s="123">
        <f t="shared" si="5"/>
        <v>2148989.6113021532</v>
      </c>
      <c r="N103" s="123">
        <f t="shared" si="5"/>
        <v>2148989.6113021532</v>
      </c>
      <c r="O103" s="123">
        <f t="shared" si="5"/>
        <v>2148989.6113021532</v>
      </c>
      <c r="P103" s="123">
        <f t="shared" si="5"/>
        <v>2148989.6113021532</v>
      </c>
      <c r="Q103" s="123">
        <f t="shared" si="5"/>
        <v>2148989.6113021532</v>
      </c>
      <c r="R103" s="123">
        <f t="shared" si="5"/>
        <v>2148989.6113021532</v>
      </c>
      <c r="S103" s="123">
        <f t="shared" si="5"/>
        <v>2148989.6113021532</v>
      </c>
      <c r="T103" s="123">
        <f t="shared" si="5"/>
        <v>2148989.6113021532</v>
      </c>
      <c r="U103" s="123">
        <f t="shared" si="5"/>
        <v>2148989.6113021532</v>
      </c>
      <c r="V103" s="123">
        <f t="shared" si="5"/>
        <v>2148989.6113021532</v>
      </c>
      <c r="W103" s="123">
        <f t="shared" si="5"/>
        <v>2148989.6113021532</v>
      </c>
      <c r="X103" s="123">
        <f t="shared" si="5"/>
        <v>2148989.6113021532</v>
      </c>
      <c r="Y103" s="123">
        <f t="shared" si="5"/>
        <v>2148989.6113021532</v>
      </c>
      <c r="Z103" s="123">
        <f t="shared" si="5"/>
        <v>2148989.6113021532</v>
      </c>
      <c r="AA103" s="123">
        <f t="shared" si="5"/>
        <v>2148989.6113021532</v>
      </c>
      <c r="AB103" s="123">
        <f t="shared" si="5"/>
        <v>2148989.6113021532</v>
      </c>
      <c r="AC103" s="123">
        <f t="shared" si="5"/>
        <v>2148989.6113021532</v>
      </c>
      <c r="AD103" s="123">
        <f t="shared" si="5"/>
        <v>2148989.6113021532</v>
      </c>
      <c r="AE103" s="123">
        <f t="shared" si="5"/>
        <v>2148989.6113021532</v>
      </c>
      <c r="AF103" s="123">
        <f t="shared" si="5"/>
        <v>2148989.6113021532</v>
      </c>
      <c r="AG103" s="123">
        <f t="shared" si="5"/>
        <v>2148989.6113021532</v>
      </c>
      <c r="AH103" s="123">
        <f t="shared" si="5"/>
        <v>2148989.6113021532</v>
      </c>
      <c r="AI103" s="123">
        <f t="shared" si="5"/>
        <v>2148989.6113021532</v>
      </c>
      <c r="AJ103" s="123">
        <f t="shared" si="5"/>
        <v>2148989.6113021532</v>
      </c>
      <c r="AK103" s="123">
        <f t="shared" si="5"/>
        <v>2148989.6113021532</v>
      </c>
      <c r="AL103" s="123">
        <f t="shared" si="5"/>
        <v>2148989.6113021532</v>
      </c>
      <c r="AM103" s="123">
        <f t="shared" si="5"/>
        <v>2148989.6113021532</v>
      </c>
      <c r="AN103" s="123">
        <f t="shared" si="5"/>
        <v>2148989.6113021532</v>
      </c>
      <c r="AO103" s="123">
        <f t="shared" si="5"/>
        <v>2148989.6113021532</v>
      </c>
      <c r="AP103" s="123">
        <f t="shared" si="5"/>
        <v>2148989.6113021532</v>
      </c>
      <c r="AQ103" s="123">
        <f t="shared" si="5"/>
        <v>2148989.6113021532</v>
      </c>
      <c r="AR103" s="123">
        <f t="shared" si="5"/>
        <v>2148989.6113021532</v>
      </c>
      <c r="AS103" s="123">
        <f t="shared" si="5"/>
        <v>2148989.6113021532</v>
      </c>
      <c r="AT103" s="123">
        <f t="shared" si="5"/>
        <v>2148989.6113021532</v>
      </c>
      <c r="AU103" s="123">
        <f t="shared" si="5"/>
        <v>2148989.6113021532</v>
      </c>
      <c r="AV103" s="123">
        <f t="shared" si="5"/>
        <v>2148989.6113021532</v>
      </c>
      <c r="AW103" s="123">
        <f t="shared" si="5"/>
        <v>2148989.6113021532</v>
      </c>
      <c r="AX103" s="123">
        <f t="shared" si="5"/>
        <v>2148989.6113021532</v>
      </c>
    </row>
    <row r="104" spans="1:50" x14ac:dyDescent="0.2">
      <c r="A104" s="123" t="s">
        <v>105</v>
      </c>
      <c r="B104" s="123" t="s">
        <v>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</row>
    <row r="105" spans="1:50" x14ac:dyDescent="0.2">
      <c r="B105" s="123" t="s">
        <v>10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</row>
    <row r="106" spans="1:50" x14ac:dyDescent="0.2">
      <c r="B106" s="123" t="s">
        <v>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</row>
    <row r="107" spans="1:50" x14ac:dyDescent="0.2">
      <c r="B107" s="123" t="s">
        <v>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</row>
    <row r="108" spans="1:50" x14ac:dyDescent="0.2">
      <c r="B108" s="123" t="s">
        <v>59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</row>
    <row r="109" spans="1:50" x14ac:dyDescent="0.2">
      <c r="B109" s="120" t="s">
        <v>278</v>
      </c>
      <c r="C109" s="123">
        <f>SUM(C$104:C$108)</f>
        <v>0</v>
      </c>
      <c r="D109" s="123">
        <f t="shared" ref="D109:AX109" si="6">SUM(D$104:D$108)</f>
        <v>0</v>
      </c>
      <c r="E109" s="123">
        <f t="shared" si="6"/>
        <v>0</v>
      </c>
      <c r="F109" s="123">
        <f t="shared" si="6"/>
        <v>0</v>
      </c>
      <c r="G109" s="123">
        <f t="shared" si="6"/>
        <v>0</v>
      </c>
      <c r="H109" s="123">
        <f t="shared" si="6"/>
        <v>0</v>
      </c>
      <c r="I109" s="123">
        <f t="shared" si="6"/>
        <v>0</v>
      </c>
      <c r="J109" s="123">
        <f t="shared" si="6"/>
        <v>0</v>
      </c>
      <c r="K109" s="123">
        <f t="shared" si="6"/>
        <v>0</v>
      </c>
      <c r="L109" s="123">
        <f t="shared" si="6"/>
        <v>0</v>
      </c>
      <c r="M109" s="123">
        <f t="shared" si="6"/>
        <v>0</v>
      </c>
      <c r="N109" s="123">
        <f t="shared" si="6"/>
        <v>0</v>
      </c>
      <c r="O109" s="123">
        <f t="shared" si="6"/>
        <v>0</v>
      </c>
      <c r="P109" s="123">
        <f t="shared" si="6"/>
        <v>0</v>
      </c>
      <c r="Q109" s="123">
        <f t="shared" si="6"/>
        <v>0</v>
      </c>
      <c r="R109" s="123">
        <f t="shared" si="6"/>
        <v>0</v>
      </c>
      <c r="S109" s="123">
        <f t="shared" si="6"/>
        <v>0</v>
      </c>
      <c r="T109" s="123">
        <f t="shared" si="6"/>
        <v>0</v>
      </c>
      <c r="U109" s="123">
        <f t="shared" si="6"/>
        <v>0</v>
      </c>
      <c r="V109" s="123">
        <f t="shared" si="6"/>
        <v>0</v>
      </c>
      <c r="W109" s="123">
        <f t="shared" si="6"/>
        <v>0</v>
      </c>
      <c r="X109" s="123">
        <f t="shared" si="6"/>
        <v>0</v>
      </c>
      <c r="Y109" s="123">
        <f t="shared" si="6"/>
        <v>0</v>
      </c>
      <c r="Z109" s="123">
        <f t="shared" si="6"/>
        <v>0</v>
      </c>
      <c r="AA109" s="123">
        <f t="shared" si="6"/>
        <v>0</v>
      </c>
      <c r="AB109" s="123">
        <f t="shared" si="6"/>
        <v>0</v>
      </c>
      <c r="AC109" s="123">
        <f t="shared" si="6"/>
        <v>0</v>
      </c>
      <c r="AD109" s="123">
        <f t="shared" si="6"/>
        <v>0</v>
      </c>
      <c r="AE109" s="123">
        <f t="shared" si="6"/>
        <v>0</v>
      </c>
      <c r="AF109" s="123">
        <f t="shared" si="6"/>
        <v>0</v>
      </c>
      <c r="AG109" s="123">
        <f t="shared" si="6"/>
        <v>0</v>
      </c>
      <c r="AH109" s="123">
        <f t="shared" si="6"/>
        <v>0</v>
      </c>
      <c r="AI109" s="123">
        <f t="shared" si="6"/>
        <v>0</v>
      </c>
      <c r="AJ109" s="123">
        <f t="shared" si="6"/>
        <v>0</v>
      </c>
      <c r="AK109" s="123">
        <f t="shared" si="6"/>
        <v>0</v>
      </c>
      <c r="AL109" s="123">
        <f t="shared" si="6"/>
        <v>0</v>
      </c>
      <c r="AM109" s="123">
        <f t="shared" si="6"/>
        <v>0</v>
      </c>
      <c r="AN109" s="123">
        <f t="shared" si="6"/>
        <v>0</v>
      </c>
      <c r="AO109" s="123">
        <f t="shared" si="6"/>
        <v>0</v>
      </c>
      <c r="AP109" s="123">
        <f t="shared" si="6"/>
        <v>0</v>
      </c>
      <c r="AQ109" s="123">
        <f t="shared" si="6"/>
        <v>0</v>
      </c>
      <c r="AR109" s="123">
        <f t="shared" si="6"/>
        <v>0</v>
      </c>
      <c r="AS109" s="123">
        <f t="shared" si="6"/>
        <v>0</v>
      </c>
      <c r="AT109" s="123">
        <f t="shared" si="6"/>
        <v>0</v>
      </c>
      <c r="AU109" s="123">
        <f t="shared" si="6"/>
        <v>0</v>
      </c>
      <c r="AV109" s="123">
        <f t="shared" si="6"/>
        <v>0</v>
      </c>
      <c r="AW109" s="123">
        <f t="shared" si="6"/>
        <v>0</v>
      </c>
      <c r="AX109" s="123">
        <f t="shared" si="6"/>
        <v>0</v>
      </c>
    </row>
    <row r="110" spans="1:50" x14ac:dyDescent="0.2">
      <c r="A110" s="123" t="s">
        <v>106</v>
      </c>
      <c r="B110" s="123" t="s">
        <v>5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</row>
    <row r="111" spans="1:50" x14ac:dyDescent="0.2">
      <c r="B111" s="123" t="s">
        <v>10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</row>
    <row r="112" spans="1:50" x14ac:dyDescent="0.2">
      <c r="B112" s="123" t="s">
        <v>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</row>
    <row r="113" spans="1:50" x14ac:dyDescent="0.2">
      <c r="B113" s="123" t="s">
        <v>22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</row>
    <row r="114" spans="1:50" x14ac:dyDescent="0.2">
      <c r="B114" s="123" t="s">
        <v>59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</row>
    <row r="115" spans="1:50" x14ac:dyDescent="0.2">
      <c r="B115" t="s">
        <v>278</v>
      </c>
      <c r="C115" s="123">
        <f>SUM(C$110:C$114)</f>
        <v>0</v>
      </c>
      <c r="D115" s="123">
        <f t="shared" ref="D115:AX115" si="7">SUM(D$110:D$114)</f>
        <v>0</v>
      </c>
      <c r="E115" s="123">
        <f t="shared" si="7"/>
        <v>0</v>
      </c>
      <c r="F115" s="123">
        <f t="shared" si="7"/>
        <v>0</v>
      </c>
      <c r="G115" s="123">
        <f t="shared" si="7"/>
        <v>0</v>
      </c>
      <c r="H115" s="123">
        <f t="shared" si="7"/>
        <v>0</v>
      </c>
      <c r="I115" s="123">
        <f t="shared" si="7"/>
        <v>0</v>
      </c>
      <c r="J115" s="123">
        <f t="shared" si="7"/>
        <v>0</v>
      </c>
      <c r="K115" s="123">
        <f t="shared" si="7"/>
        <v>0</v>
      </c>
      <c r="L115" s="123">
        <f t="shared" si="7"/>
        <v>0</v>
      </c>
      <c r="M115" s="123">
        <f t="shared" si="7"/>
        <v>0</v>
      </c>
      <c r="N115" s="123">
        <f t="shared" si="7"/>
        <v>0</v>
      </c>
      <c r="O115" s="123">
        <f t="shared" si="7"/>
        <v>0</v>
      </c>
      <c r="P115" s="123">
        <f t="shared" si="7"/>
        <v>0</v>
      </c>
      <c r="Q115" s="123">
        <f t="shared" si="7"/>
        <v>0</v>
      </c>
      <c r="R115" s="123">
        <f t="shared" si="7"/>
        <v>0</v>
      </c>
      <c r="S115" s="123">
        <f t="shared" si="7"/>
        <v>0</v>
      </c>
      <c r="T115" s="123">
        <f t="shared" si="7"/>
        <v>0</v>
      </c>
      <c r="U115" s="123">
        <f t="shared" si="7"/>
        <v>0</v>
      </c>
      <c r="V115" s="123">
        <f t="shared" si="7"/>
        <v>0</v>
      </c>
      <c r="W115" s="123">
        <f t="shared" si="7"/>
        <v>0</v>
      </c>
      <c r="X115" s="123">
        <f t="shared" si="7"/>
        <v>0</v>
      </c>
      <c r="Y115" s="123">
        <f t="shared" si="7"/>
        <v>0</v>
      </c>
      <c r="Z115" s="123">
        <f t="shared" si="7"/>
        <v>0</v>
      </c>
      <c r="AA115" s="123">
        <f t="shared" si="7"/>
        <v>0</v>
      </c>
      <c r="AB115" s="123">
        <f t="shared" si="7"/>
        <v>0</v>
      </c>
      <c r="AC115" s="123">
        <f t="shared" si="7"/>
        <v>0</v>
      </c>
      <c r="AD115" s="123">
        <f t="shared" si="7"/>
        <v>0</v>
      </c>
      <c r="AE115" s="123">
        <f t="shared" si="7"/>
        <v>0</v>
      </c>
      <c r="AF115" s="123">
        <f t="shared" si="7"/>
        <v>0</v>
      </c>
      <c r="AG115" s="123">
        <f t="shared" si="7"/>
        <v>0</v>
      </c>
      <c r="AH115" s="123">
        <f t="shared" si="7"/>
        <v>0</v>
      </c>
      <c r="AI115" s="123">
        <f t="shared" si="7"/>
        <v>0</v>
      </c>
      <c r="AJ115" s="123">
        <f t="shared" si="7"/>
        <v>0</v>
      </c>
      <c r="AK115" s="123">
        <f t="shared" si="7"/>
        <v>0</v>
      </c>
      <c r="AL115" s="123">
        <f t="shared" si="7"/>
        <v>0</v>
      </c>
      <c r="AM115" s="123">
        <f t="shared" si="7"/>
        <v>0</v>
      </c>
      <c r="AN115" s="123">
        <f t="shared" si="7"/>
        <v>0</v>
      </c>
      <c r="AO115" s="123">
        <f t="shared" si="7"/>
        <v>0</v>
      </c>
      <c r="AP115" s="123">
        <f t="shared" si="7"/>
        <v>0</v>
      </c>
      <c r="AQ115" s="123">
        <f t="shared" si="7"/>
        <v>0</v>
      </c>
      <c r="AR115" s="123">
        <f t="shared" si="7"/>
        <v>0</v>
      </c>
      <c r="AS115" s="123">
        <f t="shared" si="7"/>
        <v>0</v>
      </c>
      <c r="AT115" s="123">
        <f t="shared" si="7"/>
        <v>0</v>
      </c>
      <c r="AU115" s="123">
        <f t="shared" si="7"/>
        <v>0</v>
      </c>
      <c r="AV115" s="123">
        <f t="shared" si="7"/>
        <v>0</v>
      </c>
      <c r="AW115" s="123">
        <f t="shared" si="7"/>
        <v>0</v>
      </c>
      <c r="AX115" s="123">
        <f t="shared" si="7"/>
        <v>0</v>
      </c>
    </row>
    <row r="116" spans="1:50" x14ac:dyDescent="0.2">
      <c r="A116" s="123" t="s">
        <v>107</v>
      </c>
      <c r="B116" s="123" t="s">
        <v>5</v>
      </c>
      <c r="C116">
        <v>153522.41186045465</v>
      </c>
      <c r="D116">
        <v>1538588.9556271213</v>
      </c>
      <c r="E116">
        <v>1541953.9716672434</v>
      </c>
      <c r="F116">
        <v>1545318.627049102</v>
      </c>
      <c r="G116">
        <v>1548682.3819161633</v>
      </c>
      <c r="H116">
        <v>1552044.6963258625</v>
      </c>
      <c r="I116">
        <v>1555405.0303443705</v>
      </c>
      <c r="J116">
        <v>1558762.8441414076</v>
      </c>
      <c r="K116">
        <v>624847.03923403868</v>
      </c>
      <c r="L116">
        <v>1565468.752836836</v>
      </c>
      <c r="M116">
        <v>1568815.7694461718</v>
      </c>
      <c r="N116">
        <v>1572158.1094456597</v>
      </c>
      <c r="O116">
        <v>1575495.2349456933</v>
      </c>
      <c r="P116">
        <v>1578826.6087292866</v>
      </c>
      <c r="Q116">
        <v>1582151.6943467881</v>
      </c>
      <c r="R116">
        <v>1585469.956210518</v>
      </c>
      <c r="S116">
        <v>1588780.8596893062</v>
      </c>
      <c r="T116">
        <v>1592083.8712029108</v>
      </c>
      <c r="U116">
        <v>1595378.4583163087</v>
      </c>
      <c r="V116">
        <v>1598664.0898338386</v>
      </c>
      <c r="W116">
        <v>1121358.1651252229</v>
      </c>
      <c r="X116">
        <v>1605206.3680591239</v>
      </c>
      <c r="Y116">
        <v>1608461.9594172093</v>
      </c>
      <c r="Z116">
        <v>1611706.4846670625</v>
      </c>
      <c r="AA116">
        <v>1614939.4202155594</v>
      </c>
      <c r="AB116">
        <v>1618160.2442697235</v>
      </c>
      <c r="AC116">
        <v>1621368.4369293507</v>
      </c>
      <c r="AD116">
        <v>1624563.480279363</v>
      </c>
      <c r="AE116">
        <v>162774.48584818566</v>
      </c>
      <c r="AF116">
        <v>1630912.0578678355</v>
      </c>
      <c r="AG116">
        <v>1634064.5670286131</v>
      </c>
      <c r="AH116">
        <v>1637201.8769068681</v>
      </c>
      <c r="AI116">
        <v>1640323.4808873304</v>
      </c>
      <c r="AJ116">
        <v>1643428.8748870925</v>
      </c>
      <c r="AK116">
        <v>1646517.5574455166</v>
      </c>
      <c r="AL116">
        <v>1649589.0298137327</v>
      </c>
      <c r="AM116">
        <v>1652642.7960437052</v>
      </c>
      <c r="AN116">
        <v>1655678.3630768533</v>
      </c>
      <c r="AO116">
        <v>1658695.240832211</v>
      </c>
      <c r="AP116">
        <v>1661692.9422941064</v>
      </c>
      <c r="AQ116">
        <v>1165269.6885195461</v>
      </c>
      <c r="AR116">
        <v>1667628.8841239156</v>
      </c>
      <c r="AS116">
        <v>1670566.1665690823</v>
      </c>
      <c r="AT116">
        <v>1673482.3570470554</v>
      </c>
      <c r="AU116">
        <v>1676376.9851660188</v>
      </c>
      <c r="AV116">
        <v>1175474.7088802292</v>
      </c>
      <c r="AW116">
        <v>1177469.783522086</v>
      </c>
      <c r="AX116">
        <v>1684926.8456603331</v>
      </c>
    </row>
    <row r="117" spans="1:50" x14ac:dyDescent="0.2">
      <c r="B117" s="123" t="s">
        <v>10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</row>
    <row r="118" spans="1:50" x14ac:dyDescent="0.2">
      <c r="B118" s="123" t="s">
        <v>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</row>
    <row r="119" spans="1:50" x14ac:dyDescent="0.2">
      <c r="B119" s="123" t="s">
        <v>22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</row>
    <row r="120" spans="1:50" x14ac:dyDescent="0.2">
      <c r="B120" s="123" t="s">
        <v>59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</row>
    <row r="121" spans="1:50" x14ac:dyDescent="0.2">
      <c r="B121" t="s">
        <v>278</v>
      </c>
      <c r="C121" s="123">
        <f>SUM(C$116:C$120)</f>
        <v>153522.41186045465</v>
      </c>
      <c r="D121" s="123">
        <f t="shared" ref="D121:AX121" si="8">SUM(D$116:D$120)</f>
        <v>1538588.9556271213</v>
      </c>
      <c r="E121" s="123">
        <f t="shared" si="8"/>
        <v>1541953.9716672434</v>
      </c>
      <c r="F121" s="123">
        <f t="shared" si="8"/>
        <v>1545318.627049102</v>
      </c>
      <c r="G121" s="123">
        <f t="shared" si="8"/>
        <v>1548682.3819161633</v>
      </c>
      <c r="H121" s="123">
        <f t="shared" si="8"/>
        <v>1552044.6963258625</v>
      </c>
      <c r="I121" s="123">
        <f t="shared" si="8"/>
        <v>1555405.0303443705</v>
      </c>
      <c r="J121" s="123">
        <f t="shared" si="8"/>
        <v>1558762.8441414076</v>
      </c>
      <c r="K121" s="123">
        <f t="shared" si="8"/>
        <v>624847.03923403868</v>
      </c>
      <c r="L121" s="123">
        <f t="shared" si="8"/>
        <v>1565468.752836836</v>
      </c>
      <c r="M121" s="123">
        <f t="shared" si="8"/>
        <v>1568815.7694461718</v>
      </c>
      <c r="N121" s="123">
        <f t="shared" si="8"/>
        <v>1572158.1094456597</v>
      </c>
      <c r="O121" s="123">
        <f t="shared" si="8"/>
        <v>1575495.2349456933</v>
      </c>
      <c r="P121" s="123">
        <f t="shared" si="8"/>
        <v>1578826.6087292866</v>
      </c>
      <c r="Q121" s="123">
        <f t="shared" si="8"/>
        <v>1582151.6943467881</v>
      </c>
      <c r="R121" s="123">
        <f t="shared" si="8"/>
        <v>1585469.956210518</v>
      </c>
      <c r="S121" s="123">
        <f t="shared" si="8"/>
        <v>1588780.8596893062</v>
      </c>
      <c r="T121" s="123">
        <f t="shared" si="8"/>
        <v>1592083.8712029108</v>
      </c>
      <c r="U121" s="123">
        <f t="shared" si="8"/>
        <v>1595378.4583163087</v>
      </c>
      <c r="V121" s="123">
        <f t="shared" si="8"/>
        <v>1598664.0898338386</v>
      </c>
      <c r="W121" s="123">
        <f t="shared" si="8"/>
        <v>1121358.1651252229</v>
      </c>
      <c r="X121" s="123">
        <f t="shared" si="8"/>
        <v>1605206.3680591239</v>
      </c>
      <c r="Y121" s="123">
        <f t="shared" si="8"/>
        <v>1608461.9594172093</v>
      </c>
      <c r="Z121" s="123">
        <f t="shared" si="8"/>
        <v>1611706.4846670625</v>
      </c>
      <c r="AA121" s="123">
        <f t="shared" si="8"/>
        <v>1614939.4202155594</v>
      </c>
      <c r="AB121" s="123">
        <f t="shared" si="8"/>
        <v>1618160.2442697235</v>
      </c>
      <c r="AC121" s="123">
        <f t="shared" si="8"/>
        <v>1621368.4369293507</v>
      </c>
      <c r="AD121" s="123">
        <f t="shared" si="8"/>
        <v>1624563.480279363</v>
      </c>
      <c r="AE121" s="123">
        <f t="shared" si="8"/>
        <v>162774.48584818566</v>
      </c>
      <c r="AF121" s="123">
        <f t="shared" si="8"/>
        <v>1630912.0578678355</v>
      </c>
      <c r="AG121" s="123">
        <f t="shared" si="8"/>
        <v>1634064.5670286131</v>
      </c>
      <c r="AH121" s="123">
        <f t="shared" si="8"/>
        <v>1637201.8769068681</v>
      </c>
      <c r="AI121" s="123">
        <f t="shared" si="8"/>
        <v>1640323.4808873304</v>
      </c>
      <c r="AJ121" s="123">
        <f t="shared" si="8"/>
        <v>1643428.8748870925</v>
      </c>
      <c r="AK121" s="123">
        <f t="shared" si="8"/>
        <v>1646517.5574455166</v>
      </c>
      <c r="AL121" s="123">
        <f t="shared" si="8"/>
        <v>1649589.0298137327</v>
      </c>
      <c r="AM121" s="123">
        <f t="shared" si="8"/>
        <v>1652642.7960437052</v>
      </c>
      <c r="AN121" s="123">
        <f t="shared" si="8"/>
        <v>1655678.3630768533</v>
      </c>
      <c r="AO121" s="123">
        <f t="shared" si="8"/>
        <v>1658695.240832211</v>
      </c>
      <c r="AP121" s="123">
        <f t="shared" si="8"/>
        <v>1661692.9422941064</v>
      </c>
      <c r="AQ121" s="123">
        <f t="shared" si="8"/>
        <v>1165269.6885195461</v>
      </c>
      <c r="AR121" s="123">
        <f t="shared" si="8"/>
        <v>1667628.8841239156</v>
      </c>
      <c r="AS121" s="123">
        <f t="shared" si="8"/>
        <v>1670566.1665690823</v>
      </c>
      <c r="AT121" s="123">
        <f t="shared" si="8"/>
        <v>1673482.3570470554</v>
      </c>
      <c r="AU121" s="123">
        <f t="shared" si="8"/>
        <v>1676376.9851660188</v>
      </c>
      <c r="AV121" s="123">
        <f t="shared" si="8"/>
        <v>1175474.7088802292</v>
      </c>
      <c r="AW121" s="123">
        <f t="shared" si="8"/>
        <v>1177469.783522086</v>
      </c>
      <c r="AX121" s="123">
        <f t="shared" si="8"/>
        <v>1684926.8456603331</v>
      </c>
    </row>
    <row r="122" spans="1:50" x14ac:dyDescent="0.2">
      <c r="A122" s="123" t="s">
        <v>108</v>
      </c>
      <c r="B122" s="123" t="s">
        <v>5</v>
      </c>
      <c r="C122">
        <v>302540.29839948105</v>
      </c>
      <c r="D122">
        <v>302540.29839948105</v>
      </c>
      <c r="E122">
        <v>302540.29839948105</v>
      </c>
      <c r="F122">
        <v>302540.29839948105</v>
      </c>
      <c r="G122">
        <v>302540.29839948105</v>
      </c>
      <c r="H122">
        <v>302540.29839948105</v>
      </c>
      <c r="I122">
        <v>302540.29839948105</v>
      </c>
      <c r="J122">
        <v>302540.29839948105</v>
      </c>
      <c r="K122">
        <v>302540.29839948105</v>
      </c>
      <c r="L122">
        <v>302540.29839948105</v>
      </c>
      <c r="M122">
        <v>302540.29839948105</v>
      </c>
      <c r="N122">
        <v>302540.29839948105</v>
      </c>
      <c r="O122">
        <v>302540.29839948105</v>
      </c>
      <c r="P122">
        <v>302540.29839948105</v>
      </c>
      <c r="Q122">
        <v>302540.29839948105</v>
      </c>
      <c r="R122">
        <v>302540.29839948105</v>
      </c>
      <c r="S122">
        <v>302540.29839948105</v>
      </c>
      <c r="T122">
        <v>302540.29839948105</v>
      </c>
      <c r="U122">
        <v>302540.29839948105</v>
      </c>
      <c r="V122">
        <v>302540.29839948105</v>
      </c>
      <c r="W122">
        <v>302540.29839948105</v>
      </c>
      <c r="X122">
        <v>302540.29839948105</v>
      </c>
      <c r="Y122">
        <v>302540.29839948105</v>
      </c>
      <c r="Z122">
        <v>302540.29839948105</v>
      </c>
      <c r="AA122">
        <v>302540.29839948105</v>
      </c>
      <c r="AB122">
        <v>302540.29839948105</v>
      </c>
      <c r="AC122">
        <v>302540.29839948105</v>
      </c>
      <c r="AD122">
        <v>302540.29839948105</v>
      </c>
      <c r="AE122">
        <v>302540.29839948105</v>
      </c>
      <c r="AF122">
        <v>302540.29839948105</v>
      </c>
      <c r="AG122">
        <v>302540.29839948105</v>
      </c>
      <c r="AH122">
        <v>302540.29839948105</v>
      </c>
      <c r="AI122">
        <v>302540.29839948105</v>
      </c>
      <c r="AJ122">
        <v>302540.29839948105</v>
      </c>
      <c r="AK122">
        <v>302540.29839948105</v>
      </c>
      <c r="AL122">
        <v>302540.29839948105</v>
      </c>
      <c r="AM122">
        <v>302540.29839948105</v>
      </c>
      <c r="AN122">
        <v>302540.29839948105</v>
      </c>
      <c r="AO122">
        <v>302540.29839948105</v>
      </c>
      <c r="AP122">
        <v>302540.29839948105</v>
      </c>
      <c r="AQ122">
        <v>302540.29839948105</v>
      </c>
      <c r="AR122">
        <v>302540.29839948105</v>
      </c>
      <c r="AS122">
        <v>302540.29839948105</v>
      </c>
      <c r="AT122">
        <v>302540.29839948105</v>
      </c>
      <c r="AU122">
        <v>302540.29839948105</v>
      </c>
      <c r="AV122">
        <v>302540.29839948105</v>
      </c>
      <c r="AW122">
        <v>302540.29839948105</v>
      </c>
      <c r="AX122">
        <v>302540.29839948105</v>
      </c>
    </row>
    <row r="123" spans="1:50" x14ac:dyDescent="0.2">
      <c r="B123" s="123" t="s">
        <v>10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</row>
    <row r="124" spans="1:50" x14ac:dyDescent="0.2">
      <c r="B124" s="123" t="s">
        <v>12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</row>
    <row r="125" spans="1:50" x14ac:dyDescent="0.2">
      <c r="B125" s="123" t="s">
        <v>22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</row>
    <row r="126" spans="1:50" x14ac:dyDescent="0.2">
      <c r="B126" s="123" t="s">
        <v>59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</row>
    <row r="127" spans="1:50" x14ac:dyDescent="0.2">
      <c r="B127" t="s">
        <v>278</v>
      </c>
      <c r="C127" s="123">
        <f>SUM(C$122:C$126)</f>
        <v>302540.29839948105</v>
      </c>
      <c r="D127" s="123">
        <f t="shared" ref="D127:AX127" si="9">SUM(D$122:D$126)</f>
        <v>302540.29839948105</v>
      </c>
      <c r="E127" s="123">
        <f t="shared" si="9"/>
        <v>302540.29839948105</v>
      </c>
      <c r="F127" s="123">
        <f t="shared" si="9"/>
        <v>302540.29839948105</v>
      </c>
      <c r="G127" s="123">
        <f t="shared" si="9"/>
        <v>302540.29839948105</v>
      </c>
      <c r="H127" s="123">
        <f t="shared" si="9"/>
        <v>302540.29839948105</v>
      </c>
      <c r="I127" s="123">
        <f t="shared" si="9"/>
        <v>302540.29839948105</v>
      </c>
      <c r="J127" s="123">
        <f t="shared" si="9"/>
        <v>302540.29839948105</v>
      </c>
      <c r="K127" s="123">
        <f t="shared" si="9"/>
        <v>302540.29839948105</v>
      </c>
      <c r="L127" s="123">
        <f t="shared" si="9"/>
        <v>302540.29839948105</v>
      </c>
      <c r="M127" s="123">
        <f t="shared" si="9"/>
        <v>302540.29839948105</v>
      </c>
      <c r="N127" s="123">
        <f t="shared" si="9"/>
        <v>302540.29839948105</v>
      </c>
      <c r="O127" s="123">
        <f t="shared" si="9"/>
        <v>302540.29839948105</v>
      </c>
      <c r="P127" s="123">
        <f t="shared" si="9"/>
        <v>302540.29839948105</v>
      </c>
      <c r="Q127" s="123">
        <f t="shared" si="9"/>
        <v>302540.29839948105</v>
      </c>
      <c r="R127" s="123">
        <f t="shared" si="9"/>
        <v>302540.29839948105</v>
      </c>
      <c r="S127" s="123">
        <f t="shared" si="9"/>
        <v>302540.29839948105</v>
      </c>
      <c r="T127" s="123">
        <f t="shared" si="9"/>
        <v>302540.29839948105</v>
      </c>
      <c r="U127" s="123">
        <f t="shared" si="9"/>
        <v>302540.29839948105</v>
      </c>
      <c r="V127" s="123">
        <f t="shared" si="9"/>
        <v>302540.29839948105</v>
      </c>
      <c r="W127" s="123">
        <f t="shared" si="9"/>
        <v>302540.29839948105</v>
      </c>
      <c r="X127" s="123">
        <f t="shared" si="9"/>
        <v>302540.29839948105</v>
      </c>
      <c r="Y127" s="123">
        <f t="shared" si="9"/>
        <v>302540.29839948105</v>
      </c>
      <c r="Z127" s="123">
        <f t="shared" si="9"/>
        <v>302540.29839948105</v>
      </c>
      <c r="AA127" s="123">
        <f t="shared" si="9"/>
        <v>302540.29839948105</v>
      </c>
      <c r="AB127" s="123">
        <f t="shared" si="9"/>
        <v>302540.29839948105</v>
      </c>
      <c r="AC127" s="123">
        <f t="shared" si="9"/>
        <v>302540.29839948105</v>
      </c>
      <c r="AD127" s="123">
        <f t="shared" si="9"/>
        <v>302540.29839948105</v>
      </c>
      <c r="AE127" s="123">
        <f t="shared" si="9"/>
        <v>302540.29839948105</v>
      </c>
      <c r="AF127" s="123">
        <f t="shared" si="9"/>
        <v>302540.29839948105</v>
      </c>
      <c r="AG127" s="123">
        <f t="shared" si="9"/>
        <v>302540.29839948105</v>
      </c>
      <c r="AH127" s="123">
        <f t="shared" si="9"/>
        <v>302540.29839948105</v>
      </c>
      <c r="AI127" s="123">
        <f t="shared" si="9"/>
        <v>302540.29839948105</v>
      </c>
      <c r="AJ127" s="123">
        <f t="shared" si="9"/>
        <v>302540.29839948105</v>
      </c>
      <c r="AK127" s="123">
        <f t="shared" si="9"/>
        <v>302540.29839948105</v>
      </c>
      <c r="AL127" s="123">
        <f t="shared" si="9"/>
        <v>302540.29839948105</v>
      </c>
      <c r="AM127" s="123">
        <f t="shared" si="9"/>
        <v>302540.29839948105</v>
      </c>
      <c r="AN127" s="123">
        <f t="shared" si="9"/>
        <v>302540.29839948105</v>
      </c>
      <c r="AO127" s="123">
        <f t="shared" si="9"/>
        <v>302540.29839948105</v>
      </c>
      <c r="AP127" s="123">
        <f t="shared" si="9"/>
        <v>302540.29839948105</v>
      </c>
      <c r="AQ127" s="123">
        <f t="shared" si="9"/>
        <v>302540.29839948105</v>
      </c>
      <c r="AR127" s="123">
        <f t="shared" si="9"/>
        <v>302540.29839948105</v>
      </c>
      <c r="AS127" s="123">
        <f t="shared" si="9"/>
        <v>302540.29839948105</v>
      </c>
      <c r="AT127" s="123">
        <f t="shared" si="9"/>
        <v>302540.29839948105</v>
      </c>
      <c r="AU127" s="123">
        <f t="shared" si="9"/>
        <v>302540.29839948105</v>
      </c>
      <c r="AV127" s="123">
        <f t="shared" si="9"/>
        <v>302540.29839948105</v>
      </c>
      <c r="AW127" s="123">
        <f t="shared" si="9"/>
        <v>302540.29839948105</v>
      </c>
      <c r="AX127" s="123">
        <f t="shared" si="9"/>
        <v>302540.29839948105</v>
      </c>
    </row>
    <row r="128" spans="1:50" x14ac:dyDescent="0.2">
      <c r="A128" s="123" t="s">
        <v>109</v>
      </c>
      <c r="B128" s="123" t="s">
        <v>5</v>
      </c>
      <c r="C128">
        <v>276427.68079179985</v>
      </c>
      <c r="D128">
        <v>276427.68079179985</v>
      </c>
      <c r="E128">
        <v>276427.68079179985</v>
      </c>
      <c r="F128">
        <v>276427.68079179985</v>
      </c>
      <c r="G128">
        <v>276427.68079179985</v>
      </c>
      <c r="H128">
        <v>276427.68079179985</v>
      </c>
      <c r="I128">
        <v>276427.68079179985</v>
      </c>
      <c r="J128">
        <v>276427.68079179985</v>
      </c>
      <c r="K128">
        <v>276427.68079179985</v>
      </c>
      <c r="L128">
        <v>276427.68079179985</v>
      </c>
      <c r="M128">
        <v>276427.68079179985</v>
      </c>
      <c r="N128">
        <v>276427.68079179985</v>
      </c>
      <c r="O128">
        <v>276427.68079179985</v>
      </c>
      <c r="P128">
        <v>276427.68079179985</v>
      </c>
      <c r="Q128">
        <v>276427.68079179985</v>
      </c>
      <c r="R128">
        <v>276427.68079179985</v>
      </c>
      <c r="S128">
        <v>276427.68079179985</v>
      </c>
      <c r="T128">
        <v>276427.68079179985</v>
      </c>
      <c r="U128">
        <v>276427.68079179985</v>
      </c>
      <c r="V128">
        <v>276427.68079179985</v>
      </c>
      <c r="W128">
        <v>276427.68079179985</v>
      </c>
      <c r="X128">
        <v>276427.68079179985</v>
      </c>
      <c r="Y128">
        <v>276427.68079179985</v>
      </c>
      <c r="Z128">
        <v>276427.68079179985</v>
      </c>
      <c r="AA128">
        <v>276427.68079179985</v>
      </c>
      <c r="AB128">
        <v>276427.68079179985</v>
      </c>
      <c r="AC128">
        <v>276427.68079179985</v>
      </c>
      <c r="AD128">
        <v>276427.68079179985</v>
      </c>
      <c r="AE128">
        <v>276427.68079179985</v>
      </c>
      <c r="AF128">
        <v>276427.68079179985</v>
      </c>
      <c r="AG128">
        <v>276427.68079179985</v>
      </c>
      <c r="AH128">
        <v>276427.68079179985</v>
      </c>
      <c r="AI128">
        <v>276427.68079179985</v>
      </c>
      <c r="AJ128">
        <v>276427.68079179985</v>
      </c>
      <c r="AK128">
        <v>276427.68079179985</v>
      </c>
      <c r="AL128">
        <v>276427.68079179985</v>
      </c>
      <c r="AM128">
        <v>276427.68079179985</v>
      </c>
      <c r="AN128">
        <v>276427.68079179985</v>
      </c>
      <c r="AO128">
        <v>276427.68079179985</v>
      </c>
      <c r="AP128">
        <v>276427.68079179985</v>
      </c>
      <c r="AQ128">
        <v>276427.68079179985</v>
      </c>
      <c r="AR128">
        <v>276427.68079179985</v>
      </c>
      <c r="AS128">
        <v>276427.68079179985</v>
      </c>
      <c r="AT128">
        <v>276427.68079179985</v>
      </c>
      <c r="AU128">
        <v>276427.68079179985</v>
      </c>
      <c r="AV128">
        <v>276427.68079179985</v>
      </c>
      <c r="AW128">
        <v>276427.68079179985</v>
      </c>
      <c r="AX128">
        <v>276427.68079179985</v>
      </c>
    </row>
    <row r="129" spans="2:50" x14ac:dyDescent="0.2">
      <c r="B129" s="123" t="s">
        <v>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</row>
    <row r="130" spans="2:50" x14ac:dyDescent="0.2">
      <c r="B130" s="123" t="s">
        <v>12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</row>
    <row r="131" spans="2:50" x14ac:dyDescent="0.2">
      <c r="B131" s="123" t="s">
        <v>22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</row>
    <row r="132" spans="2:50" x14ac:dyDescent="0.2">
      <c r="B132" s="123" t="s">
        <v>59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</row>
    <row r="133" spans="2:50" x14ac:dyDescent="0.2">
      <c r="B133" t="s">
        <v>278</v>
      </c>
      <c r="C133" s="123">
        <f>SUM(C$128:C$132)</f>
        <v>276427.68079179985</v>
      </c>
      <c r="D133" s="123">
        <f t="shared" ref="D133:AX133" si="10">SUM(D$128:D$132)</f>
        <v>276427.68079179985</v>
      </c>
      <c r="E133" s="123">
        <f t="shared" si="10"/>
        <v>276427.68079179985</v>
      </c>
      <c r="F133" s="123">
        <f t="shared" si="10"/>
        <v>276427.68079179985</v>
      </c>
      <c r="G133" s="123">
        <f t="shared" si="10"/>
        <v>276427.68079179985</v>
      </c>
      <c r="H133" s="123">
        <f t="shared" si="10"/>
        <v>276427.68079179985</v>
      </c>
      <c r="I133" s="123">
        <f t="shared" si="10"/>
        <v>276427.68079179985</v>
      </c>
      <c r="J133" s="123">
        <f t="shared" si="10"/>
        <v>276427.68079179985</v>
      </c>
      <c r="K133" s="123">
        <f t="shared" si="10"/>
        <v>276427.68079179985</v>
      </c>
      <c r="L133" s="123">
        <f t="shared" si="10"/>
        <v>276427.68079179985</v>
      </c>
      <c r="M133" s="123">
        <f t="shared" si="10"/>
        <v>276427.68079179985</v>
      </c>
      <c r="N133" s="123">
        <f t="shared" si="10"/>
        <v>276427.68079179985</v>
      </c>
      <c r="O133" s="123">
        <f t="shared" si="10"/>
        <v>276427.68079179985</v>
      </c>
      <c r="P133" s="123">
        <f t="shared" si="10"/>
        <v>276427.68079179985</v>
      </c>
      <c r="Q133" s="123">
        <f t="shared" si="10"/>
        <v>276427.68079179985</v>
      </c>
      <c r="R133" s="123">
        <f t="shared" si="10"/>
        <v>276427.68079179985</v>
      </c>
      <c r="S133" s="123">
        <f t="shared" si="10"/>
        <v>276427.68079179985</v>
      </c>
      <c r="T133" s="123">
        <f t="shared" si="10"/>
        <v>276427.68079179985</v>
      </c>
      <c r="U133" s="123">
        <f t="shared" si="10"/>
        <v>276427.68079179985</v>
      </c>
      <c r="V133" s="123">
        <f t="shared" si="10"/>
        <v>276427.68079179985</v>
      </c>
      <c r="W133" s="123">
        <f t="shared" si="10"/>
        <v>276427.68079179985</v>
      </c>
      <c r="X133" s="123">
        <f t="shared" si="10"/>
        <v>276427.68079179985</v>
      </c>
      <c r="Y133" s="123">
        <f t="shared" si="10"/>
        <v>276427.68079179985</v>
      </c>
      <c r="Z133" s="123">
        <f t="shared" si="10"/>
        <v>276427.68079179985</v>
      </c>
      <c r="AA133" s="123">
        <f t="shared" si="10"/>
        <v>276427.68079179985</v>
      </c>
      <c r="AB133" s="123">
        <f t="shared" si="10"/>
        <v>276427.68079179985</v>
      </c>
      <c r="AC133" s="123">
        <f t="shared" si="10"/>
        <v>276427.68079179985</v>
      </c>
      <c r="AD133" s="123">
        <f t="shared" si="10"/>
        <v>276427.68079179985</v>
      </c>
      <c r="AE133" s="123">
        <f t="shared" si="10"/>
        <v>276427.68079179985</v>
      </c>
      <c r="AF133" s="123">
        <f t="shared" si="10"/>
        <v>276427.68079179985</v>
      </c>
      <c r="AG133" s="123">
        <f t="shared" si="10"/>
        <v>276427.68079179985</v>
      </c>
      <c r="AH133" s="123">
        <f t="shared" si="10"/>
        <v>276427.68079179985</v>
      </c>
      <c r="AI133" s="123">
        <f t="shared" si="10"/>
        <v>276427.68079179985</v>
      </c>
      <c r="AJ133" s="123">
        <f t="shared" si="10"/>
        <v>276427.68079179985</v>
      </c>
      <c r="AK133" s="123">
        <f t="shared" si="10"/>
        <v>276427.68079179985</v>
      </c>
      <c r="AL133" s="123">
        <f t="shared" si="10"/>
        <v>276427.68079179985</v>
      </c>
      <c r="AM133" s="123">
        <f t="shared" si="10"/>
        <v>276427.68079179985</v>
      </c>
      <c r="AN133" s="123">
        <f t="shared" si="10"/>
        <v>276427.68079179985</v>
      </c>
      <c r="AO133" s="123">
        <f t="shared" si="10"/>
        <v>276427.68079179985</v>
      </c>
      <c r="AP133" s="123">
        <f t="shared" si="10"/>
        <v>276427.68079179985</v>
      </c>
      <c r="AQ133" s="123">
        <f t="shared" si="10"/>
        <v>276427.68079179985</v>
      </c>
      <c r="AR133" s="123">
        <f t="shared" si="10"/>
        <v>276427.68079179985</v>
      </c>
      <c r="AS133" s="123">
        <f t="shared" si="10"/>
        <v>276427.68079179985</v>
      </c>
      <c r="AT133" s="123">
        <f t="shared" si="10"/>
        <v>276427.68079179985</v>
      </c>
      <c r="AU133" s="123">
        <f t="shared" si="10"/>
        <v>276427.68079179985</v>
      </c>
      <c r="AV133" s="123">
        <f t="shared" si="10"/>
        <v>276427.68079179985</v>
      </c>
      <c r="AW133" s="123">
        <f t="shared" si="10"/>
        <v>276427.68079179985</v>
      </c>
      <c r="AX133" s="123">
        <f t="shared" si="10"/>
        <v>276427.68079179985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5" t="s">
        <v>5</v>
      </c>
      <c r="E2" s="128"/>
    </row>
    <row r="3" spans="1:52" x14ac:dyDescent="0.2">
      <c r="A3" t="s">
        <v>286</v>
      </c>
      <c r="B3" s="125">
        <v>552</v>
      </c>
      <c r="E3" s="128"/>
    </row>
    <row r="4" spans="1:52" x14ac:dyDescent="0.2">
      <c r="A4" s="1"/>
      <c r="C4" s="9" t="s">
        <v>287</v>
      </c>
    </row>
    <row r="5" spans="1:52" x14ac:dyDescent="0.2">
      <c r="B5" s="124"/>
      <c r="C5" s="129">
        <v>0</v>
      </c>
      <c r="D5" s="129">
        <v>1</v>
      </c>
      <c r="E5" s="129">
        <v>2</v>
      </c>
      <c r="F5" s="129">
        <v>3</v>
      </c>
      <c r="G5" s="129">
        <v>4</v>
      </c>
      <c r="H5" s="129">
        <v>5</v>
      </c>
      <c r="I5" s="129">
        <v>6</v>
      </c>
      <c r="J5" s="129">
        <v>7</v>
      </c>
      <c r="K5" s="129">
        <v>8</v>
      </c>
      <c r="L5" s="129">
        <v>9</v>
      </c>
      <c r="M5" s="129">
        <v>10</v>
      </c>
      <c r="N5" s="129">
        <v>11</v>
      </c>
      <c r="O5" s="129">
        <v>12</v>
      </c>
      <c r="P5" s="129">
        <v>13</v>
      </c>
      <c r="Q5" s="129">
        <v>14</v>
      </c>
      <c r="R5" s="129">
        <v>15</v>
      </c>
      <c r="S5" s="129">
        <v>16</v>
      </c>
      <c r="T5" s="129">
        <v>17</v>
      </c>
      <c r="U5" s="129">
        <v>18</v>
      </c>
      <c r="V5" s="129">
        <v>19</v>
      </c>
      <c r="W5" s="129">
        <v>20</v>
      </c>
      <c r="X5" s="129">
        <v>21</v>
      </c>
      <c r="Y5" s="129">
        <v>22</v>
      </c>
      <c r="Z5" s="129">
        <v>23</v>
      </c>
      <c r="AA5" s="129">
        <v>24</v>
      </c>
      <c r="AB5" s="129">
        <v>25</v>
      </c>
      <c r="AC5" s="129">
        <v>26</v>
      </c>
      <c r="AD5" s="129">
        <v>27</v>
      </c>
      <c r="AE5" s="129">
        <v>28</v>
      </c>
      <c r="AF5" s="129">
        <v>29</v>
      </c>
      <c r="AG5" s="129">
        <v>30</v>
      </c>
      <c r="AH5" s="129">
        <v>31</v>
      </c>
      <c r="AI5" s="129">
        <v>32</v>
      </c>
      <c r="AJ5" s="129">
        <v>33</v>
      </c>
      <c r="AK5" s="129">
        <v>34</v>
      </c>
      <c r="AL5" s="129">
        <v>35</v>
      </c>
      <c r="AM5" s="129">
        <v>36</v>
      </c>
      <c r="AN5" s="129">
        <v>37</v>
      </c>
      <c r="AO5" s="129">
        <v>38</v>
      </c>
      <c r="AP5" s="129">
        <v>39</v>
      </c>
      <c r="AQ5" s="129">
        <v>40</v>
      </c>
      <c r="AR5" s="129">
        <v>41</v>
      </c>
      <c r="AS5" s="129">
        <v>42</v>
      </c>
      <c r="AT5" s="129">
        <v>43</v>
      </c>
      <c r="AU5" s="129">
        <v>44</v>
      </c>
      <c r="AV5" s="129">
        <v>45</v>
      </c>
      <c r="AW5" s="129">
        <v>46</v>
      </c>
      <c r="AX5" s="129">
        <v>47</v>
      </c>
      <c r="AY5" s="129">
        <v>48</v>
      </c>
    </row>
    <row r="6" spans="1:52" x14ac:dyDescent="0.2">
      <c r="A6" s="1" t="s">
        <v>304</v>
      </c>
      <c r="B6" s="131"/>
      <c r="C6" s="130" t="s">
        <v>288</v>
      </c>
      <c r="D6" s="129" t="s">
        <v>289</v>
      </c>
      <c r="E6" s="129" t="s">
        <v>289</v>
      </c>
      <c r="F6" s="129" t="s">
        <v>289</v>
      </c>
      <c r="G6" s="129" t="s">
        <v>289</v>
      </c>
      <c r="H6" s="129" t="s">
        <v>289</v>
      </c>
      <c r="I6" s="129" t="s">
        <v>289</v>
      </c>
      <c r="J6" s="129" t="s">
        <v>289</v>
      </c>
      <c r="K6" s="129" t="s">
        <v>289</v>
      </c>
      <c r="L6" s="129" t="s">
        <v>289</v>
      </c>
      <c r="M6" s="129" t="s">
        <v>289</v>
      </c>
      <c r="N6" s="129" t="s">
        <v>289</v>
      </c>
      <c r="O6" s="129" t="s">
        <v>289</v>
      </c>
      <c r="P6" s="129" t="s">
        <v>289</v>
      </c>
      <c r="Q6" s="129" t="s">
        <v>289</v>
      </c>
      <c r="R6" s="129" t="s">
        <v>289</v>
      </c>
      <c r="S6" s="129" t="s">
        <v>289</v>
      </c>
      <c r="T6" s="129" t="s">
        <v>289</v>
      </c>
      <c r="U6" s="129" t="s">
        <v>289</v>
      </c>
      <c r="V6" s="129" t="s">
        <v>289</v>
      </c>
      <c r="W6" s="129" t="s">
        <v>289</v>
      </c>
      <c r="X6" s="129" t="s">
        <v>289</v>
      </c>
      <c r="Y6" s="129" t="s">
        <v>289</v>
      </c>
      <c r="Z6" s="129" t="s">
        <v>289</v>
      </c>
      <c r="AA6" s="129" t="s">
        <v>289</v>
      </c>
      <c r="AB6" s="129" t="s">
        <v>289</v>
      </c>
      <c r="AC6" s="129" t="s">
        <v>289</v>
      </c>
      <c r="AD6" s="129" t="s">
        <v>289</v>
      </c>
      <c r="AE6" s="129" t="s">
        <v>289</v>
      </c>
      <c r="AF6" s="129" t="s">
        <v>289</v>
      </c>
      <c r="AG6" s="129" t="s">
        <v>289</v>
      </c>
      <c r="AH6" s="129" t="s">
        <v>289</v>
      </c>
      <c r="AI6" s="129" t="s">
        <v>289</v>
      </c>
      <c r="AJ6" s="129" t="s">
        <v>289</v>
      </c>
      <c r="AK6" s="129" t="s">
        <v>289</v>
      </c>
      <c r="AL6" s="129" t="s">
        <v>289</v>
      </c>
      <c r="AM6" s="129" t="s">
        <v>289</v>
      </c>
      <c r="AN6" s="129" t="s">
        <v>289</v>
      </c>
      <c r="AO6" s="129" t="s">
        <v>289</v>
      </c>
      <c r="AP6" s="129" t="s">
        <v>289</v>
      </c>
      <c r="AQ6" s="129" t="s">
        <v>289</v>
      </c>
      <c r="AR6" s="129" t="s">
        <v>289</v>
      </c>
      <c r="AS6" s="129" t="s">
        <v>289</v>
      </c>
      <c r="AT6" s="129" t="s">
        <v>289</v>
      </c>
      <c r="AU6" s="129" t="s">
        <v>289</v>
      </c>
      <c r="AV6" s="129" t="s">
        <v>289</v>
      </c>
      <c r="AW6" s="129" t="s">
        <v>289</v>
      </c>
      <c r="AX6" s="129" t="s">
        <v>289</v>
      </c>
      <c r="AY6" s="9" t="s">
        <v>290</v>
      </c>
      <c r="AZ6" s="159" t="s">
        <v>150</v>
      </c>
    </row>
    <row r="7" spans="1:52" x14ac:dyDescent="0.2">
      <c r="A7" s="132" t="s">
        <v>125</v>
      </c>
      <c r="B7" s="160">
        <v>1</v>
      </c>
      <c r="C7" s="161" t="s">
        <v>293</v>
      </c>
      <c r="D7" s="161">
        <v>6593.4936784662405</v>
      </c>
      <c r="E7" s="161">
        <v>9306.0128586132505</v>
      </c>
      <c r="F7" s="161">
        <v>9312.6029178356112</v>
      </c>
      <c r="G7" s="161">
        <v>9319.1922707435642</v>
      </c>
      <c r="H7" s="161">
        <v>9325.7798600801761</v>
      </c>
      <c r="I7" s="161">
        <v>9332.3646284200368</v>
      </c>
      <c r="J7" s="161">
        <v>9338.945518354838</v>
      </c>
      <c r="K7" s="161">
        <v>9345.5214726790655</v>
      </c>
      <c r="L7" s="161">
        <v>7516.5374828091644</v>
      </c>
      <c r="M7" s="161">
        <v>9358.654347802305</v>
      </c>
      <c r="N7" s="161">
        <v>9365.2091568762444</v>
      </c>
      <c r="O7" s="161">
        <v>9371.754807261048</v>
      </c>
      <c r="P7" s="161">
        <v>9378.2902455518197</v>
      </c>
      <c r="Q7" s="161">
        <v>9384.8144196609283</v>
      </c>
      <c r="R7" s="161">
        <v>9391.3262790034969</v>
      </c>
      <c r="S7" s="161">
        <v>9397.8247746827292</v>
      </c>
      <c r="T7" s="161">
        <v>9404.3088596750677</v>
      </c>
      <c r="U7" s="161">
        <v>9410.777489015094</v>
      </c>
      <c r="V7" s="161">
        <v>9417.2296199801931</v>
      </c>
      <c r="W7" s="161">
        <v>9423.6642122749108</v>
      </c>
      <c r="X7" s="161">
        <v>8488.9066142399424</v>
      </c>
      <c r="Y7" s="161">
        <v>9436.4766329111681</v>
      </c>
      <c r="Z7" s="161">
        <v>9442.8523944522058</v>
      </c>
      <c r="AA7" s="161">
        <v>9449.2064840880485</v>
      </c>
      <c r="AB7" s="161">
        <v>9455.5378764120796</v>
      </c>
      <c r="AC7" s="161">
        <v>9461.8455495431044</v>
      </c>
      <c r="AD7" s="161">
        <v>9468.1284853067409</v>
      </c>
      <c r="AE7" s="161">
        <v>9474.3856694162787</v>
      </c>
      <c r="AF7" s="161">
        <v>6611.6129726335876</v>
      </c>
      <c r="AG7" s="161">
        <v>9486.8187460456156</v>
      </c>
      <c r="AH7" s="161">
        <v>9492.9926310496849</v>
      </c>
      <c r="AI7" s="161">
        <v>9499.1367497255196</v>
      </c>
      <c r="AJ7" s="161">
        <v>9505.2501099159999</v>
      </c>
      <c r="AK7" s="161">
        <v>9511.3317244233858</v>
      </c>
      <c r="AL7" s="161">
        <v>9517.3806111854101</v>
      </c>
      <c r="AM7" s="161">
        <v>9523.3957934505306</v>
      </c>
      <c r="AN7" s="161">
        <v>9529.3762999523751</v>
      </c>
      <c r="AO7" s="161">
        <v>9535.3211650832909</v>
      </c>
      <c r="AP7" s="161">
        <v>9541.2294290669925</v>
      </c>
      <c r="AQ7" s="161">
        <v>9547.1001381302794</v>
      </c>
      <c r="AR7" s="161">
        <v>8574.9030957610812</v>
      </c>
      <c r="AS7" s="161">
        <v>9558.7251074417218</v>
      </c>
      <c r="AT7" s="161">
        <v>9564.4774916906099</v>
      </c>
      <c r="AU7" s="161">
        <v>9570.1885693569238</v>
      </c>
      <c r="AV7" s="161">
        <v>9575.8574192236811</v>
      </c>
      <c r="AW7" s="161">
        <v>8594.8886434495435</v>
      </c>
      <c r="AX7" s="161">
        <v>8598.7958046297899</v>
      </c>
      <c r="AY7" s="161">
        <v>9592.6014960211323</v>
      </c>
      <c r="AZ7" s="124"/>
    </row>
    <row r="8" spans="1:52" x14ac:dyDescent="0.2">
      <c r="A8" s="162"/>
      <c r="B8" s="163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2"/>
      <c r="AE8" s="162"/>
      <c r="AF8" s="162"/>
      <c r="AG8" s="162"/>
      <c r="AH8" s="162"/>
      <c r="AI8" s="162"/>
      <c r="AJ8" s="162"/>
      <c r="AK8" s="162"/>
      <c r="AL8" s="162"/>
      <c r="AM8" s="162"/>
      <c r="AN8" s="162"/>
      <c r="AO8" s="162"/>
      <c r="AP8" s="162"/>
      <c r="AQ8" s="162"/>
      <c r="AR8" s="162"/>
      <c r="AS8" s="162"/>
      <c r="AT8" s="162"/>
      <c r="AU8" s="162"/>
      <c r="AV8" s="162"/>
      <c r="AW8" s="162"/>
      <c r="AX8" s="162"/>
      <c r="AY8" s="162"/>
      <c r="AZ8" s="164"/>
    </row>
    <row r="9" spans="1:52" x14ac:dyDescent="0.2">
      <c r="A9" s="1" t="s">
        <v>294</v>
      </c>
      <c r="B9" s="165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  <c r="AB9" s="124"/>
      <c r="AC9" s="124"/>
      <c r="AD9" s="124"/>
      <c r="AE9" s="124"/>
      <c r="AF9" s="124"/>
      <c r="AG9" s="124"/>
      <c r="AH9" s="124"/>
      <c r="AI9" s="124"/>
      <c r="AJ9" s="124"/>
      <c r="AK9" s="124"/>
      <c r="AL9" s="124"/>
      <c r="AM9" s="124"/>
      <c r="AN9" s="124"/>
      <c r="AO9" s="124"/>
      <c r="AP9" s="124"/>
      <c r="AQ9" s="124"/>
      <c r="AR9" s="124"/>
      <c r="AS9" s="124"/>
      <c r="AT9" s="124"/>
      <c r="AU9" s="124"/>
      <c r="AV9" s="124"/>
      <c r="AW9" s="124"/>
      <c r="AX9" s="124"/>
      <c r="AY9" s="124"/>
      <c r="AZ9" s="124"/>
    </row>
    <row r="10" spans="1:52" x14ac:dyDescent="0.2">
      <c r="A10" s="166" t="s">
        <v>125</v>
      </c>
      <c r="B10" s="167">
        <v>1</v>
      </c>
      <c r="C10" s="161" t="s">
        <v>293</v>
      </c>
      <c r="D10" s="161">
        <f t="shared" ref="D10:AY10" si="0">MAX(SUM(D$14:D$16)+D$7-$B$3,0)</f>
        <v>6041.4936784662405</v>
      </c>
      <c r="E10" s="161">
        <f t="shared" si="0"/>
        <v>8754.0128586132505</v>
      </c>
      <c r="F10" s="161">
        <f t="shared" si="0"/>
        <v>8760.6029178356112</v>
      </c>
      <c r="G10" s="161">
        <f t="shared" si="0"/>
        <v>8767.1922707435642</v>
      </c>
      <c r="H10" s="161">
        <f t="shared" si="0"/>
        <v>9325.7798600801761</v>
      </c>
      <c r="I10" s="161">
        <f t="shared" si="0"/>
        <v>8780.3646284200368</v>
      </c>
      <c r="J10" s="161">
        <f t="shared" si="0"/>
        <v>8786.945518354838</v>
      </c>
      <c r="K10" s="161">
        <f t="shared" si="0"/>
        <v>8793.5214726790655</v>
      </c>
      <c r="L10" s="161">
        <f t="shared" si="0"/>
        <v>6964.5374828091644</v>
      </c>
      <c r="M10" s="161">
        <f t="shared" si="0"/>
        <v>8806.654347802305</v>
      </c>
      <c r="N10" s="161">
        <f t="shared" si="0"/>
        <v>8813.2091568762444</v>
      </c>
      <c r="O10" s="161">
        <f t="shared" si="0"/>
        <v>8819.754807261048</v>
      </c>
      <c r="P10" s="161">
        <f t="shared" si="0"/>
        <v>8826.2902455518197</v>
      </c>
      <c r="Q10" s="161">
        <f t="shared" si="0"/>
        <v>8832.8144196609283</v>
      </c>
      <c r="R10" s="161">
        <f t="shared" si="0"/>
        <v>8839.3262790034969</v>
      </c>
      <c r="S10" s="161">
        <f t="shared" si="0"/>
        <v>8845.8247746827292</v>
      </c>
      <c r="T10" s="161">
        <f t="shared" si="0"/>
        <v>8852.3088596750677</v>
      </c>
      <c r="U10" s="161">
        <f t="shared" si="0"/>
        <v>8858.777489015094</v>
      </c>
      <c r="V10" s="161">
        <f t="shared" si="0"/>
        <v>8865.2296199801931</v>
      </c>
      <c r="W10" s="161">
        <f t="shared" si="0"/>
        <v>9423.6642122749108</v>
      </c>
      <c r="X10" s="161">
        <f t="shared" si="0"/>
        <v>7936.9066142399424</v>
      </c>
      <c r="Y10" s="161">
        <f t="shared" si="0"/>
        <v>8884.4766329111681</v>
      </c>
      <c r="Z10" s="161">
        <f t="shared" si="0"/>
        <v>8890.8523944522058</v>
      </c>
      <c r="AA10" s="161">
        <f t="shared" si="0"/>
        <v>8897.2064840880485</v>
      </c>
      <c r="AB10" s="161">
        <f t="shared" si="0"/>
        <v>8903.5378764120796</v>
      </c>
      <c r="AC10" s="161">
        <f t="shared" si="0"/>
        <v>8909.8455495431044</v>
      </c>
      <c r="AD10" s="161">
        <f t="shared" si="0"/>
        <v>8916.1284853067409</v>
      </c>
      <c r="AE10" s="161">
        <f t="shared" si="0"/>
        <v>8922.3856694162787</v>
      </c>
      <c r="AF10" s="161">
        <f t="shared" si="0"/>
        <v>6059.6129726335876</v>
      </c>
      <c r="AG10" s="161">
        <f t="shared" si="0"/>
        <v>8934.8187460456156</v>
      </c>
      <c r="AH10" s="161">
        <f t="shared" si="0"/>
        <v>8940.9926310496849</v>
      </c>
      <c r="AI10" s="161">
        <f t="shared" si="0"/>
        <v>8947.1367497255196</v>
      </c>
      <c r="AJ10" s="161">
        <f t="shared" si="0"/>
        <v>8953.2501099159999</v>
      </c>
      <c r="AK10" s="161">
        <f t="shared" si="0"/>
        <v>8959.3317244233858</v>
      </c>
      <c r="AL10" s="161">
        <f t="shared" si="0"/>
        <v>8965.3806111854101</v>
      </c>
      <c r="AM10" s="161">
        <f t="shared" si="0"/>
        <v>8971.3957934505306</v>
      </c>
      <c r="AN10" s="161">
        <f t="shared" si="0"/>
        <v>8977.3762999523751</v>
      </c>
      <c r="AO10" s="161">
        <f t="shared" si="0"/>
        <v>8983.3211650832909</v>
      </c>
      <c r="AP10" s="161">
        <f t="shared" si="0"/>
        <v>8989.2294290669925</v>
      </c>
      <c r="AQ10" s="161">
        <f t="shared" si="0"/>
        <v>9547.1001381302794</v>
      </c>
      <c r="AR10" s="161">
        <f t="shared" si="0"/>
        <v>8022.9030957610812</v>
      </c>
      <c r="AS10" s="161">
        <f t="shared" si="0"/>
        <v>9006.7251074417218</v>
      </c>
      <c r="AT10" s="161">
        <f t="shared" si="0"/>
        <v>9012.4774916906099</v>
      </c>
      <c r="AU10" s="161">
        <f t="shared" si="0"/>
        <v>9018.1885693569238</v>
      </c>
      <c r="AV10" s="161">
        <f t="shared" si="0"/>
        <v>9023.8574192236811</v>
      </c>
      <c r="AW10" s="161">
        <f t="shared" si="0"/>
        <v>8042.8886434495435</v>
      </c>
      <c r="AX10" s="161">
        <f t="shared" si="0"/>
        <v>8046.7958046297899</v>
      </c>
      <c r="AY10" s="161">
        <f t="shared" si="0"/>
        <v>9040.6014960211323</v>
      </c>
      <c r="AZ10" s="168">
        <f>SUM($D10:$AY10)</f>
        <v>417463.02860439249</v>
      </c>
    </row>
    <row r="11" spans="1:52" x14ac:dyDescent="0.2">
      <c r="C11" s="128"/>
    </row>
    <row r="12" spans="1:52" x14ac:dyDescent="0.2">
      <c r="A12" s="169" t="s">
        <v>295</v>
      </c>
      <c r="B12" s="163"/>
      <c r="C12" s="128"/>
    </row>
    <row r="13" spans="1:52" x14ac:dyDescent="0.2">
      <c r="A13" s="139" t="s">
        <v>125</v>
      </c>
      <c r="B13" s="140">
        <v>1</v>
      </c>
      <c r="C13" s="141">
        <v>909</v>
      </c>
      <c r="D13" s="155">
        <f t="shared" ref="D13:AY13" si="1">D$7-D$10</f>
        <v>552</v>
      </c>
      <c r="E13" s="155">
        <f t="shared" si="1"/>
        <v>552</v>
      </c>
      <c r="F13" s="155">
        <f t="shared" si="1"/>
        <v>552</v>
      </c>
      <c r="G13" s="155">
        <f t="shared" si="1"/>
        <v>552</v>
      </c>
      <c r="H13" s="155">
        <f t="shared" si="1"/>
        <v>0</v>
      </c>
      <c r="I13" s="155">
        <f t="shared" si="1"/>
        <v>552</v>
      </c>
      <c r="J13" s="155">
        <f t="shared" si="1"/>
        <v>552</v>
      </c>
      <c r="K13" s="155">
        <f t="shared" si="1"/>
        <v>552</v>
      </c>
      <c r="L13" s="155">
        <f t="shared" si="1"/>
        <v>552</v>
      </c>
      <c r="M13" s="155">
        <f t="shared" si="1"/>
        <v>552</v>
      </c>
      <c r="N13" s="155">
        <f t="shared" si="1"/>
        <v>552</v>
      </c>
      <c r="O13" s="155">
        <f t="shared" si="1"/>
        <v>552</v>
      </c>
      <c r="P13" s="155">
        <f t="shared" si="1"/>
        <v>552</v>
      </c>
      <c r="Q13" s="155">
        <f t="shared" si="1"/>
        <v>552</v>
      </c>
      <c r="R13" s="155">
        <f t="shared" si="1"/>
        <v>552</v>
      </c>
      <c r="S13" s="155">
        <f t="shared" si="1"/>
        <v>552</v>
      </c>
      <c r="T13" s="155">
        <f t="shared" si="1"/>
        <v>552</v>
      </c>
      <c r="U13" s="155">
        <f t="shared" si="1"/>
        <v>552</v>
      </c>
      <c r="V13" s="155">
        <f t="shared" si="1"/>
        <v>552</v>
      </c>
      <c r="W13" s="155">
        <f t="shared" si="1"/>
        <v>0</v>
      </c>
      <c r="X13" s="155">
        <f t="shared" si="1"/>
        <v>552</v>
      </c>
      <c r="Y13" s="155">
        <f t="shared" si="1"/>
        <v>552</v>
      </c>
      <c r="Z13" s="155">
        <f t="shared" si="1"/>
        <v>552</v>
      </c>
      <c r="AA13" s="155">
        <f t="shared" si="1"/>
        <v>552</v>
      </c>
      <c r="AB13" s="155">
        <f t="shared" si="1"/>
        <v>552</v>
      </c>
      <c r="AC13" s="155">
        <f t="shared" si="1"/>
        <v>552</v>
      </c>
      <c r="AD13" s="155">
        <f t="shared" si="1"/>
        <v>552</v>
      </c>
      <c r="AE13" s="155">
        <f t="shared" si="1"/>
        <v>552</v>
      </c>
      <c r="AF13" s="155">
        <f t="shared" si="1"/>
        <v>552</v>
      </c>
      <c r="AG13" s="155">
        <f t="shared" si="1"/>
        <v>552</v>
      </c>
      <c r="AH13" s="155">
        <f t="shared" si="1"/>
        <v>552</v>
      </c>
      <c r="AI13" s="155">
        <f t="shared" si="1"/>
        <v>552</v>
      </c>
      <c r="AJ13" s="155">
        <f t="shared" si="1"/>
        <v>552</v>
      </c>
      <c r="AK13" s="155">
        <f t="shared" si="1"/>
        <v>552</v>
      </c>
      <c r="AL13" s="155">
        <f t="shared" si="1"/>
        <v>552</v>
      </c>
      <c r="AM13" s="155">
        <f t="shared" si="1"/>
        <v>552</v>
      </c>
      <c r="AN13" s="155">
        <f t="shared" si="1"/>
        <v>552</v>
      </c>
      <c r="AO13" s="155">
        <f t="shared" si="1"/>
        <v>552</v>
      </c>
      <c r="AP13" s="155">
        <f t="shared" si="1"/>
        <v>552</v>
      </c>
      <c r="AQ13" s="155">
        <f t="shared" si="1"/>
        <v>0</v>
      </c>
      <c r="AR13" s="155">
        <f t="shared" si="1"/>
        <v>552</v>
      </c>
      <c r="AS13" s="155">
        <f t="shared" si="1"/>
        <v>552</v>
      </c>
      <c r="AT13" s="155">
        <f t="shared" si="1"/>
        <v>552</v>
      </c>
      <c r="AU13" s="155">
        <f t="shared" si="1"/>
        <v>552</v>
      </c>
      <c r="AV13" s="155">
        <f t="shared" si="1"/>
        <v>552</v>
      </c>
      <c r="AW13" s="155">
        <f t="shared" si="1"/>
        <v>552</v>
      </c>
      <c r="AX13" s="155">
        <f t="shared" si="1"/>
        <v>552</v>
      </c>
      <c r="AY13" s="155">
        <f t="shared" si="1"/>
        <v>552</v>
      </c>
      <c r="AZ13" s="127"/>
    </row>
    <row r="14" spans="1:52" x14ac:dyDescent="0.2">
      <c r="A14" s="128"/>
      <c r="B14" s="137">
        <v>2</v>
      </c>
      <c r="C14" s="128">
        <v>0</v>
      </c>
      <c r="D14" s="124">
        <f>IF(C$20="Yes",C13,0)</f>
        <v>0</v>
      </c>
      <c r="E14" s="124">
        <f t="shared" ref="E14:AY17" si="2">IF(D$20="Yes",D13,0)</f>
        <v>0</v>
      </c>
      <c r="F14" s="124">
        <f t="shared" si="2"/>
        <v>0</v>
      </c>
      <c r="G14" s="124">
        <f t="shared" si="2"/>
        <v>0</v>
      </c>
      <c r="H14" s="124">
        <f t="shared" si="2"/>
        <v>552</v>
      </c>
      <c r="I14" s="124">
        <f t="shared" si="2"/>
        <v>0</v>
      </c>
      <c r="J14" s="124">
        <f t="shared" si="2"/>
        <v>0</v>
      </c>
      <c r="K14" s="124">
        <f t="shared" si="2"/>
        <v>0</v>
      </c>
      <c r="L14" s="124">
        <f t="shared" si="2"/>
        <v>0</v>
      </c>
      <c r="M14" s="124">
        <f t="shared" si="2"/>
        <v>0</v>
      </c>
      <c r="N14" s="124">
        <f t="shared" si="2"/>
        <v>0</v>
      </c>
      <c r="O14" s="124">
        <f t="shared" si="2"/>
        <v>0</v>
      </c>
      <c r="P14" s="124">
        <f t="shared" si="2"/>
        <v>0</v>
      </c>
      <c r="Q14" s="124">
        <f t="shared" si="2"/>
        <v>0</v>
      </c>
      <c r="R14" s="124">
        <f t="shared" si="2"/>
        <v>0</v>
      </c>
      <c r="S14" s="124">
        <f t="shared" si="2"/>
        <v>0</v>
      </c>
      <c r="T14" s="124">
        <f t="shared" si="2"/>
        <v>0</v>
      </c>
      <c r="U14" s="124">
        <f t="shared" si="2"/>
        <v>0</v>
      </c>
      <c r="V14" s="124">
        <f t="shared" si="2"/>
        <v>0</v>
      </c>
      <c r="W14" s="124">
        <f t="shared" si="2"/>
        <v>552</v>
      </c>
      <c r="X14" s="124">
        <f t="shared" si="2"/>
        <v>0</v>
      </c>
      <c r="Y14" s="124">
        <f t="shared" si="2"/>
        <v>0</v>
      </c>
      <c r="Z14" s="124">
        <f t="shared" si="2"/>
        <v>0</v>
      </c>
      <c r="AA14" s="124">
        <f t="shared" si="2"/>
        <v>0</v>
      </c>
      <c r="AB14" s="124">
        <f t="shared" si="2"/>
        <v>0</v>
      </c>
      <c r="AC14" s="124">
        <f t="shared" si="2"/>
        <v>0</v>
      </c>
      <c r="AD14" s="124">
        <f t="shared" si="2"/>
        <v>0</v>
      </c>
      <c r="AE14" s="124">
        <f t="shared" si="2"/>
        <v>0</v>
      </c>
      <c r="AF14" s="124">
        <f t="shared" si="2"/>
        <v>0</v>
      </c>
      <c r="AG14" s="124">
        <f t="shared" si="2"/>
        <v>0</v>
      </c>
      <c r="AH14" s="124">
        <f t="shared" si="2"/>
        <v>0</v>
      </c>
      <c r="AI14" s="124">
        <f t="shared" si="2"/>
        <v>0</v>
      </c>
      <c r="AJ14" s="124">
        <f t="shared" si="2"/>
        <v>0</v>
      </c>
      <c r="AK14" s="124">
        <f t="shared" si="2"/>
        <v>0</v>
      </c>
      <c r="AL14" s="124">
        <f t="shared" si="2"/>
        <v>0</v>
      </c>
      <c r="AM14" s="124">
        <f t="shared" si="2"/>
        <v>0</v>
      </c>
      <c r="AN14" s="124">
        <f t="shared" si="2"/>
        <v>0</v>
      </c>
      <c r="AO14" s="124">
        <f t="shared" si="2"/>
        <v>0</v>
      </c>
      <c r="AP14" s="124">
        <f t="shared" si="2"/>
        <v>0</v>
      </c>
      <c r="AQ14" s="124">
        <f t="shared" si="2"/>
        <v>552</v>
      </c>
      <c r="AR14" s="124">
        <f t="shared" si="2"/>
        <v>0</v>
      </c>
      <c r="AS14" s="124">
        <f t="shared" si="2"/>
        <v>0</v>
      </c>
      <c r="AT14" s="124">
        <f t="shared" si="2"/>
        <v>0</v>
      </c>
      <c r="AU14" s="124">
        <f t="shared" si="2"/>
        <v>0</v>
      </c>
      <c r="AV14" s="124">
        <f t="shared" si="2"/>
        <v>0</v>
      </c>
      <c r="AW14" s="124">
        <f t="shared" si="2"/>
        <v>0</v>
      </c>
      <c r="AX14" s="124">
        <f t="shared" si="2"/>
        <v>0</v>
      </c>
      <c r="AY14" s="124">
        <f t="shared" si="2"/>
        <v>0</v>
      </c>
      <c r="AZ14" s="127"/>
    </row>
    <row r="15" spans="1:52" x14ac:dyDescent="0.2">
      <c r="A15" s="128"/>
      <c r="B15" s="144">
        <v>3</v>
      </c>
      <c r="C15" s="128">
        <v>0</v>
      </c>
      <c r="D15" s="124">
        <f>IF(C$20="Yes",C14,0)</f>
        <v>0</v>
      </c>
      <c r="E15" s="124">
        <f t="shared" si="2"/>
        <v>0</v>
      </c>
      <c r="F15" s="124">
        <f t="shared" si="2"/>
        <v>0</v>
      </c>
      <c r="G15" s="124">
        <f t="shared" si="2"/>
        <v>0</v>
      </c>
      <c r="H15" s="124">
        <f t="shared" si="2"/>
        <v>0</v>
      </c>
      <c r="I15" s="124">
        <f t="shared" si="2"/>
        <v>0</v>
      </c>
      <c r="J15" s="124">
        <f t="shared" si="2"/>
        <v>0</v>
      </c>
      <c r="K15" s="124">
        <f t="shared" si="2"/>
        <v>0</v>
      </c>
      <c r="L15" s="124">
        <f t="shared" si="2"/>
        <v>0</v>
      </c>
      <c r="M15" s="124">
        <f t="shared" si="2"/>
        <v>0</v>
      </c>
      <c r="N15" s="124">
        <f t="shared" si="2"/>
        <v>0</v>
      </c>
      <c r="O15" s="124">
        <f t="shared" si="2"/>
        <v>0</v>
      </c>
      <c r="P15" s="124">
        <f t="shared" si="2"/>
        <v>0</v>
      </c>
      <c r="Q15" s="124">
        <f t="shared" si="2"/>
        <v>0</v>
      </c>
      <c r="R15" s="124">
        <f t="shared" si="2"/>
        <v>0</v>
      </c>
      <c r="S15" s="124">
        <f t="shared" si="2"/>
        <v>0</v>
      </c>
      <c r="T15" s="124">
        <f t="shared" si="2"/>
        <v>0</v>
      </c>
      <c r="U15" s="124">
        <f t="shared" si="2"/>
        <v>0</v>
      </c>
      <c r="V15" s="124">
        <f t="shared" si="2"/>
        <v>0</v>
      </c>
      <c r="W15" s="124">
        <f t="shared" si="2"/>
        <v>0</v>
      </c>
      <c r="X15" s="124">
        <f t="shared" si="2"/>
        <v>0</v>
      </c>
      <c r="Y15" s="124">
        <f t="shared" si="2"/>
        <v>0</v>
      </c>
      <c r="Z15" s="124">
        <f t="shared" si="2"/>
        <v>0</v>
      </c>
      <c r="AA15" s="124">
        <f t="shared" si="2"/>
        <v>0</v>
      </c>
      <c r="AB15" s="124">
        <f t="shared" si="2"/>
        <v>0</v>
      </c>
      <c r="AC15" s="124">
        <f t="shared" si="2"/>
        <v>0</v>
      </c>
      <c r="AD15" s="124">
        <f t="shared" si="2"/>
        <v>0</v>
      </c>
      <c r="AE15" s="124">
        <f t="shared" si="2"/>
        <v>0</v>
      </c>
      <c r="AF15" s="124">
        <f t="shared" si="2"/>
        <v>0</v>
      </c>
      <c r="AG15" s="124">
        <f t="shared" si="2"/>
        <v>0</v>
      </c>
      <c r="AH15" s="124">
        <f t="shared" si="2"/>
        <v>0</v>
      </c>
      <c r="AI15" s="124">
        <f t="shared" si="2"/>
        <v>0</v>
      </c>
      <c r="AJ15" s="124">
        <f t="shared" si="2"/>
        <v>0</v>
      </c>
      <c r="AK15" s="124">
        <f t="shared" si="2"/>
        <v>0</v>
      </c>
      <c r="AL15" s="124">
        <f t="shared" si="2"/>
        <v>0</v>
      </c>
      <c r="AM15" s="124">
        <f t="shared" si="2"/>
        <v>0</v>
      </c>
      <c r="AN15" s="124">
        <f t="shared" si="2"/>
        <v>0</v>
      </c>
      <c r="AO15" s="124">
        <f t="shared" si="2"/>
        <v>0</v>
      </c>
      <c r="AP15" s="124">
        <f t="shared" si="2"/>
        <v>0</v>
      </c>
      <c r="AQ15" s="124">
        <f t="shared" si="2"/>
        <v>0</v>
      </c>
      <c r="AR15" s="124">
        <f t="shared" si="2"/>
        <v>0</v>
      </c>
      <c r="AS15" s="124">
        <f t="shared" si="2"/>
        <v>0</v>
      </c>
      <c r="AT15" s="124">
        <f t="shared" si="2"/>
        <v>0</v>
      </c>
      <c r="AU15" s="124">
        <f t="shared" si="2"/>
        <v>0</v>
      </c>
      <c r="AV15" s="124">
        <f t="shared" si="2"/>
        <v>0</v>
      </c>
      <c r="AW15" s="124">
        <f t="shared" si="2"/>
        <v>0</v>
      </c>
      <c r="AX15" s="124">
        <f t="shared" si="2"/>
        <v>0</v>
      </c>
      <c r="AY15" s="124">
        <f t="shared" si="2"/>
        <v>0</v>
      </c>
      <c r="AZ15" s="127"/>
    </row>
    <row r="16" spans="1:52" x14ac:dyDescent="0.2">
      <c r="A16" s="128"/>
      <c r="B16" s="147">
        <v>4</v>
      </c>
      <c r="C16" s="128">
        <v>0</v>
      </c>
      <c r="D16" s="124">
        <f>IF(C$20="Yes",C15,0)</f>
        <v>0</v>
      </c>
      <c r="E16" s="124">
        <f t="shared" si="2"/>
        <v>0</v>
      </c>
      <c r="F16" s="124">
        <f t="shared" si="2"/>
        <v>0</v>
      </c>
      <c r="G16" s="124">
        <f t="shared" si="2"/>
        <v>0</v>
      </c>
      <c r="H16" s="124">
        <f t="shared" si="2"/>
        <v>0</v>
      </c>
      <c r="I16" s="124">
        <f t="shared" si="2"/>
        <v>0</v>
      </c>
      <c r="J16" s="124">
        <f t="shared" si="2"/>
        <v>0</v>
      </c>
      <c r="K16" s="124">
        <f t="shared" si="2"/>
        <v>0</v>
      </c>
      <c r="L16" s="124">
        <f t="shared" si="2"/>
        <v>0</v>
      </c>
      <c r="M16" s="124">
        <f t="shared" si="2"/>
        <v>0</v>
      </c>
      <c r="N16" s="124">
        <f t="shared" si="2"/>
        <v>0</v>
      </c>
      <c r="O16" s="124">
        <f t="shared" si="2"/>
        <v>0</v>
      </c>
      <c r="P16" s="124">
        <f t="shared" si="2"/>
        <v>0</v>
      </c>
      <c r="Q16" s="124">
        <f t="shared" si="2"/>
        <v>0</v>
      </c>
      <c r="R16" s="124">
        <f t="shared" si="2"/>
        <v>0</v>
      </c>
      <c r="S16" s="124">
        <f t="shared" si="2"/>
        <v>0</v>
      </c>
      <c r="T16" s="124">
        <f t="shared" si="2"/>
        <v>0</v>
      </c>
      <c r="U16" s="124">
        <f t="shared" si="2"/>
        <v>0</v>
      </c>
      <c r="V16" s="124">
        <f t="shared" si="2"/>
        <v>0</v>
      </c>
      <c r="W16" s="124">
        <f t="shared" si="2"/>
        <v>0</v>
      </c>
      <c r="X16" s="124">
        <f t="shared" si="2"/>
        <v>0</v>
      </c>
      <c r="Y16" s="124">
        <f t="shared" si="2"/>
        <v>0</v>
      </c>
      <c r="Z16" s="124">
        <f t="shared" si="2"/>
        <v>0</v>
      </c>
      <c r="AA16" s="124">
        <f t="shared" si="2"/>
        <v>0</v>
      </c>
      <c r="AB16" s="124">
        <f t="shared" si="2"/>
        <v>0</v>
      </c>
      <c r="AC16" s="124">
        <f t="shared" si="2"/>
        <v>0</v>
      </c>
      <c r="AD16" s="124">
        <f t="shared" si="2"/>
        <v>0</v>
      </c>
      <c r="AE16" s="124">
        <f t="shared" si="2"/>
        <v>0</v>
      </c>
      <c r="AF16" s="124">
        <f t="shared" si="2"/>
        <v>0</v>
      </c>
      <c r="AG16" s="124">
        <f t="shared" si="2"/>
        <v>0</v>
      </c>
      <c r="AH16" s="124">
        <f t="shared" si="2"/>
        <v>0</v>
      </c>
      <c r="AI16" s="124">
        <f t="shared" si="2"/>
        <v>0</v>
      </c>
      <c r="AJ16" s="124">
        <f t="shared" si="2"/>
        <v>0</v>
      </c>
      <c r="AK16" s="124">
        <f t="shared" si="2"/>
        <v>0</v>
      </c>
      <c r="AL16" s="124">
        <f t="shared" si="2"/>
        <v>0</v>
      </c>
      <c r="AM16" s="124">
        <f t="shared" si="2"/>
        <v>0</v>
      </c>
      <c r="AN16" s="124">
        <f t="shared" si="2"/>
        <v>0</v>
      </c>
      <c r="AO16" s="124">
        <f t="shared" si="2"/>
        <v>0</v>
      </c>
      <c r="AP16" s="124">
        <f t="shared" si="2"/>
        <v>0</v>
      </c>
      <c r="AQ16" s="124">
        <f t="shared" si="2"/>
        <v>0</v>
      </c>
      <c r="AR16" s="124">
        <f t="shared" si="2"/>
        <v>0</v>
      </c>
      <c r="AS16" s="124">
        <f t="shared" si="2"/>
        <v>0</v>
      </c>
      <c r="AT16" s="124">
        <f t="shared" si="2"/>
        <v>0</v>
      </c>
      <c r="AU16" s="124">
        <f t="shared" si="2"/>
        <v>0</v>
      </c>
      <c r="AV16" s="124">
        <f t="shared" si="2"/>
        <v>0</v>
      </c>
      <c r="AW16" s="124">
        <f t="shared" si="2"/>
        <v>0</v>
      </c>
      <c r="AX16" s="124">
        <f t="shared" si="2"/>
        <v>0</v>
      </c>
      <c r="AY16" s="124">
        <f t="shared" si="2"/>
        <v>0</v>
      </c>
      <c r="AZ16" s="145"/>
    </row>
    <row r="17" spans="1:52" x14ac:dyDescent="0.2">
      <c r="A17" s="142"/>
      <c r="B17" s="149" t="s">
        <v>296</v>
      </c>
      <c r="C17" s="142">
        <v>0</v>
      </c>
      <c r="D17" s="131">
        <f>IF(C$20="Yes",C16,0)</f>
        <v>0</v>
      </c>
      <c r="E17" s="131">
        <f t="shared" si="2"/>
        <v>0</v>
      </c>
      <c r="F17" s="131">
        <f t="shared" si="2"/>
        <v>0</v>
      </c>
      <c r="G17" s="131">
        <f t="shared" si="2"/>
        <v>0</v>
      </c>
      <c r="H17" s="131">
        <f t="shared" si="2"/>
        <v>0</v>
      </c>
      <c r="I17" s="131">
        <f t="shared" si="2"/>
        <v>0</v>
      </c>
      <c r="J17" s="131">
        <f t="shared" si="2"/>
        <v>0</v>
      </c>
      <c r="K17" s="131">
        <f t="shared" si="2"/>
        <v>0</v>
      </c>
      <c r="L17" s="131">
        <f t="shared" si="2"/>
        <v>0</v>
      </c>
      <c r="M17" s="131">
        <f t="shared" si="2"/>
        <v>0</v>
      </c>
      <c r="N17" s="131">
        <f t="shared" si="2"/>
        <v>0</v>
      </c>
      <c r="O17" s="131">
        <f t="shared" si="2"/>
        <v>0</v>
      </c>
      <c r="P17" s="131">
        <f t="shared" si="2"/>
        <v>0</v>
      </c>
      <c r="Q17" s="131">
        <f t="shared" si="2"/>
        <v>0</v>
      </c>
      <c r="R17" s="131">
        <f t="shared" si="2"/>
        <v>0</v>
      </c>
      <c r="S17" s="131">
        <f t="shared" si="2"/>
        <v>0</v>
      </c>
      <c r="T17" s="131">
        <f t="shared" si="2"/>
        <v>0</v>
      </c>
      <c r="U17" s="131">
        <f t="shared" si="2"/>
        <v>0</v>
      </c>
      <c r="V17" s="131">
        <f t="shared" si="2"/>
        <v>0</v>
      </c>
      <c r="W17" s="131">
        <f t="shared" si="2"/>
        <v>0</v>
      </c>
      <c r="X17" s="131">
        <f t="shared" si="2"/>
        <v>0</v>
      </c>
      <c r="Y17" s="131">
        <f t="shared" si="2"/>
        <v>0</v>
      </c>
      <c r="Z17" s="131">
        <f t="shared" si="2"/>
        <v>0</v>
      </c>
      <c r="AA17" s="131">
        <f t="shared" si="2"/>
        <v>0</v>
      </c>
      <c r="AB17" s="131">
        <f t="shared" si="2"/>
        <v>0</v>
      </c>
      <c r="AC17" s="131">
        <f t="shared" si="2"/>
        <v>0</v>
      </c>
      <c r="AD17" s="131">
        <f t="shared" si="2"/>
        <v>0</v>
      </c>
      <c r="AE17" s="131">
        <f t="shared" si="2"/>
        <v>0</v>
      </c>
      <c r="AF17" s="131">
        <f t="shared" si="2"/>
        <v>0</v>
      </c>
      <c r="AG17" s="131">
        <f t="shared" si="2"/>
        <v>0</v>
      </c>
      <c r="AH17" s="131">
        <f t="shared" si="2"/>
        <v>0</v>
      </c>
      <c r="AI17" s="131">
        <f t="shared" si="2"/>
        <v>0</v>
      </c>
      <c r="AJ17" s="131">
        <f t="shared" si="2"/>
        <v>0</v>
      </c>
      <c r="AK17" s="131">
        <f t="shared" si="2"/>
        <v>0</v>
      </c>
      <c r="AL17" s="131">
        <f t="shared" si="2"/>
        <v>0</v>
      </c>
      <c r="AM17" s="131">
        <f t="shared" si="2"/>
        <v>0</v>
      </c>
      <c r="AN17" s="131">
        <f t="shared" si="2"/>
        <v>0</v>
      </c>
      <c r="AO17" s="131">
        <f t="shared" si="2"/>
        <v>0</v>
      </c>
      <c r="AP17" s="131">
        <f t="shared" si="2"/>
        <v>0</v>
      </c>
      <c r="AQ17" s="131">
        <f t="shared" si="2"/>
        <v>0</v>
      </c>
      <c r="AR17" s="131">
        <f t="shared" si="2"/>
        <v>0</v>
      </c>
      <c r="AS17" s="131">
        <f t="shared" si="2"/>
        <v>0</v>
      </c>
      <c r="AT17" s="131">
        <f t="shared" si="2"/>
        <v>0</v>
      </c>
      <c r="AU17" s="131">
        <f t="shared" si="2"/>
        <v>0</v>
      </c>
      <c r="AV17" s="131">
        <f t="shared" si="2"/>
        <v>0</v>
      </c>
      <c r="AW17" s="131">
        <f t="shared" si="2"/>
        <v>0</v>
      </c>
      <c r="AX17" s="131">
        <f t="shared" si="2"/>
        <v>0</v>
      </c>
      <c r="AY17" s="131">
        <f t="shared" si="2"/>
        <v>0</v>
      </c>
      <c r="AZ17" s="168">
        <f>SUM($D$17:$AY$17)</f>
        <v>0</v>
      </c>
    </row>
    <row r="18" spans="1:52" x14ac:dyDescent="0.2">
      <c r="A18" s="124"/>
      <c r="B18" s="170"/>
      <c r="C18" s="155"/>
      <c r="D18" s="155"/>
      <c r="E18" s="155"/>
      <c r="F18" s="155"/>
      <c r="G18" s="155"/>
      <c r="H18" s="155"/>
      <c r="I18" s="155"/>
      <c r="J18" s="155"/>
      <c r="K18" s="155"/>
      <c r="L18" s="155"/>
      <c r="M18" s="155"/>
      <c r="N18" s="155"/>
      <c r="O18" s="155"/>
      <c r="P18" s="155"/>
      <c r="Q18" s="155"/>
      <c r="R18" s="155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155"/>
      <c r="AT18" s="155"/>
      <c r="AU18" s="155"/>
      <c r="AV18" s="155"/>
      <c r="AW18" s="155"/>
      <c r="AX18" s="155"/>
      <c r="AY18" s="155"/>
      <c r="AZ18" s="124"/>
    </row>
    <row r="19" spans="1:52" x14ac:dyDescent="0.2">
      <c r="A19" s="1" t="s">
        <v>116</v>
      </c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4"/>
      <c r="AO19" s="124"/>
      <c r="AP19" s="124"/>
      <c r="AQ19" s="124"/>
      <c r="AR19" s="124"/>
      <c r="AS19" s="124"/>
      <c r="AT19" s="124"/>
      <c r="AU19" s="124"/>
      <c r="AV19" s="124"/>
      <c r="AW19" s="124"/>
      <c r="AX19" s="124"/>
      <c r="AY19" s="124"/>
    </row>
    <row r="20" spans="1:52" s="128" customFormat="1" x14ac:dyDescent="0.2">
      <c r="A20" s="132" t="s">
        <v>305</v>
      </c>
      <c r="B20" s="171" t="s">
        <v>306</v>
      </c>
      <c r="C20" s="134"/>
      <c r="D20" s="134"/>
      <c r="E20" s="134"/>
      <c r="F20" s="134"/>
      <c r="G20" s="134" t="s">
        <v>339</v>
      </c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 t="s">
        <v>339</v>
      </c>
      <c r="W20" s="134"/>
      <c r="X20" s="134"/>
      <c r="Y20" s="134"/>
      <c r="Z20" s="134"/>
      <c r="AA20" s="134"/>
      <c r="AB20" s="134"/>
      <c r="AC20" s="134"/>
      <c r="AD20" s="134"/>
      <c r="AE20" s="134"/>
      <c r="AF20" s="134"/>
      <c r="AG20" s="134"/>
      <c r="AH20" s="134"/>
      <c r="AI20" s="134"/>
      <c r="AJ20" s="134"/>
      <c r="AK20" s="134"/>
      <c r="AL20" s="134"/>
      <c r="AM20" s="134"/>
      <c r="AN20" s="134"/>
      <c r="AO20" s="134"/>
      <c r="AP20" s="134" t="s">
        <v>339</v>
      </c>
      <c r="AQ20" s="134"/>
      <c r="AR20" s="134"/>
      <c r="AS20" s="134"/>
      <c r="AT20" s="134"/>
      <c r="AU20" s="134"/>
      <c r="AV20" s="134"/>
      <c r="AW20" s="134"/>
      <c r="AX20" s="134"/>
      <c r="AY20" s="134"/>
      <c r="AZ20" s="125"/>
    </row>
    <row r="21" spans="1:52" s="128" customFormat="1" x14ac:dyDescent="0.2">
      <c r="A21" s="172" t="s">
        <v>133</v>
      </c>
      <c r="B21" s="173">
        <f>shipping_manufacturing!$C$19/100</f>
        <v>1</v>
      </c>
      <c r="C21" s="173" t="s">
        <v>293</v>
      </c>
      <c r="D21" s="124">
        <f>IF(C$20="Yes",0,SUM(C$13:C$16)*$B$21)</f>
        <v>909</v>
      </c>
      <c r="E21" s="124">
        <f t="shared" ref="E21:AY21" si="3">IF(D$20="Yes",0,SUM(D$13:D$16)*$B$21)</f>
        <v>552</v>
      </c>
      <c r="F21" s="124">
        <f t="shared" si="3"/>
        <v>552</v>
      </c>
      <c r="G21" s="124">
        <f t="shared" si="3"/>
        <v>552</v>
      </c>
      <c r="H21" s="124">
        <f t="shared" si="3"/>
        <v>0</v>
      </c>
      <c r="I21" s="124">
        <f t="shared" si="3"/>
        <v>552</v>
      </c>
      <c r="J21" s="124">
        <f t="shared" si="3"/>
        <v>552</v>
      </c>
      <c r="K21" s="124">
        <f t="shared" si="3"/>
        <v>552</v>
      </c>
      <c r="L21" s="124">
        <f t="shared" si="3"/>
        <v>552</v>
      </c>
      <c r="M21" s="124">
        <f t="shared" si="3"/>
        <v>552</v>
      </c>
      <c r="N21" s="124">
        <f t="shared" si="3"/>
        <v>552</v>
      </c>
      <c r="O21" s="124">
        <f t="shared" si="3"/>
        <v>552</v>
      </c>
      <c r="P21" s="124">
        <f t="shared" si="3"/>
        <v>552</v>
      </c>
      <c r="Q21" s="124">
        <f t="shared" si="3"/>
        <v>552</v>
      </c>
      <c r="R21" s="124">
        <f t="shared" si="3"/>
        <v>552</v>
      </c>
      <c r="S21" s="124">
        <f t="shared" si="3"/>
        <v>552</v>
      </c>
      <c r="T21" s="124">
        <f t="shared" si="3"/>
        <v>552</v>
      </c>
      <c r="U21" s="124">
        <f t="shared" si="3"/>
        <v>552</v>
      </c>
      <c r="V21" s="124">
        <f t="shared" si="3"/>
        <v>552</v>
      </c>
      <c r="W21" s="124">
        <f t="shared" si="3"/>
        <v>0</v>
      </c>
      <c r="X21" s="124">
        <f t="shared" si="3"/>
        <v>552</v>
      </c>
      <c r="Y21" s="124">
        <f t="shared" si="3"/>
        <v>552</v>
      </c>
      <c r="Z21" s="124">
        <f t="shared" si="3"/>
        <v>552</v>
      </c>
      <c r="AA21" s="124">
        <f t="shared" si="3"/>
        <v>552</v>
      </c>
      <c r="AB21" s="124">
        <f t="shared" si="3"/>
        <v>552</v>
      </c>
      <c r="AC21" s="124">
        <f t="shared" si="3"/>
        <v>552</v>
      </c>
      <c r="AD21" s="124">
        <f t="shared" si="3"/>
        <v>552</v>
      </c>
      <c r="AE21" s="124">
        <f t="shared" si="3"/>
        <v>552</v>
      </c>
      <c r="AF21" s="124">
        <f t="shared" si="3"/>
        <v>552</v>
      </c>
      <c r="AG21" s="124">
        <f t="shared" si="3"/>
        <v>552</v>
      </c>
      <c r="AH21" s="124">
        <f t="shared" si="3"/>
        <v>552</v>
      </c>
      <c r="AI21" s="124">
        <f t="shared" si="3"/>
        <v>552</v>
      </c>
      <c r="AJ21" s="124">
        <f t="shared" si="3"/>
        <v>552</v>
      </c>
      <c r="AK21" s="124">
        <f t="shared" si="3"/>
        <v>552</v>
      </c>
      <c r="AL21" s="124">
        <f t="shared" si="3"/>
        <v>552</v>
      </c>
      <c r="AM21" s="124">
        <f t="shared" si="3"/>
        <v>552</v>
      </c>
      <c r="AN21" s="124">
        <f t="shared" si="3"/>
        <v>552</v>
      </c>
      <c r="AO21" s="124">
        <f t="shared" si="3"/>
        <v>552</v>
      </c>
      <c r="AP21" s="124">
        <f t="shared" si="3"/>
        <v>552</v>
      </c>
      <c r="AQ21" s="124">
        <f t="shared" si="3"/>
        <v>0</v>
      </c>
      <c r="AR21" s="124">
        <f t="shared" si="3"/>
        <v>552</v>
      </c>
      <c r="AS21" s="124">
        <f t="shared" si="3"/>
        <v>552</v>
      </c>
      <c r="AT21" s="124">
        <f t="shared" si="3"/>
        <v>552</v>
      </c>
      <c r="AU21" s="124">
        <f t="shared" si="3"/>
        <v>552</v>
      </c>
      <c r="AV21" s="124">
        <f t="shared" si="3"/>
        <v>552</v>
      </c>
      <c r="AW21" s="124">
        <f t="shared" si="3"/>
        <v>552</v>
      </c>
      <c r="AX21" s="124">
        <f t="shared" si="3"/>
        <v>552</v>
      </c>
      <c r="AY21" s="124">
        <f t="shared" si="3"/>
        <v>552</v>
      </c>
      <c r="AZ21" s="174">
        <f>SUM($D21:$AY21)</f>
        <v>25197</v>
      </c>
    </row>
    <row r="22" spans="1:52" s="128" customFormat="1" x14ac:dyDescent="0.2">
      <c r="A22" s="175" t="s">
        <v>123</v>
      </c>
      <c r="B22" s="176">
        <f>1-$B$21</f>
        <v>0</v>
      </c>
      <c r="C22" s="176" t="s">
        <v>293</v>
      </c>
      <c r="D22" s="131">
        <f>IF(C$20="Yes",0,SUM(C$13:C$16)*$B$22)</f>
        <v>0</v>
      </c>
      <c r="E22" s="131">
        <f t="shared" ref="E22:AY22" si="4">IF(D$20="Yes",0,SUM(D$13:D$16)*$B$22)</f>
        <v>0</v>
      </c>
      <c r="F22" s="131">
        <f t="shared" si="4"/>
        <v>0</v>
      </c>
      <c r="G22" s="131">
        <f t="shared" si="4"/>
        <v>0</v>
      </c>
      <c r="H22" s="131">
        <f t="shared" si="4"/>
        <v>0</v>
      </c>
      <c r="I22" s="131">
        <f t="shared" si="4"/>
        <v>0</v>
      </c>
      <c r="J22" s="131">
        <f t="shared" si="4"/>
        <v>0</v>
      </c>
      <c r="K22" s="131">
        <f t="shared" si="4"/>
        <v>0</v>
      </c>
      <c r="L22" s="131">
        <f t="shared" si="4"/>
        <v>0</v>
      </c>
      <c r="M22" s="131">
        <f t="shared" si="4"/>
        <v>0</v>
      </c>
      <c r="N22" s="131">
        <f t="shared" si="4"/>
        <v>0</v>
      </c>
      <c r="O22" s="131">
        <f t="shared" si="4"/>
        <v>0</v>
      </c>
      <c r="P22" s="131">
        <f t="shared" si="4"/>
        <v>0</v>
      </c>
      <c r="Q22" s="131">
        <f t="shared" si="4"/>
        <v>0</v>
      </c>
      <c r="R22" s="131">
        <f t="shared" si="4"/>
        <v>0</v>
      </c>
      <c r="S22" s="131">
        <f t="shared" si="4"/>
        <v>0</v>
      </c>
      <c r="T22" s="131">
        <f t="shared" si="4"/>
        <v>0</v>
      </c>
      <c r="U22" s="131">
        <f t="shared" si="4"/>
        <v>0</v>
      </c>
      <c r="V22" s="131">
        <f t="shared" si="4"/>
        <v>0</v>
      </c>
      <c r="W22" s="131">
        <f t="shared" si="4"/>
        <v>0</v>
      </c>
      <c r="X22" s="131">
        <f t="shared" si="4"/>
        <v>0</v>
      </c>
      <c r="Y22" s="131">
        <f t="shared" si="4"/>
        <v>0</v>
      </c>
      <c r="Z22" s="131">
        <f t="shared" si="4"/>
        <v>0</v>
      </c>
      <c r="AA22" s="131">
        <f t="shared" si="4"/>
        <v>0</v>
      </c>
      <c r="AB22" s="131">
        <f t="shared" si="4"/>
        <v>0</v>
      </c>
      <c r="AC22" s="131">
        <f t="shared" si="4"/>
        <v>0</v>
      </c>
      <c r="AD22" s="131">
        <f t="shared" si="4"/>
        <v>0</v>
      </c>
      <c r="AE22" s="131">
        <f t="shared" si="4"/>
        <v>0</v>
      </c>
      <c r="AF22" s="131">
        <f t="shared" si="4"/>
        <v>0</v>
      </c>
      <c r="AG22" s="131">
        <f t="shared" si="4"/>
        <v>0</v>
      </c>
      <c r="AH22" s="131">
        <f t="shared" si="4"/>
        <v>0</v>
      </c>
      <c r="AI22" s="131">
        <f t="shared" si="4"/>
        <v>0</v>
      </c>
      <c r="AJ22" s="131">
        <f t="shared" si="4"/>
        <v>0</v>
      </c>
      <c r="AK22" s="131">
        <f t="shared" si="4"/>
        <v>0</v>
      </c>
      <c r="AL22" s="131">
        <f t="shared" si="4"/>
        <v>0</v>
      </c>
      <c r="AM22" s="131">
        <f t="shared" si="4"/>
        <v>0</v>
      </c>
      <c r="AN22" s="131">
        <f t="shared" si="4"/>
        <v>0</v>
      </c>
      <c r="AO22" s="131">
        <f t="shared" si="4"/>
        <v>0</v>
      </c>
      <c r="AP22" s="131">
        <f t="shared" si="4"/>
        <v>0</v>
      </c>
      <c r="AQ22" s="131">
        <f t="shared" si="4"/>
        <v>0</v>
      </c>
      <c r="AR22" s="131">
        <f t="shared" si="4"/>
        <v>0</v>
      </c>
      <c r="AS22" s="131">
        <f t="shared" si="4"/>
        <v>0</v>
      </c>
      <c r="AT22" s="131">
        <f t="shared" si="4"/>
        <v>0</v>
      </c>
      <c r="AU22" s="131">
        <f t="shared" si="4"/>
        <v>0</v>
      </c>
      <c r="AV22" s="131">
        <f t="shared" si="4"/>
        <v>0</v>
      </c>
      <c r="AW22" s="131">
        <f t="shared" si="4"/>
        <v>0</v>
      </c>
      <c r="AX22" s="131">
        <f t="shared" si="4"/>
        <v>0</v>
      </c>
      <c r="AY22" s="131">
        <f t="shared" si="4"/>
        <v>0</v>
      </c>
      <c r="AZ22" s="158">
        <f t="shared" ref="AZ22:AZ30" si="5">SUM($D22:$AY22)</f>
        <v>0</v>
      </c>
    </row>
    <row r="23" spans="1:52" x14ac:dyDescent="0.2">
      <c r="A23" s="177" t="s">
        <v>307</v>
      </c>
      <c r="B23" s="141">
        <v>2000</v>
      </c>
      <c r="C23" t="s">
        <v>293</v>
      </c>
      <c r="D23">
        <f>D$21*$B$23</f>
        <v>1818000</v>
      </c>
      <c r="E23">
        <f t="shared" ref="E23:AY23" si="6">E$21*$B$23</f>
        <v>1104000</v>
      </c>
      <c r="F23">
        <f t="shared" si="6"/>
        <v>1104000</v>
      </c>
      <c r="G23">
        <f t="shared" si="6"/>
        <v>1104000</v>
      </c>
      <c r="H23">
        <f t="shared" si="6"/>
        <v>0</v>
      </c>
      <c r="I23">
        <f t="shared" si="6"/>
        <v>1104000</v>
      </c>
      <c r="J23">
        <f t="shared" si="6"/>
        <v>1104000</v>
      </c>
      <c r="K23">
        <f t="shared" si="6"/>
        <v>1104000</v>
      </c>
      <c r="L23">
        <f t="shared" si="6"/>
        <v>1104000</v>
      </c>
      <c r="M23">
        <f t="shared" si="6"/>
        <v>1104000</v>
      </c>
      <c r="N23">
        <f t="shared" si="6"/>
        <v>1104000</v>
      </c>
      <c r="O23">
        <f t="shared" si="6"/>
        <v>1104000</v>
      </c>
      <c r="P23">
        <f t="shared" si="6"/>
        <v>1104000</v>
      </c>
      <c r="Q23">
        <f t="shared" si="6"/>
        <v>1104000</v>
      </c>
      <c r="R23">
        <f t="shared" si="6"/>
        <v>1104000</v>
      </c>
      <c r="S23">
        <f t="shared" si="6"/>
        <v>1104000</v>
      </c>
      <c r="T23">
        <f t="shared" si="6"/>
        <v>1104000</v>
      </c>
      <c r="U23">
        <f t="shared" si="6"/>
        <v>1104000</v>
      </c>
      <c r="V23">
        <f t="shared" si="6"/>
        <v>1104000</v>
      </c>
      <c r="W23">
        <f t="shared" si="6"/>
        <v>0</v>
      </c>
      <c r="X23">
        <f t="shared" si="6"/>
        <v>1104000</v>
      </c>
      <c r="Y23">
        <f t="shared" si="6"/>
        <v>1104000</v>
      </c>
      <c r="Z23">
        <f t="shared" si="6"/>
        <v>1104000</v>
      </c>
      <c r="AA23">
        <f t="shared" si="6"/>
        <v>1104000</v>
      </c>
      <c r="AB23">
        <f t="shared" si="6"/>
        <v>1104000</v>
      </c>
      <c r="AC23">
        <f t="shared" si="6"/>
        <v>1104000</v>
      </c>
      <c r="AD23">
        <f t="shared" si="6"/>
        <v>1104000</v>
      </c>
      <c r="AE23">
        <f t="shared" si="6"/>
        <v>1104000</v>
      </c>
      <c r="AF23">
        <f t="shared" si="6"/>
        <v>1104000</v>
      </c>
      <c r="AG23">
        <f t="shared" si="6"/>
        <v>1104000</v>
      </c>
      <c r="AH23">
        <f t="shared" si="6"/>
        <v>1104000</v>
      </c>
      <c r="AI23">
        <f t="shared" si="6"/>
        <v>1104000</v>
      </c>
      <c r="AJ23">
        <f t="shared" si="6"/>
        <v>1104000</v>
      </c>
      <c r="AK23">
        <f t="shared" si="6"/>
        <v>1104000</v>
      </c>
      <c r="AL23">
        <f t="shared" si="6"/>
        <v>1104000</v>
      </c>
      <c r="AM23">
        <f t="shared" si="6"/>
        <v>1104000</v>
      </c>
      <c r="AN23">
        <f t="shared" si="6"/>
        <v>1104000</v>
      </c>
      <c r="AO23">
        <f t="shared" si="6"/>
        <v>1104000</v>
      </c>
      <c r="AP23">
        <f t="shared" si="6"/>
        <v>1104000</v>
      </c>
      <c r="AQ23">
        <f t="shared" si="6"/>
        <v>0</v>
      </c>
      <c r="AR23">
        <f t="shared" si="6"/>
        <v>1104000</v>
      </c>
      <c r="AS23">
        <f t="shared" si="6"/>
        <v>1104000</v>
      </c>
      <c r="AT23">
        <f t="shared" si="6"/>
        <v>1104000</v>
      </c>
      <c r="AU23">
        <f t="shared" si="6"/>
        <v>1104000</v>
      </c>
      <c r="AV23">
        <f t="shared" si="6"/>
        <v>1104000</v>
      </c>
      <c r="AW23">
        <f t="shared" si="6"/>
        <v>1104000</v>
      </c>
      <c r="AX23">
        <f t="shared" si="6"/>
        <v>1104000</v>
      </c>
      <c r="AY23">
        <f t="shared" si="6"/>
        <v>1104000</v>
      </c>
      <c r="AZ23" s="156">
        <f t="shared" si="5"/>
        <v>50394000</v>
      </c>
    </row>
    <row r="24" spans="1:52" s="128" customFormat="1" x14ac:dyDescent="0.2">
      <c r="A24" s="178" t="s">
        <v>308</v>
      </c>
      <c r="B24" s="179">
        <v>1000</v>
      </c>
      <c r="C24" s="173" t="s">
        <v>293</v>
      </c>
      <c r="D24" s="124">
        <f>D$22*$B$24</f>
        <v>0</v>
      </c>
      <c r="E24" s="124">
        <f t="shared" ref="E24:AY24" si="7">E$22*$B$24</f>
        <v>0</v>
      </c>
      <c r="F24" s="124">
        <f t="shared" si="7"/>
        <v>0</v>
      </c>
      <c r="G24" s="124">
        <f t="shared" si="7"/>
        <v>0</v>
      </c>
      <c r="H24" s="124">
        <f t="shared" si="7"/>
        <v>0</v>
      </c>
      <c r="I24" s="124">
        <f t="shared" si="7"/>
        <v>0</v>
      </c>
      <c r="J24" s="124">
        <f t="shared" si="7"/>
        <v>0</v>
      </c>
      <c r="K24" s="124">
        <f t="shared" si="7"/>
        <v>0</v>
      </c>
      <c r="L24" s="124">
        <f t="shared" si="7"/>
        <v>0</v>
      </c>
      <c r="M24" s="124">
        <f t="shared" si="7"/>
        <v>0</v>
      </c>
      <c r="N24" s="124">
        <f t="shared" si="7"/>
        <v>0</v>
      </c>
      <c r="O24" s="124">
        <f t="shared" si="7"/>
        <v>0</v>
      </c>
      <c r="P24" s="124">
        <f t="shared" si="7"/>
        <v>0</v>
      </c>
      <c r="Q24" s="124">
        <f t="shared" si="7"/>
        <v>0</v>
      </c>
      <c r="R24" s="124">
        <f t="shared" si="7"/>
        <v>0</v>
      </c>
      <c r="S24" s="124">
        <f t="shared" si="7"/>
        <v>0</v>
      </c>
      <c r="T24" s="124">
        <f t="shared" si="7"/>
        <v>0</v>
      </c>
      <c r="U24" s="124">
        <f t="shared" si="7"/>
        <v>0</v>
      </c>
      <c r="V24" s="124">
        <f t="shared" si="7"/>
        <v>0</v>
      </c>
      <c r="W24" s="124">
        <f t="shared" si="7"/>
        <v>0</v>
      </c>
      <c r="X24" s="124">
        <f t="shared" si="7"/>
        <v>0</v>
      </c>
      <c r="Y24" s="124">
        <f t="shared" si="7"/>
        <v>0</v>
      </c>
      <c r="Z24" s="124">
        <f t="shared" si="7"/>
        <v>0</v>
      </c>
      <c r="AA24" s="124">
        <f t="shared" si="7"/>
        <v>0</v>
      </c>
      <c r="AB24" s="124">
        <f t="shared" si="7"/>
        <v>0</v>
      </c>
      <c r="AC24" s="124">
        <f t="shared" si="7"/>
        <v>0</v>
      </c>
      <c r="AD24" s="124">
        <f t="shared" si="7"/>
        <v>0</v>
      </c>
      <c r="AE24" s="124">
        <f t="shared" si="7"/>
        <v>0</v>
      </c>
      <c r="AF24" s="124">
        <f t="shared" si="7"/>
        <v>0</v>
      </c>
      <c r="AG24" s="124">
        <f t="shared" si="7"/>
        <v>0</v>
      </c>
      <c r="AH24" s="124">
        <f t="shared" si="7"/>
        <v>0</v>
      </c>
      <c r="AI24" s="124">
        <f t="shared" si="7"/>
        <v>0</v>
      </c>
      <c r="AJ24" s="124">
        <f t="shared" si="7"/>
        <v>0</v>
      </c>
      <c r="AK24" s="124">
        <f t="shared" si="7"/>
        <v>0</v>
      </c>
      <c r="AL24" s="124">
        <f t="shared" si="7"/>
        <v>0</v>
      </c>
      <c r="AM24" s="124">
        <f t="shared" si="7"/>
        <v>0</v>
      </c>
      <c r="AN24" s="124">
        <f t="shared" si="7"/>
        <v>0</v>
      </c>
      <c r="AO24" s="124">
        <f t="shared" si="7"/>
        <v>0</v>
      </c>
      <c r="AP24" s="124">
        <f t="shared" si="7"/>
        <v>0</v>
      </c>
      <c r="AQ24" s="124">
        <f t="shared" si="7"/>
        <v>0</v>
      </c>
      <c r="AR24" s="124">
        <f t="shared" si="7"/>
        <v>0</v>
      </c>
      <c r="AS24" s="124">
        <f t="shared" si="7"/>
        <v>0</v>
      </c>
      <c r="AT24" s="124">
        <f t="shared" si="7"/>
        <v>0</v>
      </c>
      <c r="AU24" s="124">
        <f t="shared" si="7"/>
        <v>0</v>
      </c>
      <c r="AV24" s="124">
        <f t="shared" si="7"/>
        <v>0</v>
      </c>
      <c r="AW24" s="124">
        <f t="shared" si="7"/>
        <v>0</v>
      </c>
      <c r="AX24" s="124">
        <f t="shared" si="7"/>
        <v>0</v>
      </c>
      <c r="AY24" s="124">
        <f t="shared" si="7"/>
        <v>0</v>
      </c>
      <c r="AZ24" s="158">
        <f t="shared" si="5"/>
        <v>0</v>
      </c>
    </row>
    <row r="25" spans="1:52" x14ac:dyDescent="0.2"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  <c r="AP25" s="155"/>
      <c r="AQ25" s="155"/>
      <c r="AR25" s="155"/>
      <c r="AS25" s="155"/>
      <c r="AT25" s="155"/>
      <c r="AU25" s="155"/>
      <c r="AV25" s="155"/>
      <c r="AW25" s="155"/>
      <c r="AX25" s="155"/>
      <c r="AY25" s="155"/>
      <c r="AZ25" s="124"/>
    </row>
    <row r="26" spans="1:52" x14ac:dyDescent="0.2">
      <c r="A26" s="180" t="s">
        <v>18</v>
      </c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24"/>
      <c r="AX26" s="124"/>
      <c r="AY26" s="124"/>
      <c r="AZ26" s="124"/>
    </row>
    <row r="27" spans="1:52" x14ac:dyDescent="0.2">
      <c r="B27" s="152" t="s">
        <v>309</v>
      </c>
      <c r="C27" s="141">
        <v>-2</v>
      </c>
      <c r="D27" s="141">
        <f>C$27-C$28+C$29</f>
        <v>13</v>
      </c>
      <c r="E27" s="141">
        <f t="shared" ref="E27:AY27" si="8">D27-D28+D29</f>
        <v>2</v>
      </c>
      <c r="F27" s="141">
        <f t="shared" si="8"/>
        <v>13</v>
      </c>
      <c r="G27" s="141">
        <f t="shared" si="8"/>
        <v>2</v>
      </c>
      <c r="H27" s="141">
        <f t="shared" si="8"/>
        <v>13</v>
      </c>
      <c r="I27" s="141">
        <f t="shared" si="8"/>
        <v>15</v>
      </c>
      <c r="J27" s="141">
        <f t="shared" si="8"/>
        <v>0</v>
      </c>
      <c r="K27" s="141">
        <f t="shared" si="8"/>
        <v>15</v>
      </c>
      <c r="L27" s="141">
        <f t="shared" si="8"/>
        <v>0</v>
      </c>
      <c r="M27" s="141">
        <f t="shared" si="8"/>
        <v>15</v>
      </c>
      <c r="N27" s="141">
        <f t="shared" si="8"/>
        <v>0</v>
      </c>
      <c r="O27" s="141">
        <f t="shared" si="8"/>
        <v>15</v>
      </c>
      <c r="P27" s="141">
        <f t="shared" si="8"/>
        <v>0</v>
      </c>
      <c r="Q27" s="141">
        <f t="shared" si="8"/>
        <v>15</v>
      </c>
      <c r="R27" s="141">
        <f t="shared" si="8"/>
        <v>0</v>
      </c>
      <c r="S27" s="141">
        <f t="shared" si="8"/>
        <v>15</v>
      </c>
      <c r="T27" s="141">
        <f t="shared" si="8"/>
        <v>0</v>
      </c>
      <c r="U27" s="141">
        <f t="shared" si="8"/>
        <v>15</v>
      </c>
      <c r="V27" s="141">
        <f t="shared" si="8"/>
        <v>0</v>
      </c>
      <c r="W27" s="141">
        <f t="shared" si="8"/>
        <v>15</v>
      </c>
      <c r="X27" s="141">
        <f t="shared" si="8"/>
        <v>15</v>
      </c>
      <c r="Y27" s="141">
        <f t="shared" si="8"/>
        <v>0</v>
      </c>
      <c r="Z27" s="141">
        <f t="shared" si="8"/>
        <v>15</v>
      </c>
      <c r="AA27" s="141">
        <f t="shared" si="8"/>
        <v>0</v>
      </c>
      <c r="AB27" s="141">
        <f t="shared" si="8"/>
        <v>15</v>
      </c>
      <c r="AC27" s="141">
        <f t="shared" si="8"/>
        <v>0</v>
      </c>
      <c r="AD27" s="141">
        <f t="shared" si="8"/>
        <v>15</v>
      </c>
      <c r="AE27" s="141">
        <f t="shared" si="8"/>
        <v>0</v>
      </c>
      <c r="AF27" s="141">
        <f t="shared" si="8"/>
        <v>15</v>
      </c>
      <c r="AG27" s="141">
        <f t="shared" si="8"/>
        <v>0</v>
      </c>
      <c r="AH27" s="141">
        <f t="shared" si="8"/>
        <v>15</v>
      </c>
      <c r="AI27" s="141">
        <f t="shared" si="8"/>
        <v>0</v>
      </c>
      <c r="AJ27" s="141">
        <f t="shared" si="8"/>
        <v>15</v>
      </c>
      <c r="AK27" s="141">
        <f t="shared" si="8"/>
        <v>0</v>
      </c>
      <c r="AL27" s="141">
        <f t="shared" si="8"/>
        <v>15</v>
      </c>
      <c r="AM27" s="141">
        <f t="shared" si="8"/>
        <v>0</v>
      </c>
      <c r="AN27" s="141">
        <f t="shared" si="8"/>
        <v>15</v>
      </c>
      <c r="AO27" s="141">
        <f t="shared" si="8"/>
        <v>0</v>
      </c>
      <c r="AP27" s="141">
        <f t="shared" si="8"/>
        <v>15</v>
      </c>
      <c r="AQ27" s="141">
        <f t="shared" si="8"/>
        <v>0</v>
      </c>
      <c r="AR27" s="141">
        <f t="shared" si="8"/>
        <v>15</v>
      </c>
      <c r="AS27" s="141">
        <f t="shared" si="8"/>
        <v>0</v>
      </c>
      <c r="AT27" s="141">
        <f t="shared" si="8"/>
        <v>15</v>
      </c>
      <c r="AU27" s="141">
        <f t="shared" si="8"/>
        <v>0</v>
      </c>
      <c r="AV27" s="141">
        <f t="shared" si="8"/>
        <v>15</v>
      </c>
      <c r="AW27" s="141">
        <f t="shared" si="8"/>
        <v>0</v>
      </c>
      <c r="AX27" s="141">
        <f t="shared" si="8"/>
        <v>15</v>
      </c>
      <c r="AY27" s="181">
        <f t="shared" si="8"/>
        <v>0</v>
      </c>
      <c r="AZ27" s="124"/>
    </row>
    <row r="28" spans="1:52" x14ac:dyDescent="0.2">
      <c r="B28" s="182" t="s">
        <v>310</v>
      </c>
      <c r="C28" s="128">
        <v>2</v>
      </c>
      <c r="D28" s="128">
        <v>13</v>
      </c>
      <c r="E28" s="128">
        <v>2</v>
      </c>
      <c r="F28" s="128">
        <v>13</v>
      </c>
      <c r="G28" s="128">
        <v>2</v>
      </c>
      <c r="H28" s="128">
        <v>0</v>
      </c>
      <c r="I28" s="128">
        <v>15</v>
      </c>
      <c r="J28" s="128">
        <v>0</v>
      </c>
      <c r="K28" s="128">
        <v>15</v>
      </c>
      <c r="L28" s="128">
        <v>0</v>
      </c>
      <c r="M28" s="128">
        <v>15</v>
      </c>
      <c r="N28" s="128">
        <v>0</v>
      </c>
      <c r="O28" s="128">
        <v>15</v>
      </c>
      <c r="P28" s="128">
        <v>0</v>
      </c>
      <c r="Q28" s="128">
        <v>15</v>
      </c>
      <c r="R28" s="128">
        <v>0</v>
      </c>
      <c r="S28" s="128">
        <v>15</v>
      </c>
      <c r="T28" s="128">
        <v>0</v>
      </c>
      <c r="U28" s="128">
        <v>15</v>
      </c>
      <c r="V28" s="128">
        <v>0</v>
      </c>
      <c r="W28" s="128">
        <v>0</v>
      </c>
      <c r="X28" s="128">
        <v>15</v>
      </c>
      <c r="Y28" s="128">
        <v>0</v>
      </c>
      <c r="Z28" s="128">
        <v>15</v>
      </c>
      <c r="AA28" s="128">
        <v>0</v>
      </c>
      <c r="AB28" s="128">
        <v>15</v>
      </c>
      <c r="AC28" s="128">
        <v>0</v>
      </c>
      <c r="AD28" s="128">
        <v>15</v>
      </c>
      <c r="AE28" s="128">
        <v>0</v>
      </c>
      <c r="AF28" s="128">
        <v>15</v>
      </c>
      <c r="AG28" s="128">
        <v>0</v>
      </c>
      <c r="AH28" s="128">
        <v>15</v>
      </c>
      <c r="AI28" s="128">
        <v>0</v>
      </c>
      <c r="AJ28" s="128">
        <v>15</v>
      </c>
      <c r="AK28" s="128">
        <v>0</v>
      </c>
      <c r="AL28" s="128">
        <v>15</v>
      </c>
      <c r="AM28" s="128">
        <v>0</v>
      </c>
      <c r="AN28" s="128">
        <v>15</v>
      </c>
      <c r="AO28" s="128">
        <v>0</v>
      </c>
      <c r="AP28" s="128">
        <v>15</v>
      </c>
      <c r="AQ28" s="128">
        <v>0</v>
      </c>
      <c r="AR28" s="128">
        <v>15</v>
      </c>
      <c r="AS28" s="128">
        <v>0</v>
      </c>
      <c r="AT28" s="128">
        <v>15</v>
      </c>
      <c r="AU28" s="128">
        <v>0</v>
      </c>
      <c r="AV28" s="128">
        <v>15</v>
      </c>
      <c r="AW28" s="128">
        <v>0</v>
      </c>
      <c r="AX28" s="128">
        <v>15</v>
      </c>
      <c r="AY28" s="183">
        <v>0</v>
      </c>
      <c r="AZ28" s="124"/>
    </row>
    <row r="29" spans="1:52" x14ac:dyDescent="0.2">
      <c r="B29" s="153" t="s">
        <v>311</v>
      </c>
      <c r="C29" s="142">
        <v>17</v>
      </c>
      <c r="D29" s="142">
        <f>C$28</f>
        <v>2</v>
      </c>
      <c r="E29" s="142">
        <f t="shared" ref="E29:AY29" si="9">D$28</f>
        <v>13</v>
      </c>
      <c r="F29" s="142">
        <f t="shared" si="9"/>
        <v>2</v>
      </c>
      <c r="G29" s="142">
        <f t="shared" si="9"/>
        <v>13</v>
      </c>
      <c r="H29" s="142">
        <f t="shared" si="9"/>
        <v>2</v>
      </c>
      <c r="I29" s="142">
        <f t="shared" si="9"/>
        <v>0</v>
      </c>
      <c r="J29" s="142">
        <f t="shared" si="9"/>
        <v>15</v>
      </c>
      <c r="K29" s="142">
        <f t="shared" si="9"/>
        <v>0</v>
      </c>
      <c r="L29" s="142">
        <f t="shared" si="9"/>
        <v>15</v>
      </c>
      <c r="M29" s="142">
        <f t="shared" si="9"/>
        <v>0</v>
      </c>
      <c r="N29" s="142">
        <f t="shared" si="9"/>
        <v>15</v>
      </c>
      <c r="O29" s="142">
        <f t="shared" si="9"/>
        <v>0</v>
      </c>
      <c r="P29" s="142">
        <f t="shared" si="9"/>
        <v>15</v>
      </c>
      <c r="Q29" s="142">
        <f t="shared" si="9"/>
        <v>0</v>
      </c>
      <c r="R29" s="142">
        <f t="shared" si="9"/>
        <v>15</v>
      </c>
      <c r="S29" s="142">
        <f t="shared" si="9"/>
        <v>0</v>
      </c>
      <c r="T29" s="142">
        <f t="shared" si="9"/>
        <v>15</v>
      </c>
      <c r="U29" s="142">
        <f t="shared" si="9"/>
        <v>0</v>
      </c>
      <c r="V29" s="142">
        <f t="shared" si="9"/>
        <v>15</v>
      </c>
      <c r="W29" s="142">
        <f t="shared" si="9"/>
        <v>0</v>
      </c>
      <c r="X29" s="142">
        <f t="shared" si="9"/>
        <v>0</v>
      </c>
      <c r="Y29" s="142">
        <f t="shared" si="9"/>
        <v>15</v>
      </c>
      <c r="Z29" s="142">
        <f t="shared" si="9"/>
        <v>0</v>
      </c>
      <c r="AA29" s="142">
        <f t="shared" si="9"/>
        <v>15</v>
      </c>
      <c r="AB29" s="142">
        <f t="shared" si="9"/>
        <v>0</v>
      </c>
      <c r="AC29" s="142">
        <f t="shared" si="9"/>
        <v>15</v>
      </c>
      <c r="AD29" s="142">
        <f t="shared" si="9"/>
        <v>0</v>
      </c>
      <c r="AE29" s="142">
        <f t="shared" si="9"/>
        <v>15</v>
      </c>
      <c r="AF29" s="142">
        <f t="shared" si="9"/>
        <v>0</v>
      </c>
      <c r="AG29" s="142">
        <f t="shared" si="9"/>
        <v>15</v>
      </c>
      <c r="AH29" s="142">
        <f t="shared" si="9"/>
        <v>0</v>
      </c>
      <c r="AI29" s="142">
        <f t="shared" si="9"/>
        <v>15</v>
      </c>
      <c r="AJ29" s="142">
        <f t="shared" si="9"/>
        <v>0</v>
      </c>
      <c r="AK29" s="142">
        <f t="shared" si="9"/>
        <v>15</v>
      </c>
      <c r="AL29" s="142">
        <f t="shared" si="9"/>
        <v>0</v>
      </c>
      <c r="AM29" s="142">
        <f t="shared" si="9"/>
        <v>15</v>
      </c>
      <c r="AN29" s="142">
        <f t="shared" si="9"/>
        <v>0</v>
      </c>
      <c r="AO29" s="142">
        <f t="shared" si="9"/>
        <v>15</v>
      </c>
      <c r="AP29" s="142">
        <f t="shared" si="9"/>
        <v>0</v>
      </c>
      <c r="AQ29" s="142">
        <f t="shared" si="9"/>
        <v>15</v>
      </c>
      <c r="AR29" s="142">
        <f t="shared" si="9"/>
        <v>0</v>
      </c>
      <c r="AS29" s="142">
        <f t="shared" si="9"/>
        <v>15</v>
      </c>
      <c r="AT29" s="142">
        <f t="shared" si="9"/>
        <v>0</v>
      </c>
      <c r="AU29" s="142">
        <f t="shared" si="9"/>
        <v>15</v>
      </c>
      <c r="AV29" s="142">
        <f t="shared" si="9"/>
        <v>0</v>
      </c>
      <c r="AW29" s="142">
        <f t="shared" si="9"/>
        <v>15</v>
      </c>
      <c r="AX29" s="142">
        <f t="shared" si="9"/>
        <v>0</v>
      </c>
      <c r="AY29" s="184">
        <f t="shared" si="9"/>
        <v>15</v>
      </c>
      <c r="AZ29" s="185"/>
    </row>
    <row r="30" spans="1:52" x14ac:dyDescent="0.2">
      <c r="A30" s="186" t="s">
        <v>312</v>
      </c>
      <c r="B30" s="161">
        <v>10</v>
      </c>
      <c r="C30" s="134" t="s">
        <v>293</v>
      </c>
      <c r="D30" s="134">
        <f>D$27*$B$30</f>
        <v>130</v>
      </c>
      <c r="E30" s="134">
        <f t="shared" ref="E30:AY30" si="10">E$27*$B$30</f>
        <v>20</v>
      </c>
      <c r="F30" s="134">
        <f t="shared" si="10"/>
        <v>130</v>
      </c>
      <c r="G30" s="134">
        <f t="shared" si="10"/>
        <v>20</v>
      </c>
      <c r="H30" s="134">
        <f t="shared" si="10"/>
        <v>130</v>
      </c>
      <c r="I30" s="134">
        <f t="shared" si="10"/>
        <v>150</v>
      </c>
      <c r="J30" s="134">
        <f t="shared" si="10"/>
        <v>0</v>
      </c>
      <c r="K30" s="134">
        <f t="shared" si="10"/>
        <v>150</v>
      </c>
      <c r="L30" s="134">
        <f t="shared" si="10"/>
        <v>0</v>
      </c>
      <c r="M30" s="134">
        <f t="shared" si="10"/>
        <v>150</v>
      </c>
      <c r="N30" s="134">
        <f t="shared" si="10"/>
        <v>0</v>
      </c>
      <c r="O30" s="134">
        <f t="shared" si="10"/>
        <v>150</v>
      </c>
      <c r="P30" s="134">
        <f t="shared" si="10"/>
        <v>0</v>
      </c>
      <c r="Q30" s="134">
        <f t="shared" si="10"/>
        <v>150</v>
      </c>
      <c r="R30" s="134">
        <f>R$27*$B$30</f>
        <v>0</v>
      </c>
      <c r="S30" s="134">
        <f t="shared" si="10"/>
        <v>150</v>
      </c>
      <c r="T30" s="134">
        <f t="shared" si="10"/>
        <v>0</v>
      </c>
      <c r="U30" s="134">
        <f t="shared" si="10"/>
        <v>150</v>
      </c>
      <c r="V30" s="134">
        <f t="shared" si="10"/>
        <v>0</v>
      </c>
      <c r="W30" s="134">
        <f t="shared" si="10"/>
        <v>150</v>
      </c>
      <c r="X30" s="134">
        <f t="shared" si="10"/>
        <v>150</v>
      </c>
      <c r="Y30" s="134">
        <f t="shared" si="10"/>
        <v>0</v>
      </c>
      <c r="Z30" s="134">
        <f t="shared" si="10"/>
        <v>150</v>
      </c>
      <c r="AA30" s="134">
        <f t="shared" si="10"/>
        <v>0</v>
      </c>
      <c r="AB30" s="134">
        <f t="shared" si="10"/>
        <v>150</v>
      </c>
      <c r="AC30" s="134">
        <f t="shared" si="10"/>
        <v>0</v>
      </c>
      <c r="AD30" s="134">
        <f t="shared" si="10"/>
        <v>150</v>
      </c>
      <c r="AE30" s="134">
        <f>AE$27*$B$30</f>
        <v>0</v>
      </c>
      <c r="AF30" s="134">
        <f t="shared" si="10"/>
        <v>150</v>
      </c>
      <c r="AG30" s="134">
        <f t="shared" si="10"/>
        <v>0</v>
      </c>
      <c r="AH30" s="134">
        <f t="shared" si="10"/>
        <v>150</v>
      </c>
      <c r="AI30" s="134">
        <f t="shared" si="10"/>
        <v>0</v>
      </c>
      <c r="AJ30" s="134">
        <f t="shared" si="10"/>
        <v>150</v>
      </c>
      <c r="AK30" s="134">
        <f t="shared" si="10"/>
        <v>0</v>
      </c>
      <c r="AL30" s="134">
        <f t="shared" si="10"/>
        <v>150</v>
      </c>
      <c r="AM30" s="134">
        <f t="shared" si="10"/>
        <v>0</v>
      </c>
      <c r="AN30" s="134">
        <f t="shared" si="10"/>
        <v>150</v>
      </c>
      <c r="AO30" s="134">
        <f t="shared" si="10"/>
        <v>0</v>
      </c>
      <c r="AP30" s="134">
        <f t="shared" si="10"/>
        <v>150</v>
      </c>
      <c r="AQ30" s="134">
        <f t="shared" si="10"/>
        <v>0</v>
      </c>
      <c r="AR30" s="134">
        <f t="shared" si="10"/>
        <v>150</v>
      </c>
      <c r="AS30" s="134">
        <f t="shared" si="10"/>
        <v>0</v>
      </c>
      <c r="AT30" s="134">
        <f t="shared" si="10"/>
        <v>150</v>
      </c>
      <c r="AU30" s="134">
        <f t="shared" si="10"/>
        <v>0</v>
      </c>
      <c r="AV30" s="134">
        <f t="shared" si="10"/>
        <v>150</v>
      </c>
      <c r="AW30" s="134">
        <f t="shared" si="10"/>
        <v>0</v>
      </c>
      <c r="AX30" s="134">
        <f t="shared" si="10"/>
        <v>150</v>
      </c>
      <c r="AY30" s="134">
        <f t="shared" si="10"/>
        <v>0</v>
      </c>
      <c r="AZ30" s="158">
        <f t="shared" si="5"/>
        <v>3730</v>
      </c>
    </row>
    <row r="32" spans="1:52" x14ac:dyDescent="0.2">
      <c r="A32" s="1" t="s">
        <v>300</v>
      </c>
    </row>
    <row r="33" spans="1:52" x14ac:dyDescent="0.2">
      <c r="A33" s="152" t="s">
        <v>22</v>
      </c>
      <c r="B33" s="152" t="s">
        <v>341</v>
      </c>
      <c r="C33" s="141"/>
      <c r="D33" s="141">
        <f>D$21*shipping_manufacturing!$D$27/100</f>
        <v>909</v>
      </c>
      <c r="E33" s="141">
        <f>E$21*shipping_manufacturing!$D$27/100</f>
        <v>552</v>
      </c>
      <c r="F33" s="141">
        <f>F$21*shipping_manufacturing!$D$27/100</f>
        <v>552</v>
      </c>
      <c r="G33" s="141">
        <f>G$21*shipping_manufacturing!$D$27/100</f>
        <v>552</v>
      </c>
      <c r="H33" s="141">
        <f>H$21*shipping_manufacturing!$D$27/100</f>
        <v>0</v>
      </c>
      <c r="I33" s="141">
        <f>I$21*shipping_manufacturing!$D$27/100</f>
        <v>552</v>
      </c>
      <c r="J33" s="141">
        <f>J$21*shipping_manufacturing!$D$27/100</f>
        <v>552</v>
      </c>
      <c r="K33" s="141">
        <f>K$21*shipping_manufacturing!$D$27/100</f>
        <v>552</v>
      </c>
      <c r="L33" s="141">
        <f>L$21*shipping_manufacturing!$D$27/100</f>
        <v>552</v>
      </c>
      <c r="M33" s="141">
        <f>M$21*shipping_manufacturing!$D$27/100</f>
        <v>552</v>
      </c>
      <c r="N33" s="141">
        <f>N$21*shipping_manufacturing!$D$27/100</f>
        <v>552</v>
      </c>
      <c r="O33" s="141">
        <f>O$21*shipping_manufacturing!$D$27/100</f>
        <v>552</v>
      </c>
      <c r="P33" s="141">
        <f>P$21*shipping_manufacturing!$D$27/100</f>
        <v>552</v>
      </c>
      <c r="Q33" s="141">
        <f>Q$21*shipping_manufacturing!$D$27/100</f>
        <v>552</v>
      </c>
      <c r="R33" s="141">
        <f>R$21*shipping_manufacturing!$D$27/100</f>
        <v>552</v>
      </c>
      <c r="S33" s="141">
        <f>S$21*shipping_manufacturing!$D$27/100</f>
        <v>552</v>
      </c>
      <c r="T33" s="141">
        <f>T$21*shipping_manufacturing!$D$27/100</f>
        <v>552</v>
      </c>
      <c r="U33" s="141">
        <f>U$21*shipping_manufacturing!$D$27/100</f>
        <v>552</v>
      </c>
      <c r="V33" s="141">
        <f>V$21*shipping_manufacturing!$D$27/100</f>
        <v>552</v>
      </c>
      <c r="W33" s="141">
        <f>W$21*shipping_manufacturing!$D$27/100</f>
        <v>0</v>
      </c>
      <c r="X33" s="141">
        <f>X$21*shipping_manufacturing!$D$27/100</f>
        <v>552</v>
      </c>
      <c r="Y33" s="141">
        <f>Y$21*shipping_manufacturing!$D$27/100</f>
        <v>552</v>
      </c>
      <c r="Z33" s="141">
        <f>Z$21*shipping_manufacturing!$D$27/100</f>
        <v>552</v>
      </c>
      <c r="AA33" s="141">
        <f>AA$21*shipping_manufacturing!$D$27/100</f>
        <v>552</v>
      </c>
      <c r="AB33" s="141">
        <f>AB$21*shipping_manufacturing!$D$27/100</f>
        <v>552</v>
      </c>
      <c r="AC33" s="141">
        <f>AC$21*shipping_manufacturing!$D$27/100</f>
        <v>552</v>
      </c>
      <c r="AD33" s="141">
        <f>AD$21*shipping_manufacturing!$D$27/100</f>
        <v>552</v>
      </c>
      <c r="AE33" s="141">
        <f>AE$21*shipping_manufacturing!$D$27/100</f>
        <v>552</v>
      </c>
      <c r="AF33" s="141">
        <f>AF$21*shipping_manufacturing!$D$27/100</f>
        <v>552</v>
      </c>
      <c r="AG33" s="141">
        <f>AG$21*shipping_manufacturing!$D$27/100</f>
        <v>552</v>
      </c>
      <c r="AH33" s="141">
        <f>AH$21*shipping_manufacturing!$D$27/100</f>
        <v>552</v>
      </c>
      <c r="AI33" s="141">
        <f>AI$21*shipping_manufacturing!$D$27/100</f>
        <v>552</v>
      </c>
      <c r="AJ33" s="141">
        <f>AJ$21*shipping_manufacturing!$D$27/100</f>
        <v>552</v>
      </c>
      <c r="AK33" s="141">
        <f>AK$21*shipping_manufacturing!$D$27/100</f>
        <v>552</v>
      </c>
      <c r="AL33" s="141">
        <f>AL$21*shipping_manufacturing!$D$27/100</f>
        <v>552</v>
      </c>
      <c r="AM33" s="141">
        <f>AM$21*shipping_manufacturing!$D$27/100</f>
        <v>552</v>
      </c>
      <c r="AN33" s="141">
        <f>AN$21*shipping_manufacturing!$D$27/100</f>
        <v>552</v>
      </c>
      <c r="AO33" s="141">
        <f>AO$21*shipping_manufacturing!$D$27/100</f>
        <v>552</v>
      </c>
      <c r="AP33" s="141">
        <f>AP$21*shipping_manufacturing!$D$27/100</f>
        <v>552</v>
      </c>
      <c r="AQ33" s="141">
        <f>AQ$21*shipping_manufacturing!$D$27/100</f>
        <v>0</v>
      </c>
      <c r="AR33" s="141">
        <f>AR$21*shipping_manufacturing!$D$27/100</f>
        <v>552</v>
      </c>
      <c r="AS33" s="141">
        <f>AS$21*shipping_manufacturing!$D$27/100</f>
        <v>552</v>
      </c>
      <c r="AT33" s="141">
        <f>AT$21*shipping_manufacturing!$D$27/100</f>
        <v>552</v>
      </c>
      <c r="AU33" s="141">
        <f>AU$21*shipping_manufacturing!$D$27/100</f>
        <v>552</v>
      </c>
      <c r="AV33" s="141">
        <f>AV$21*shipping_manufacturing!$D$27/100</f>
        <v>552</v>
      </c>
      <c r="AW33" s="141">
        <f>AW$21*shipping_manufacturing!$D$27/100</f>
        <v>552</v>
      </c>
      <c r="AX33" s="141">
        <f>AX$21*shipping_manufacturing!$D$27/100</f>
        <v>552</v>
      </c>
      <c r="AY33" s="141">
        <f>AY$21*shipping_manufacturing!$D$27/100</f>
        <v>552</v>
      </c>
    </row>
    <row r="34" spans="1:52" x14ac:dyDescent="0.2">
      <c r="A34" s="130" t="s">
        <v>340</v>
      </c>
      <c r="B34" s="182" t="s">
        <v>342</v>
      </c>
      <c r="C34" s="128"/>
      <c r="D34" s="128">
        <f>D$22*shipping_manufacturing!$E$27/100</f>
        <v>0</v>
      </c>
      <c r="E34" s="128">
        <f>E$22*shipping_manufacturing!$E$27/100</f>
        <v>0</v>
      </c>
      <c r="F34" s="128">
        <f>F$22*shipping_manufacturing!$E$27/100</f>
        <v>0</v>
      </c>
      <c r="G34" s="128">
        <f>G$22*shipping_manufacturing!$E$27/100</f>
        <v>0</v>
      </c>
      <c r="H34" s="128">
        <f>H$22*shipping_manufacturing!$E$27/100</f>
        <v>0</v>
      </c>
      <c r="I34" s="128">
        <f>I$22*shipping_manufacturing!$E$27/100</f>
        <v>0</v>
      </c>
      <c r="J34" s="128">
        <f>J$22*shipping_manufacturing!$E$27/100</f>
        <v>0</v>
      </c>
      <c r="K34" s="128">
        <f>K$22*shipping_manufacturing!$E$27/100</f>
        <v>0</v>
      </c>
      <c r="L34" s="128">
        <f>L$22*shipping_manufacturing!$E$27/100</f>
        <v>0</v>
      </c>
      <c r="M34" s="128">
        <f>M$22*shipping_manufacturing!$E$27/100</f>
        <v>0</v>
      </c>
      <c r="N34" s="128">
        <f>N$22*shipping_manufacturing!$E$27/100</f>
        <v>0</v>
      </c>
      <c r="O34" s="128">
        <f>O$22*shipping_manufacturing!$E$27/100</f>
        <v>0</v>
      </c>
      <c r="P34" s="128">
        <f>P$22*shipping_manufacturing!$E$27/100</f>
        <v>0</v>
      </c>
      <c r="Q34" s="128">
        <f>Q$22*shipping_manufacturing!$E$27/100</f>
        <v>0</v>
      </c>
      <c r="R34" s="128">
        <f>R$22*shipping_manufacturing!$E$27/100</f>
        <v>0</v>
      </c>
      <c r="S34" s="128">
        <f>S$22*shipping_manufacturing!$E$27/100</f>
        <v>0</v>
      </c>
      <c r="T34" s="128">
        <f>T$22*shipping_manufacturing!$E$27/100</f>
        <v>0</v>
      </c>
      <c r="U34" s="128">
        <f>U$22*shipping_manufacturing!$E$27/100</f>
        <v>0</v>
      </c>
      <c r="V34" s="128">
        <f>V$22*shipping_manufacturing!$E$27/100</f>
        <v>0</v>
      </c>
      <c r="W34" s="128">
        <f>W$22*shipping_manufacturing!$E$27/100</f>
        <v>0</v>
      </c>
      <c r="X34" s="128">
        <f>X$22*shipping_manufacturing!$E$27/100</f>
        <v>0</v>
      </c>
      <c r="Y34" s="128">
        <f>Y$22*shipping_manufacturing!$E$27/100</f>
        <v>0</v>
      </c>
      <c r="Z34" s="128">
        <f>Z$22*shipping_manufacturing!$E$27/100</f>
        <v>0</v>
      </c>
      <c r="AA34" s="128">
        <f>AA$22*shipping_manufacturing!$E$27/100</f>
        <v>0</v>
      </c>
      <c r="AB34" s="128">
        <f>AB$22*shipping_manufacturing!$E$27/100</f>
        <v>0</v>
      </c>
      <c r="AC34" s="128">
        <f>AC$22*shipping_manufacturing!$E$27/100</f>
        <v>0</v>
      </c>
      <c r="AD34" s="128">
        <f>AD$22*shipping_manufacturing!$E$27/100</f>
        <v>0</v>
      </c>
      <c r="AE34" s="128">
        <f>AE$22*shipping_manufacturing!$E$27/100</f>
        <v>0</v>
      </c>
      <c r="AF34" s="128">
        <f>AF$22*shipping_manufacturing!$E$27/100</f>
        <v>0</v>
      </c>
      <c r="AG34" s="128">
        <f>AG$22*shipping_manufacturing!$E$27/100</f>
        <v>0</v>
      </c>
      <c r="AH34" s="128">
        <f>AH$22*shipping_manufacturing!$E$27/100</f>
        <v>0</v>
      </c>
      <c r="AI34" s="128">
        <f>AI$22*shipping_manufacturing!$E$27/100</f>
        <v>0</v>
      </c>
      <c r="AJ34" s="128">
        <f>AJ$22*shipping_manufacturing!$E$27/100</f>
        <v>0</v>
      </c>
      <c r="AK34" s="128">
        <f>AK$22*shipping_manufacturing!$E$27/100</f>
        <v>0</v>
      </c>
      <c r="AL34" s="128">
        <f>AL$22*shipping_manufacturing!$E$27/100</f>
        <v>0</v>
      </c>
      <c r="AM34" s="128">
        <f>AM$22*shipping_manufacturing!$E$27/100</f>
        <v>0</v>
      </c>
      <c r="AN34" s="128">
        <f>AN$22*shipping_manufacturing!$E$27/100</f>
        <v>0</v>
      </c>
      <c r="AO34" s="128">
        <f>AO$22*shipping_manufacturing!$E$27/100</f>
        <v>0</v>
      </c>
      <c r="AP34" s="128">
        <f>AP$22*shipping_manufacturing!$E$27/100</f>
        <v>0</v>
      </c>
      <c r="AQ34" s="128">
        <f>AQ$22*shipping_manufacturing!$E$27/100</f>
        <v>0</v>
      </c>
      <c r="AR34" s="128">
        <f>AR$22*shipping_manufacturing!$E$27/100</f>
        <v>0</v>
      </c>
      <c r="AS34" s="128">
        <f>AS$22*shipping_manufacturing!$E$27/100</f>
        <v>0</v>
      </c>
      <c r="AT34" s="128">
        <f>AT$22*shipping_manufacturing!$E$27/100</f>
        <v>0</v>
      </c>
      <c r="AU34" s="128">
        <f>AU$22*shipping_manufacturing!$E$27/100</f>
        <v>0</v>
      </c>
      <c r="AV34" s="128">
        <f>AV$22*shipping_manufacturing!$E$27/100</f>
        <v>0</v>
      </c>
      <c r="AW34" s="128">
        <f>AW$22*shipping_manufacturing!$E$27/100</f>
        <v>0</v>
      </c>
      <c r="AX34" s="128">
        <f>AX$22*shipping_manufacturing!$E$27/100</f>
        <v>0</v>
      </c>
      <c r="AY34" s="128">
        <f>AY$22*shipping_manufacturing!$E$27/100</f>
        <v>0</v>
      </c>
    </row>
    <row r="35" spans="1:52" x14ac:dyDescent="0.2">
      <c r="A35" s="128">
        <v>1335</v>
      </c>
      <c r="B35" s="182" t="s">
        <v>343</v>
      </c>
      <c r="C35" s="128"/>
      <c r="D35" s="128">
        <f>SUM(D33:D34)</f>
        <v>909</v>
      </c>
      <c r="E35" s="128">
        <f t="shared" ref="E35:AY35" si="11">SUM(E33:E34)</f>
        <v>552</v>
      </c>
      <c r="F35" s="128">
        <f t="shared" si="11"/>
        <v>552</v>
      </c>
      <c r="G35" s="128">
        <f t="shared" si="11"/>
        <v>552</v>
      </c>
      <c r="H35" s="128">
        <f t="shared" si="11"/>
        <v>0</v>
      </c>
      <c r="I35" s="128">
        <f t="shared" si="11"/>
        <v>552</v>
      </c>
      <c r="J35" s="128">
        <f t="shared" si="11"/>
        <v>552</v>
      </c>
      <c r="K35" s="128">
        <f t="shared" si="11"/>
        <v>552</v>
      </c>
      <c r="L35" s="128">
        <f t="shared" si="11"/>
        <v>552</v>
      </c>
      <c r="M35" s="128">
        <f t="shared" si="11"/>
        <v>552</v>
      </c>
      <c r="N35" s="128">
        <f t="shared" si="11"/>
        <v>552</v>
      </c>
      <c r="O35" s="128">
        <f t="shared" si="11"/>
        <v>552</v>
      </c>
      <c r="P35" s="128">
        <f t="shared" si="11"/>
        <v>552</v>
      </c>
      <c r="Q35" s="128">
        <f t="shared" si="11"/>
        <v>552</v>
      </c>
      <c r="R35" s="128">
        <f t="shared" si="11"/>
        <v>552</v>
      </c>
      <c r="S35" s="128">
        <f t="shared" si="11"/>
        <v>552</v>
      </c>
      <c r="T35" s="128">
        <f t="shared" si="11"/>
        <v>552</v>
      </c>
      <c r="U35" s="128">
        <f t="shared" si="11"/>
        <v>552</v>
      </c>
      <c r="V35" s="128">
        <f t="shared" si="11"/>
        <v>552</v>
      </c>
      <c r="W35" s="128">
        <f t="shared" si="11"/>
        <v>0</v>
      </c>
      <c r="X35" s="128">
        <f t="shared" si="11"/>
        <v>552</v>
      </c>
      <c r="Y35" s="128">
        <f t="shared" si="11"/>
        <v>552</v>
      </c>
      <c r="Z35" s="128">
        <f t="shared" si="11"/>
        <v>552</v>
      </c>
      <c r="AA35" s="128">
        <f t="shared" si="11"/>
        <v>552</v>
      </c>
      <c r="AB35" s="128">
        <f t="shared" si="11"/>
        <v>552</v>
      </c>
      <c r="AC35" s="128">
        <f t="shared" si="11"/>
        <v>552</v>
      </c>
      <c r="AD35" s="128">
        <f t="shared" si="11"/>
        <v>552</v>
      </c>
      <c r="AE35" s="128">
        <f t="shared" si="11"/>
        <v>552</v>
      </c>
      <c r="AF35" s="128">
        <f t="shared" si="11"/>
        <v>552</v>
      </c>
      <c r="AG35" s="128">
        <f t="shared" si="11"/>
        <v>552</v>
      </c>
      <c r="AH35" s="128">
        <f t="shared" si="11"/>
        <v>552</v>
      </c>
      <c r="AI35" s="128">
        <f t="shared" si="11"/>
        <v>552</v>
      </c>
      <c r="AJ35" s="128">
        <f t="shared" si="11"/>
        <v>552</v>
      </c>
      <c r="AK35" s="128">
        <f t="shared" si="11"/>
        <v>552</v>
      </c>
      <c r="AL35" s="128">
        <f t="shared" si="11"/>
        <v>552</v>
      </c>
      <c r="AM35" s="128">
        <f t="shared" si="11"/>
        <v>552</v>
      </c>
      <c r="AN35" s="128">
        <f t="shared" si="11"/>
        <v>552</v>
      </c>
      <c r="AO35" s="128">
        <f t="shared" si="11"/>
        <v>552</v>
      </c>
      <c r="AP35" s="128">
        <f t="shared" si="11"/>
        <v>552</v>
      </c>
      <c r="AQ35" s="128">
        <f t="shared" si="11"/>
        <v>0</v>
      </c>
      <c r="AR35" s="128">
        <f t="shared" si="11"/>
        <v>552</v>
      </c>
      <c r="AS35" s="128">
        <f t="shared" si="11"/>
        <v>552</v>
      </c>
      <c r="AT35" s="128">
        <f t="shared" si="11"/>
        <v>552</v>
      </c>
      <c r="AU35" s="128">
        <f t="shared" si="11"/>
        <v>552</v>
      </c>
      <c r="AV35" s="128">
        <f t="shared" si="11"/>
        <v>552</v>
      </c>
      <c r="AW35" s="128">
        <f t="shared" si="11"/>
        <v>552</v>
      </c>
      <c r="AX35" s="128">
        <f t="shared" si="11"/>
        <v>552</v>
      </c>
      <c r="AY35" s="128">
        <f t="shared" si="11"/>
        <v>552</v>
      </c>
    </row>
    <row r="36" spans="1:52" x14ac:dyDescent="0.2">
      <c r="A36" s="128"/>
      <c r="B36" s="182" t="s">
        <v>344</v>
      </c>
      <c r="C36" s="128"/>
      <c r="D36" s="128">
        <v>390</v>
      </c>
      <c r="E36" s="128">
        <v>60</v>
      </c>
      <c r="F36" s="128">
        <v>390</v>
      </c>
      <c r="G36" s="128">
        <v>60</v>
      </c>
      <c r="H36" s="128"/>
      <c r="I36" s="128">
        <v>450</v>
      </c>
      <c r="J36" s="128"/>
      <c r="K36" s="128">
        <v>450</v>
      </c>
      <c r="L36" s="128"/>
      <c r="M36" s="128">
        <v>450</v>
      </c>
      <c r="N36" s="128"/>
      <c r="O36" s="128">
        <v>450</v>
      </c>
      <c r="P36" s="128"/>
      <c r="Q36" s="128">
        <v>450</v>
      </c>
      <c r="R36" s="128"/>
      <c r="S36" s="128">
        <v>450</v>
      </c>
      <c r="T36" s="128"/>
      <c r="U36" s="128">
        <v>450</v>
      </c>
      <c r="V36" s="128"/>
      <c r="W36" s="128"/>
      <c r="X36" s="128">
        <v>450</v>
      </c>
      <c r="Y36" s="128"/>
      <c r="Z36" s="128">
        <v>450</v>
      </c>
      <c r="AA36" s="128"/>
      <c r="AB36" s="128">
        <v>450</v>
      </c>
      <c r="AC36" s="128"/>
      <c r="AD36" s="128">
        <v>450</v>
      </c>
      <c r="AE36" s="128"/>
      <c r="AF36" s="128">
        <v>450</v>
      </c>
      <c r="AG36" s="128"/>
      <c r="AH36" s="128">
        <v>450</v>
      </c>
      <c r="AI36" s="128"/>
      <c r="AJ36" s="128">
        <v>450</v>
      </c>
      <c r="AK36" s="128"/>
      <c r="AL36" s="128">
        <v>450</v>
      </c>
      <c r="AM36" s="128"/>
      <c r="AN36" s="128">
        <v>450</v>
      </c>
      <c r="AO36" s="128"/>
      <c r="AP36" s="128">
        <v>450</v>
      </c>
      <c r="AQ36" s="128"/>
      <c r="AR36" s="128">
        <v>450</v>
      </c>
      <c r="AS36" s="128"/>
      <c r="AT36" s="128">
        <v>450</v>
      </c>
      <c r="AU36" s="128"/>
      <c r="AV36" s="128">
        <v>450</v>
      </c>
      <c r="AW36" s="128"/>
      <c r="AX36" s="128">
        <v>450</v>
      </c>
      <c r="AY36" s="128"/>
    </row>
    <row r="37" spans="1:52" x14ac:dyDescent="0.2">
      <c r="A37" s="128"/>
      <c r="B37" s="182" t="s">
        <v>345</v>
      </c>
      <c r="C37" s="128"/>
      <c r="D37" s="128">
        <v>0</v>
      </c>
      <c r="E37" s="128">
        <v>0</v>
      </c>
      <c r="F37" s="128">
        <v>0</v>
      </c>
      <c r="G37" s="128">
        <v>0</v>
      </c>
      <c r="H37" s="128"/>
      <c r="I37" s="128">
        <v>0</v>
      </c>
      <c r="J37" s="128"/>
      <c r="K37" s="128">
        <v>0</v>
      </c>
      <c r="L37" s="128"/>
      <c r="M37" s="128">
        <v>0</v>
      </c>
      <c r="N37" s="128"/>
      <c r="O37" s="128">
        <v>0</v>
      </c>
      <c r="P37" s="128"/>
      <c r="Q37" s="128">
        <v>0</v>
      </c>
      <c r="R37" s="128"/>
      <c r="S37" s="128">
        <v>0</v>
      </c>
      <c r="T37" s="128"/>
      <c r="U37" s="128">
        <v>0</v>
      </c>
      <c r="V37" s="128"/>
      <c r="W37" s="128"/>
      <c r="X37" s="128">
        <v>0</v>
      </c>
      <c r="Y37" s="128"/>
      <c r="Z37" s="128">
        <v>0</v>
      </c>
      <c r="AA37" s="128"/>
      <c r="AB37" s="128">
        <v>0</v>
      </c>
      <c r="AC37" s="128"/>
      <c r="AD37" s="128">
        <v>0</v>
      </c>
      <c r="AE37" s="128"/>
      <c r="AF37" s="128">
        <v>0</v>
      </c>
      <c r="AG37" s="128"/>
      <c r="AH37" s="128">
        <v>0</v>
      </c>
      <c r="AI37" s="128"/>
      <c r="AJ37" s="128">
        <v>0</v>
      </c>
      <c r="AK37" s="128"/>
      <c r="AL37" s="128">
        <v>0</v>
      </c>
      <c r="AM37" s="128"/>
      <c r="AN37" s="128">
        <v>0</v>
      </c>
      <c r="AO37" s="128"/>
      <c r="AP37" s="128">
        <v>0</v>
      </c>
      <c r="AQ37" s="128"/>
      <c r="AR37" s="128">
        <v>0</v>
      </c>
      <c r="AS37" s="128"/>
      <c r="AT37" s="128">
        <v>0</v>
      </c>
      <c r="AU37" s="128"/>
      <c r="AV37" s="128">
        <v>0</v>
      </c>
      <c r="AW37" s="128"/>
      <c r="AX37" s="128">
        <v>0</v>
      </c>
      <c r="AY37" s="128"/>
    </row>
    <row r="38" spans="1:52" x14ac:dyDescent="0.2">
      <c r="A38" s="128"/>
      <c r="B38" s="182" t="s">
        <v>346</v>
      </c>
      <c r="C38" s="128"/>
      <c r="D38" s="128">
        <v>13</v>
      </c>
      <c r="E38" s="128">
        <v>2</v>
      </c>
      <c r="F38" s="128">
        <v>13</v>
      </c>
      <c r="G38" s="128">
        <v>2</v>
      </c>
      <c r="H38" s="128"/>
      <c r="I38" s="128">
        <v>15</v>
      </c>
      <c r="J38" s="128"/>
      <c r="K38" s="128">
        <v>15</v>
      </c>
      <c r="L38" s="128"/>
      <c r="M38" s="128">
        <v>15</v>
      </c>
      <c r="N38" s="128"/>
      <c r="O38" s="128">
        <v>15</v>
      </c>
      <c r="P38" s="128"/>
      <c r="Q38" s="128">
        <v>15</v>
      </c>
      <c r="R38" s="128"/>
      <c r="S38" s="128">
        <v>15</v>
      </c>
      <c r="T38" s="128"/>
      <c r="U38" s="128">
        <v>15</v>
      </c>
      <c r="V38" s="128"/>
      <c r="W38" s="128"/>
      <c r="X38" s="128">
        <v>15</v>
      </c>
      <c r="Y38" s="128"/>
      <c r="Z38" s="128">
        <v>15</v>
      </c>
      <c r="AA38" s="128"/>
      <c r="AB38" s="128">
        <v>15</v>
      </c>
      <c r="AC38" s="128"/>
      <c r="AD38" s="128">
        <v>15</v>
      </c>
      <c r="AE38" s="128"/>
      <c r="AF38" s="128">
        <v>15</v>
      </c>
      <c r="AG38" s="128"/>
      <c r="AH38" s="128">
        <v>15</v>
      </c>
      <c r="AI38" s="128"/>
      <c r="AJ38" s="128">
        <v>15</v>
      </c>
      <c r="AK38" s="128"/>
      <c r="AL38" s="128">
        <v>15</v>
      </c>
      <c r="AM38" s="128"/>
      <c r="AN38" s="128">
        <v>15</v>
      </c>
      <c r="AO38" s="128"/>
      <c r="AP38" s="128">
        <v>15</v>
      </c>
      <c r="AQ38" s="128"/>
      <c r="AR38" s="128">
        <v>15</v>
      </c>
      <c r="AS38" s="128"/>
      <c r="AT38" s="128">
        <v>15</v>
      </c>
      <c r="AU38" s="128"/>
      <c r="AV38" s="128">
        <v>15</v>
      </c>
      <c r="AW38" s="128"/>
      <c r="AX38" s="128">
        <v>15</v>
      </c>
      <c r="AY38" s="128"/>
    </row>
    <row r="39" spans="1:52" x14ac:dyDescent="0.2">
      <c r="A39" s="128"/>
      <c r="B39" s="182" t="s">
        <v>347</v>
      </c>
      <c r="C39" s="128"/>
      <c r="D39" s="128">
        <f>D33-D36</f>
        <v>519</v>
      </c>
      <c r="E39" s="128">
        <f t="shared" ref="E39:AY39" si="12">E33-E36</f>
        <v>492</v>
      </c>
      <c r="F39" s="128">
        <f t="shared" si="12"/>
        <v>162</v>
      </c>
      <c r="G39" s="128">
        <f t="shared" si="12"/>
        <v>492</v>
      </c>
      <c r="H39" s="128">
        <f t="shared" si="12"/>
        <v>0</v>
      </c>
      <c r="I39" s="128">
        <f t="shared" si="12"/>
        <v>102</v>
      </c>
      <c r="J39" s="128">
        <f t="shared" si="12"/>
        <v>552</v>
      </c>
      <c r="K39" s="128">
        <f t="shared" si="12"/>
        <v>102</v>
      </c>
      <c r="L39" s="128">
        <f t="shared" si="12"/>
        <v>552</v>
      </c>
      <c r="M39" s="128">
        <f t="shared" si="12"/>
        <v>102</v>
      </c>
      <c r="N39" s="128">
        <f t="shared" si="12"/>
        <v>552</v>
      </c>
      <c r="O39" s="128">
        <f t="shared" si="12"/>
        <v>102</v>
      </c>
      <c r="P39" s="128">
        <f t="shared" si="12"/>
        <v>552</v>
      </c>
      <c r="Q39" s="128">
        <f t="shared" si="12"/>
        <v>102</v>
      </c>
      <c r="R39" s="128">
        <f t="shared" si="12"/>
        <v>552</v>
      </c>
      <c r="S39" s="128">
        <f t="shared" si="12"/>
        <v>102</v>
      </c>
      <c r="T39" s="128">
        <f t="shared" si="12"/>
        <v>552</v>
      </c>
      <c r="U39" s="128">
        <f t="shared" si="12"/>
        <v>102</v>
      </c>
      <c r="V39" s="128">
        <f t="shared" si="12"/>
        <v>552</v>
      </c>
      <c r="W39" s="128">
        <f t="shared" si="12"/>
        <v>0</v>
      </c>
      <c r="X39" s="128">
        <f t="shared" si="12"/>
        <v>102</v>
      </c>
      <c r="Y39" s="128">
        <f t="shared" si="12"/>
        <v>552</v>
      </c>
      <c r="Z39" s="128">
        <f t="shared" si="12"/>
        <v>102</v>
      </c>
      <c r="AA39" s="128">
        <f t="shared" si="12"/>
        <v>552</v>
      </c>
      <c r="AB39" s="128">
        <f t="shared" si="12"/>
        <v>102</v>
      </c>
      <c r="AC39" s="128">
        <f t="shared" si="12"/>
        <v>552</v>
      </c>
      <c r="AD39" s="128">
        <f t="shared" si="12"/>
        <v>102</v>
      </c>
      <c r="AE39" s="128">
        <f t="shared" si="12"/>
        <v>552</v>
      </c>
      <c r="AF39" s="128">
        <f t="shared" si="12"/>
        <v>102</v>
      </c>
      <c r="AG39" s="128">
        <f t="shared" si="12"/>
        <v>552</v>
      </c>
      <c r="AH39" s="128">
        <f t="shared" si="12"/>
        <v>102</v>
      </c>
      <c r="AI39" s="128">
        <f t="shared" si="12"/>
        <v>552</v>
      </c>
      <c r="AJ39" s="128">
        <f t="shared" si="12"/>
        <v>102</v>
      </c>
      <c r="AK39" s="128">
        <f t="shared" si="12"/>
        <v>552</v>
      </c>
      <c r="AL39" s="128">
        <f t="shared" si="12"/>
        <v>102</v>
      </c>
      <c r="AM39" s="128">
        <f t="shared" si="12"/>
        <v>552</v>
      </c>
      <c r="AN39" s="128">
        <f t="shared" si="12"/>
        <v>102</v>
      </c>
      <c r="AO39" s="128">
        <f t="shared" si="12"/>
        <v>552</v>
      </c>
      <c r="AP39" s="128">
        <f t="shared" si="12"/>
        <v>102</v>
      </c>
      <c r="AQ39" s="128">
        <f t="shared" si="12"/>
        <v>0</v>
      </c>
      <c r="AR39" s="128">
        <f t="shared" si="12"/>
        <v>102</v>
      </c>
      <c r="AS39" s="128">
        <f t="shared" si="12"/>
        <v>552</v>
      </c>
      <c r="AT39" s="128">
        <f t="shared" si="12"/>
        <v>102</v>
      </c>
      <c r="AU39" s="128">
        <f t="shared" si="12"/>
        <v>552</v>
      </c>
      <c r="AV39" s="128">
        <f t="shared" si="12"/>
        <v>102</v>
      </c>
      <c r="AW39" s="128">
        <f t="shared" si="12"/>
        <v>552</v>
      </c>
      <c r="AX39" s="128">
        <f t="shared" si="12"/>
        <v>102</v>
      </c>
      <c r="AY39" s="128">
        <f t="shared" si="12"/>
        <v>552</v>
      </c>
    </row>
    <row r="40" spans="1:52" x14ac:dyDescent="0.2">
      <c r="A40" s="128"/>
      <c r="B40" s="182" t="s">
        <v>348</v>
      </c>
      <c r="C40" s="128"/>
      <c r="D40" s="128">
        <f>D34-D37</f>
        <v>0</v>
      </c>
      <c r="E40" s="128">
        <f t="shared" ref="E40:AY40" si="13">E34-E37</f>
        <v>0</v>
      </c>
      <c r="F40" s="128">
        <f t="shared" si="13"/>
        <v>0</v>
      </c>
      <c r="G40" s="128">
        <f t="shared" si="13"/>
        <v>0</v>
      </c>
      <c r="H40" s="128">
        <f t="shared" si="13"/>
        <v>0</v>
      </c>
      <c r="I40" s="128">
        <f t="shared" si="13"/>
        <v>0</v>
      </c>
      <c r="J40" s="128">
        <f t="shared" si="13"/>
        <v>0</v>
      </c>
      <c r="K40" s="128">
        <f t="shared" si="13"/>
        <v>0</v>
      </c>
      <c r="L40" s="128">
        <f t="shared" si="13"/>
        <v>0</v>
      </c>
      <c r="M40" s="128">
        <f t="shared" si="13"/>
        <v>0</v>
      </c>
      <c r="N40" s="128">
        <f t="shared" si="13"/>
        <v>0</v>
      </c>
      <c r="O40" s="128">
        <f t="shared" si="13"/>
        <v>0</v>
      </c>
      <c r="P40" s="128">
        <f t="shared" si="13"/>
        <v>0</v>
      </c>
      <c r="Q40" s="128">
        <f t="shared" si="13"/>
        <v>0</v>
      </c>
      <c r="R40" s="128">
        <f t="shared" si="13"/>
        <v>0</v>
      </c>
      <c r="S40" s="128">
        <f t="shared" si="13"/>
        <v>0</v>
      </c>
      <c r="T40" s="128">
        <f t="shared" si="13"/>
        <v>0</v>
      </c>
      <c r="U40" s="128">
        <f t="shared" si="13"/>
        <v>0</v>
      </c>
      <c r="V40" s="128">
        <f t="shared" si="13"/>
        <v>0</v>
      </c>
      <c r="W40" s="128">
        <f t="shared" si="13"/>
        <v>0</v>
      </c>
      <c r="X40" s="128">
        <f t="shared" si="13"/>
        <v>0</v>
      </c>
      <c r="Y40" s="128">
        <f t="shared" si="13"/>
        <v>0</v>
      </c>
      <c r="Z40" s="128">
        <f t="shared" si="13"/>
        <v>0</v>
      </c>
      <c r="AA40" s="128">
        <f t="shared" si="13"/>
        <v>0</v>
      </c>
      <c r="AB40" s="128">
        <f t="shared" si="13"/>
        <v>0</v>
      </c>
      <c r="AC40" s="128">
        <f t="shared" si="13"/>
        <v>0</v>
      </c>
      <c r="AD40" s="128">
        <f t="shared" si="13"/>
        <v>0</v>
      </c>
      <c r="AE40" s="128">
        <f t="shared" si="13"/>
        <v>0</v>
      </c>
      <c r="AF40" s="128">
        <f t="shared" si="13"/>
        <v>0</v>
      </c>
      <c r="AG40" s="128">
        <f t="shared" si="13"/>
        <v>0</v>
      </c>
      <c r="AH40" s="128">
        <f t="shared" si="13"/>
        <v>0</v>
      </c>
      <c r="AI40" s="128">
        <f t="shared" si="13"/>
        <v>0</v>
      </c>
      <c r="AJ40" s="128">
        <f t="shared" si="13"/>
        <v>0</v>
      </c>
      <c r="AK40" s="128">
        <f t="shared" si="13"/>
        <v>0</v>
      </c>
      <c r="AL40" s="128">
        <f t="shared" si="13"/>
        <v>0</v>
      </c>
      <c r="AM40" s="128">
        <f t="shared" si="13"/>
        <v>0</v>
      </c>
      <c r="AN40" s="128">
        <f t="shared" si="13"/>
        <v>0</v>
      </c>
      <c r="AO40" s="128">
        <f t="shared" si="13"/>
        <v>0</v>
      </c>
      <c r="AP40" s="128">
        <f t="shared" si="13"/>
        <v>0</v>
      </c>
      <c r="AQ40" s="128">
        <f t="shared" si="13"/>
        <v>0</v>
      </c>
      <c r="AR40" s="128">
        <f t="shared" si="13"/>
        <v>0</v>
      </c>
      <c r="AS40" s="128">
        <f t="shared" si="13"/>
        <v>0</v>
      </c>
      <c r="AT40" s="128">
        <f t="shared" si="13"/>
        <v>0</v>
      </c>
      <c r="AU40" s="128">
        <f t="shared" si="13"/>
        <v>0</v>
      </c>
      <c r="AV40" s="128">
        <f t="shared" si="13"/>
        <v>0</v>
      </c>
      <c r="AW40" s="128">
        <f t="shared" si="13"/>
        <v>0</v>
      </c>
      <c r="AX40" s="128">
        <f t="shared" si="13"/>
        <v>0</v>
      </c>
      <c r="AY40" s="128">
        <f t="shared" si="13"/>
        <v>0</v>
      </c>
    </row>
    <row r="41" spans="1:52" x14ac:dyDescent="0.2">
      <c r="A41" s="128"/>
      <c r="B41" s="182" t="s">
        <v>349</v>
      </c>
      <c r="C41" s="128"/>
      <c r="D41" s="128">
        <v>1</v>
      </c>
      <c r="E41" s="128">
        <v>1</v>
      </c>
      <c r="F41" s="128">
        <v>1</v>
      </c>
      <c r="G41" s="128">
        <v>1</v>
      </c>
      <c r="H41" s="128">
        <v>2</v>
      </c>
      <c r="I41" s="128">
        <v>2</v>
      </c>
      <c r="J41" s="128">
        <v>1</v>
      </c>
      <c r="K41" s="128">
        <v>2</v>
      </c>
      <c r="L41" s="128">
        <v>1</v>
      </c>
      <c r="M41" s="128">
        <v>2</v>
      </c>
      <c r="N41" s="128">
        <v>1</v>
      </c>
      <c r="O41" s="128">
        <v>1</v>
      </c>
      <c r="P41" s="128">
        <v>2</v>
      </c>
      <c r="Q41" s="128">
        <v>1</v>
      </c>
      <c r="R41" s="128">
        <v>1</v>
      </c>
      <c r="S41" s="128">
        <v>1</v>
      </c>
      <c r="T41" s="128">
        <v>1</v>
      </c>
      <c r="U41" s="128">
        <v>1</v>
      </c>
      <c r="V41" s="128">
        <v>3</v>
      </c>
      <c r="W41" s="128">
        <v>1</v>
      </c>
      <c r="X41" s="128">
        <v>1</v>
      </c>
      <c r="Y41" s="128">
        <v>1</v>
      </c>
      <c r="Z41" s="128">
        <v>2</v>
      </c>
      <c r="AA41" s="128">
        <v>1</v>
      </c>
      <c r="AB41" s="128">
        <v>1</v>
      </c>
      <c r="AC41" s="128">
        <v>1</v>
      </c>
      <c r="AD41" s="128">
        <v>1</v>
      </c>
      <c r="AE41" s="128">
        <v>2</v>
      </c>
      <c r="AF41" s="128">
        <v>1</v>
      </c>
      <c r="AG41" s="128">
        <v>2</v>
      </c>
      <c r="AH41" s="128">
        <v>2</v>
      </c>
      <c r="AI41" s="128">
        <v>1</v>
      </c>
      <c r="AJ41" s="128">
        <v>2</v>
      </c>
      <c r="AK41" s="128">
        <v>1</v>
      </c>
      <c r="AL41" s="128">
        <v>1</v>
      </c>
      <c r="AM41" s="128">
        <v>1</v>
      </c>
      <c r="AN41" s="128">
        <v>1</v>
      </c>
      <c r="AO41" s="128">
        <v>3</v>
      </c>
      <c r="AP41" s="128">
        <v>2</v>
      </c>
      <c r="AQ41" s="128">
        <v>1</v>
      </c>
      <c r="AR41" s="128">
        <v>2</v>
      </c>
      <c r="AS41" s="128">
        <v>1</v>
      </c>
      <c r="AT41" s="128">
        <v>1</v>
      </c>
      <c r="AU41" s="128">
        <v>3</v>
      </c>
      <c r="AV41" s="128">
        <v>2</v>
      </c>
      <c r="AW41" s="128">
        <v>1</v>
      </c>
      <c r="AX41" s="128">
        <v>2</v>
      </c>
      <c r="AY41" s="128">
        <v>1</v>
      </c>
    </row>
    <row r="42" spans="1:52" x14ac:dyDescent="0.2">
      <c r="A42" s="128"/>
      <c r="B42" s="193" t="s">
        <v>350</v>
      </c>
      <c r="C42" s="128"/>
      <c r="D42" s="128">
        <v>624780</v>
      </c>
      <c r="E42" s="128">
        <v>96120</v>
      </c>
      <c r="F42" s="128">
        <v>624780</v>
      </c>
      <c r="G42" s="128">
        <v>96120</v>
      </c>
      <c r="H42" s="128">
        <v>0</v>
      </c>
      <c r="I42" s="128">
        <v>720900</v>
      </c>
      <c r="J42" s="128">
        <v>0</v>
      </c>
      <c r="K42" s="128">
        <v>720900</v>
      </c>
      <c r="L42" s="128">
        <v>0</v>
      </c>
      <c r="M42" s="128">
        <v>720900</v>
      </c>
      <c r="N42" s="128">
        <v>0</v>
      </c>
      <c r="O42" s="128">
        <v>720900</v>
      </c>
      <c r="P42" s="128">
        <v>0</v>
      </c>
      <c r="Q42" s="128">
        <v>720900</v>
      </c>
      <c r="R42" s="128">
        <v>0</v>
      </c>
      <c r="S42" s="128">
        <v>720900</v>
      </c>
      <c r="T42" s="128">
        <v>0</v>
      </c>
      <c r="U42" s="128">
        <v>720900</v>
      </c>
      <c r="V42" s="128">
        <v>0</v>
      </c>
      <c r="W42" s="128">
        <v>0</v>
      </c>
      <c r="X42" s="128">
        <v>720900</v>
      </c>
      <c r="Y42" s="128">
        <v>0</v>
      </c>
      <c r="Z42" s="128">
        <v>720900</v>
      </c>
      <c r="AA42" s="128">
        <v>0</v>
      </c>
      <c r="AB42" s="128">
        <v>720900</v>
      </c>
      <c r="AC42" s="128">
        <v>0</v>
      </c>
      <c r="AD42" s="128">
        <v>720900</v>
      </c>
      <c r="AE42" s="128">
        <v>0</v>
      </c>
      <c r="AF42" s="128">
        <v>720900</v>
      </c>
      <c r="AG42" s="128">
        <v>0</v>
      </c>
      <c r="AH42" s="128">
        <v>720900</v>
      </c>
      <c r="AI42" s="128">
        <v>0</v>
      </c>
      <c r="AJ42" s="128">
        <v>720900</v>
      </c>
      <c r="AK42" s="128">
        <v>0</v>
      </c>
      <c r="AL42" s="128">
        <v>720900</v>
      </c>
      <c r="AM42" s="128">
        <v>0</v>
      </c>
      <c r="AN42" s="128">
        <v>720900</v>
      </c>
      <c r="AO42" s="128">
        <v>0</v>
      </c>
      <c r="AP42" s="128">
        <v>720900</v>
      </c>
      <c r="AQ42" s="128">
        <v>0</v>
      </c>
      <c r="AR42" s="128">
        <v>720900</v>
      </c>
      <c r="AS42" s="128">
        <v>0</v>
      </c>
      <c r="AT42" s="128">
        <v>720900</v>
      </c>
      <c r="AU42" s="128">
        <v>0</v>
      </c>
      <c r="AV42" s="128">
        <v>720900</v>
      </c>
      <c r="AW42" s="128">
        <v>0</v>
      </c>
      <c r="AX42" s="128">
        <v>720900</v>
      </c>
      <c r="AY42" s="128">
        <v>0</v>
      </c>
      <c r="AZ42">
        <f>SUM($D$42:$AY$42)</f>
        <v>16580700</v>
      </c>
    </row>
    <row r="43" spans="1:52" x14ac:dyDescent="0.2">
      <c r="A43" s="128"/>
      <c r="B43" s="193" t="s">
        <v>351</v>
      </c>
      <c r="C43" s="128"/>
      <c r="D43" s="128">
        <v>450362.25</v>
      </c>
      <c r="E43" s="128">
        <v>426933</v>
      </c>
      <c r="F43" s="128">
        <v>140575.5</v>
      </c>
      <c r="G43" s="128">
        <v>426933</v>
      </c>
      <c r="H43" s="128">
        <v>0</v>
      </c>
      <c r="I43" s="128">
        <v>88510.5</v>
      </c>
      <c r="J43" s="128">
        <v>478998</v>
      </c>
      <c r="K43" s="128">
        <v>88510.5</v>
      </c>
      <c r="L43" s="128">
        <v>478998</v>
      </c>
      <c r="M43" s="128">
        <v>88510.5</v>
      </c>
      <c r="N43" s="128">
        <v>478998</v>
      </c>
      <c r="O43" s="128">
        <v>88510.5</v>
      </c>
      <c r="P43" s="128">
        <v>478998</v>
      </c>
      <c r="Q43" s="128">
        <v>88510.5</v>
      </c>
      <c r="R43" s="128">
        <v>478998</v>
      </c>
      <c r="S43" s="128">
        <v>88510.5</v>
      </c>
      <c r="T43" s="128">
        <v>478998</v>
      </c>
      <c r="U43" s="128">
        <v>88510.5</v>
      </c>
      <c r="V43" s="128">
        <v>478998</v>
      </c>
      <c r="W43" s="128">
        <v>0</v>
      </c>
      <c r="X43" s="128">
        <v>88510.5</v>
      </c>
      <c r="Y43" s="128">
        <v>478998</v>
      </c>
      <c r="Z43" s="128">
        <v>88510.5</v>
      </c>
      <c r="AA43" s="128">
        <v>478998</v>
      </c>
      <c r="AB43" s="128">
        <v>88510.5</v>
      </c>
      <c r="AC43" s="128">
        <v>478998</v>
      </c>
      <c r="AD43" s="128">
        <v>88510.5</v>
      </c>
      <c r="AE43" s="128">
        <v>478998</v>
      </c>
      <c r="AF43" s="128">
        <v>88510.5</v>
      </c>
      <c r="AG43" s="128">
        <v>478998</v>
      </c>
      <c r="AH43" s="128">
        <v>88510.5</v>
      </c>
      <c r="AI43" s="128">
        <v>478998</v>
      </c>
      <c r="AJ43" s="128">
        <v>88510.5</v>
      </c>
      <c r="AK43" s="128">
        <v>478998</v>
      </c>
      <c r="AL43" s="128">
        <v>88510.5</v>
      </c>
      <c r="AM43" s="128">
        <v>478998</v>
      </c>
      <c r="AN43" s="128">
        <v>88510.5</v>
      </c>
      <c r="AO43" s="128">
        <v>478998</v>
      </c>
      <c r="AP43" s="128">
        <v>88510.5</v>
      </c>
      <c r="AQ43" s="128">
        <v>0</v>
      </c>
      <c r="AR43" s="128">
        <v>88510.5</v>
      </c>
      <c r="AS43" s="128">
        <v>478998</v>
      </c>
      <c r="AT43" s="128">
        <v>88510.5</v>
      </c>
      <c r="AU43" s="128">
        <v>478998</v>
      </c>
      <c r="AV43" s="128">
        <v>88510.5</v>
      </c>
      <c r="AW43" s="128">
        <v>478998</v>
      </c>
      <c r="AX43" s="128">
        <v>88510.5</v>
      </c>
      <c r="AY43" s="128">
        <v>478998</v>
      </c>
      <c r="AZ43">
        <f>SUM($D$43:$AY$43)</f>
        <v>12883484.25</v>
      </c>
    </row>
    <row r="44" spans="1:52" x14ac:dyDescent="0.2">
      <c r="A44" s="152" t="s">
        <v>59</v>
      </c>
      <c r="B44" s="152" t="s">
        <v>341</v>
      </c>
      <c r="C44" s="141"/>
      <c r="D44" s="141">
        <f>D$21*shipping_manufacturing!$D$28/100</f>
        <v>0</v>
      </c>
      <c r="E44" s="141">
        <f>E$21*shipping_manufacturing!$D$28/100</f>
        <v>0</v>
      </c>
      <c r="F44" s="141">
        <f>F$21*shipping_manufacturing!$D$28/100</f>
        <v>0</v>
      </c>
      <c r="G44" s="141">
        <f>G$21*shipping_manufacturing!$D$28/100</f>
        <v>0</v>
      </c>
      <c r="H44" s="141">
        <f>H$21*shipping_manufacturing!$D$28/100</f>
        <v>0</v>
      </c>
      <c r="I44" s="141">
        <f>I$21*shipping_manufacturing!$D$28/100</f>
        <v>0</v>
      </c>
      <c r="J44" s="141">
        <f>J$21*shipping_manufacturing!$D$28/100</f>
        <v>0</v>
      </c>
      <c r="K44" s="141">
        <f>K$21*shipping_manufacturing!$D$28/100</f>
        <v>0</v>
      </c>
      <c r="L44" s="141">
        <f>L$21*shipping_manufacturing!$D$28/100</f>
        <v>0</v>
      </c>
      <c r="M44" s="141">
        <f>M$21*shipping_manufacturing!$D$28/100</f>
        <v>0</v>
      </c>
      <c r="N44" s="141">
        <f>N$21*shipping_manufacturing!$D$28/100</f>
        <v>0</v>
      </c>
      <c r="O44" s="141">
        <f>O$21*shipping_manufacturing!$D$28/100</f>
        <v>0</v>
      </c>
      <c r="P44" s="141">
        <f>P$21*shipping_manufacturing!$D$28/100</f>
        <v>0</v>
      </c>
      <c r="Q44" s="141">
        <f>Q$21*shipping_manufacturing!$D$28/100</f>
        <v>0</v>
      </c>
      <c r="R44" s="141">
        <f>R$21*shipping_manufacturing!$D$28/100</f>
        <v>0</v>
      </c>
      <c r="S44" s="141">
        <f>S$21*shipping_manufacturing!$D$28/100</f>
        <v>0</v>
      </c>
      <c r="T44" s="141">
        <f>T$21*shipping_manufacturing!$D$28/100</f>
        <v>0</v>
      </c>
      <c r="U44" s="141">
        <f>U$21*shipping_manufacturing!$D$28/100</f>
        <v>0</v>
      </c>
      <c r="V44" s="141">
        <f>V$21*shipping_manufacturing!$D$28/100</f>
        <v>0</v>
      </c>
      <c r="W44" s="141">
        <f>W$21*shipping_manufacturing!$D$28/100</f>
        <v>0</v>
      </c>
      <c r="X44" s="141">
        <f>X$21*shipping_manufacturing!$D$28/100</f>
        <v>0</v>
      </c>
      <c r="Y44" s="141">
        <f>Y$21*shipping_manufacturing!$D$28/100</f>
        <v>0</v>
      </c>
      <c r="Z44" s="141">
        <f>Z$21*shipping_manufacturing!$D$28/100</f>
        <v>0</v>
      </c>
      <c r="AA44" s="141">
        <f>AA$21*shipping_manufacturing!$D$28/100</f>
        <v>0</v>
      </c>
      <c r="AB44" s="141">
        <f>AB$21*shipping_manufacturing!$D$28/100</f>
        <v>0</v>
      </c>
      <c r="AC44" s="141">
        <f>AC$21*shipping_manufacturing!$D$28/100</f>
        <v>0</v>
      </c>
      <c r="AD44" s="141">
        <f>AD$21*shipping_manufacturing!$D$28/100</f>
        <v>0</v>
      </c>
      <c r="AE44" s="141">
        <f>AE$21*shipping_manufacturing!$D$28/100</f>
        <v>0</v>
      </c>
      <c r="AF44" s="141">
        <f>AF$21*shipping_manufacturing!$D$28/100</f>
        <v>0</v>
      </c>
      <c r="AG44" s="141">
        <f>AG$21*shipping_manufacturing!$D$28/100</f>
        <v>0</v>
      </c>
      <c r="AH44" s="141">
        <f>AH$21*shipping_manufacturing!$D$28/100</f>
        <v>0</v>
      </c>
      <c r="AI44" s="141">
        <f>AI$21*shipping_manufacturing!$D$28/100</f>
        <v>0</v>
      </c>
      <c r="AJ44" s="141">
        <f>AJ$21*shipping_manufacturing!$D$28/100</f>
        <v>0</v>
      </c>
      <c r="AK44" s="141">
        <f>AK$21*shipping_manufacturing!$D$28/100</f>
        <v>0</v>
      </c>
      <c r="AL44" s="141">
        <f>AL$21*shipping_manufacturing!$D$28/100</f>
        <v>0</v>
      </c>
      <c r="AM44" s="141">
        <f>AM$21*shipping_manufacturing!$D$28/100</f>
        <v>0</v>
      </c>
      <c r="AN44" s="141">
        <f>AN$21*shipping_manufacturing!$D$28/100</f>
        <v>0</v>
      </c>
      <c r="AO44" s="141">
        <f>AO$21*shipping_manufacturing!$D$28/100</f>
        <v>0</v>
      </c>
      <c r="AP44" s="141">
        <f>AP$21*shipping_manufacturing!$D$28/100</f>
        <v>0</v>
      </c>
      <c r="AQ44" s="141">
        <f>AQ$21*shipping_manufacturing!$D$28/100</f>
        <v>0</v>
      </c>
      <c r="AR44" s="141">
        <f>AR$21*shipping_manufacturing!$D$28/100</f>
        <v>0</v>
      </c>
      <c r="AS44" s="141">
        <f>AS$21*shipping_manufacturing!$D$28/100</f>
        <v>0</v>
      </c>
      <c r="AT44" s="141">
        <f>AT$21*shipping_manufacturing!$D$28/100</f>
        <v>0</v>
      </c>
      <c r="AU44" s="141">
        <f>AU$21*shipping_manufacturing!$D$28/100</f>
        <v>0</v>
      </c>
      <c r="AV44" s="141">
        <f>AV$21*shipping_manufacturing!$D$28/100</f>
        <v>0</v>
      </c>
      <c r="AW44" s="141">
        <f>AW$21*shipping_manufacturing!$D$28/100</f>
        <v>0</v>
      </c>
      <c r="AX44" s="141">
        <f>AX$21*shipping_manufacturing!$D$28/100</f>
        <v>0</v>
      </c>
      <c r="AY44" s="141">
        <f>AY$21*shipping_manufacturing!$D$28/100</f>
        <v>0</v>
      </c>
    </row>
    <row r="45" spans="1:52" x14ac:dyDescent="0.2">
      <c r="A45" s="130" t="s">
        <v>340</v>
      </c>
      <c r="B45" s="182" t="s">
        <v>342</v>
      </c>
      <c r="C45" s="128"/>
      <c r="D45" s="128">
        <f>D$22*shipping_manufacturing!$E$28/100</f>
        <v>0</v>
      </c>
      <c r="E45" s="128">
        <f>E$22*shipping_manufacturing!$E$28/100</f>
        <v>0</v>
      </c>
      <c r="F45" s="128">
        <f>F$22*shipping_manufacturing!$E$28/100</f>
        <v>0</v>
      </c>
      <c r="G45" s="128">
        <f>G$22*shipping_manufacturing!$E$28/100</f>
        <v>0</v>
      </c>
      <c r="H45" s="128">
        <f>H$22*shipping_manufacturing!$E$28/100</f>
        <v>0</v>
      </c>
      <c r="I45" s="128">
        <f>I$22*shipping_manufacturing!$E$28/100</f>
        <v>0</v>
      </c>
      <c r="J45" s="128">
        <f>J$22*shipping_manufacturing!$E$28/100</f>
        <v>0</v>
      </c>
      <c r="K45" s="128">
        <f>K$22*shipping_manufacturing!$E$28/100</f>
        <v>0</v>
      </c>
      <c r="L45" s="128">
        <f>L$22*shipping_manufacturing!$E$28/100</f>
        <v>0</v>
      </c>
      <c r="M45" s="128">
        <f>M$22*shipping_manufacturing!$E$28/100</f>
        <v>0</v>
      </c>
      <c r="N45" s="128">
        <f>N$22*shipping_manufacturing!$E$28/100</f>
        <v>0</v>
      </c>
      <c r="O45" s="128">
        <f>O$22*shipping_manufacturing!$E$28/100</f>
        <v>0</v>
      </c>
      <c r="P45" s="128">
        <f>P$22*shipping_manufacturing!$E$28/100</f>
        <v>0</v>
      </c>
      <c r="Q45" s="128">
        <f>Q$22*shipping_manufacturing!$E$28/100</f>
        <v>0</v>
      </c>
      <c r="R45" s="128">
        <f>R$22*shipping_manufacturing!$E$28/100</f>
        <v>0</v>
      </c>
      <c r="S45" s="128">
        <f>S$22*shipping_manufacturing!$E$28/100</f>
        <v>0</v>
      </c>
      <c r="T45" s="128">
        <f>T$22*shipping_manufacturing!$E$28/100</f>
        <v>0</v>
      </c>
      <c r="U45" s="128">
        <f>U$22*shipping_manufacturing!$E$28/100</f>
        <v>0</v>
      </c>
      <c r="V45" s="128">
        <f>V$22*shipping_manufacturing!$E$28/100</f>
        <v>0</v>
      </c>
      <c r="W45" s="128">
        <f>W$22*shipping_manufacturing!$E$28/100</f>
        <v>0</v>
      </c>
      <c r="X45" s="128">
        <f>X$22*shipping_manufacturing!$E$28/100</f>
        <v>0</v>
      </c>
      <c r="Y45" s="128">
        <f>Y$22*shipping_manufacturing!$E$28/100</f>
        <v>0</v>
      </c>
      <c r="Z45" s="128">
        <f>Z$22*shipping_manufacturing!$E$28/100</f>
        <v>0</v>
      </c>
      <c r="AA45" s="128">
        <f>AA$22*shipping_manufacturing!$E$28/100</f>
        <v>0</v>
      </c>
      <c r="AB45" s="128">
        <f>AB$22*shipping_manufacturing!$E$28/100</f>
        <v>0</v>
      </c>
      <c r="AC45" s="128">
        <f>AC$22*shipping_manufacturing!$E$28/100</f>
        <v>0</v>
      </c>
      <c r="AD45" s="128">
        <f>AD$22*shipping_manufacturing!$E$28/100</f>
        <v>0</v>
      </c>
      <c r="AE45" s="128">
        <f>AE$22*shipping_manufacturing!$E$28/100</f>
        <v>0</v>
      </c>
      <c r="AF45" s="128">
        <f>AF$22*shipping_manufacturing!$E$28/100</f>
        <v>0</v>
      </c>
      <c r="AG45" s="128">
        <f>AG$22*shipping_manufacturing!$E$28/100</f>
        <v>0</v>
      </c>
      <c r="AH45" s="128">
        <f>AH$22*shipping_manufacturing!$E$28/100</f>
        <v>0</v>
      </c>
      <c r="AI45" s="128">
        <f>AI$22*shipping_manufacturing!$E$28/100</f>
        <v>0</v>
      </c>
      <c r="AJ45" s="128">
        <f>AJ$22*shipping_manufacturing!$E$28/100</f>
        <v>0</v>
      </c>
      <c r="AK45" s="128">
        <f>AK$22*shipping_manufacturing!$E$28/100</f>
        <v>0</v>
      </c>
      <c r="AL45" s="128">
        <f>AL$22*shipping_manufacturing!$E$28/100</f>
        <v>0</v>
      </c>
      <c r="AM45" s="128">
        <f>AM$22*shipping_manufacturing!$E$28/100</f>
        <v>0</v>
      </c>
      <c r="AN45" s="128">
        <f>AN$22*shipping_manufacturing!$E$28/100</f>
        <v>0</v>
      </c>
      <c r="AO45" s="128">
        <f>AO$22*shipping_manufacturing!$E$28/100</f>
        <v>0</v>
      </c>
      <c r="AP45" s="128">
        <f>AP$22*shipping_manufacturing!$E$28/100</f>
        <v>0</v>
      </c>
      <c r="AQ45" s="128">
        <f>AQ$22*shipping_manufacturing!$E$28/100</f>
        <v>0</v>
      </c>
      <c r="AR45" s="128">
        <f>AR$22*shipping_manufacturing!$E$28/100</f>
        <v>0</v>
      </c>
      <c r="AS45" s="128">
        <f>AS$22*shipping_manufacturing!$E$28/100</f>
        <v>0</v>
      </c>
      <c r="AT45" s="128">
        <f>AT$22*shipping_manufacturing!$E$28/100</f>
        <v>0</v>
      </c>
      <c r="AU45" s="128">
        <f>AU$22*shipping_manufacturing!$E$28/100</f>
        <v>0</v>
      </c>
      <c r="AV45" s="128">
        <f>AV$22*shipping_manufacturing!$E$28/100</f>
        <v>0</v>
      </c>
      <c r="AW45" s="128">
        <f>AW$22*shipping_manufacturing!$E$28/100</f>
        <v>0</v>
      </c>
      <c r="AX45" s="128">
        <f>AX$22*shipping_manufacturing!$E$28/100</f>
        <v>0</v>
      </c>
      <c r="AY45" s="128">
        <f>AY$22*shipping_manufacturing!$E$28/100</f>
        <v>0</v>
      </c>
    </row>
    <row r="46" spans="1:52" x14ac:dyDescent="0.2">
      <c r="A46" s="128">
        <v>718</v>
      </c>
      <c r="B46" s="182" t="s">
        <v>343</v>
      </c>
      <c r="C46" s="128"/>
      <c r="D46" s="128">
        <f>SUM(D44:D45)</f>
        <v>0</v>
      </c>
      <c r="E46" s="128">
        <f t="shared" ref="E46:AY46" si="14">SUM(E44:E45)</f>
        <v>0</v>
      </c>
      <c r="F46" s="128">
        <f t="shared" si="14"/>
        <v>0</v>
      </c>
      <c r="G46" s="128">
        <f t="shared" si="14"/>
        <v>0</v>
      </c>
      <c r="H46" s="128">
        <f t="shared" si="14"/>
        <v>0</v>
      </c>
      <c r="I46" s="128">
        <f t="shared" si="14"/>
        <v>0</v>
      </c>
      <c r="J46" s="128">
        <f t="shared" si="14"/>
        <v>0</v>
      </c>
      <c r="K46" s="128">
        <f t="shared" si="14"/>
        <v>0</v>
      </c>
      <c r="L46" s="128">
        <f t="shared" si="14"/>
        <v>0</v>
      </c>
      <c r="M46" s="128">
        <f t="shared" si="14"/>
        <v>0</v>
      </c>
      <c r="N46" s="128">
        <f t="shared" si="14"/>
        <v>0</v>
      </c>
      <c r="O46" s="128">
        <f t="shared" si="14"/>
        <v>0</v>
      </c>
      <c r="P46" s="128">
        <f t="shared" si="14"/>
        <v>0</v>
      </c>
      <c r="Q46" s="128">
        <f t="shared" si="14"/>
        <v>0</v>
      </c>
      <c r="R46" s="128">
        <f t="shared" si="14"/>
        <v>0</v>
      </c>
      <c r="S46" s="128">
        <f t="shared" si="14"/>
        <v>0</v>
      </c>
      <c r="T46" s="128">
        <f t="shared" si="14"/>
        <v>0</v>
      </c>
      <c r="U46" s="128">
        <f t="shared" si="14"/>
        <v>0</v>
      </c>
      <c r="V46" s="128">
        <f t="shared" si="14"/>
        <v>0</v>
      </c>
      <c r="W46" s="128">
        <f t="shared" si="14"/>
        <v>0</v>
      </c>
      <c r="X46" s="128">
        <f t="shared" si="14"/>
        <v>0</v>
      </c>
      <c r="Y46" s="128">
        <f t="shared" si="14"/>
        <v>0</v>
      </c>
      <c r="Z46" s="128">
        <f t="shared" si="14"/>
        <v>0</v>
      </c>
      <c r="AA46" s="128">
        <f t="shared" si="14"/>
        <v>0</v>
      </c>
      <c r="AB46" s="128">
        <f t="shared" si="14"/>
        <v>0</v>
      </c>
      <c r="AC46" s="128">
        <f t="shared" si="14"/>
        <v>0</v>
      </c>
      <c r="AD46" s="128">
        <f t="shared" si="14"/>
        <v>0</v>
      </c>
      <c r="AE46" s="128">
        <f t="shared" si="14"/>
        <v>0</v>
      </c>
      <c r="AF46" s="128">
        <f t="shared" si="14"/>
        <v>0</v>
      </c>
      <c r="AG46" s="128">
        <f t="shared" si="14"/>
        <v>0</v>
      </c>
      <c r="AH46" s="128">
        <f t="shared" si="14"/>
        <v>0</v>
      </c>
      <c r="AI46" s="128">
        <f t="shared" si="14"/>
        <v>0</v>
      </c>
      <c r="AJ46" s="128">
        <f t="shared" si="14"/>
        <v>0</v>
      </c>
      <c r="AK46" s="128">
        <f t="shared" si="14"/>
        <v>0</v>
      </c>
      <c r="AL46" s="128">
        <f t="shared" si="14"/>
        <v>0</v>
      </c>
      <c r="AM46" s="128">
        <f t="shared" si="14"/>
        <v>0</v>
      </c>
      <c r="AN46" s="128">
        <f t="shared" si="14"/>
        <v>0</v>
      </c>
      <c r="AO46" s="128">
        <f t="shared" si="14"/>
        <v>0</v>
      </c>
      <c r="AP46" s="128">
        <f t="shared" si="14"/>
        <v>0</v>
      </c>
      <c r="AQ46" s="128">
        <f t="shared" si="14"/>
        <v>0</v>
      </c>
      <c r="AR46" s="128">
        <f t="shared" si="14"/>
        <v>0</v>
      </c>
      <c r="AS46" s="128">
        <f t="shared" si="14"/>
        <v>0</v>
      </c>
      <c r="AT46" s="128">
        <f t="shared" si="14"/>
        <v>0</v>
      </c>
      <c r="AU46" s="128">
        <f t="shared" si="14"/>
        <v>0</v>
      </c>
      <c r="AV46" s="128">
        <f t="shared" si="14"/>
        <v>0</v>
      </c>
      <c r="AW46" s="128">
        <f t="shared" si="14"/>
        <v>0</v>
      </c>
      <c r="AX46" s="128">
        <f t="shared" si="14"/>
        <v>0</v>
      </c>
      <c r="AY46" s="128">
        <f t="shared" si="14"/>
        <v>0</v>
      </c>
    </row>
    <row r="47" spans="1:52" x14ac:dyDescent="0.2">
      <c r="A47" s="128"/>
      <c r="B47" s="182" t="s">
        <v>344</v>
      </c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28"/>
      <c r="Z47" s="128"/>
      <c r="AA47" s="128"/>
      <c r="AB47" s="128"/>
      <c r="AC47" s="128"/>
      <c r="AD47" s="128"/>
      <c r="AE47" s="128"/>
      <c r="AF47" s="128"/>
      <c r="AG47" s="128"/>
      <c r="AH47" s="128"/>
      <c r="AI47" s="128"/>
      <c r="AJ47" s="128"/>
      <c r="AK47" s="128"/>
      <c r="AL47" s="128"/>
      <c r="AM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</row>
    <row r="48" spans="1:52" x14ac:dyDescent="0.2">
      <c r="A48" s="128"/>
      <c r="B48" s="182" t="s">
        <v>345</v>
      </c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8"/>
      <c r="AB48" s="128"/>
      <c r="AC48" s="128"/>
      <c r="AD48" s="128"/>
      <c r="AE48" s="128"/>
      <c r="AF48" s="128"/>
      <c r="AG48" s="128"/>
      <c r="AH48" s="128"/>
      <c r="AI48" s="128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</row>
    <row r="49" spans="1:52" x14ac:dyDescent="0.2">
      <c r="A49" s="128"/>
      <c r="B49" s="182" t="s">
        <v>346</v>
      </c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8"/>
      <c r="AB49" s="128"/>
      <c r="AC49" s="128"/>
      <c r="AD49" s="128"/>
      <c r="AE49" s="128"/>
      <c r="AF49" s="128"/>
      <c r="AG49" s="128"/>
      <c r="AH49" s="128"/>
      <c r="AI49" s="128"/>
      <c r="AJ49" s="128"/>
      <c r="AK49" s="128"/>
      <c r="AL49" s="128"/>
      <c r="AM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</row>
    <row r="50" spans="1:52" x14ac:dyDescent="0.2">
      <c r="A50" s="128"/>
      <c r="B50" s="182" t="s">
        <v>347</v>
      </c>
      <c r="C50" s="128"/>
      <c r="D50" s="128">
        <f>D44-D47</f>
        <v>0</v>
      </c>
      <c r="E50" s="128">
        <f t="shared" ref="E50:AY50" si="15">E44-E47</f>
        <v>0</v>
      </c>
      <c r="F50" s="128">
        <f t="shared" si="15"/>
        <v>0</v>
      </c>
      <c r="G50" s="128">
        <f t="shared" si="15"/>
        <v>0</v>
      </c>
      <c r="H50" s="128">
        <f t="shared" si="15"/>
        <v>0</v>
      </c>
      <c r="I50" s="128">
        <f t="shared" si="15"/>
        <v>0</v>
      </c>
      <c r="J50" s="128">
        <f t="shared" si="15"/>
        <v>0</v>
      </c>
      <c r="K50" s="128">
        <f t="shared" si="15"/>
        <v>0</v>
      </c>
      <c r="L50" s="128">
        <f t="shared" si="15"/>
        <v>0</v>
      </c>
      <c r="M50" s="128">
        <f t="shared" si="15"/>
        <v>0</v>
      </c>
      <c r="N50" s="128">
        <f t="shared" si="15"/>
        <v>0</v>
      </c>
      <c r="O50" s="128">
        <f t="shared" si="15"/>
        <v>0</v>
      </c>
      <c r="P50" s="128">
        <f t="shared" si="15"/>
        <v>0</v>
      </c>
      <c r="Q50" s="128">
        <f t="shared" si="15"/>
        <v>0</v>
      </c>
      <c r="R50" s="128">
        <f t="shared" si="15"/>
        <v>0</v>
      </c>
      <c r="S50" s="128">
        <f t="shared" si="15"/>
        <v>0</v>
      </c>
      <c r="T50" s="128">
        <f t="shared" si="15"/>
        <v>0</v>
      </c>
      <c r="U50" s="128">
        <f t="shared" si="15"/>
        <v>0</v>
      </c>
      <c r="V50" s="128">
        <f t="shared" si="15"/>
        <v>0</v>
      </c>
      <c r="W50" s="128">
        <f t="shared" si="15"/>
        <v>0</v>
      </c>
      <c r="X50" s="128">
        <f t="shared" si="15"/>
        <v>0</v>
      </c>
      <c r="Y50" s="128">
        <f t="shared" si="15"/>
        <v>0</v>
      </c>
      <c r="Z50" s="128">
        <f t="shared" si="15"/>
        <v>0</v>
      </c>
      <c r="AA50" s="128">
        <f t="shared" si="15"/>
        <v>0</v>
      </c>
      <c r="AB50" s="128">
        <f t="shared" si="15"/>
        <v>0</v>
      </c>
      <c r="AC50" s="128">
        <f t="shared" si="15"/>
        <v>0</v>
      </c>
      <c r="AD50" s="128">
        <f t="shared" si="15"/>
        <v>0</v>
      </c>
      <c r="AE50" s="128">
        <f t="shared" si="15"/>
        <v>0</v>
      </c>
      <c r="AF50" s="128">
        <f t="shared" si="15"/>
        <v>0</v>
      </c>
      <c r="AG50" s="128">
        <f t="shared" si="15"/>
        <v>0</v>
      </c>
      <c r="AH50" s="128">
        <f t="shared" si="15"/>
        <v>0</v>
      </c>
      <c r="AI50" s="128">
        <f t="shared" si="15"/>
        <v>0</v>
      </c>
      <c r="AJ50" s="128">
        <f t="shared" si="15"/>
        <v>0</v>
      </c>
      <c r="AK50" s="128">
        <f t="shared" si="15"/>
        <v>0</v>
      </c>
      <c r="AL50" s="128">
        <f t="shared" si="15"/>
        <v>0</v>
      </c>
      <c r="AM50" s="128">
        <f t="shared" si="15"/>
        <v>0</v>
      </c>
      <c r="AN50" s="128">
        <f t="shared" si="15"/>
        <v>0</v>
      </c>
      <c r="AO50" s="128">
        <f t="shared" si="15"/>
        <v>0</v>
      </c>
      <c r="AP50" s="128">
        <f t="shared" si="15"/>
        <v>0</v>
      </c>
      <c r="AQ50" s="128">
        <f t="shared" si="15"/>
        <v>0</v>
      </c>
      <c r="AR50" s="128">
        <f t="shared" si="15"/>
        <v>0</v>
      </c>
      <c r="AS50" s="128">
        <f t="shared" si="15"/>
        <v>0</v>
      </c>
      <c r="AT50" s="128">
        <f t="shared" si="15"/>
        <v>0</v>
      </c>
      <c r="AU50" s="128">
        <f t="shared" si="15"/>
        <v>0</v>
      </c>
      <c r="AV50" s="128">
        <f t="shared" si="15"/>
        <v>0</v>
      </c>
      <c r="AW50" s="128">
        <f t="shared" si="15"/>
        <v>0</v>
      </c>
      <c r="AX50" s="128">
        <f t="shared" si="15"/>
        <v>0</v>
      </c>
      <c r="AY50" s="128">
        <f t="shared" si="15"/>
        <v>0</v>
      </c>
    </row>
    <row r="51" spans="1:52" x14ac:dyDescent="0.2">
      <c r="A51" s="128"/>
      <c r="B51" s="182" t="s">
        <v>348</v>
      </c>
      <c r="C51" s="128"/>
      <c r="D51" s="128">
        <f>D45-D48</f>
        <v>0</v>
      </c>
      <c r="E51" s="128">
        <f t="shared" ref="E51:AY51" si="16">E45-E48</f>
        <v>0</v>
      </c>
      <c r="F51" s="128">
        <f t="shared" si="16"/>
        <v>0</v>
      </c>
      <c r="G51" s="128">
        <f t="shared" si="16"/>
        <v>0</v>
      </c>
      <c r="H51" s="128">
        <f t="shared" si="16"/>
        <v>0</v>
      </c>
      <c r="I51" s="128">
        <f t="shared" si="16"/>
        <v>0</v>
      </c>
      <c r="J51" s="128">
        <f t="shared" si="16"/>
        <v>0</v>
      </c>
      <c r="K51" s="128">
        <f t="shared" si="16"/>
        <v>0</v>
      </c>
      <c r="L51" s="128">
        <f t="shared" si="16"/>
        <v>0</v>
      </c>
      <c r="M51" s="128">
        <f t="shared" si="16"/>
        <v>0</v>
      </c>
      <c r="N51" s="128">
        <f t="shared" si="16"/>
        <v>0</v>
      </c>
      <c r="O51" s="128">
        <f t="shared" si="16"/>
        <v>0</v>
      </c>
      <c r="P51" s="128">
        <f t="shared" si="16"/>
        <v>0</v>
      </c>
      <c r="Q51" s="128">
        <f t="shared" si="16"/>
        <v>0</v>
      </c>
      <c r="R51" s="128">
        <f t="shared" si="16"/>
        <v>0</v>
      </c>
      <c r="S51" s="128">
        <f t="shared" si="16"/>
        <v>0</v>
      </c>
      <c r="T51" s="128">
        <f t="shared" si="16"/>
        <v>0</v>
      </c>
      <c r="U51" s="128">
        <f t="shared" si="16"/>
        <v>0</v>
      </c>
      <c r="V51" s="128">
        <f t="shared" si="16"/>
        <v>0</v>
      </c>
      <c r="W51" s="128">
        <f t="shared" si="16"/>
        <v>0</v>
      </c>
      <c r="X51" s="128">
        <f t="shared" si="16"/>
        <v>0</v>
      </c>
      <c r="Y51" s="128">
        <f t="shared" si="16"/>
        <v>0</v>
      </c>
      <c r="Z51" s="128">
        <f t="shared" si="16"/>
        <v>0</v>
      </c>
      <c r="AA51" s="128">
        <f t="shared" si="16"/>
        <v>0</v>
      </c>
      <c r="AB51" s="128">
        <f t="shared" si="16"/>
        <v>0</v>
      </c>
      <c r="AC51" s="128">
        <f t="shared" si="16"/>
        <v>0</v>
      </c>
      <c r="AD51" s="128">
        <f t="shared" si="16"/>
        <v>0</v>
      </c>
      <c r="AE51" s="128">
        <f t="shared" si="16"/>
        <v>0</v>
      </c>
      <c r="AF51" s="128">
        <f t="shared" si="16"/>
        <v>0</v>
      </c>
      <c r="AG51" s="128">
        <f t="shared" si="16"/>
        <v>0</v>
      </c>
      <c r="AH51" s="128">
        <f t="shared" si="16"/>
        <v>0</v>
      </c>
      <c r="AI51" s="128">
        <f t="shared" si="16"/>
        <v>0</v>
      </c>
      <c r="AJ51" s="128">
        <f t="shared" si="16"/>
        <v>0</v>
      </c>
      <c r="AK51" s="128">
        <f t="shared" si="16"/>
        <v>0</v>
      </c>
      <c r="AL51" s="128">
        <f t="shared" si="16"/>
        <v>0</v>
      </c>
      <c r="AM51" s="128">
        <f t="shared" si="16"/>
        <v>0</v>
      </c>
      <c r="AN51" s="128">
        <f t="shared" si="16"/>
        <v>0</v>
      </c>
      <c r="AO51" s="128">
        <f t="shared" si="16"/>
        <v>0</v>
      </c>
      <c r="AP51" s="128">
        <f t="shared" si="16"/>
        <v>0</v>
      </c>
      <c r="AQ51" s="128">
        <f t="shared" si="16"/>
        <v>0</v>
      </c>
      <c r="AR51" s="128">
        <f t="shared" si="16"/>
        <v>0</v>
      </c>
      <c r="AS51" s="128">
        <f t="shared" si="16"/>
        <v>0</v>
      </c>
      <c r="AT51" s="128">
        <f t="shared" si="16"/>
        <v>0</v>
      </c>
      <c r="AU51" s="128">
        <f t="shared" si="16"/>
        <v>0</v>
      </c>
      <c r="AV51" s="128">
        <f t="shared" si="16"/>
        <v>0</v>
      </c>
      <c r="AW51" s="128">
        <f t="shared" si="16"/>
        <v>0</v>
      </c>
      <c r="AX51" s="128">
        <f t="shared" si="16"/>
        <v>0</v>
      </c>
      <c r="AY51" s="128">
        <f t="shared" si="16"/>
        <v>0</v>
      </c>
    </row>
    <row r="52" spans="1:52" x14ac:dyDescent="0.2">
      <c r="A52" s="128"/>
      <c r="B52" s="182" t="s">
        <v>349</v>
      </c>
      <c r="C52" s="128"/>
      <c r="D52" s="128">
        <v>2</v>
      </c>
      <c r="E52" s="128">
        <v>1</v>
      </c>
      <c r="F52" s="128">
        <v>1</v>
      </c>
      <c r="G52" s="128">
        <v>2</v>
      </c>
      <c r="H52" s="128">
        <v>2</v>
      </c>
      <c r="I52" s="128">
        <v>1</v>
      </c>
      <c r="J52" s="128">
        <v>2</v>
      </c>
      <c r="K52" s="128">
        <v>2</v>
      </c>
      <c r="L52" s="128">
        <v>1</v>
      </c>
      <c r="M52" s="128">
        <v>1</v>
      </c>
      <c r="N52" s="128">
        <v>1</v>
      </c>
      <c r="O52" s="128">
        <v>3</v>
      </c>
      <c r="P52" s="128">
        <v>2</v>
      </c>
      <c r="Q52" s="128">
        <v>3</v>
      </c>
      <c r="R52" s="128">
        <v>1</v>
      </c>
      <c r="S52" s="128">
        <v>1</v>
      </c>
      <c r="T52" s="128">
        <v>3</v>
      </c>
      <c r="U52" s="128">
        <v>1</v>
      </c>
      <c r="V52" s="128">
        <v>1</v>
      </c>
      <c r="W52" s="128">
        <v>1</v>
      </c>
      <c r="X52" s="128">
        <v>1</v>
      </c>
      <c r="Y52" s="128">
        <v>1</v>
      </c>
      <c r="Z52" s="128">
        <v>2</v>
      </c>
      <c r="AA52" s="128">
        <v>1</v>
      </c>
      <c r="AB52" s="128">
        <v>1</v>
      </c>
      <c r="AC52" s="128">
        <v>3</v>
      </c>
      <c r="AD52" s="128">
        <v>1</v>
      </c>
      <c r="AE52" s="128">
        <v>1</v>
      </c>
      <c r="AF52" s="128">
        <v>1</v>
      </c>
      <c r="AG52" s="128">
        <v>2</v>
      </c>
      <c r="AH52" s="128">
        <v>1</v>
      </c>
      <c r="AI52" s="128">
        <v>1</v>
      </c>
      <c r="AJ52" s="128">
        <v>1</v>
      </c>
      <c r="AK52" s="128">
        <v>1</v>
      </c>
      <c r="AL52" s="128">
        <v>1</v>
      </c>
      <c r="AM52" s="128">
        <v>2</v>
      </c>
      <c r="AN52" s="128">
        <v>1</v>
      </c>
      <c r="AO52" s="128">
        <v>2</v>
      </c>
      <c r="AP52" s="128">
        <v>3</v>
      </c>
      <c r="AQ52" s="128">
        <v>1</v>
      </c>
      <c r="AR52" s="128">
        <v>2</v>
      </c>
      <c r="AS52" s="128">
        <v>2</v>
      </c>
      <c r="AT52" s="128">
        <v>3</v>
      </c>
      <c r="AU52" s="128">
        <v>2</v>
      </c>
      <c r="AV52" s="128">
        <v>1</v>
      </c>
      <c r="AW52" s="128">
        <v>1</v>
      </c>
      <c r="AX52" s="128">
        <v>1</v>
      </c>
      <c r="AY52" s="128">
        <v>1</v>
      </c>
    </row>
    <row r="53" spans="1:52" x14ac:dyDescent="0.2">
      <c r="A53" s="128"/>
      <c r="B53" s="193" t="s">
        <v>350</v>
      </c>
      <c r="C53" s="128"/>
      <c r="D53" s="128">
        <v>0</v>
      </c>
      <c r="E53" s="128">
        <v>0</v>
      </c>
      <c r="F53" s="128">
        <v>0</v>
      </c>
      <c r="G53" s="128">
        <v>0</v>
      </c>
      <c r="H53" s="128">
        <v>0</v>
      </c>
      <c r="I53" s="128">
        <v>0</v>
      </c>
      <c r="J53" s="128">
        <v>0</v>
      </c>
      <c r="K53" s="128">
        <v>0</v>
      </c>
      <c r="L53" s="128">
        <v>0</v>
      </c>
      <c r="M53" s="128">
        <v>0</v>
      </c>
      <c r="N53" s="128">
        <v>0</v>
      </c>
      <c r="O53" s="128">
        <v>0</v>
      </c>
      <c r="P53" s="128">
        <v>0</v>
      </c>
      <c r="Q53" s="128">
        <v>0</v>
      </c>
      <c r="R53" s="128">
        <v>0</v>
      </c>
      <c r="S53" s="128">
        <v>0</v>
      </c>
      <c r="T53" s="128">
        <v>0</v>
      </c>
      <c r="U53" s="128">
        <v>0</v>
      </c>
      <c r="V53" s="128">
        <v>0</v>
      </c>
      <c r="W53" s="128">
        <v>0</v>
      </c>
      <c r="X53" s="128">
        <v>0</v>
      </c>
      <c r="Y53" s="128">
        <v>0</v>
      </c>
      <c r="Z53" s="128">
        <v>0</v>
      </c>
      <c r="AA53" s="128">
        <v>0</v>
      </c>
      <c r="AB53" s="128">
        <v>0</v>
      </c>
      <c r="AC53" s="128">
        <v>0</v>
      </c>
      <c r="AD53" s="128">
        <v>0</v>
      </c>
      <c r="AE53" s="128">
        <v>0</v>
      </c>
      <c r="AF53" s="128">
        <v>0</v>
      </c>
      <c r="AG53" s="128">
        <v>0</v>
      </c>
      <c r="AH53" s="128">
        <v>0</v>
      </c>
      <c r="AI53" s="128">
        <v>0</v>
      </c>
      <c r="AJ53" s="128">
        <v>0</v>
      </c>
      <c r="AK53" s="128">
        <v>0</v>
      </c>
      <c r="AL53" s="128">
        <v>0</v>
      </c>
      <c r="AM53" s="128">
        <v>0</v>
      </c>
      <c r="AN53" s="128">
        <v>0</v>
      </c>
      <c r="AO53" s="128">
        <v>0</v>
      </c>
      <c r="AP53" s="128">
        <v>0</v>
      </c>
      <c r="AQ53" s="128">
        <v>0</v>
      </c>
      <c r="AR53" s="128">
        <v>0</v>
      </c>
      <c r="AS53" s="128">
        <v>0</v>
      </c>
      <c r="AT53" s="128">
        <v>0</v>
      </c>
      <c r="AU53" s="128">
        <v>0</v>
      </c>
      <c r="AV53" s="128">
        <v>0</v>
      </c>
      <c r="AW53" s="128">
        <v>0</v>
      </c>
      <c r="AX53" s="128">
        <v>0</v>
      </c>
      <c r="AY53" s="128">
        <v>0</v>
      </c>
      <c r="AZ53">
        <f>SUM($D$53:$AY$53)</f>
        <v>0</v>
      </c>
    </row>
    <row r="54" spans="1:52" x14ac:dyDescent="0.2">
      <c r="A54" s="142"/>
      <c r="B54" s="157" t="s">
        <v>351</v>
      </c>
      <c r="C54" s="142"/>
      <c r="D54" s="142">
        <v>0</v>
      </c>
      <c r="E54" s="142">
        <v>0</v>
      </c>
      <c r="F54" s="142">
        <v>0</v>
      </c>
      <c r="G54" s="142">
        <v>0</v>
      </c>
      <c r="H54" s="142">
        <v>0</v>
      </c>
      <c r="I54" s="142">
        <v>0</v>
      </c>
      <c r="J54" s="142">
        <v>0</v>
      </c>
      <c r="K54" s="142">
        <v>0</v>
      </c>
      <c r="L54" s="142">
        <v>0</v>
      </c>
      <c r="M54" s="142">
        <v>0</v>
      </c>
      <c r="N54" s="142">
        <v>0</v>
      </c>
      <c r="O54" s="142">
        <v>0</v>
      </c>
      <c r="P54" s="142">
        <v>0</v>
      </c>
      <c r="Q54" s="142">
        <v>0</v>
      </c>
      <c r="R54" s="142">
        <v>0</v>
      </c>
      <c r="S54" s="142">
        <v>0</v>
      </c>
      <c r="T54" s="142">
        <v>0</v>
      </c>
      <c r="U54" s="142">
        <v>0</v>
      </c>
      <c r="V54" s="142">
        <v>0</v>
      </c>
      <c r="W54" s="142">
        <v>0</v>
      </c>
      <c r="X54" s="142">
        <v>0</v>
      </c>
      <c r="Y54" s="142">
        <v>0</v>
      </c>
      <c r="Z54" s="142">
        <v>0</v>
      </c>
      <c r="AA54" s="142">
        <v>0</v>
      </c>
      <c r="AB54" s="142">
        <v>0</v>
      </c>
      <c r="AC54" s="142">
        <v>0</v>
      </c>
      <c r="AD54" s="142">
        <v>0</v>
      </c>
      <c r="AE54" s="142">
        <v>0</v>
      </c>
      <c r="AF54" s="142">
        <v>0</v>
      </c>
      <c r="AG54" s="142">
        <v>0</v>
      </c>
      <c r="AH54" s="142">
        <v>0</v>
      </c>
      <c r="AI54" s="142">
        <v>0</v>
      </c>
      <c r="AJ54" s="142">
        <v>0</v>
      </c>
      <c r="AK54" s="142">
        <v>0</v>
      </c>
      <c r="AL54" s="142">
        <v>0</v>
      </c>
      <c r="AM54" s="142">
        <v>0</v>
      </c>
      <c r="AN54" s="142">
        <v>0</v>
      </c>
      <c r="AO54" s="142">
        <v>0</v>
      </c>
      <c r="AP54" s="142">
        <v>0</v>
      </c>
      <c r="AQ54" s="142">
        <v>0</v>
      </c>
      <c r="AR54" s="142">
        <v>0</v>
      </c>
      <c r="AS54" s="142">
        <v>0</v>
      </c>
      <c r="AT54" s="142">
        <v>0</v>
      </c>
      <c r="AU54" s="142">
        <v>0</v>
      </c>
      <c r="AV54" s="142">
        <v>0</v>
      </c>
      <c r="AW54" s="142">
        <v>0</v>
      </c>
      <c r="AX54" s="142">
        <v>0</v>
      </c>
      <c r="AY54" s="142">
        <v>0</v>
      </c>
      <c r="AZ54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5" t="s">
        <v>10</v>
      </c>
      <c r="E2" s="128"/>
    </row>
    <row r="3" spans="1:52" x14ac:dyDescent="0.2">
      <c r="A3" t="s">
        <v>286</v>
      </c>
      <c r="B3" s="125">
        <v>570</v>
      </c>
      <c r="E3" s="128"/>
    </row>
    <row r="4" spans="1:52" x14ac:dyDescent="0.2">
      <c r="A4" s="1"/>
      <c r="C4" s="9" t="s">
        <v>287</v>
      </c>
    </row>
    <row r="5" spans="1:52" x14ac:dyDescent="0.2">
      <c r="B5" s="124"/>
      <c r="C5" s="129">
        <v>0</v>
      </c>
      <c r="D5" s="129">
        <v>1</v>
      </c>
      <c r="E5" s="129">
        <v>2</v>
      </c>
      <c r="F5" s="129">
        <v>3</v>
      </c>
      <c r="G5" s="129">
        <v>4</v>
      </c>
      <c r="H5" s="129">
        <v>5</v>
      </c>
      <c r="I5" s="129">
        <v>6</v>
      </c>
      <c r="J5" s="129">
        <v>7</v>
      </c>
      <c r="K5" s="129">
        <v>8</v>
      </c>
      <c r="L5" s="129">
        <v>9</v>
      </c>
      <c r="M5" s="129">
        <v>10</v>
      </c>
      <c r="N5" s="129">
        <v>11</v>
      </c>
      <c r="O5" s="129">
        <v>12</v>
      </c>
      <c r="P5" s="129">
        <v>13</v>
      </c>
      <c r="Q5" s="129">
        <v>14</v>
      </c>
      <c r="R5" s="129">
        <v>15</v>
      </c>
      <c r="S5" s="129">
        <v>16</v>
      </c>
      <c r="T5" s="129">
        <v>17</v>
      </c>
      <c r="U5" s="129">
        <v>18</v>
      </c>
      <c r="V5" s="129">
        <v>19</v>
      </c>
      <c r="W5" s="129">
        <v>20</v>
      </c>
      <c r="X5" s="129">
        <v>21</v>
      </c>
      <c r="Y5" s="129">
        <v>22</v>
      </c>
      <c r="Z5" s="129">
        <v>23</v>
      </c>
      <c r="AA5" s="129">
        <v>24</v>
      </c>
      <c r="AB5" s="129">
        <v>25</v>
      </c>
      <c r="AC5" s="129">
        <v>26</v>
      </c>
      <c r="AD5" s="129">
        <v>27</v>
      </c>
      <c r="AE5" s="129">
        <v>28</v>
      </c>
      <c r="AF5" s="129">
        <v>29</v>
      </c>
      <c r="AG5" s="129">
        <v>30</v>
      </c>
      <c r="AH5" s="129">
        <v>31</v>
      </c>
      <c r="AI5" s="129">
        <v>32</v>
      </c>
      <c r="AJ5" s="129">
        <v>33</v>
      </c>
      <c r="AK5" s="129">
        <v>34</v>
      </c>
      <c r="AL5" s="129">
        <v>35</v>
      </c>
      <c r="AM5" s="129">
        <v>36</v>
      </c>
      <c r="AN5" s="129">
        <v>37</v>
      </c>
      <c r="AO5" s="129">
        <v>38</v>
      </c>
      <c r="AP5" s="129">
        <v>39</v>
      </c>
      <c r="AQ5" s="129">
        <v>40</v>
      </c>
      <c r="AR5" s="129">
        <v>41</v>
      </c>
      <c r="AS5" s="129">
        <v>42</v>
      </c>
      <c r="AT5" s="129">
        <v>43</v>
      </c>
      <c r="AU5" s="129">
        <v>44</v>
      </c>
      <c r="AV5" s="129">
        <v>45</v>
      </c>
      <c r="AW5" s="129">
        <v>46</v>
      </c>
      <c r="AX5" s="129">
        <v>47</v>
      </c>
      <c r="AY5" s="129">
        <v>48</v>
      </c>
    </row>
    <row r="6" spans="1:52" x14ac:dyDescent="0.2">
      <c r="A6" s="1" t="s">
        <v>304</v>
      </c>
      <c r="B6" s="131"/>
      <c r="C6" s="130" t="s">
        <v>288</v>
      </c>
      <c r="D6" s="129" t="s">
        <v>289</v>
      </c>
      <c r="E6" s="129" t="s">
        <v>289</v>
      </c>
      <c r="F6" s="129" t="s">
        <v>289</v>
      </c>
      <c r="G6" s="129" t="s">
        <v>289</v>
      </c>
      <c r="H6" s="129" t="s">
        <v>289</v>
      </c>
      <c r="I6" s="129" t="s">
        <v>289</v>
      </c>
      <c r="J6" s="129" t="s">
        <v>289</v>
      </c>
      <c r="K6" s="129" t="s">
        <v>289</v>
      </c>
      <c r="L6" s="129" t="s">
        <v>289</v>
      </c>
      <c r="M6" s="129" t="s">
        <v>289</v>
      </c>
      <c r="N6" s="129" t="s">
        <v>289</v>
      </c>
      <c r="O6" s="129" t="s">
        <v>289</v>
      </c>
      <c r="P6" s="129" t="s">
        <v>289</v>
      </c>
      <c r="Q6" s="129" t="s">
        <v>289</v>
      </c>
      <c r="R6" s="129" t="s">
        <v>289</v>
      </c>
      <c r="S6" s="129" t="s">
        <v>289</v>
      </c>
      <c r="T6" s="129" t="s">
        <v>289</v>
      </c>
      <c r="U6" s="129" t="s">
        <v>289</v>
      </c>
      <c r="V6" s="129" t="s">
        <v>289</v>
      </c>
      <c r="W6" s="129" t="s">
        <v>289</v>
      </c>
      <c r="X6" s="129" t="s">
        <v>289</v>
      </c>
      <c r="Y6" s="129" t="s">
        <v>289</v>
      </c>
      <c r="Z6" s="129" t="s">
        <v>289</v>
      </c>
      <c r="AA6" s="129" t="s">
        <v>289</v>
      </c>
      <c r="AB6" s="129" t="s">
        <v>289</v>
      </c>
      <c r="AC6" s="129" t="s">
        <v>289</v>
      </c>
      <c r="AD6" s="129" t="s">
        <v>289</v>
      </c>
      <c r="AE6" s="129" t="s">
        <v>289</v>
      </c>
      <c r="AF6" s="129" t="s">
        <v>289</v>
      </c>
      <c r="AG6" s="129" t="s">
        <v>289</v>
      </c>
      <c r="AH6" s="129" t="s">
        <v>289</v>
      </c>
      <c r="AI6" s="129" t="s">
        <v>289</v>
      </c>
      <c r="AJ6" s="129" t="s">
        <v>289</v>
      </c>
      <c r="AK6" s="129" t="s">
        <v>289</v>
      </c>
      <c r="AL6" s="129" t="s">
        <v>289</v>
      </c>
      <c r="AM6" s="129" t="s">
        <v>289</v>
      </c>
      <c r="AN6" s="129" t="s">
        <v>289</v>
      </c>
      <c r="AO6" s="129" t="s">
        <v>289</v>
      </c>
      <c r="AP6" s="129" t="s">
        <v>289</v>
      </c>
      <c r="AQ6" s="129" t="s">
        <v>289</v>
      </c>
      <c r="AR6" s="129" t="s">
        <v>289</v>
      </c>
      <c r="AS6" s="129" t="s">
        <v>289</v>
      </c>
      <c r="AT6" s="129" t="s">
        <v>289</v>
      </c>
      <c r="AU6" s="129" t="s">
        <v>289</v>
      </c>
      <c r="AV6" s="129" t="s">
        <v>289</v>
      </c>
      <c r="AW6" s="129" t="s">
        <v>289</v>
      </c>
      <c r="AX6" s="129" t="s">
        <v>289</v>
      </c>
      <c r="AY6" s="9" t="s">
        <v>290</v>
      </c>
      <c r="AZ6" s="159" t="s">
        <v>150</v>
      </c>
    </row>
    <row r="7" spans="1:52" x14ac:dyDescent="0.2">
      <c r="A7" s="132" t="s">
        <v>125</v>
      </c>
      <c r="B7" s="160">
        <v>1</v>
      </c>
      <c r="C7" s="161" t="s">
        <v>293</v>
      </c>
      <c r="D7" s="161">
        <v>0</v>
      </c>
      <c r="E7" s="161">
        <v>0</v>
      </c>
      <c r="F7" s="161">
        <v>0</v>
      </c>
      <c r="G7" s="161">
        <v>0</v>
      </c>
      <c r="H7" s="161">
        <v>0</v>
      </c>
      <c r="I7" s="161">
        <v>0</v>
      </c>
      <c r="J7" s="161">
        <v>0</v>
      </c>
      <c r="K7" s="161">
        <v>0</v>
      </c>
      <c r="L7" s="161">
        <v>0</v>
      </c>
      <c r="M7" s="161">
        <v>0</v>
      </c>
      <c r="N7" s="161">
        <v>0</v>
      </c>
      <c r="O7" s="161">
        <v>0</v>
      </c>
      <c r="P7" s="161">
        <v>0</v>
      </c>
      <c r="Q7" s="161">
        <v>0</v>
      </c>
      <c r="R7" s="161">
        <v>0</v>
      </c>
      <c r="S7" s="161">
        <v>0</v>
      </c>
      <c r="T7" s="161">
        <v>0</v>
      </c>
      <c r="U7" s="161">
        <v>0</v>
      </c>
      <c r="V7" s="161">
        <v>0</v>
      </c>
      <c r="W7" s="161">
        <v>0</v>
      </c>
      <c r="X7" s="161">
        <v>0</v>
      </c>
      <c r="Y7" s="161">
        <v>0</v>
      </c>
      <c r="Z7" s="161">
        <v>0</v>
      </c>
      <c r="AA7" s="161">
        <v>0</v>
      </c>
      <c r="AB7" s="161">
        <v>0</v>
      </c>
      <c r="AC7" s="161">
        <v>0</v>
      </c>
      <c r="AD7" s="161">
        <v>0</v>
      </c>
      <c r="AE7" s="161">
        <v>0</v>
      </c>
      <c r="AF7" s="161">
        <v>0</v>
      </c>
      <c r="AG7" s="161">
        <v>0</v>
      </c>
      <c r="AH7" s="161">
        <v>0</v>
      </c>
      <c r="AI7" s="161">
        <v>0</v>
      </c>
      <c r="AJ7" s="161">
        <v>0</v>
      </c>
      <c r="AK7" s="161">
        <v>0</v>
      </c>
      <c r="AL7" s="161">
        <v>0</v>
      </c>
      <c r="AM7" s="161">
        <v>0</v>
      </c>
      <c r="AN7" s="161">
        <v>0</v>
      </c>
      <c r="AO7" s="161">
        <v>0</v>
      </c>
      <c r="AP7" s="161">
        <v>0</v>
      </c>
      <c r="AQ7" s="161">
        <v>0</v>
      </c>
      <c r="AR7" s="161">
        <v>0</v>
      </c>
      <c r="AS7" s="161">
        <v>0</v>
      </c>
      <c r="AT7" s="161">
        <v>0</v>
      </c>
      <c r="AU7" s="161">
        <v>0</v>
      </c>
      <c r="AV7" s="161">
        <v>0</v>
      </c>
      <c r="AW7" s="161">
        <v>0</v>
      </c>
      <c r="AX7" s="161">
        <v>0</v>
      </c>
      <c r="AY7" s="161">
        <v>0</v>
      </c>
      <c r="AZ7" s="124"/>
    </row>
    <row r="8" spans="1:52" x14ac:dyDescent="0.2">
      <c r="A8" s="162"/>
      <c r="B8" s="163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2"/>
      <c r="AE8" s="162"/>
      <c r="AF8" s="162"/>
      <c r="AG8" s="162"/>
      <c r="AH8" s="162"/>
      <c r="AI8" s="162"/>
      <c r="AJ8" s="162"/>
      <c r="AK8" s="162"/>
      <c r="AL8" s="162"/>
      <c r="AM8" s="162"/>
      <c r="AN8" s="162"/>
      <c r="AO8" s="162"/>
      <c r="AP8" s="162"/>
      <c r="AQ8" s="162"/>
      <c r="AR8" s="162"/>
      <c r="AS8" s="162"/>
      <c r="AT8" s="162"/>
      <c r="AU8" s="162"/>
      <c r="AV8" s="162"/>
      <c r="AW8" s="162"/>
      <c r="AX8" s="162"/>
      <c r="AY8" s="162"/>
      <c r="AZ8" s="164"/>
    </row>
    <row r="9" spans="1:52" x14ac:dyDescent="0.2">
      <c r="A9" s="1" t="s">
        <v>294</v>
      </c>
      <c r="B9" s="165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  <c r="AB9" s="124"/>
      <c r="AC9" s="124"/>
      <c r="AD9" s="124"/>
      <c r="AE9" s="124"/>
      <c r="AF9" s="124"/>
      <c r="AG9" s="124"/>
      <c r="AH9" s="124"/>
      <c r="AI9" s="124"/>
      <c r="AJ9" s="124"/>
      <c r="AK9" s="124"/>
      <c r="AL9" s="124"/>
      <c r="AM9" s="124"/>
      <c r="AN9" s="124"/>
      <c r="AO9" s="124"/>
      <c r="AP9" s="124"/>
      <c r="AQ9" s="124"/>
      <c r="AR9" s="124"/>
      <c r="AS9" s="124"/>
      <c r="AT9" s="124"/>
      <c r="AU9" s="124"/>
      <c r="AV9" s="124"/>
      <c r="AW9" s="124"/>
      <c r="AX9" s="124"/>
      <c r="AY9" s="124"/>
      <c r="AZ9" s="124"/>
    </row>
    <row r="10" spans="1:52" x14ac:dyDescent="0.2">
      <c r="A10" s="166" t="s">
        <v>125</v>
      </c>
      <c r="B10" s="167">
        <v>1</v>
      </c>
      <c r="C10" s="161" t="s">
        <v>293</v>
      </c>
      <c r="D10" s="161">
        <f t="shared" ref="D10:AY10" si="0">MAX(SUM(D$14:D$16)+D$7-$B$3,0)</f>
        <v>0</v>
      </c>
      <c r="E10" s="161">
        <f t="shared" si="0"/>
        <v>0</v>
      </c>
      <c r="F10" s="161">
        <f t="shared" si="0"/>
        <v>0</v>
      </c>
      <c r="G10" s="161">
        <f t="shared" si="0"/>
        <v>0</v>
      </c>
      <c r="H10" s="161">
        <f t="shared" si="0"/>
        <v>0</v>
      </c>
      <c r="I10" s="161">
        <f t="shared" si="0"/>
        <v>0</v>
      </c>
      <c r="J10" s="161">
        <f t="shared" si="0"/>
        <v>0</v>
      </c>
      <c r="K10" s="161">
        <f t="shared" si="0"/>
        <v>0</v>
      </c>
      <c r="L10" s="161">
        <f t="shared" si="0"/>
        <v>0</v>
      </c>
      <c r="M10" s="161">
        <f t="shared" si="0"/>
        <v>0</v>
      </c>
      <c r="N10" s="161">
        <f t="shared" si="0"/>
        <v>0</v>
      </c>
      <c r="O10" s="161">
        <f t="shared" si="0"/>
        <v>0</v>
      </c>
      <c r="P10" s="161">
        <f t="shared" si="0"/>
        <v>0</v>
      </c>
      <c r="Q10" s="161">
        <f t="shared" si="0"/>
        <v>0</v>
      </c>
      <c r="R10" s="161">
        <f t="shared" si="0"/>
        <v>0</v>
      </c>
      <c r="S10" s="161">
        <f t="shared" si="0"/>
        <v>0</v>
      </c>
      <c r="T10" s="161">
        <f t="shared" si="0"/>
        <v>0</v>
      </c>
      <c r="U10" s="161">
        <f t="shared" si="0"/>
        <v>0</v>
      </c>
      <c r="V10" s="161">
        <f t="shared" si="0"/>
        <v>0</v>
      </c>
      <c r="W10" s="161">
        <f t="shared" si="0"/>
        <v>0</v>
      </c>
      <c r="X10" s="161">
        <f t="shared" si="0"/>
        <v>0</v>
      </c>
      <c r="Y10" s="161">
        <f t="shared" si="0"/>
        <v>0</v>
      </c>
      <c r="Z10" s="161">
        <f t="shared" si="0"/>
        <v>0</v>
      </c>
      <c r="AA10" s="161">
        <f t="shared" si="0"/>
        <v>0</v>
      </c>
      <c r="AB10" s="161">
        <f t="shared" si="0"/>
        <v>0</v>
      </c>
      <c r="AC10" s="161">
        <f t="shared" si="0"/>
        <v>0</v>
      </c>
      <c r="AD10" s="161">
        <f t="shared" si="0"/>
        <v>0</v>
      </c>
      <c r="AE10" s="161">
        <f t="shared" si="0"/>
        <v>0</v>
      </c>
      <c r="AF10" s="161">
        <f t="shared" si="0"/>
        <v>0</v>
      </c>
      <c r="AG10" s="161">
        <f t="shared" si="0"/>
        <v>0</v>
      </c>
      <c r="AH10" s="161">
        <f t="shared" si="0"/>
        <v>0</v>
      </c>
      <c r="AI10" s="161">
        <f t="shared" si="0"/>
        <v>0</v>
      </c>
      <c r="AJ10" s="161">
        <f t="shared" si="0"/>
        <v>0</v>
      </c>
      <c r="AK10" s="161">
        <f t="shared" si="0"/>
        <v>0</v>
      </c>
      <c r="AL10" s="161">
        <f t="shared" si="0"/>
        <v>0</v>
      </c>
      <c r="AM10" s="161">
        <f t="shared" si="0"/>
        <v>0</v>
      </c>
      <c r="AN10" s="161">
        <f t="shared" si="0"/>
        <v>0</v>
      </c>
      <c r="AO10" s="161">
        <f t="shared" si="0"/>
        <v>0</v>
      </c>
      <c r="AP10" s="161">
        <f t="shared" si="0"/>
        <v>0</v>
      </c>
      <c r="AQ10" s="161">
        <f t="shared" si="0"/>
        <v>0</v>
      </c>
      <c r="AR10" s="161">
        <f t="shared" si="0"/>
        <v>0</v>
      </c>
      <c r="AS10" s="161">
        <f t="shared" si="0"/>
        <v>0</v>
      </c>
      <c r="AT10" s="161">
        <f t="shared" si="0"/>
        <v>0</v>
      </c>
      <c r="AU10" s="161">
        <f t="shared" si="0"/>
        <v>0</v>
      </c>
      <c r="AV10" s="161">
        <f t="shared" si="0"/>
        <v>0</v>
      </c>
      <c r="AW10" s="161">
        <f t="shared" si="0"/>
        <v>0</v>
      </c>
      <c r="AX10" s="161">
        <f t="shared" si="0"/>
        <v>0</v>
      </c>
      <c r="AY10" s="161">
        <f t="shared" si="0"/>
        <v>0</v>
      </c>
      <c r="AZ10" s="168">
        <f>SUM($D10:$AY10)</f>
        <v>0</v>
      </c>
    </row>
    <row r="11" spans="1:52" x14ac:dyDescent="0.2">
      <c r="C11" s="128"/>
    </row>
    <row r="12" spans="1:52" x14ac:dyDescent="0.2">
      <c r="A12" s="169" t="s">
        <v>295</v>
      </c>
      <c r="B12" s="163"/>
      <c r="C12" s="128"/>
    </row>
    <row r="13" spans="1:52" x14ac:dyDescent="0.2">
      <c r="A13" s="139" t="s">
        <v>125</v>
      </c>
      <c r="B13" s="140">
        <v>1</v>
      </c>
      <c r="C13" s="141">
        <v>371.45415700949462</v>
      </c>
      <c r="D13" s="155">
        <f t="shared" ref="D13:AY13" si="1">D$7-D$10</f>
        <v>0</v>
      </c>
      <c r="E13" s="155">
        <f t="shared" si="1"/>
        <v>0</v>
      </c>
      <c r="F13" s="155">
        <f t="shared" si="1"/>
        <v>0</v>
      </c>
      <c r="G13" s="155">
        <f t="shared" si="1"/>
        <v>0</v>
      </c>
      <c r="H13" s="155">
        <f t="shared" si="1"/>
        <v>0</v>
      </c>
      <c r="I13" s="155">
        <f t="shared" si="1"/>
        <v>0</v>
      </c>
      <c r="J13" s="155">
        <f t="shared" si="1"/>
        <v>0</v>
      </c>
      <c r="K13" s="155">
        <f t="shared" si="1"/>
        <v>0</v>
      </c>
      <c r="L13" s="155">
        <f t="shared" si="1"/>
        <v>0</v>
      </c>
      <c r="M13" s="155">
        <f t="shared" si="1"/>
        <v>0</v>
      </c>
      <c r="N13" s="155">
        <f t="shared" si="1"/>
        <v>0</v>
      </c>
      <c r="O13" s="155">
        <f t="shared" si="1"/>
        <v>0</v>
      </c>
      <c r="P13" s="155">
        <f t="shared" si="1"/>
        <v>0</v>
      </c>
      <c r="Q13" s="155">
        <f t="shared" si="1"/>
        <v>0</v>
      </c>
      <c r="R13" s="155">
        <f t="shared" si="1"/>
        <v>0</v>
      </c>
      <c r="S13" s="155">
        <f t="shared" si="1"/>
        <v>0</v>
      </c>
      <c r="T13" s="155">
        <f t="shared" si="1"/>
        <v>0</v>
      </c>
      <c r="U13" s="155">
        <f t="shared" si="1"/>
        <v>0</v>
      </c>
      <c r="V13" s="155">
        <f t="shared" si="1"/>
        <v>0</v>
      </c>
      <c r="W13" s="155">
        <f t="shared" si="1"/>
        <v>0</v>
      </c>
      <c r="X13" s="155">
        <f t="shared" si="1"/>
        <v>0</v>
      </c>
      <c r="Y13" s="155">
        <f t="shared" si="1"/>
        <v>0</v>
      </c>
      <c r="Z13" s="155">
        <f t="shared" si="1"/>
        <v>0</v>
      </c>
      <c r="AA13" s="155">
        <f t="shared" si="1"/>
        <v>0</v>
      </c>
      <c r="AB13" s="155">
        <f t="shared" si="1"/>
        <v>0</v>
      </c>
      <c r="AC13" s="155">
        <f t="shared" si="1"/>
        <v>0</v>
      </c>
      <c r="AD13" s="155">
        <f t="shared" si="1"/>
        <v>0</v>
      </c>
      <c r="AE13" s="155">
        <f t="shared" si="1"/>
        <v>0</v>
      </c>
      <c r="AF13" s="155">
        <f t="shared" si="1"/>
        <v>0</v>
      </c>
      <c r="AG13" s="155">
        <f t="shared" si="1"/>
        <v>0</v>
      </c>
      <c r="AH13" s="155">
        <f t="shared" si="1"/>
        <v>0</v>
      </c>
      <c r="AI13" s="155">
        <f t="shared" si="1"/>
        <v>0</v>
      </c>
      <c r="AJ13" s="155">
        <f t="shared" si="1"/>
        <v>0</v>
      </c>
      <c r="AK13" s="155">
        <f t="shared" si="1"/>
        <v>0</v>
      </c>
      <c r="AL13" s="155">
        <f t="shared" si="1"/>
        <v>0</v>
      </c>
      <c r="AM13" s="155">
        <f t="shared" si="1"/>
        <v>0</v>
      </c>
      <c r="AN13" s="155">
        <f t="shared" si="1"/>
        <v>0</v>
      </c>
      <c r="AO13" s="155">
        <f t="shared" si="1"/>
        <v>0</v>
      </c>
      <c r="AP13" s="155">
        <f t="shared" si="1"/>
        <v>0</v>
      </c>
      <c r="AQ13" s="155">
        <f t="shared" si="1"/>
        <v>0</v>
      </c>
      <c r="AR13" s="155">
        <f t="shared" si="1"/>
        <v>0</v>
      </c>
      <c r="AS13" s="155">
        <f t="shared" si="1"/>
        <v>0</v>
      </c>
      <c r="AT13" s="155">
        <f t="shared" si="1"/>
        <v>0</v>
      </c>
      <c r="AU13" s="155">
        <f t="shared" si="1"/>
        <v>0</v>
      </c>
      <c r="AV13" s="155">
        <f t="shared" si="1"/>
        <v>0</v>
      </c>
      <c r="AW13" s="155">
        <f t="shared" si="1"/>
        <v>0</v>
      </c>
      <c r="AX13" s="155">
        <f t="shared" si="1"/>
        <v>0</v>
      </c>
      <c r="AY13" s="155">
        <f t="shared" si="1"/>
        <v>0</v>
      </c>
      <c r="AZ13" s="127"/>
    </row>
    <row r="14" spans="1:52" x14ac:dyDescent="0.2">
      <c r="A14" s="128"/>
      <c r="B14" s="137">
        <v>2</v>
      </c>
      <c r="C14" s="128">
        <v>0</v>
      </c>
      <c r="D14" s="124">
        <f>IF(C$20="Yes",C13,0)</f>
        <v>0</v>
      </c>
      <c r="E14" s="124">
        <f t="shared" ref="E14:AY17" si="2">IF(D$20="Yes",D13,0)</f>
        <v>0</v>
      </c>
      <c r="F14" s="124">
        <f t="shared" si="2"/>
        <v>0</v>
      </c>
      <c r="G14" s="124">
        <f t="shared" si="2"/>
        <v>0</v>
      </c>
      <c r="H14" s="124">
        <f t="shared" si="2"/>
        <v>0</v>
      </c>
      <c r="I14" s="124">
        <f t="shared" si="2"/>
        <v>0</v>
      </c>
      <c r="J14" s="124">
        <f t="shared" si="2"/>
        <v>0</v>
      </c>
      <c r="K14" s="124">
        <f t="shared" si="2"/>
        <v>0</v>
      </c>
      <c r="L14" s="124">
        <f t="shared" si="2"/>
        <v>0</v>
      </c>
      <c r="M14" s="124">
        <f t="shared" si="2"/>
        <v>0</v>
      </c>
      <c r="N14" s="124">
        <f t="shared" si="2"/>
        <v>0</v>
      </c>
      <c r="O14" s="124">
        <f t="shared" si="2"/>
        <v>0</v>
      </c>
      <c r="P14" s="124">
        <f t="shared" si="2"/>
        <v>0</v>
      </c>
      <c r="Q14" s="124">
        <f t="shared" si="2"/>
        <v>0</v>
      </c>
      <c r="R14" s="124">
        <f t="shared" si="2"/>
        <v>0</v>
      </c>
      <c r="S14" s="124">
        <f t="shared" si="2"/>
        <v>0</v>
      </c>
      <c r="T14" s="124">
        <f t="shared" si="2"/>
        <v>0</v>
      </c>
      <c r="U14" s="124">
        <f t="shared" si="2"/>
        <v>0</v>
      </c>
      <c r="V14" s="124">
        <f t="shared" si="2"/>
        <v>0</v>
      </c>
      <c r="W14" s="124">
        <f t="shared" si="2"/>
        <v>0</v>
      </c>
      <c r="X14" s="124">
        <f t="shared" si="2"/>
        <v>0</v>
      </c>
      <c r="Y14" s="124">
        <f t="shared" si="2"/>
        <v>0</v>
      </c>
      <c r="Z14" s="124">
        <f t="shared" si="2"/>
        <v>0</v>
      </c>
      <c r="AA14" s="124">
        <f t="shared" si="2"/>
        <v>0</v>
      </c>
      <c r="AB14" s="124">
        <f t="shared" si="2"/>
        <v>0</v>
      </c>
      <c r="AC14" s="124">
        <f t="shared" si="2"/>
        <v>0</v>
      </c>
      <c r="AD14" s="124">
        <f t="shared" si="2"/>
        <v>0</v>
      </c>
      <c r="AE14" s="124">
        <f t="shared" si="2"/>
        <v>0</v>
      </c>
      <c r="AF14" s="124">
        <f t="shared" si="2"/>
        <v>0</v>
      </c>
      <c r="AG14" s="124">
        <f t="shared" si="2"/>
        <v>0</v>
      </c>
      <c r="AH14" s="124">
        <f t="shared" si="2"/>
        <v>0</v>
      </c>
      <c r="AI14" s="124">
        <f t="shared" si="2"/>
        <v>0</v>
      </c>
      <c r="AJ14" s="124">
        <f t="shared" si="2"/>
        <v>0</v>
      </c>
      <c r="AK14" s="124">
        <f t="shared" si="2"/>
        <v>0</v>
      </c>
      <c r="AL14" s="124">
        <f t="shared" si="2"/>
        <v>0</v>
      </c>
      <c r="AM14" s="124">
        <f t="shared" si="2"/>
        <v>0</v>
      </c>
      <c r="AN14" s="124">
        <f t="shared" si="2"/>
        <v>0</v>
      </c>
      <c r="AO14" s="124">
        <f t="shared" si="2"/>
        <v>0</v>
      </c>
      <c r="AP14" s="124">
        <f t="shared" si="2"/>
        <v>0</v>
      </c>
      <c r="AQ14" s="124">
        <f t="shared" si="2"/>
        <v>0</v>
      </c>
      <c r="AR14" s="124">
        <f t="shared" si="2"/>
        <v>0</v>
      </c>
      <c r="AS14" s="124">
        <f t="shared" si="2"/>
        <v>0</v>
      </c>
      <c r="AT14" s="124">
        <f t="shared" si="2"/>
        <v>0</v>
      </c>
      <c r="AU14" s="124">
        <f t="shared" si="2"/>
        <v>0</v>
      </c>
      <c r="AV14" s="124">
        <f t="shared" si="2"/>
        <v>0</v>
      </c>
      <c r="AW14" s="124">
        <f t="shared" si="2"/>
        <v>0</v>
      </c>
      <c r="AX14" s="124">
        <f t="shared" si="2"/>
        <v>0</v>
      </c>
      <c r="AY14" s="124">
        <f t="shared" si="2"/>
        <v>0</v>
      </c>
      <c r="AZ14" s="127"/>
    </row>
    <row r="15" spans="1:52" x14ac:dyDescent="0.2">
      <c r="A15" s="128"/>
      <c r="B15" s="144">
        <v>3</v>
      </c>
      <c r="C15" s="128">
        <v>0</v>
      </c>
      <c r="D15" s="124">
        <f>IF(C$20="Yes",C14,0)</f>
        <v>0</v>
      </c>
      <c r="E15" s="124">
        <f t="shared" si="2"/>
        <v>0</v>
      </c>
      <c r="F15" s="124">
        <f t="shared" si="2"/>
        <v>0</v>
      </c>
      <c r="G15" s="124">
        <f t="shared" si="2"/>
        <v>0</v>
      </c>
      <c r="H15" s="124">
        <f t="shared" si="2"/>
        <v>0</v>
      </c>
      <c r="I15" s="124">
        <f t="shared" si="2"/>
        <v>0</v>
      </c>
      <c r="J15" s="124">
        <f t="shared" si="2"/>
        <v>0</v>
      </c>
      <c r="K15" s="124">
        <f t="shared" si="2"/>
        <v>0</v>
      </c>
      <c r="L15" s="124">
        <f t="shared" si="2"/>
        <v>0</v>
      </c>
      <c r="M15" s="124">
        <f t="shared" si="2"/>
        <v>0</v>
      </c>
      <c r="N15" s="124">
        <f t="shared" si="2"/>
        <v>0</v>
      </c>
      <c r="O15" s="124">
        <f t="shared" si="2"/>
        <v>0</v>
      </c>
      <c r="P15" s="124">
        <f t="shared" si="2"/>
        <v>0</v>
      </c>
      <c r="Q15" s="124">
        <f t="shared" si="2"/>
        <v>0</v>
      </c>
      <c r="R15" s="124">
        <f t="shared" si="2"/>
        <v>0</v>
      </c>
      <c r="S15" s="124">
        <f t="shared" si="2"/>
        <v>0</v>
      </c>
      <c r="T15" s="124">
        <f t="shared" si="2"/>
        <v>0</v>
      </c>
      <c r="U15" s="124">
        <f t="shared" si="2"/>
        <v>0</v>
      </c>
      <c r="V15" s="124">
        <f t="shared" si="2"/>
        <v>0</v>
      </c>
      <c r="W15" s="124">
        <f t="shared" si="2"/>
        <v>0</v>
      </c>
      <c r="X15" s="124">
        <f t="shared" si="2"/>
        <v>0</v>
      </c>
      <c r="Y15" s="124">
        <f t="shared" si="2"/>
        <v>0</v>
      </c>
      <c r="Z15" s="124">
        <f t="shared" si="2"/>
        <v>0</v>
      </c>
      <c r="AA15" s="124">
        <f t="shared" si="2"/>
        <v>0</v>
      </c>
      <c r="AB15" s="124">
        <f t="shared" si="2"/>
        <v>0</v>
      </c>
      <c r="AC15" s="124">
        <f t="shared" si="2"/>
        <v>0</v>
      </c>
      <c r="AD15" s="124">
        <f t="shared" si="2"/>
        <v>0</v>
      </c>
      <c r="AE15" s="124">
        <f t="shared" si="2"/>
        <v>0</v>
      </c>
      <c r="AF15" s="124">
        <f t="shared" si="2"/>
        <v>0</v>
      </c>
      <c r="AG15" s="124">
        <f t="shared" si="2"/>
        <v>0</v>
      </c>
      <c r="AH15" s="124">
        <f t="shared" si="2"/>
        <v>0</v>
      </c>
      <c r="AI15" s="124">
        <f t="shared" si="2"/>
        <v>0</v>
      </c>
      <c r="AJ15" s="124">
        <f t="shared" si="2"/>
        <v>0</v>
      </c>
      <c r="AK15" s="124">
        <f t="shared" si="2"/>
        <v>0</v>
      </c>
      <c r="AL15" s="124">
        <f t="shared" si="2"/>
        <v>0</v>
      </c>
      <c r="AM15" s="124">
        <f t="shared" si="2"/>
        <v>0</v>
      </c>
      <c r="AN15" s="124">
        <f t="shared" si="2"/>
        <v>0</v>
      </c>
      <c r="AO15" s="124">
        <f t="shared" si="2"/>
        <v>0</v>
      </c>
      <c r="AP15" s="124">
        <f t="shared" si="2"/>
        <v>0</v>
      </c>
      <c r="AQ15" s="124">
        <f t="shared" si="2"/>
        <v>0</v>
      </c>
      <c r="AR15" s="124">
        <f t="shared" si="2"/>
        <v>0</v>
      </c>
      <c r="AS15" s="124">
        <f t="shared" si="2"/>
        <v>0</v>
      </c>
      <c r="AT15" s="124">
        <f t="shared" si="2"/>
        <v>0</v>
      </c>
      <c r="AU15" s="124">
        <f t="shared" si="2"/>
        <v>0</v>
      </c>
      <c r="AV15" s="124">
        <f t="shared" si="2"/>
        <v>0</v>
      </c>
      <c r="AW15" s="124">
        <f t="shared" si="2"/>
        <v>0</v>
      </c>
      <c r="AX15" s="124">
        <f t="shared" si="2"/>
        <v>0</v>
      </c>
      <c r="AY15" s="124">
        <f t="shared" si="2"/>
        <v>0</v>
      </c>
      <c r="AZ15" s="127"/>
    </row>
    <row r="16" spans="1:52" x14ac:dyDescent="0.2">
      <c r="A16" s="128"/>
      <c r="B16" s="147">
        <v>4</v>
      </c>
      <c r="C16" s="128">
        <v>0</v>
      </c>
      <c r="D16" s="124">
        <f>IF(C$20="Yes",C15,0)</f>
        <v>0</v>
      </c>
      <c r="E16" s="124">
        <f t="shared" si="2"/>
        <v>0</v>
      </c>
      <c r="F16" s="124">
        <f t="shared" si="2"/>
        <v>0</v>
      </c>
      <c r="G16" s="124">
        <f t="shared" si="2"/>
        <v>0</v>
      </c>
      <c r="H16" s="124">
        <f t="shared" si="2"/>
        <v>0</v>
      </c>
      <c r="I16" s="124">
        <f t="shared" si="2"/>
        <v>0</v>
      </c>
      <c r="J16" s="124">
        <f t="shared" si="2"/>
        <v>0</v>
      </c>
      <c r="K16" s="124">
        <f t="shared" si="2"/>
        <v>0</v>
      </c>
      <c r="L16" s="124">
        <f t="shared" si="2"/>
        <v>0</v>
      </c>
      <c r="M16" s="124">
        <f t="shared" si="2"/>
        <v>0</v>
      </c>
      <c r="N16" s="124">
        <f t="shared" si="2"/>
        <v>0</v>
      </c>
      <c r="O16" s="124">
        <f t="shared" si="2"/>
        <v>0</v>
      </c>
      <c r="P16" s="124">
        <f t="shared" si="2"/>
        <v>0</v>
      </c>
      <c r="Q16" s="124">
        <f t="shared" si="2"/>
        <v>0</v>
      </c>
      <c r="R16" s="124">
        <f t="shared" si="2"/>
        <v>0</v>
      </c>
      <c r="S16" s="124">
        <f t="shared" si="2"/>
        <v>0</v>
      </c>
      <c r="T16" s="124">
        <f t="shared" si="2"/>
        <v>0</v>
      </c>
      <c r="U16" s="124">
        <f t="shared" si="2"/>
        <v>0</v>
      </c>
      <c r="V16" s="124">
        <f t="shared" si="2"/>
        <v>0</v>
      </c>
      <c r="W16" s="124">
        <f t="shared" si="2"/>
        <v>0</v>
      </c>
      <c r="X16" s="124">
        <f t="shared" si="2"/>
        <v>0</v>
      </c>
      <c r="Y16" s="124">
        <f t="shared" si="2"/>
        <v>0</v>
      </c>
      <c r="Z16" s="124">
        <f t="shared" si="2"/>
        <v>0</v>
      </c>
      <c r="AA16" s="124">
        <f t="shared" si="2"/>
        <v>0</v>
      </c>
      <c r="AB16" s="124">
        <f t="shared" si="2"/>
        <v>0</v>
      </c>
      <c r="AC16" s="124">
        <f t="shared" si="2"/>
        <v>0</v>
      </c>
      <c r="AD16" s="124">
        <f t="shared" si="2"/>
        <v>0</v>
      </c>
      <c r="AE16" s="124">
        <f t="shared" si="2"/>
        <v>0</v>
      </c>
      <c r="AF16" s="124">
        <f t="shared" si="2"/>
        <v>0</v>
      </c>
      <c r="AG16" s="124">
        <f t="shared" si="2"/>
        <v>0</v>
      </c>
      <c r="AH16" s="124">
        <f t="shared" si="2"/>
        <v>0</v>
      </c>
      <c r="AI16" s="124">
        <f t="shared" si="2"/>
        <v>0</v>
      </c>
      <c r="AJ16" s="124">
        <f t="shared" si="2"/>
        <v>0</v>
      </c>
      <c r="AK16" s="124">
        <f t="shared" si="2"/>
        <v>0</v>
      </c>
      <c r="AL16" s="124">
        <f t="shared" si="2"/>
        <v>0</v>
      </c>
      <c r="AM16" s="124">
        <f t="shared" si="2"/>
        <v>0</v>
      </c>
      <c r="AN16" s="124">
        <f t="shared" si="2"/>
        <v>0</v>
      </c>
      <c r="AO16" s="124">
        <f t="shared" si="2"/>
        <v>0</v>
      </c>
      <c r="AP16" s="124">
        <f t="shared" si="2"/>
        <v>0</v>
      </c>
      <c r="AQ16" s="124">
        <f t="shared" si="2"/>
        <v>0</v>
      </c>
      <c r="AR16" s="124">
        <f t="shared" si="2"/>
        <v>0</v>
      </c>
      <c r="AS16" s="124">
        <f t="shared" si="2"/>
        <v>0</v>
      </c>
      <c r="AT16" s="124">
        <f t="shared" si="2"/>
        <v>0</v>
      </c>
      <c r="AU16" s="124">
        <f t="shared" si="2"/>
        <v>0</v>
      </c>
      <c r="AV16" s="124">
        <f t="shared" si="2"/>
        <v>0</v>
      </c>
      <c r="AW16" s="124">
        <f t="shared" si="2"/>
        <v>0</v>
      </c>
      <c r="AX16" s="124">
        <f t="shared" si="2"/>
        <v>0</v>
      </c>
      <c r="AY16" s="124">
        <f t="shared" si="2"/>
        <v>0</v>
      </c>
      <c r="AZ16" s="145"/>
    </row>
    <row r="17" spans="1:52" x14ac:dyDescent="0.2">
      <c r="A17" s="142"/>
      <c r="B17" s="149" t="s">
        <v>296</v>
      </c>
      <c r="C17" s="142">
        <v>0</v>
      </c>
      <c r="D17" s="131">
        <f>IF(C$20="Yes",C16,0)</f>
        <v>0</v>
      </c>
      <c r="E17" s="131">
        <f t="shared" si="2"/>
        <v>0</v>
      </c>
      <c r="F17" s="131">
        <f t="shared" si="2"/>
        <v>0</v>
      </c>
      <c r="G17" s="131">
        <f t="shared" si="2"/>
        <v>0</v>
      </c>
      <c r="H17" s="131">
        <f t="shared" si="2"/>
        <v>0</v>
      </c>
      <c r="I17" s="131">
        <f t="shared" si="2"/>
        <v>0</v>
      </c>
      <c r="J17" s="131">
        <f t="shared" si="2"/>
        <v>0</v>
      </c>
      <c r="K17" s="131">
        <f t="shared" si="2"/>
        <v>0</v>
      </c>
      <c r="L17" s="131">
        <f t="shared" si="2"/>
        <v>0</v>
      </c>
      <c r="M17" s="131">
        <f t="shared" si="2"/>
        <v>0</v>
      </c>
      <c r="N17" s="131">
        <f t="shared" si="2"/>
        <v>0</v>
      </c>
      <c r="O17" s="131">
        <f t="shared" si="2"/>
        <v>0</v>
      </c>
      <c r="P17" s="131">
        <f t="shared" si="2"/>
        <v>0</v>
      </c>
      <c r="Q17" s="131">
        <f t="shared" si="2"/>
        <v>0</v>
      </c>
      <c r="R17" s="131">
        <f t="shared" si="2"/>
        <v>0</v>
      </c>
      <c r="S17" s="131">
        <f t="shared" si="2"/>
        <v>0</v>
      </c>
      <c r="T17" s="131">
        <f t="shared" si="2"/>
        <v>0</v>
      </c>
      <c r="U17" s="131">
        <f t="shared" si="2"/>
        <v>0</v>
      </c>
      <c r="V17" s="131">
        <f t="shared" si="2"/>
        <v>0</v>
      </c>
      <c r="W17" s="131">
        <f t="shared" si="2"/>
        <v>0</v>
      </c>
      <c r="X17" s="131">
        <f t="shared" si="2"/>
        <v>0</v>
      </c>
      <c r="Y17" s="131">
        <f t="shared" si="2"/>
        <v>0</v>
      </c>
      <c r="Z17" s="131">
        <f t="shared" si="2"/>
        <v>0</v>
      </c>
      <c r="AA17" s="131">
        <f t="shared" si="2"/>
        <v>0</v>
      </c>
      <c r="AB17" s="131">
        <f t="shared" si="2"/>
        <v>0</v>
      </c>
      <c r="AC17" s="131">
        <f t="shared" si="2"/>
        <v>0</v>
      </c>
      <c r="AD17" s="131">
        <f t="shared" si="2"/>
        <v>0</v>
      </c>
      <c r="AE17" s="131">
        <f t="shared" si="2"/>
        <v>0</v>
      </c>
      <c r="AF17" s="131">
        <f t="shared" si="2"/>
        <v>0</v>
      </c>
      <c r="AG17" s="131">
        <f t="shared" si="2"/>
        <v>0</v>
      </c>
      <c r="AH17" s="131">
        <f t="shared" si="2"/>
        <v>0</v>
      </c>
      <c r="AI17" s="131">
        <f t="shared" si="2"/>
        <v>0</v>
      </c>
      <c r="AJ17" s="131">
        <f t="shared" si="2"/>
        <v>0</v>
      </c>
      <c r="AK17" s="131">
        <f t="shared" si="2"/>
        <v>0</v>
      </c>
      <c r="AL17" s="131">
        <f t="shared" si="2"/>
        <v>0</v>
      </c>
      <c r="AM17" s="131">
        <f t="shared" si="2"/>
        <v>0</v>
      </c>
      <c r="AN17" s="131">
        <f t="shared" si="2"/>
        <v>0</v>
      </c>
      <c r="AO17" s="131">
        <f t="shared" si="2"/>
        <v>0</v>
      </c>
      <c r="AP17" s="131">
        <f t="shared" si="2"/>
        <v>0</v>
      </c>
      <c r="AQ17" s="131">
        <f t="shared" si="2"/>
        <v>0</v>
      </c>
      <c r="AR17" s="131">
        <f t="shared" si="2"/>
        <v>0</v>
      </c>
      <c r="AS17" s="131">
        <f t="shared" si="2"/>
        <v>0</v>
      </c>
      <c r="AT17" s="131">
        <f t="shared" si="2"/>
        <v>0</v>
      </c>
      <c r="AU17" s="131">
        <f t="shared" si="2"/>
        <v>0</v>
      </c>
      <c r="AV17" s="131">
        <f t="shared" si="2"/>
        <v>0</v>
      </c>
      <c r="AW17" s="131">
        <f t="shared" si="2"/>
        <v>0</v>
      </c>
      <c r="AX17" s="131">
        <f t="shared" si="2"/>
        <v>0</v>
      </c>
      <c r="AY17" s="131">
        <f t="shared" si="2"/>
        <v>0</v>
      </c>
      <c r="AZ17" s="168">
        <f>SUM($D$17:$AY$17)</f>
        <v>0</v>
      </c>
    </row>
    <row r="18" spans="1:52" x14ac:dyDescent="0.2">
      <c r="A18" s="124"/>
      <c r="B18" s="170"/>
      <c r="C18" s="155"/>
      <c r="D18" s="155"/>
      <c r="E18" s="155"/>
      <c r="F18" s="155"/>
      <c r="G18" s="155"/>
      <c r="H18" s="155"/>
      <c r="I18" s="155"/>
      <c r="J18" s="155"/>
      <c r="K18" s="155"/>
      <c r="L18" s="155"/>
      <c r="M18" s="155"/>
      <c r="N18" s="155"/>
      <c r="O18" s="155"/>
      <c r="P18" s="155"/>
      <c r="Q18" s="155"/>
      <c r="R18" s="155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155"/>
      <c r="AT18" s="155"/>
      <c r="AU18" s="155"/>
      <c r="AV18" s="155"/>
      <c r="AW18" s="155"/>
      <c r="AX18" s="155"/>
      <c r="AY18" s="155"/>
      <c r="AZ18" s="124"/>
    </row>
    <row r="19" spans="1:52" x14ac:dyDescent="0.2">
      <c r="A19" s="1" t="s">
        <v>116</v>
      </c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4"/>
      <c r="AO19" s="124"/>
      <c r="AP19" s="124"/>
      <c r="AQ19" s="124"/>
      <c r="AR19" s="124"/>
      <c r="AS19" s="124"/>
      <c r="AT19" s="124"/>
      <c r="AU19" s="124"/>
      <c r="AV19" s="124"/>
      <c r="AW19" s="124"/>
      <c r="AX19" s="124"/>
      <c r="AY19" s="124"/>
    </row>
    <row r="20" spans="1:52" s="128" customFormat="1" x14ac:dyDescent="0.2">
      <c r="A20" s="132" t="s">
        <v>305</v>
      </c>
      <c r="B20" s="171" t="s">
        <v>306</v>
      </c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  <c r="AA20" s="134"/>
      <c r="AB20" s="134"/>
      <c r="AC20" s="134"/>
      <c r="AD20" s="134"/>
      <c r="AE20" s="134"/>
      <c r="AF20" s="134"/>
      <c r="AG20" s="134"/>
      <c r="AH20" s="134"/>
      <c r="AI20" s="134"/>
      <c r="AJ20" s="134" t="s">
        <v>339</v>
      </c>
      <c r="AK20" s="134"/>
      <c r="AL20" s="134"/>
      <c r="AM20" s="134"/>
      <c r="AN20" s="134"/>
      <c r="AO20" s="134"/>
      <c r="AP20" s="134"/>
      <c r="AQ20" s="134"/>
      <c r="AR20" s="134"/>
      <c r="AS20" s="134"/>
      <c r="AT20" s="134"/>
      <c r="AU20" s="134" t="s">
        <v>339</v>
      </c>
      <c r="AV20" s="134" t="s">
        <v>339</v>
      </c>
      <c r="AW20" s="134"/>
      <c r="AX20" s="134"/>
      <c r="AY20" s="134" t="s">
        <v>339</v>
      </c>
      <c r="AZ20" s="125"/>
    </row>
    <row r="21" spans="1:52" s="128" customFormat="1" x14ac:dyDescent="0.2">
      <c r="A21" s="172" t="s">
        <v>133</v>
      </c>
      <c r="B21" s="173">
        <f>shipping_manufacturing!$E$19/100</f>
        <v>0.5</v>
      </c>
      <c r="C21" s="173" t="s">
        <v>293</v>
      </c>
      <c r="D21" s="124">
        <f>IF(C$20="Yes",0,SUM(C$13:C$16)*$B$21)</f>
        <v>185.72707850474731</v>
      </c>
      <c r="E21" s="124">
        <f t="shared" ref="E21:AY21" si="3">IF(D$20="Yes",0,SUM(D$13:D$16)*$B$21)</f>
        <v>0</v>
      </c>
      <c r="F21" s="124">
        <f t="shared" si="3"/>
        <v>0</v>
      </c>
      <c r="G21" s="124">
        <f t="shared" si="3"/>
        <v>0</v>
      </c>
      <c r="H21" s="124">
        <f t="shared" si="3"/>
        <v>0</v>
      </c>
      <c r="I21" s="124">
        <f t="shared" si="3"/>
        <v>0</v>
      </c>
      <c r="J21" s="124">
        <f t="shared" si="3"/>
        <v>0</v>
      </c>
      <c r="K21" s="124">
        <f t="shared" si="3"/>
        <v>0</v>
      </c>
      <c r="L21" s="124">
        <f t="shared" si="3"/>
        <v>0</v>
      </c>
      <c r="M21" s="124">
        <f t="shared" si="3"/>
        <v>0</v>
      </c>
      <c r="N21" s="124">
        <f t="shared" si="3"/>
        <v>0</v>
      </c>
      <c r="O21" s="124">
        <f t="shared" si="3"/>
        <v>0</v>
      </c>
      <c r="P21" s="124">
        <f t="shared" si="3"/>
        <v>0</v>
      </c>
      <c r="Q21" s="124">
        <f t="shared" si="3"/>
        <v>0</v>
      </c>
      <c r="R21" s="124">
        <f t="shared" si="3"/>
        <v>0</v>
      </c>
      <c r="S21" s="124">
        <f t="shared" si="3"/>
        <v>0</v>
      </c>
      <c r="T21" s="124">
        <f t="shared" si="3"/>
        <v>0</v>
      </c>
      <c r="U21" s="124">
        <f t="shared" si="3"/>
        <v>0</v>
      </c>
      <c r="V21" s="124">
        <f t="shared" si="3"/>
        <v>0</v>
      </c>
      <c r="W21" s="124">
        <f t="shared" si="3"/>
        <v>0</v>
      </c>
      <c r="X21" s="124">
        <f t="shared" si="3"/>
        <v>0</v>
      </c>
      <c r="Y21" s="124">
        <f t="shared" si="3"/>
        <v>0</v>
      </c>
      <c r="Z21" s="124">
        <f t="shared" si="3"/>
        <v>0</v>
      </c>
      <c r="AA21" s="124">
        <f t="shared" si="3"/>
        <v>0</v>
      </c>
      <c r="AB21" s="124">
        <f t="shared" si="3"/>
        <v>0</v>
      </c>
      <c r="AC21" s="124">
        <f t="shared" si="3"/>
        <v>0</v>
      </c>
      <c r="AD21" s="124">
        <f t="shared" si="3"/>
        <v>0</v>
      </c>
      <c r="AE21" s="124">
        <f t="shared" si="3"/>
        <v>0</v>
      </c>
      <c r="AF21" s="124">
        <f t="shared" si="3"/>
        <v>0</v>
      </c>
      <c r="AG21" s="124">
        <f t="shared" si="3"/>
        <v>0</v>
      </c>
      <c r="AH21" s="124">
        <f t="shared" si="3"/>
        <v>0</v>
      </c>
      <c r="AI21" s="124">
        <f t="shared" si="3"/>
        <v>0</v>
      </c>
      <c r="AJ21" s="124">
        <f t="shared" si="3"/>
        <v>0</v>
      </c>
      <c r="AK21" s="124">
        <f t="shared" si="3"/>
        <v>0</v>
      </c>
      <c r="AL21" s="124">
        <f t="shared" si="3"/>
        <v>0</v>
      </c>
      <c r="AM21" s="124">
        <f t="shared" si="3"/>
        <v>0</v>
      </c>
      <c r="AN21" s="124">
        <f t="shared" si="3"/>
        <v>0</v>
      </c>
      <c r="AO21" s="124">
        <f t="shared" si="3"/>
        <v>0</v>
      </c>
      <c r="AP21" s="124">
        <f t="shared" si="3"/>
        <v>0</v>
      </c>
      <c r="AQ21" s="124">
        <f t="shared" si="3"/>
        <v>0</v>
      </c>
      <c r="AR21" s="124">
        <f t="shared" si="3"/>
        <v>0</v>
      </c>
      <c r="AS21" s="124">
        <f t="shared" si="3"/>
        <v>0</v>
      </c>
      <c r="AT21" s="124">
        <f t="shared" si="3"/>
        <v>0</v>
      </c>
      <c r="AU21" s="124">
        <f t="shared" si="3"/>
        <v>0</v>
      </c>
      <c r="AV21" s="124">
        <f t="shared" si="3"/>
        <v>0</v>
      </c>
      <c r="AW21" s="124">
        <f t="shared" si="3"/>
        <v>0</v>
      </c>
      <c r="AX21" s="124">
        <f t="shared" si="3"/>
        <v>0</v>
      </c>
      <c r="AY21" s="124">
        <f t="shared" si="3"/>
        <v>0</v>
      </c>
      <c r="AZ21" s="174">
        <f>SUM($D21:$AY21)</f>
        <v>185.72707850474731</v>
      </c>
    </row>
    <row r="22" spans="1:52" s="128" customFormat="1" x14ac:dyDescent="0.2">
      <c r="A22" s="175" t="s">
        <v>123</v>
      </c>
      <c r="B22" s="176">
        <f>1-$B$21</f>
        <v>0.5</v>
      </c>
      <c r="C22" s="176" t="s">
        <v>293</v>
      </c>
      <c r="D22" s="131">
        <f>IF(C$20="Yes",0,SUM(C$13:C$16)*$B$22)</f>
        <v>185.72707850474731</v>
      </c>
      <c r="E22" s="131">
        <f t="shared" ref="E22:AY22" si="4">IF(D$20="Yes",0,SUM(D$13:D$16)*$B$22)</f>
        <v>0</v>
      </c>
      <c r="F22" s="131">
        <f t="shared" si="4"/>
        <v>0</v>
      </c>
      <c r="G22" s="131">
        <f t="shared" si="4"/>
        <v>0</v>
      </c>
      <c r="H22" s="131">
        <f t="shared" si="4"/>
        <v>0</v>
      </c>
      <c r="I22" s="131">
        <f t="shared" si="4"/>
        <v>0</v>
      </c>
      <c r="J22" s="131">
        <f t="shared" si="4"/>
        <v>0</v>
      </c>
      <c r="K22" s="131">
        <f t="shared" si="4"/>
        <v>0</v>
      </c>
      <c r="L22" s="131">
        <f t="shared" si="4"/>
        <v>0</v>
      </c>
      <c r="M22" s="131">
        <f t="shared" si="4"/>
        <v>0</v>
      </c>
      <c r="N22" s="131">
        <f t="shared" si="4"/>
        <v>0</v>
      </c>
      <c r="O22" s="131">
        <f t="shared" si="4"/>
        <v>0</v>
      </c>
      <c r="P22" s="131">
        <f t="shared" si="4"/>
        <v>0</v>
      </c>
      <c r="Q22" s="131">
        <f t="shared" si="4"/>
        <v>0</v>
      </c>
      <c r="R22" s="131">
        <f t="shared" si="4"/>
        <v>0</v>
      </c>
      <c r="S22" s="131">
        <f t="shared" si="4"/>
        <v>0</v>
      </c>
      <c r="T22" s="131">
        <f t="shared" si="4"/>
        <v>0</v>
      </c>
      <c r="U22" s="131">
        <f t="shared" si="4"/>
        <v>0</v>
      </c>
      <c r="V22" s="131">
        <f t="shared" si="4"/>
        <v>0</v>
      </c>
      <c r="W22" s="131">
        <f t="shared" si="4"/>
        <v>0</v>
      </c>
      <c r="X22" s="131">
        <f t="shared" si="4"/>
        <v>0</v>
      </c>
      <c r="Y22" s="131">
        <f t="shared" si="4"/>
        <v>0</v>
      </c>
      <c r="Z22" s="131">
        <f t="shared" si="4"/>
        <v>0</v>
      </c>
      <c r="AA22" s="131">
        <f t="shared" si="4"/>
        <v>0</v>
      </c>
      <c r="AB22" s="131">
        <f t="shared" si="4"/>
        <v>0</v>
      </c>
      <c r="AC22" s="131">
        <f t="shared" si="4"/>
        <v>0</v>
      </c>
      <c r="AD22" s="131">
        <f t="shared" si="4"/>
        <v>0</v>
      </c>
      <c r="AE22" s="131">
        <f t="shared" si="4"/>
        <v>0</v>
      </c>
      <c r="AF22" s="131">
        <f t="shared" si="4"/>
        <v>0</v>
      </c>
      <c r="AG22" s="131">
        <f t="shared" si="4"/>
        <v>0</v>
      </c>
      <c r="AH22" s="131">
        <f t="shared" si="4"/>
        <v>0</v>
      </c>
      <c r="AI22" s="131">
        <f t="shared" si="4"/>
        <v>0</v>
      </c>
      <c r="AJ22" s="131">
        <f t="shared" si="4"/>
        <v>0</v>
      </c>
      <c r="AK22" s="131">
        <f t="shared" si="4"/>
        <v>0</v>
      </c>
      <c r="AL22" s="131">
        <f t="shared" si="4"/>
        <v>0</v>
      </c>
      <c r="AM22" s="131">
        <f t="shared" si="4"/>
        <v>0</v>
      </c>
      <c r="AN22" s="131">
        <f t="shared" si="4"/>
        <v>0</v>
      </c>
      <c r="AO22" s="131">
        <f t="shared" si="4"/>
        <v>0</v>
      </c>
      <c r="AP22" s="131">
        <f t="shared" si="4"/>
        <v>0</v>
      </c>
      <c r="AQ22" s="131">
        <f t="shared" si="4"/>
        <v>0</v>
      </c>
      <c r="AR22" s="131">
        <f t="shared" si="4"/>
        <v>0</v>
      </c>
      <c r="AS22" s="131">
        <f t="shared" si="4"/>
        <v>0</v>
      </c>
      <c r="AT22" s="131">
        <f t="shared" si="4"/>
        <v>0</v>
      </c>
      <c r="AU22" s="131">
        <f t="shared" si="4"/>
        <v>0</v>
      </c>
      <c r="AV22" s="131">
        <f t="shared" si="4"/>
        <v>0</v>
      </c>
      <c r="AW22" s="131">
        <f t="shared" si="4"/>
        <v>0</v>
      </c>
      <c r="AX22" s="131">
        <f t="shared" si="4"/>
        <v>0</v>
      </c>
      <c r="AY22" s="131">
        <f t="shared" si="4"/>
        <v>0</v>
      </c>
      <c r="AZ22" s="158">
        <f t="shared" ref="AZ22:AZ30" si="5">SUM($D22:$AY22)</f>
        <v>185.72707850474731</v>
      </c>
    </row>
    <row r="23" spans="1:52" x14ac:dyDescent="0.2">
      <c r="A23" s="177" t="s">
        <v>307</v>
      </c>
      <c r="B23" s="141">
        <v>2000</v>
      </c>
      <c r="C23" t="s">
        <v>293</v>
      </c>
      <c r="D23">
        <f>D$21*$B$23</f>
        <v>371454.15700949461</v>
      </c>
      <c r="E23">
        <f t="shared" ref="E23:AY23" si="6">E$21*$B$23</f>
        <v>0</v>
      </c>
      <c r="F23">
        <f t="shared" si="6"/>
        <v>0</v>
      </c>
      <c r="G23">
        <f t="shared" si="6"/>
        <v>0</v>
      </c>
      <c r="H23">
        <f t="shared" si="6"/>
        <v>0</v>
      </c>
      <c r="I23">
        <f t="shared" si="6"/>
        <v>0</v>
      </c>
      <c r="J23">
        <f t="shared" si="6"/>
        <v>0</v>
      </c>
      <c r="K23">
        <f t="shared" si="6"/>
        <v>0</v>
      </c>
      <c r="L23">
        <f t="shared" si="6"/>
        <v>0</v>
      </c>
      <c r="M23">
        <f t="shared" si="6"/>
        <v>0</v>
      </c>
      <c r="N23">
        <f t="shared" si="6"/>
        <v>0</v>
      </c>
      <c r="O23">
        <f t="shared" si="6"/>
        <v>0</v>
      </c>
      <c r="P23">
        <f t="shared" si="6"/>
        <v>0</v>
      </c>
      <c r="Q23">
        <f t="shared" si="6"/>
        <v>0</v>
      </c>
      <c r="R23">
        <f t="shared" si="6"/>
        <v>0</v>
      </c>
      <c r="S23">
        <f t="shared" si="6"/>
        <v>0</v>
      </c>
      <c r="T23">
        <f t="shared" si="6"/>
        <v>0</v>
      </c>
      <c r="U23">
        <f t="shared" si="6"/>
        <v>0</v>
      </c>
      <c r="V23">
        <f t="shared" si="6"/>
        <v>0</v>
      </c>
      <c r="W23">
        <f t="shared" si="6"/>
        <v>0</v>
      </c>
      <c r="X23">
        <f t="shared" si="6"/>
        <v>0</v>
      </c>
      <c r="Y23">
        <f t="shared" si="6"/>
        <v>0</v>
      </c>
      <c r="Z23">
        <f t="shared" si="6"/>
        <v>0</v>
      </c>
      <c r="AA23">
        <f t="shared" si="6"/>
        <v>0</v>
      </c>
      <c r="AB23">
        <f t="shared" si="6"/>
        <v>0</v>
      </c>
      <c r="AC23">
        <f t="shared" si="6"/>
        <v>0</v>
      </c>
      <c r="AD23">
        <f t="shared" si="6"/>
        <v>0</v>
      </c>
      <c r="AE23">
        <f t="shared" si="6"/>
        <v>0</v>
      </c>
      <c r="AF23">
        <f t="shared" si="6"/>
        <v>0</v>
      </c>
      <c r="AG23">
        <f t="shared" si="6"/>
        <v>0</v>
      </c>
      <c r="AH23">
        <f t="shared" si="6"/>
        <v>0</v>
      </c>
      <c r="AI23">
        <f t="shared" si="6"/>
        <v>0</v>
      </c>
      <c r="AJ23">
        <f t="shared" si="6"/>
        <v>0</v>
      </c>
      <c r="AK23">
        <f t="shared" si="6"/>
        <v>0</v>
      </c>
      <c r="AL23">
        <f t="shared" si="6"/>
        <v>0</v>
      </c>
      <c r="AM23">
        <f t="shared" si="6"/>
        <v>0</v>
      </c>
      <c r="AN23">
        <f t="shared" si="6"/>
        <v>0</v>
      </c>
      <c r="AO23">
        <f t="shared" si="6"/>
        <v>0</v>
      </c>
      <c r="AP23">
        <f t="shared" si="6"/>
        <v>0</v>
      </c>
      <c r="AQ23">
        <f t="shared" si="6"/>
        <v>0</v>
      </c>
      <c r="AR23">
        <f t="shared" si="6"/>
        <v>0</v>
      </c>
      <c r="AS23">
        <f t="shared" si="6"/>
        <v>0</v>
      </c>
      <c r="AT23">
        <f t="shared" si="6"/>
        <v>0</v>
      </c>
      <c r="AU23">
        <f t="shared" si="6"/>
        <v>0</v>
      </c>
      <c r="AV23">
        <f t="shared" si="6"/>
        <v>0</v>
      </c>
      <c r="AW23">
        <f t="shared" si="6"/>
        <v>0</v>
      </c>
      <c r="AX23">
        <f t="shared" si="6"/>
        <v>0</v>
      </c>
      <c r="AY23">
        <f t="shared" si="6"/>
        <v>0</v>
      </c>
      <c r="AZ23" s="156">
        <f t="shared" si="5"/>
        <v>371454.15700949461</v>
      </c>
    </row>
    <row r="24" spans="1:52" s="128" customFormat="1" x14ac:dyDescent="0.2">
      <c r="A24" s="178" t="s">
        <v>308</v>
      </c>
      <c r="B24" s="179">
        <v>1000</v>
      </c>
      <c r="C24" s="173" t="s">
        <v>293</v>
      </c>
      <c r="D24" s="124">
        <f>D$22*$B$24</f>
        <v>185727.0785047473</v>
      </c>
      <c r="E24" s="124">
        <f t="shared" ref="E24:AY24" si="7">E$22*$B$24</f>
        <v>0</v>
      </c>
      <c r="F24" s="124">
        <f t="shared" si="7"/>
        <v>0</v>
      </c>
      <c r="G24" s="124">
        <f t="shared" si="7"/>
        <v>0</v>
      </c>
      <c r="H24" s="124">
        <f t="shared" si="7"/>
        <v>0</v>
      </c>
      <c r="I24" s="124">
        <f t="shared" si="7"/>
        <v>0</v>
      </c>
      <c r="J24" s="124">
        <f t="shared" si="7"/>
        <v>0</v>
      </c>
      <c r="K24" s="124">
        <f t="shared" si="7"/>
        <v>0</v>
      </c>
      <c r="L24" s="124">
        <f t="shared" si="7"/>
        <v>0</v>
      </c>
      <c r="M24" s="124">
        <f t="shared" si="7"/>
        <v>0</v>
      </c>
      <c r="N24" s="124">
        <f t="shared" si="7"/>
        <v>0</v>
      </c>
      <c r="O24" s="124">
        <f t="shared" si="7"/>
        <v>0</v>
      </c>
      <c r="P24" s="124">
        <f t="shared" si="7"/>
        <v>0</v>
      </c>
      <c r="Q24" s="124">
        <f t="shared" si="7"/>
        <v>0</v>
      </c>
      <c r="R24" s="124">
        <f t="shared" si="7"/>
        <v>0</v>
      </c>
      <c r="S24" s="124">
        <f t="shared" si="7"/>
        <v>0</v>
      </c>
      <c r="T24" s="124">
        <f t="shared" si="7"/>
        <v>0</v>
      </c>
      <c r="U24" s="124">
        <f t="shared" si="7"/>
        <v>0</v>
      </c>
      <c r="V24" s="124">
        <f t="shared" si="7"/>
        <v>0</v>
      </c>
      <c r="W24" s="124">
        <f t="shared" si="7"/>
        <v>0</v>
      </c>
      <c r="X24" s="124">
        <f t="shared" si="7"/>
        <v>0</v>
      </c>
      <c r="Y24" s="124">
        <f t="shared" si="7"/>
        <v>0</v>
      </c>
      <c r="Z24" s="124">
        <f t="shared" si="7"/>
        <v>0</v>
      </c>
      <c r="AA24" s="124">
        <f t="shared" si="7"/>
        <v>0</v>
      </c>
      <c r="AB24" s="124">
        <f t="shared" si="7"/>
        <v>0</v>
      </c>
      <c r="AC24" s="124">
        <f t="shared" si="7"/>
        <v>0</v>
      </c>
      <c r="AD24" s="124">
        <f t="shared" si="7"/>
        <v>0</v>
      </c>
      <c r="AE24" s="124">
        <f t="shared" si="7"/>
        <v>0</v>
      </c>
      <c r="AF24" s="124">
        <f t="shared" si="7"/>
        <v>0</v>
      </c>
      <c r="AG24" s="124">
        <f t="shared" si="7"/>
        <v>0</v>
      </c>
      <c r="AH24" s="124">
        <f t="shared" si="7"/>
        <v>0</v>
      </c>
      <c r="AI24" s="124">
        <f t="shared" si="7"/>
        <v>0</v>
      </c>
      <c r="AJ24" s="124">
        <f t="shared" si="7"/>
        <v>0</v>
      </c>
      <c r="AK24" s="124">
        <f t="shared" si="7"/>
        <v>0</v>
      </c>
      <c r="AL24" s="124">
        <f t="shared" si="7"/>
        <v>0</v>
      </c>
      <c r="AM24" s="124">
        <f t="shared" si="7"/>
        <v>0</v>
      </c>
      <c r="AN24" s="124">
        <f t="shared" si="7"/>
        <v>0</v>
      </c>
      <c r="AO24" s="124">
        <f t="shared" si="7"/>
        <v>0</v>
      </c>
      <c r="AP24" s="124">
        <f t="shared" si="7"/>
        <v>0</v>
      </c>
      <c r="AQ24" s="124">
        <f t="shared" si="7"/>
        <v>0</v>
      </c>
      <c r="AR24" s="124">
        <f t="shared" si="7"/>
        <v>0</v>
      </c>
      <c r="AS24" s="124">
        <f t="shared" si="7"/>
        <v>0</v>
      </c>
      <c r="AT24" s="124">
        <f t="shared" si="7"/>
        <v>0</v>
      </c>
      <c r="AU24" s="124">
        <f t="shared" si="7"/>
        <v>0</v>
      </c>
      <c r="AV24" s="124">
        <f t="shared" si="7"/>
        <v>0</v>
      </c>
      <c r="AW24" s="124">
        <f t="shared" si="7"/>
        <v>0</v>
      </c>
      <c r="AX24" s="124">
        <f t="shared" si="7"/>
        <v>0</v>
      </c>
      <c r="AY24" s="124">
        <f t="shared" si="7"/>
        <v>0</v>
      </c>
      <c r="AZ24" s="158">
        <f t="shared" si="5"/>
        <v>185727.0785047473</v>
      </c>
    </row>
    <row r="25" spans="1:52" x14ac:dyDescent="0.2"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  <c r="AP25" s="155"/>
      <c r="AQ25" s="155"/>
      <c r="AR25" s="155"/>
      <c r="AS25" s="155"/>
      <c r="AT25" s="155"/>
      <c r="AU25" s="155"/>
      <c r="AV25" s="155"/>
      <c r="AW25" s="155"/>
      <c r="AX25" s="155"/>
      <c r="AY25" s="155"/>
      <c r="AZ25" s="124"/>
    </row>
    <row r="26" spans="1:52" x14ac:dyDescent="0.2">
      <c r="A26" s="180" t="s">
        <v>18</v>
      </c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24"/>
      <c r="AX26" s="124"/>
      <c r="AY26" s="124"/>
      <c r="AZ26" s="124"/>
    </row>
    <row r="27" spans="1:52" x14ac:dyDescent="0.2">
      <c r="B27" s="152" t="s">
        <v>309</v>
      </c>
      <c r="C27" s="141">
        <v>17</v>
      </c>
      <c r="D27" s="141">
        <f>C$27-C$28+C$29</f>
        <v>10</v>
      </c>
      <c r="E27" s="141">
        <f t="shared" ref="E27:AY27" si="8">D27-D28+D29</f>
        <v>13</v>
      </c>
      <c r="F27" s="141">
        <f t="shared" si="8"/>
        <v>23</v>
      </c>
      <c r="G27" s="141">
        <f t="shared" si="8"/>
        <v>23</v>
      </c>
      <c r="H27" s="141">
        <f t="shared" si="8"/>
        <v>23</v>
      </c>
      <c r="I27" s="141">
        <f t="shared" si="8"/>
        <v>23</v>
      </c>
      <c r="J27" s="141">
        <f t="shared" si="8"/>
        <v>23</v>
      </c>
      <c r="K27" s="141">
        <f t="shared" si="8"/>
        <v>23</v>
      </c>
      <c r="L27" s="141">
        <f t="shared" si="8"/>
        <v>23</v>
      </c>
      <c r="M27" s="141">
        <f t="shared" si="8"/>
        <v>23</v>
      </c>
      <c r="N27" s="141">
        <f t="shared" si="8"/>
        <v>23</v>
      </c>
      <c r="O27" s="141">
        <f t="shared" si="8"/>
        <v>23</v>
      </c>
      <c r="P27" s="141">
        <f t="shared" si="8"/>
        <v>23</v>
      </c>
      <c r="Q27" s="141">
        <f t="shared" si="8"/>
        <v>23</v>
      </c>
      <c r="R27" s="141">
        <f t="shared" si="8"/>
        <v>23</v>
      </c>
      <c r="S27" s="141">
        <f t="shared" si="8"/>
        <v>23</v>
      </c>
      <c r="T27" s="141">
        <f t="shared" si="8"/>
        <v>23</v>
      </c>
      <c r="U27" s="141">
        <f t="shared" si="8"/>
        <v>23</v>
      </c>
      <c r="V27" s="141">
        <f t="shared" si="8"/>
        <v>23</v>
      </c>
      <c r="W27" s="141">
        <f t="shared" si="8"/>
        <v>23</v>
      </c>
      <c r="X27" s="141">
        <f t="shared" si="8"/>
        <v>23</v>
      </c>
      <c r="Y27" s="141">
        <f t="shared" si="8"/>
        <v>23</v>
      </c>
      <c r="Z27" s="141">
        <f t="shared" si="8"/>
        <v>23</v>
      </c>
      <c r="AA27" s="141">
        <f t="shared" si="8"/>
        <v>23</v>
      </c>
      <c r="AB27" s="141">
        <f t="shared" si="8"/>
        <v>23</v>
      </c>
      <c r="AC27" s="141">
        <f t="shared" si="8"/>
        <v>23</v>
      </c>
      <c r="AD27" s="141">
        <f t="shared" si="8"/>
        <v>23</v>
      </c>
      <c r="AE27" s="141">
        <f t="shared" si="8"/>
        <v>23</v>
      </c>
      <c r="AF27" s="141">
        <f t="shared" si="8"/>
        <v>23</v>
      </c>
      <c r="AG27" s="141">
        <f t="shared" si="8"/>
        <v>23</v>
      </c>
      <c r="AH27" s="141">
        <f t="shared" si="8"/>
        <v>23</v>
      </c>
      <c r="AI27" s="141">
        <f t="shared" si="8"/>
        <v>23</v>
      </c>
      <c r="AJ27" s="141">
        <f t="shared" si="8"/>
        <v>23</v>
      </c>
      <c r="AK27" s="141">
        <f t="shared" si="8"/>
        <v>23</v>
      </c>
      <c r="AL27" s="141">
        <f t="shared" si="8"/>
        <v>23</v>
      </c>
      <c r="AM27" s="141">
        <f t="shared" si="8"/>
        <v>23</v>
      </c>
      <c r="AN27" s="141">
        <f t="shared" si="8"/>
        <v>23</v>
      </c>
      <c r="AO27" s="141">
        <f t="shared" si="8"/>
        <v>23</v>
      </c>
      <c r="AP27" s="141">
        <f t="shared" si="8"/>
        <v>23</v>
      </c>
      <c r="AQ27" s="141">
        <f t="shared" si="8"/>
        <v>23</v>
      </c>
      <c r="AR27" s="141">
        <f t="shared" si="8"/>
        <v>23</v>
      </c>
      <c r="AS27" s="141">
        <f t="shared" si="8"/>
        <v>23</v>
      </c>
      <c r="AT27" s="141">
        <f t="shared" si="8"/>
        <v>23</v>
      </c>
      <c r="AU27" s="141">
        <f t="shared" si="8"/>
        <v>23</v>
      </c>
      <c r="AV27" s="141">
        <f t="shared" si="8"/>
        <v>23</v>
      </c>
      <c r="AW27" s="141">
        <f t="shared" si="8"/>
        <v>23</v>
      </c>
      <c r="AX27" s="141">
        <f t="shared" si="8"/>
        <v>23</v>
      </c>
      <c r="AY27" s="181">
        <f t="shared" si="8"/>
        <v>23</v>
      </c>
      <c r="AZ27" s="124"/>
    </row>
    <row r="28" spans="1:52" x14ac:dyDescent="0.2">
      <c r="B28" s="182" t="s">
        <v>310</v>
      </c>
      <c r="C28" s="128">
        <v>13</v>
      </c>
      <c r="D28" s="128">
        <v>10</v>
      </c>
      <c r="E28" s="128">
        <v>0</v>
      </c>
      <c r="F28" s="128">
        <v>0</v>
      </c>
      <c r="G28" s="128">
        <v>0</v>
      </c>
      <c r="H28" s="128">
        <v>0</v>
      </c>
      <c r="I28" s="128">
        <v>0</v>
      </c>
      <c r="J28" s="128">
        <v>0</v>
      </c>
      <c r="K28" s="128">
        <v>0</v>
      </c>
      <c r="L28" s="128">
        <v>0</v>
      </c>
      <c r="M28" s="128">
        <v>0</v>
      </c>
      <c r="N28" s="128">
        <v>0</v>
      </c>
      <c r="O28" s="128">
        <v>0</v>
      </c>
      <c r="P28" s="128">
        <v>0</v>
      </c>
      <c r="Q28" s="128">
        <v>0</v>
      </c>
      <c r="R28" s="128">
        <v>0</v>
      </c>
      <c r="S28" s="128">
        <v>0</v>
      </c>
      <c r="T28" s="128">
        <v>0</v>
      </c>
      <c r="U28" s="128">
        <v>0</v>
      </c>
      <c r="V28" s="128">
        <v>0</v>
      </c>
      <c r="W28" s="128">
        <v>0</v>
      </c>
      <c r="X28" s="128">
        <v>0</v>
      </c>
      <c r="Y28" s="128">
        <v>0</v>
      </c>
      <c r="Z28" s="128">
        <v>0</v>
      </c>
      <c r="AA28" s="128">
        <v>0</v>
      </c>
      <c r="AB28" s="128">
        <v>0</v>
      </c>
      <c r="AC28" s="128">
        <v>0</v>
      </c>
      <c r="AD28" s="128">
        <v>0</v>
      </c>
      <c r="AE28" s="128">
        <v>0</v>
      </c>
      <c r="AF28" s="128">
        <v>0</v>
      </c>
      <c r="AG28" s="128">
        <v>0</v>
      </c>
      <c r="AH28" s="128">
        <v>0</v>
      </c>
      <c r="AI28" s="128">
        <v>0</v>
      </c>
      <c r="AJ28" s="128">
        <v>0</v>
      </c>
      <c r="AK28" s="128">
        <v>0</v>
      </c>
      <c r="AL28" s="128">
        <v>0</v>
      </c>
      <c r="AM28" s="128">
        <v>0</v>
      </c>
      <c r="AN28" s="128">
        <v>0</v>
      </c>
      <c r="AO28" s="128">
        <v>0</v>
      </c>
      <c r="AP28" s="128">
        <v>0</v>
      </c>
      <c r="AQ28" s="128">
        <v>0</v>
      </c>
      <c r="AR28" s="128">
        <v>0</v>
      </c>
      <c r="AS28" s="128">
        <v>0</v>
      </c>
      <c r="AT28" s="128">
        <v>0</v>
      </c>
      <c r="AU28" s="128">
        <v>0</v>
      </c>
      <c r="AV28" s="128">
        <v>0</v>
      </c>
      <c r="AW28" s="128">
        <v>0</v>
      </c>
      <c r="AX28" s="128">
        <v>0</v>
      </c>
      <c r="AY28" s="183">
        <v>0</v>
      </c>
      <c r="AZ28" s="124"/>
    </row>
    <row r="29" spans="1:52" x14ac:dyDescent="0.2">
      <c r="B29" s="153" t="s">
        <v>311</v>
      </c>
      <c r="C29" s="142">
        <v>6</v>
      </c>
      <c r="D29" s="142">
        <f>C$28</f>
        <v>13</v>
      </c>
      <c r="E29" s="142">
        <f t="shared" ref="E29:AY29" si="9">D$28</f>
        <v>10</v>
      </c>
      <c r="F29" s="142">
        <f t="shared" si="9"/>
        <v>0</v>
      </c>
      <c r="G29" s="142">
        <f t="shared" si="9"/>
        <v>0</v>
      </c>
      <c r="H29" s="142">
        <f t="shared" si="9"/>
        <v>0</v>
      </c>
      <c r="I29" s="142">
        <f t="shared" si="9"/>
        <v>0</v>
      </c>
      <c r="J29" s="142">
        <f t="shared" si="9"/>
        <v>0</v>
      </c>
      <c r="K29" s="142">
        <f t="shared" si="9"/>
        <v>0</v>
      </c>
      <c r="L29" s="142">
        <f t="shared" si="9"/>
        <v>0</v>
      </c>
      <c r="M29" s="142">
        <f t="shared" si="9"/>
        <v>0</v>
      </c>
      <c r="N29" s="142">
        <f t="shared" si="9"/>
        <v>0</v>
      </c>
      <c r="O29" s="142">
        <f t="shared" si="9"/>
        <v>0</v>
      </c>
      <c r="P29" s="142">
        <f t="shared" si="9"/>
        <v>0</v>
      </c>
      <c r="Q29" s="142">
        <f t="shared" si="9"/>
        <v>0</v>
      </c>
      <c r="R29" s="142">
        <f t="shared" si="9"/>
        <v>0</v>
      </c>
      <c r="S29" s="142">
        <f t="shared" si="9"/>
        <v>0</v>
      </c>
      <c r="T29" s="142">
        <f t="shared" si="9"/>
        <v>0</v>
      </c>
      <c r="U29" s="142">
        <f t="shared" si="9"/>
        <v>0</v>
      </c>
      <c r="V29" s="142">
        <f t="shared" si="9"/>
        <v>0</v>
      </c>
      <c r="W29" s="142">
        <f t="shared" si="9"/>
        <v>0</v>
      </c>
      <c r="X29" s="142">
        <f t="shared" si="9"/>
        <v>0</v>
      </c>
      <c r="Y29" s="142">
        <f t="shared" si="9"/>
        <v>0</v>
      </c>
      <c r="Z29" s="142">
        <f t="shared" si="9"/>
        <v>0</v>
      </c>
      <c r="AA29" s="142">
        <f t="shared" si="9"/>
        <v>0</v>
      </c>
      <c r="AB29" s="142">
        <f t="shared" si="9"/>
        <v>0</v>
      </c>
      <c r="AC29" s="142">
        <f t="shared" si="9"/>
        <v>0</v>
      </c>
      <c r="AD29" s="142">
        <f t="shared" si="9"/>
        <v>0</v>
      </c>
      <c r="AE29" s="142">
        <f t="shared" si="9"/>
        <v>0</v>
      </c>
      <c r="AF29" s="142">
        <f t="shared" si="9"/>
        <v>0</v>
      </c>
      <c r="AG29" s="142">
        <f t="shared" si="9"/>
        <v>0</v>
      </c>
      <c r="AH29" s="142">
        <f t="shared" si="9"/>
        <v>0</v>
      </c>
      <c r="AI29" s="142">
        <f t="shared" si="9"/>
        <v>0</v>
      </c>
      <c r="AJ29" s="142">
        <f t="shared" si="9"/>
        <v>0</v>
      </c>
      <c r="AK29" s="142">
        <f t="shared" si="9"/>
        <v>0</v>
      </c>
      <c r="AL29" s="142">
        <f t="shared" si="9"/>
        <v>0</v>
      </c>
      <c r="AM29" s="142">
        <f t="shared" si="9"/>
        <v>0</v>
      </c>
      <c r="AN29" s="142">
        <f t="shared" si="9"/>
        <v>0</v>
      </c>
      <c r="AO29" s="142">
        <f t="shared" si="9"/>
        <v>0</v>
      </c>
      <c r="AP29" s="142">
        <f t="shared" si="9"/>
        <v>0</v>
      </c>
      <c r="AQ29" s="142">
        <f t="shared" si="9"/>
        <v>0</v>
      </c>
      <c r="AR29" s="142">
        <f t="shared" si="9"/>
        <v>0</v>
      </c>
      <c r="AS29" s="142">
        <f t="shared" si="9"/>
        <v>0</v>
      </c>
      <c r="AT29" s="142">
        <f t="shared" si="9"/>
        <v>0</v>
      </c>
      <c r="AU29" s="142">
        <f t="shared" si="9"/>
        <v>0</v>
      </c>
      <c r="AV29" s="142">
        <f t="shared" si="9"/>
        <v>0</v>
      </c>
      <c r="AW29" s="142">
        <f t="shared" si="9"/>
        <v>0</v>
      </c>
      <c r="AX29" s="142">
        <f t="shared" si="9"/>
        <v>0</v>
      </c>
      <c r="AY29" s="184">
        <f t="shared" si="9"/>
        <v>0</v>
      </c>
      <c r="AZ29" s="185"/>
    </row>
    <row r="30" spans="1:52" x14ac:dyDescent="0.2">
      <c r="A30" s="186" t="s">
        <v>312</v>
      </c>
      <c r="B30" s="161">
        <v>10</v>
      </c>
      <c r="C30" s="134" t="s">
        <v>293</v>
      </c>
      <c r="D30" s="134">
        <f>D$27*$B$30</f>
        <v>100</v>
      </c>
      <c r="E30" s="134">
        <f t="shared" ref="E30:AY30" si="10">E$27*$B$30</f>
        <v>130</v>
      </c>
      <c r="F30" s="134">
        <f t="shared" si="10"/>
        <v>230</v>
      </c>
      <c r="G30" s="134">
        <f t="shared" si="10"/>
        <v>230</v>
      </c>
      <c r="H30" s="134">
        <f t="shared" si="10"/>
        <v>230</v>
      </c>
      <c r="I30" s="134">
        <f t="shared" si="10"/>
        <v>230</v>
      </c>
      <c r="J30" s="134">
        <f t="shared" si="10"/>
        <v>230</v>
      </c>
      <c r="K30" s="134">
        <f t="shared" si="10"/>
        <v>230</v>
      </c>
      <c r="L30" s="134">
        <f t="shared" si="10"/>
        <v>230</v>
      </c>
      <c r="M30" s="134">
        <f t="shared" si="10"/>
        <v>230</v>
      </c>
      <c r="N30" s="134">
        <f t="shared" si="10"/>
        <v>230</v>
      </c>
      <c r="O30" s="134">
        <f t="shared" si="10"/>
        <v>230</v>
      </c>
      <c r="P30" s="134">
        <f t="shared" si="10"/>
        <v>230</v>
      </c>
      <c r="Q30" s="134">
        <f t="shared" si="10"/>
        <v>230</v>
      </c>
      <c r="R30" s="134">
        <f>R$27*$B$30</f>
        <v>230</v>
      </c>
      <c r="S30" s="134">
        <f t="shared" si="10"/>
        <v>230</v>
      </c>
      <c r="T30" s="134">
        <f t="shared" si="10"/>
        <v>230</v>
      </c>
      <c r="U30" s="134">
        <f t="shared" si="10"/>
        <v>230</v>
      </c>
      <c r="V30" s="134">
        <f t="shared" si="10"/>
        <v>230</v>
      </c>
      <c r="W30" s="134">
        <f t="shared" si="10"/>
        <v>230</v>
      </c>
      <c r="X30" s="134">
        <f t="shared" si="10"/>
        <v>230</v>
      </c>
      <c r="Y30" s="134">
        <f t="shared" si="10"/>
        <v>230</v>
      </c>
      <c r="Z30" s="134">
        <f t="shared" si="10"/>
        <v>230</v>
      </c>
      <c r="AA30" s="134">
        <f t="shared" si="10"/>
        <v>230</v>
      </c>
      <c r="AB30" s="134">
        <f t="shared" si="10"/>
        <v>230</v>
      </c>
      <c r="AC30" s="134">
        <f t="shared" si="10"/>
        <v>230</v>
      </c>
      <c r="AD30" s="134">
        <f t="shared" si="10"/>
        <v>230</v>
      </c>
      <c r="AE30" s="134">
        <f>AE$27*$B$30</f>
        <v>230</v>
      </c>
      <c r="AF30" s="134">
        <f t="shared" si="10"/>
        <v>230</v>
      </c>
      <c r="AG30" s="134">
        <f t="shared" si="10"/>
        <v>230</v>
      </c>
      <c r="AH30" s="134">
        <f t="shared" si="10"/>
        <v>230</v>
      </c>
      <c r="AI30" s="134">
        <f t="shared" si="10"/>
        <v>230</v>
      </c>
      <c r="AJ30" s="134">
        <f t="shared" si="10"/>
        <v>230</v>
      </c>
      <c r="AK30" s="134">
        <f t="shared" si="10"/>
        <v>230</v>
      </c>
      <c r="AL30" s="134">
        <f t="shared" si="10"/>
        <v>230</v>
      </c>
      <c r="AM30" s="134">
        <f t="shared" si="10"/>
        <v>230</v>
      </c>
      <c r="AN30" s="134">
        <f t="shared" si="10"/>
        <v>230</v>
      </c>
      <c r="AO30" s="134">
        <f t="shared" si="10"/>
        <v>230</v>
      </c>
      <c r="AP30" s="134">
        <f t="shared" si="10"/>
        <v>230</v>
      </c>
      <c r="AQ30" s="134">
        <f t="shared" si="10"/>
        <v>230</v>
      </c>
      <c r="AR30" s="134">
        <f t="shared" si="10"/>
        <v>230</v>
      </c>
      <c r="AS30" s="134">
        <f t="shared" si="10"/>
        <v>230</v>
      </c>
      <c r="AT30" s="134">
        <f t="shared" si="10"/>
        <v>230</v>
      </c>
      <c r="AU30" s="134">
        <f t="shared" si="10"/>
        <v>230</v>
      </c>
      <c r="AV30" s="134">
        <f t="shared" si="10"/>
        <v>230</v>
      </c>
      <c r="AW30" s="134">
        <f t="shared" si="10"/>
        <v>230</v>
      </c>
      <c r="AX30" s="134">
        <f t="shared" si="10"/>
        <v>230</v>
      </c>
      <c r="AY30" s="134">
        <f t="shared" si="10"/>
        <v>230</v>
      </c>
      <c r="AZ30" s="158">
        <f t="shared" si="5"/>
        <v>10810</v>
      </c>
    </row>
    <row r="32" spans="1:52" x14ac:dyDescent="0.2">
      <c r="A32" s="1" t="s">
        <v>300</v>
      </c>
    </row>
    <row r="33" spans="1:52" x14ac:dyDescent="0.2">
      <c r="A33" s="152" t="s">
        <v>22</v>
      </c>
      <c r="B33" s="152" t="s">
        <v>341</v>
      </c>
      <c r="C33" s="141"/>
      <c r="D33" s="141">
        <f>D$21*shipping_manufacturing!$F$27/100</f>
        <v>130.83493580302633</v>
      </c>
      <c r="E33" s="141">
        <f>E$21*shipping_manufacturing!$F$27/100</f>
        <v>0</v>
      </c>
      <c r="F33" s="141">
        <f>F$21*shipping_manufacturing!$F$27/100</f>
        <v>0</v>
      </c>
      <c r="G33" s="141">
        <f>G$21*shipping_manufacturing!$F$27/100</f>
        <v>0</v>
      </c>
      <c r="H33" s="141">
        <f>H$21*shipping_manufacturing!$F$27/100</f>
        <v>0</v>
      </c>
      <c r="I33" s="141">
        <f>I$21*shipping_manufacturing!$F$27/100</f>
        <v>0</v>
      </c>
      <c r="J33" s="141">
        <f>J$21*shipping_manufacturing!$F$27/100</f>
        <v>0</v>
      </c>
      <c r="K33" s="141">
        <f>K$21*shipping_manufacturing!$F$27/100</f>
        <v>0</v>
      </c>
      <c r="L33" s="141">
        <f>L$21*shipping_manufacturing!$F$27/100</f>
        <v>0</v>
      </c>
      <c r="M33" s="141">
        <f>M$21*shipping_manufacturing!$F$27/100</f>
        <v>0</v>
      </c>
      <c r="N33" s="141">
        <f>N$21*shipping_manufacturing!$F$27/100</f>
        <v>0</v>
      </c>
      <c r="O33" s="141">
        <f>O$21*shipping_manufacturing!$F$27/100</f>
        <v>0</v>
      </c>
      <c r="P33" s="141">
        <f>P$21*shipping_manufacturing!$F$27/100</f>
        <v>0</v>
      </c>
      <c r="Q33" s="141">
        <f>Q$21*shipping_manufacturing!$F$27/100</f>
        <v>0</v>
      </c>
      <c r="R33" s="141">
        <f>R$21*shipping_manufacturing!$F$27/100</f>
        <v>0</v>
      </c>
      <c r="S33" s="141">
        <f>S$21*shipping_manufacturing!$F$27/100</f>
        <v>0</v>
      </c>
      <c r="T33" s="141">
        <f>T$21*shipping_manufacturing!$F$27/100</f>
        <v>0</v>
      </c>
      <c r="U33" s="141">
        <f>U$21*shipping_manufacturing!$F$27/100</f>
        <v>0</v>
      </c>
      <c r="V33" s="141">
        <f>V$21*shipping_manufacturing!$F$27/100</f>
        <v>0</v>
      </c>
      <c r="W33" s="141">
        <f>W$21*shipping_manufacturing!$F$27/100</f>
        <v>0</v>
      </c>
      <c r="X33" s="141">
        <f>X$21*shipping_manufacturing!$F$27/100</f>
        <v>0</v>
      </c>
      <c r="Y33" s="141">
        <f>Y$21*shipping_manufacturing!$F$27/100</f>
        <v>0</v>
      </c>
      <c r="Z33" s="141">
        <f>Z$21*shipping_manufacturing!$F$27/100</f>
        <v>0</v>
      </c>
      <c r="AA33" s="141">
        <f>AA$21*shipping_manufacturing!$F$27/100</f>
        <v>0</v>
      </c>
      <c r="AB33" s="141">
        <f>AB$21*shipping_manufacturing!$F$27/100</f>
        <v>0</v>
      </c>
      <c r="AC33" s="141">
        <f>AC$21*shipping_manufacturing!$F$27/100</f>
        <v>0</v>
      </c>
      <c r="AD33" s="141">
        <f>AD$21*shipping_manufacturing!$F$27/100</f>
        <v>0</v>
      </c>
      <c r="AE33" s="141">
        <f>AE$21*shipping_manufacturing!$F$27/100</f>
        <v>0</v>
      </c>
      <c r="AF33" s="141">
        <f>AF$21*shipping_manufacturing!$F$27/100</f>
        <v>0</v>
      </c>
      <c r="AG33" s="141">
        <f>AG$21*shipping_manufacturing!$F$27/100</f>
        <v>0</v>
      </c>
      <c r="AH33" s="141">
        <f>AH$21*shipping_manufacturing!$F$27/100</f>
        <v>0</v>
      </c>
      <c r="AI33" s="141">
        <f>AI$21*shipping_manufacturing!$F$27/100</f>
        <v>0</v>
      </c>
      <c r="AJ33" s="141">
        <f>AJ$21*shipping_manufacturing!$F$27/100</f>
        <v>0</v>
      </c>
      <c r="AK33" s="141">
        <f>AK$21*shipping_manufacturing!$F$27/100</f>
        <v>0</v>
      </c>
      <c r="AL33" s="141">
        <f>AL$21*shipping_manufacturing!$F$27/100</f>
        <v>0</v>
      </c>
      <c r="AM33" s="141">
        <f>AM$21*shipping_manufacturing!$F$27/100</f>
        <v>0</v>
      </c>
      <c r="AN33" s="141">
        <f>AN$21*shipping_manufacturing!$F$27/100</f>
        <v>0</v>
      </c>
      <c r="AO33" s="141">
        <f>AO$21*shipping_manufacturing!$F$27/100</f>
        <v>0</v>
      </c>
      <c r="AP33" s="141">
        <f>AP$21*shipping_manufacturing!$F$27/100</f>
        <v>0</v>
      </c>
      <c r="AQ33" s="141">
        <f>AQ$21*shipping_manufacturing!$F$27/100</f>
        <v>0</v>
      </c>
      <c r="AR33" s="141">
        <f>AR$21*shipping_manufacturing!$F$27/100</f>
        <v>0</v>
      </c>
      <c r="AS33" s="141">
        <f>AS$21*shipping_manufacturing!$F$27/100</f>
        <v>0</v>
      </c>
      <c r="AT33" s="141">
        <f>AT$21*shipping_manufacturing!$F$27/100</f>
        <v>0</v>
      </c>
      <c r="AU33" s="141">
        <f>AU$21*shipping_manufacturing!$F$27/100</f>
        <v>0</v>
      </c>
      <c r="AV33" s="141">
        <f>AV$21*shipping_manufacturing!$F$27/100</f>
        <v>0</v>
      </c>
      <c r="AW33" s="141">
        <f>AW$21*shipping_manufacturing!$F$27/100</f>
        <v>0</v>
      </c>
      <c r="AX33" s="141">
        <f>AX$21*shipping_manufacturing!$F$27/100</f>
        <v>0</v>
      </c>
      <c r="AY33" s="141">
        <f>AY$21*shipping_manufacturing!$F$27/100</f>
        <v>0</v>
      </c>
    </row>
    <row r="34" spans="1:52" x14ac:dyDescent="0.2">
      <c r="A34" s="130" t="s">
        <v>340</v>
      </c>
      <c r="B34" s="182" t="s">
        <v>342</v>
      </c>
      <c r="C34" s="128"/>
      <c r="D34" s="128">
        <f>D$22*shipping_manufacturing!$G$27/100</f>
        <v>185.72707850474728</v>
      </c>
      <c r="E34" s="128">
        <f>E$22*shipping_manufacturing!$G$27/100</f>
        <v>0</v>
      </c>
      <c r="F34" s="128">
        <f>F$22*shipping_manufacturing!$G$27/100</f>
        <v>0</v>
      </c>
      <c r="G34" s="128">
        <f>G$22*shipping_manufacturing!$G$27/100</f>
        <v>0</v>
      </c>
      <c r="H34" s="128">
        <f>H$22*shipping_manufacturing!$G$27/100</f>
        <v>0</v>
      </c>
      <c r="I34" s="128">
        <f>I$22*shipping_manufacturing!$G$27/100</f>
        <v>0</v>
      </c>
      <c r="J34" s="128">
        <f>J$22*shipping_manufacturing!$G$27/100</f>
        <v>0</v>
      </c>
      <c r="K34" s="128">
        <f>K$22*shipping_manufacturing!$G$27/100</f>
        <v>0</v>
      </c>
      <c r="L34" s="128">
        <f>L$22*shipping_manufacturing!$G$27/100</f>
        <v>0</v>
      </c>
      <c r="M34" s="128">
        <f>M$22*shipping_manufacturing!$G$27/100</f>
        <v>0</v>
      </c>
      <c r="N34" s="128">
        <f>N$22*shipping_manufacturing!$G$27/100</f>
        <v>0</v>
      </c>
      <c r="O34" s="128">
        <f>O$22*shipping_manufacturing!$G$27/100</f>
        <v>0</v>
      </c>
      <c r="P34" s="128">
        <f>P$22*shipping_manufacturing!$G$27/100</f>
        <v>0</v>
      </c>
      <c r="Q34" s="128">
        <f>Q$22*shipping_manufacturing!$G$27/100</f>
        <v>0</v>
      </c>
      <c r="R34" s="128">
        <f>R$22*shipping_manufacturing!$G$27/100</f>
        <v>0</v>
      </c>
      <c r="S34" s="128">
        <f>S$22*shipping_manufacturing!$G$27/100</f>
        <v>0</v>
      </c>
      <c r="T34" s="128">
        <f>T$22*shipping_manufacturing!$G$27/100</f>
        <v>0</v>
      </c>
      <c r="U34" s="128">
        <f>U$22*shipping_manufacturing!$G$27/100</f>
        <v>0</v>
      </c>
      <c r="V34" s="128">
        <f>V$22*shipping_manufacturing!$G$27/100</f>
        <v>0</v>
      </c>
      <c r="W34" s="128">
        <f>W$22*shipping_manufacturing!$G$27/100</f>
        <v>0</v>
      </c>
      <c r="X34" s="128">
        <f>X$22*shipping_manufacturing!$G$27/100</f>
        <v>0</v>
      </c>
      <c r="Y34" s="128">
        <f>Y$22*shipping_manufacturing!$G$27/100</f>
        <v>0</v>
      </c>
      <c r="Z34" s="128">
        <f>Z$22*shipping_manufacturing!$G$27/100</f>
        <v>0</v>
      </c>
      <c r="AA34" s="128">
        <f>AA$22*shipping_manufacturing!$G$27/100</f>
        <v>0</v>
      </c>
      <c r="AB34" s="128">
        <f>AB$22*shipping_manufacturing!$G$27/100</f>
        <v>0</v>
      </c>
      <c r="AC34" s="128">
        <f>AC$22*shipping_manufacturing!$G$27/100</f>
        <v>0</v>
      </c>
      <c r="AD34" s="128">
        <f>AD$22*shipping_manufacturing!$G$27/100</f>
        <v>0</v>
      </c>
      <c r="AE34" s="128">
        <f>AE$22*shipping_manufacturing!$G$27/100</f>
        <v>0</v>
      </c>
      <c r="AF34" s="128">
        <f>AF$22*shipping_manufacturing!$G$27/100</f>
        <v>0</v>
      </c>
      <c r="AG34" s="128">
        <f>AG$22*shipping_manufacturing!$G$27/100</f>
        <v>0</v>
      </c>
      <c r="AH34" s="128">
        <f>AH$22*shipping_manufacturing!$G$27/100</f>
        <v>0</v>
      </c>
      <c r="AI34" s="128">
        <f>AI$22*shipping_manufacturing!$G$27/100</f>
        <v>0</v>
      </c>
      <c r="AJ34" s="128">
        <f>AJ$22*shipping_manufacturing!$G$27/100</f>
        <v>0</v>
      </c>
      <c r="AK34" s="128">
        <f>AK$22*shipping_manufacturing!$G$27/100</f>
        <v>0</v>
      </c>
      <c r="AL34" s="128">
        <f>AL$22*shipping_manufacturing!$G$27/100</f>
        <v>0</v>
      </c>
      <c r="AM34" s="128">
        <f>AM$22*shipping_manufacturing!$G$27/100</f>
        <v>0</v>
      </c>
      <c r="AN34" s="128">
        <f>AN$22*shipping_manufacturing!$G$27/100</f>
        <v>0</v>
      </c>
      <c r="AO34" s="128">
        <f>AO$22*shipping_manufacturing!$G$27/100</f>
        <v>0</v>
      </c>
      <c r="AP34" s="128">
        <f>AP$22*shipping_manufacturing!$G$27/100</f>
        <v>0</v>
      </c>
      <c r="AQ34" s="128">
        <f>AQ$22*shipping_manufacturing!$G$27/100</f>
        <v>0</v>
      </c>
      <c r="AR34" s="128">
        <f>AR$22*shipping_manufacturing!$G$27/100</f>
        <v>0</v>
      </c>
      <c r="AS34" s="128">
        <f>AS$22*shipping_manufacturing!$G$27/100</f>
        <v>0</v>
      </c>
      <c r="AT34" s="128">
        <f>AT$22*shipping_manufacturing!$G$27/100</f>
        <v>0</v>
      </c>
      <c r="AU34" s="128">
        <f>AU$22*shipping_manufacturing!$G$27/100</f>
        <v>0</v>
      </c>
      <c r="AV34" s="128">
        <f>AV$22*shipping_manufacturing!$G$27/100</f>
        <v>0</v>
      </c>
      <c r="AW34" s="128">
        <f>AW$22*shipping_manufacturing!$G$27/100</f>
        <v>0</v>
      </c>
      <c r="AX34" s="128">
        <f>AX$22*shipping_manufacturing!$G$27/100</f>
        <v>0</v>
      </c>
      <c r="AY34" s="128">
        <f>AY$22*shipping_manufacturing!$G$27/100</f>
        <v>0</v>
      </c>
    </row>
    <row r="35" spans="1:52" x14ac:dyDescent="0.2">
      <c r="A35" s="128">
        <v>1225</v>
      </c>
      <c r="B35" s="182" t="s">
        <v>343</v>
      </c>
      <c r="C35" s="128"/>
      <c r="D35" s="128">
        <f>SUM(D33:D34)</f>
        <v>316.56201430777361</v>
      </c>
      <c r="E35" s="128">
        <f t="shared" ref="E35:AY35" si="11">SUM(E33:E34)</f>
        <v>0</v>
      </c>
      <c r="F35" s="128">
        <f t="shared" si="11"/>
        <v>0</v>
      </c>
      <c r="G35" s="128">
        <f t="shared" si="11"/>
        <v>0</v>
      </c>
      <c r="H35" s="128">
        <f t="shared" si="11"/>
        <v>0</v>
      </c>
      <c r="I35" s="128">
        <f t="shared" si="11"/>
        <v>0</v>
      </c>
      <c r="J35" s="128">
        <f t="shared" si="11"/>
        <v>0</v>
      </c>
      <c r="K35" s="128">
        <f t="shared" si="11"/>
        <v>0</v>
      </c>
      <c r="L35" s="128">
        <f t="shared" si="11"/>
        <v>0</v>
      </c>
      <c r="M35" s="128">
        <f t="shared" si="11"/>
        <v>0</v>
      </c>
      <c r="N35" s="128">
        <f t="shared" si="11"/>
        <v>0</v>
      </c>
      <c r="O35" s="128">
        <f t="shared" si="11"/>
        <v>0</v>
      </c>
      <c r="P35" s="128">
        <f t="shared" si="11"/>
        <v>0</v>
      </c>
      <c r="Q35" s="128">
        <f t="shared" si="11"/>
        <v>0</v>
      </c>
      <c r="R35" s="128">
        <f t="shared" si="11"/>
        <v>0</v>
      </c>
      <c r="S35" s="128">
        <f t="shared" si="11"/>
        <v>0</v>
      </c>
      <c r="T35" s="128">
        <f t="shared" si="11"/>
        <v>0</v>
      </c>
      <c r="U35" s="128">
        <f t="shared" si="11"/>
        <v>0</v>
      </c>
      <c r="V35" s="128">
        <f t="shared" si="11"/>
        <v>0</v>
      </c>
      <c r="W35" s="128">
        <f t="shared" si="11"/>
        <v>0</v>
      </c>
      <c r="X35" s="128">
        <f t="shared" si="11"/>
        <v>0</v>
      </c>
      <c r="Y35" s="128">
        <f t="shared" si="11"/>
        <v>0</v>
      </c>
      <c r="Z35" s="128">
        <f t="shared" si="11"/>
        <v>0</v>
      </c>
      <c r="AA35" s="128">
        <f t="shared" si="11"/>
        <v>0</v>
      </c>
      <c r="AB35" s="128">
        <f t="shared" si="11"/>
        <v>0</v>
      </c>
      <c r="AC35" s="128">
        <f t="shared" si="11"/>
        <v>0</v>
      </c>
      <c r="AD35" s="128">
        <f t="shared" si="11"/>
        <v>0</v>
      </c>
      <c r="AE35" s="128">
        <f t="shared" si="11"/>
        <v>0</v>
      </c>
      <c r="AF35" s="128">
        <f t="shared" si="11"/>
        <v>0</v>
      </c>
      <c r="AG35" s="128">
        <f t="shared" si="11"/>
        <v>0</v>
      </c>
      <c r="AH35" s="128">
        <f t="shared" si="11"/>
        <v>0</v>
      </c>
      <c r="AI35" s="128">
        <f t="shared" si="11"/>
        <v>0</v>
      </c>
      <c r="AJ35" s="128">
        <f t="shared" si="11"/>
        <v>0</v>
      </c>
      <c r="AK35" s="128">
        <f t="shared" si="11"/>
        <v>0</v>
      </c>
      <c r="AL35" s="128">
        <f t="shared" si="11"/>
        <v>0</v>
      </c>
      <c r="AM35" s="128">
        <f t="shared" si="11"/>
        <v>0</v>
      </c>
      <c r="AN35" s="128">
        <f t="shared" si="11"/>
        <v>0</v>
      </c>
      <c r="AO35" s="128">
        <f t="shared" si="11"/>
        <v>0</v>
      </c>
      <c r="AP35" s="128">
        <f t="shared" si="11"/>
        <v>0</v>
      </c>
      <c r="AQ35" s="128">
        <f t="shared" si="11"/>
        <v>0</v>
      </c>
      <c r="AR35" s="128">
        <f t="shared" si="11"/>
        <v>0</v>
      </c>
      <c r="AS35" s="128">
        <f t="shared" si="11"/>
        <v>0</v>
      </c>
      <c r="AT35" s="128">
        <f t="shared" si="11"/>
        <v>0</v>
      </c>
      <c r="AU35" s="128">
        <f t="shared" si="11"/>
        <v>0</v>
      </c>
      <c r="AV35" s="128">
        <f t="shared" si="11"/>
        <v>0</v>
      </c>
      <c r="AW35" s="128">
        <f t="shared" si="11"/>
        <v>0</v>
      </c>
      <c r="AX35" s="128">
        <f t="shared" si="11"/>
        <v>0</v>
      </c>
      <c r="AY35" s="128">
        <f t="shared" si="11"/>
        <v>0</v>
      </c>
    </row>
    <row r="36" spans="1:52" x14ac:dyDescent="0.2">
      <c r="A36" s="128"/>
      <c r="B36" s="182" t="s">
        <v>344</v>
      </c>
      <c r="C36" s="128"/>
      <c r="D36" s="128">
        <v>111.59087657457343</v>
      </c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</row>
    <row r="37" spans="1:52" x14ac:dyDescent="0.2">
      <c r="A37" s="128"/>
      <c r="B37" s="182" t="s">
        <v>345</v>
      </c>
      <c r="C37" s="128"/>
      <c r="D37" s="128">
        <v>158.40912342542657</v>
      </c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</row>
    <row r="38" spans="1:52" x14ac:dyDescent="0.2">
      <c r="A38" s="128"/>
      <c r="B38" s="182" t="s">
        <v>346</v>
      </c>
      <c r="C38" s="128"/>
      <c r="D38" s="128">
        <v>9</v>
      </c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</row>
    <row r="39" spans="1:52" x14ac:dyDescent="0.2">
      <c r="A39" s="128"/>
      <c r="B39" s="182" t="s">
        <v>347</v>
      </c>
      <c r="C39" s="128"/>
      <c r="D39" s="128">
        <f>D33-D36</f>
        <v>19.244059228452898</v>
      </c>
      <c r="E39" s="128">
        <f t="shared" ref="E39:AY39" si="12">E33-E36</f>
        <v>0</v>
      </c>
      <c r="F39" s="128">
        <f t="shared" si="12"/>
        <v>0</v>
      </c>
      <c r="G39" s="128">
        <f t="shared" si="12"/>
        <v>0</v>
      </c>
      <c r="H39" s="128">
        <f t="shared" si="12"/>
        <v>0</v>
      </c>
      <c r="I39" s="128">
        <f t="shared" si="12"/>
        <v>0</v>
      </c>
      <c r="J39" s="128">
        <f t="shared" si="12"/>
        <v>0</v>
      </c>
      <c r="K39" s="128">
        <f t="shared" si="12"/>
        <v>0</v>
      </c>
      <c r="L39" s="128">
        <f t="shared" si="12"/>
        <v>0</v>
      </c>
      <c r="M39" s="128">
        <f t="shared" si="12"/>
        <v>0</v>
      </c>
      <c r="N39" s="128">
        <f t="shared" si="12"/>
        <v>0</v>
      </c>
      <c r="O39" s="128">
        <f t="shared" si="12"/>
        <v>0</v>
      </c>
      <c r="P39" s="128">
        <f t="shared" si="12"/>
        <v>0</v>
      </c>
      <c r="Q39" s="128">
        <f t="shared" si="12"/>
        <v>0</v>
      </c>
      <c r="R39" s="128">
        <f t="shared" si="12"/>
        <v>0</v>
      </c>
      <c r="S39" s="128">
        <f t="shared" si="12"/>
        <v>0</v>
      </c>
      <c r="T39" s="128">
        <f t="shared" si="12"/>
        <v>0</v>
      </c>
      <c r="U39" s="128">
        <f t="shared" si="12"/>
        <v>0</v>
      </c>
      <c r="V39" s="128">
        <f t="shared" si="12"/>
        <v>0</v>
      </c>
      <c r="W39" s="128">
        <f t="shared" si="12"/>
        <v>0</v>
      </c>
      <c r="X39" s="128">
        <f t="shared" si="12"/>
        <v>0</v>
      </c>
      <c r="Y39" s="128">
        <f t="shared" si="12"/>
        <v>0</v>
      </c>
      <c r="Z39" s="128">
        <f t="shared" si="12"/>
        <v>0</v>
      </c>
      <c r="AA39" s="128">
        <f t="shared" si="12"/>
        <v>0</v>
      </c>
      <c r="AB39" s="128">
        <f t="shared" si="12"/>
        <v>0</v>
      </c>
      <c r="AC39" s="128">
        <f t="shared" si="12"/>
        <v>0</v>
      </c>
      <c r="AD39" s="128">
        <f t="shared" si="12"/>
        <v>0</v>
      </c>
      <c r="AE39" s="128">
        <f t="shared" si="12"/>
        <v>0</v>
      </c>
      <c r="AF39" s="128">
        <f t="shared" si="12"/>
        <v>0</v>
      </c>
      <c r="AG39" s="128">
        <f t="shared" si="12"/>
        <v>0</v>
      </c>
      <c r="AH39" s="128">
        <f t="shared" si="12"/>
        <v>0</v>
      </c>
      <c r="AI39" s="128">
        <f t="shared" si="12"/>
        <v>0</v>
      </c>
      <c r="AJ39" s="128">
        <f t="shared" si="12"/>
        <v>0</v>
      </c>
      <c r="AK39" s="128">
        <f t="shared" si="12"/>
        <v>0</v>
      </c>
      <c r="AL39" s="128">
        <f t="shared" si="12"/>
        <v>0</v>
      </c>
      <c r="AM39" s="128">
        <f t="shared" si="12"/>
        <v>0</v>
      </c>
      <c r="AN39" s="128">
        <f t="shared" si="12"/>
        <v>0</v>
      </c>
      <c r="AO39" s="128">
        <f t="shared" si="12"/>
        <v>0</v>
      </c>
      <c r="AP39" s="128">
        <f t="shared" si="12"/>
        <v>0</v>
      </c>
      <c r="AQ39" s="128">
        <f t="shared" si="12"/>
        <v>0</v>
      </c>
      <c r="AR39" s="128">
        <f t="shared" si="12"/>
        <v>0</v>
      </c>
      <c r="AS39" s="128">
        <f t="shared" si="12"/>
        <v>0</v>
      </c>
      <c r="AT39" s="128">
        <f t="shared" si="12"/>
        <v>0</v>
      </c>
      <c r="AU39" s="128">
        <f t="shared" si="12"/>
        <v>0</v>
      </c>
      <c r="AV39" s="128">
        <f t="shared" si="12"/>
        <v>0</v>
      </c>
      <c r="AW39" s="128">
        <f t="shared" si="12"/>
        <v>0</v>
      </c>
      <c r="AX39" s="128">
        <f t="shared" si="12"/>
        <v>0</v>
      </c>
      <c r="AY39" s="128">
        <f t="shared" si="12"/>
        <v>0</v>
      </c>
    </row>
    <row r="40" spans="1:52" x14ac:dyDescent="0.2">
      <c r="A40" s="128"/>
      <c r="B40" s="182" t="s">
        <v>348</v>
      </c>
      <c r="C40" s="128"/>
      <c r="D40" s="128">
        <f>D34-D37</f>
        <v>27.317955079320711</v>
      </c>
      <c r="E40" s="128">
        <f t="shared" ref="E40:AY40" si="13">E34-E37</f>
        <v>0</v>
      </c>
      <c r="F40" s="128">
        <f t="shared" si="13"/>
        <v>0</v>
      </c>
      <c r="G40" s="128">
        <f t="shared" si="13"/>
        <v>0</v>
      </c>
      <c r="H40" s="128">
        <f t="shared" si="13"/>
        <v>0</v>
      </c>
      <c r="I40" s="128">
        <f t="shared" si="13"/>
        <v>0</v>
      </c>
      <c r="J40" s="128">
        <f t="shared" si="13"/>
        <v>0</v>
      </c>
      <c r="K40" s="128">
        <f t="shared" si="13"/>
        <v>0</v>
      </c>
      <c r="L40" s="128">
        <f t="shared" si="13"/>
        <v>0</v>
      </c>
      <c r="M40" s="128">
        <f t="shared" si="13"/>
        <v>0</v>
      </c>
      <c r="N40" s="128">
        <f t="shared" si="13"/>
        <v>0</v>
      </c>
      <c r="O40" s="128">
        <f t="shared" si="13"/>
        <v>0</v>
      </c>
      <c r="P40" s="128">
        <f t="shared" si="13"/>
        <v>0</v>
      </c>
      <c r="Q40" s="128">
        <f t="shared" si="13"/>
        <v>0</v>
      </c>
      <c r="R40" s="128">
        <f t="shared" si="13"/>
        <v>0</v>
      </c>
      <c r="S40" s="128">
        <f t="shared" si="13"/>
        <v>0</v>
      </c>
      <c r="T40" s="128">
        <f t="shared" si="13"/>
        <v>0</v>
      </c>
      <c r="U40" s="128">
        <f t="shared" si="13"/>
        <v>0</v>
      </c>
      <c r="V40" s="128">
        <f t="shared" si="13"/>
        <v>0</v>
      </c>
      <c r="W40" s="128">
        <f t="shared" si="13"/>
        <v>0</v>
      </c>
      <c r="X40" s="128">
        <f t="shared" si="13"/>
        <v>0</v>
      </c>
      <c r="Y40" s="128">
        <f t="shared" si="13"/>
        <v>0</v>
      </c>
      <c r="Z40" s="128">
        <f t="shared" si="13"/>
        <v>0</v>
      </c>
      <c r="AA40" s="128">
        <f t="shared" si="13"/>
        <v>0</v>
      </c>
      <c r="AB40" s="128">
        <f t="shared" si="13"/>
        <v>0</v>
      </c>
      <c r="AC40" s="128">
        <f t="shared" si="13"/>
        <v>0</v>
      </c>
      <c r="AD40" s="128">
        <f t="shared" si="13"/>
        <v>0</v>
      </c>
      <c r="AE40" s="128">
        <f t="shared" si="13"/>
        <v>0</v>
      </c>
      <c r="AF40" s="128">
        <f t="shared" si="13"/>
        <v>0</v>
      </c>
      <c r="AG40" s="128">
        <f t="shared" si="13"/>
        <v>0</v>
      </c>
      <c r="AH40" s="128">
        <f t="shared" si="13"/>
        <v>0</v>
      </c>
      <c r="AI40" s="128">
        <f t="shared" si="13"/>
        <v>0</v>
      </c>
      <c r="AJ40" s="128">
        <f t="shared" si="13"/>
        <v>0</v>
      </c>
      <c r="AK40" s="128">
        <f t="shared" si="13"/>
        <v>0</v>
      </c>
      <c r="AL40" s="128">
        <f t="shared" si="13"/>
        <v>0</v>
      </c>
      <c r="AM40" s="128">
        <f t="shared" si="13"/>
        <v>0</v>
      </c>
      <c r="AN40" s="128">
        <f t="shared" si="13"/>
        <v>0</v>
      </c>
      <c r="AO40" s="128">
        <f t="shared" si="13"/>
        <v>0</v>
      </c>
      <c r="AP40" s="128">
        <f t="shared" si="13"/>
        <v>0</v>
      </c>
      <c r="AQ40" s="128">
        <f t="shared" si="13"/>
        <v>0</v>
      </c>
      <c r="AR40" s="128">
        <f t="shared" si="13"/>
        <v>0</v>
      </c>
      <c r="AS40" s="128">
        <f t="shared" si="13"/>
        <v>0</v>
      </c>
      <c r="AT40" s="128">
        <f t="shared" si="13"/>
        <v>0</v>
      </c>
      <c r="AU40" s="128">
        <f t="shared" si="13"/>
        <v>0</v>
      </c>
      <c r="AV40" s="128">
        <f t="shared" si="13"/>
        <v>0</v>
      </c>
      <c r="AW40" s="128">
        <f t="shared" si="13"/>
        <v>0</v>
      </c>
      <c r="AX40" s="128">
        <f t="shared" si="13"/>
        <v>0</v>
      </c>
      <c r="AY40" s="128">
        <f t="shared" si="13"/>
        <v>0</v>
      </c>
    </row>
    <row r="41" spans="1:52" x14ac:dyDescent="0.2">
      <c r="A41" s="128"/>
      <c r="B41" s="182" t="s">
        <v>349</v>
      </c>
      <c r="C41" s="128"/>
      <c r="D41" s="128">
        <v>1</v>
      </c>
      <c r="E41" s="128">
        <v>1</v>
      </c>
      <c r="F41" s="128">
        <v>2</v>
      </c>
      <c r="G41" s="128">
        <v>1</v>
      </c>
      <c r="H41" s="128">
        <v>2</v>
      </c>
      <c r="I41" s="128">
        <v>1</v>
      </c>
      <c r="J41" s="128">
        <v>1</v>
      </c>
      <c r="K41" s="128">
        <v>2</v>
      </c>
      <c r="L41" s="128">
        <v>2</v>
      </c>
      <c r="M41" s="128">
        <v>2</v>
      </c>
      <c r="N41" s="128">
        <v>1</v>
      </c>
      <c r="O41" s="128">
        <v>2</v>
      </c>
      <c r="P41" s="128">
        <v>1</v>
      </c>
      <c r="Q41" s="128">
        <v>1</v>
      </c>
      <c r="R41" s="128">
        <v>2</v>
      </c>
      <c r="S41" s="128">
        <v>3</v>
      </c>
      <c r="T41" s="128">
        <v>1</v>
      </c>
      <c r="U41" s="128">
        <v>1</v>
      </c>
      <c r="V41" s="128">
        <v>1</v>
      </c>
      <c r="W41" s="128">
        <v>1</v>
      </c>
      <c r="X41" s="128">
        <v>1</v>
      </c>
      <c r="Y41" s="128">
        <v>2</v>
      </c>
      <c r="Z41" s="128">
        <v>3</v>
      </c>
      <c r="AA41" s="128">
        <v>2</v>
      </c>
      <c r="AB41" s="128">
        <v>1</v>
      </c>
      <c r="AC41" s="128">
        <v>1</v>
      </c>
      <c r="AD41" s="128">
        <v>1</v>
      </c>
      <c r="AE41" s="128">
        <v>1</v>
      </c>
      <c r="AF41" s="128">
        <v>1</v>
      </c>
      <c r="AG41" s="128">
        <v>1</v>
      </c>
      <c r="AH41" s="128">
        <v>1</v>
      </c>
      <c r="AI41" s="128">
        <v>2</v>
      </c>
      <c r="AJ41" s="128">
        <v>2</v>
      </c>
      <c r="AK41" s="128">
        <v>1</v>
      </c>
      <c r="AL41" s="128">
        <v>1</v>
      </c>
      <c r="AM41" s="128">
        <v>1</v>
      </c>
      <c r="AN41" s="128">
        <v>1</v>
      </c>
      <c r="AO41" s="128">
        <v>1</v>
      </c>
      <c r="AP41" s="128">
        <v>1</v>
      </c>
      <c r="AQ41" s="128">
        <v>2</v>
      </c>
      <c r="AR41" s="128">
        <v>1</v>
      </c>
      <c r="AS41" s="128">
        <v>1</v>
      </c>
      <c r="AT41" s="128">
        <v>1</v>
      </c>
      <c r="AU41" s="128">
        <v>1</v>
      </c>
      <c r="AV41" s="128">
        <v>2</v>
      </c>
      <c r="AW41" s="128">
        <v>1</v>
      </c>
      <c r="AX41" s="128">
        <v>2</v>
      </c>
      <c r="AY41" s="128">
        <v>3</v>
      </c>
    </row>
    <row r="42" spans="1:52" x14ac:dyDescent="0.2">
      <c r="A42" s="128"/>
      <c r="B42" s="193" t="s">
        <v>350</v>
      </c>
      <c r="C42" s="128"/>
      <c r="D42" s="128">
        <v>396900</v>
      </c>
      <c r="E42" s="128">
        <v>0</v>
      </c>
      <c r="F42" s="128">
        <v>0</v>
      </c>
      <c r="G42" s="128">
        <v>0</v>
      </c>
      <c r="H42" s="128">
        <v>0</v>
      </c>
      <c r="I42" s="128">
        <v>0</v>
      </c>
      <c r="J42" s="128">
        <v>0</v>
      </c>
      <c r="K42" s="128">
        <v>0</v>
      </c>
      <c r="L42" s="128">
        <v>0</v>
      </c>
      <c r="M42" s="128">
        <v>0</v>
      </c>
      <c r="N42" s="128">
        <v>0</v>
      </c>
      <c r="O42" s="128">
        <v>0</v>
      </c>
      <c r="P42" s="128">
        <v>0</v>
      </c>
      <c r="Q42" s="128">
        <v>0</v>
      </c>
      <c r="R42" s="128">
        <v>0</v>
      </c>
      <c r="S42" s="128">
        <v>0</v>
      </c>
      <c r="T42" s="128">
        <v>0</v>
      </c>
      <c r="U42" s="128">
        <v>0</v>
      </c>
      <c r="V42" s="128">
        <v>0</v>
      </c>
      <c r="W42" s="128">
        <v>0</v>
      </c>
      <c r="X42" s="128">
        <v>0</v>
      </c>
      <c r="Y42" s="128">
        <v>0</v>
      </c>
      <c r="Z42" s="128">
        <v>0</v>
      </c>
      <c r="AA42" s="128">
        <v>0</v>
      </c>
      <c r="AB42" s="128">
        <v>0</v>
      </c>
      <c r="AC42" s="128">
        <v>0</v>
      </c>
      <c r="AD42" s="128">
        <v>0</v>
      </c>
      <c r="AE42" s="128">
        <v>0</v>
      </c>
      <c r="AF42" s="128">
        <v>0</v>
      </c>
      <c r="AG42" s="128">
        <v>0</v>
      </c>
      <c r="AH42" s="128">
        <v>0</v>
      </c>
      <c r="AI42" s="128">
        <v>0</v>
      </c>
      <c r="AJ42" s="128">
        <v>0</v>
      </c>
      <c r="AK42" s="128">
        <v>0</v>
      </c>
      <c r="AL42" s="128">
        <v>0</v>
      </c>
      <c r="AM42" s="128">
        <v>0</v>
      </c>
      <c r="AN42" s="128">
        <v>0</v>
      </c>
      <c r="AO42" s="128">
        <v>0</v>
      </c>
      <c r="AP42" s="128">
        <v>0</v>
      </c>
      <c r="AQ42" s="128">
        <v>0</v>
      </c>
      <c r="AR42" s="128">
        <v>0</v>
      </c>
      <c r="AS42" s="128">
        <v>0</v>
      </c>
      <c r="AT42" s="128">
        <v>0</v>
      </c>
      <c r="AU42" s="128">
        <v>0</v>
      </c>
      <c r="AV42" s="128">
        <v>0</v>
      </c>
      <c r="AW42" s="128">
        <v>0</v>
      </c>
      <c r="AX42" s="128">
        <v>0</v>
      </c>
      <c r="AY42" s="128">
        <v>0</v>
      </c>
      <c r="AZ42">
        <f>SUM($D$42:$AY$42)</f>
        <v>396900</v>
      </c>
    </row>
    <row r="43" spans="1:52" x14ac:dyDescent="0.2">
      <c r="A43" s="128"/>
      <c r="B43" s="193" t="s">
        <v>351</v>
      </c>
      <c r="C43" s="128"/>
      <c r="D43" s="128">
        <v>37075.003892564739</v>
      </c>
      <c r="E43" s="128">
        <v>0</v>
      </c>
      <c r="F43" s="128">
        <v>0</v>
      </c>
      <c r="G43" s="128">
        <v>0</v>
      </c>
      <c r="H43" s="128">
        <v>0</v>
      </c>
      <c r="I43" s="128">
        <v>0</v>
      </c>
      <c r="J43" s="128">
        <v>0</v>
      </c>
      <c r="K43" s="128">
        <v>0</v>
      </c>
      <c r="L43" s="128">
        <v>0</v>
      </c>
      <c r="M43" s="128">
        <v>0</v>
      </c>
      <c r="N43" s="128">
        <v>0</v>
      </c>
      <c r="O43" s="128">
        <v>0</v>
      </c>
      <c r="P43" s="128">
        <v>0</v>
      </c>
      <c r="Q43" s="128">
        <v>0</v>
      </c>
      <c r="R43" s="128">
        <v>0</v>
      </c>
      <c r="S43" s="128">
        <v>0</v>
      </c>
      <c r="T43" s="128">
        <v>0</v>
      </c>
      <c r="U43" s="128">
        <v>0</v>
      </c>
      <c r="V43" s="128">
        <v>0</v>
      </c>
      <c r="W43" s="128">
        <v>0</v>
      </c>
      <c r="X43" s="128">
        <v>0</v>
      </c>
      <c r="Y43" s="128">
        <v>0</v>
      </c>
      <c r="Z43" s="128">
        <v>0</v>
      </c>
      <c r="AA43" s="128">
        <v>0</v>
      </c>
      <c r="AB43" s="128">
        <v>0</v>
      </c>
      <c r="AC43" s="128">
        <v>0</v>
      </c>
      <c r="AD43" s="128">
        <v>0</v>
      </c>
      <c r="AE43" s="128">
        <v>0</v>
      </c>
      <c r="AF43" s="128">
        <v>0</v>
      </c>
      <c r="AG43" s="128">
        <v>0</v>
      </c>
      <c r="AH43" s="128">
        <v>0</v>
      </c>
      <c r="AI43" s="128">
        <v>0</v>
      </c>
      <c r="AJ43" s="128">
        <v>0</v>
      </c>
      <c r="AK43" s="128">
        <v>0</v>
      </c>
      <c r="AL43" s="128">
        <v>0</v>
      </c>
      <c r="AM43" s="128">
        <v>0</v>
      </c>
      <c r="AN43" s="128">
        <v>0</v>
      </c>
      <c r="AO43" s="128">
        <v>0</v>
      </c>
      <c r="AP43" s="128">
        <v>0</v>
      </c>
      <c r="AQ43" s="128">
        <v>0</v>
      </c>
      <c r="AR43" s="128">
        <v>0</v>
      </c>
      <c r="AS43" s="128">
        <v>0</v>
      </c>
      <c r="AT43" s="128">
        <v>0</v>
      </c>
      <c r="AU43" s="128">
        <v>0</v>
      </c>
      <c r="AV43" s="128">
        <v>0</v>
      </c>
      <c r="AW43" s="128">
        <v>0</v>
      </c>
      <c r="AX43" s="128">
        <v>0</v>
      </c>
      <c r="AY43" s="128">
        <v>0</v>
      </c>
      <c r="AZ43">
        <f>SUM($D$43:$AY$43)</f>
        <v>37075.003892564739</v>
      </c>
    </row>
    <row r="44" spans="1:52" x14ac:dyDescent="0.2">
      <c r="A44" s="152" t="s">
        <v>59</v>
      </c>
      <c r="B44" s="152" t="s">
        <v>341</v>
      </c>
      <c r="C44" s="141"/>
      <c r="D44" s="141">
        <f>D$21*shipping_manufacturing!$F$28/100</f>
        <v>54.892142701720985</v>
      </c>
      <c r="E44" s="141">
        <f>E$21*shipping_manufacturing!$F$28/100</f>
        <v>0</v>
      </c>
      <c r="F44" s="141">
        <f>F$21*shipping_manufacturing!$F$28/100</f>
        <v>0</v>
      </c>
      <c r="G44" s="141">
        <f>G$21*shipping_manufacturing!$F$28/100</f>
        <v>0</v>
      </c>
      <c r="H44" s="141">
        <f>H$21*shipping_manufacturing!$F$28/100</f>
        <v>0</v>
      </c>
      <c r="I44" s="141">
        <f>I$21*shipping_manufacturing!$F$28/100</f>
        <v>0</v>
      </c>
      <c r="J44" s="141">
        <f>J$21*shipping_manufacturing!$F$28/100</f>
        <v>0</v>
      </c>
      <c r="K44" s="141">
        <f>K$21*shipping_manufacturing!$F$28/100</f>
        <v>0</v>
      </c>
      <c r="L44" s="141">
        <f>L$21*shipping_manufacturing!$F$28/100</f>
        <v>0</v>
      </c>
      <c r="M44" s="141">
        <f>M$21*shipping_manufacturing!$F$28/100</f>
        <v>0</v>
      </c>
      <c r="N44" s="141">
        <f>N$21*shipping_manufacturing!$F$28/100</f>
        <v>0</v>
      </c>
      <c r="O44" s="141">
        <f>O$21*shipping_manufacturing!$F$28/100</f>
        <v>0</v>
      </c>
      <c r="P44" s="141">
        <f>P$21*shipping_manufacturing!$F$28/100</f>
        <v>0</v>
      </c>
      <c r="Q44" s="141">
        <f>Q$21*shipping_manufacturing!$F$28/100</f>
        <v>0</v>
      </c>
      <c r="R44" s="141">
        <f>R$21*shipping_manufacturing!$F$28/100</f>
        <v>0</v>
      </c>
      <c r="S44" s="141">
        <f>S$21*shipping_manufacturing!$F$28/100</f>
        <v>0</v>
      </c>
      <c r="T44" s="141">
        <f>T$21*shipping_manufacturing!$F$28/100</f>
        <v>0</v>
      </c>
      <c r="U44" s="141">
        <f>U$21*shipping_manufacturing!$F$28/100</f>
        <v>0</v>
      </c>
      <c r="V44" s="141">
        <f>V$21*shipping_manufacturing!$F$28/100</f>
        <v>0</v>
      </c>
      <c r="W44" s="141">
        <f>W$21*shipping_manufacturing!$F$28/100</f>
        <v>0</v>
      </c>
      <c r="X44" s="141">
        <f>X$21*shipping_manufacturing!$F$28/100</f>
        <v>0</v>
      </c>
      <c r="Y44" s="141">
        <f>Y$21*shipping_manufacturing!$F$28/100</f>
        <v>0</v>
      </c>
      <c r="Z44" s="141">
        <f>Z$21*shipping_manufacturing!$F$28/100</f>
        <v>0</v>
      </c>
      <c r="AA44" s="141">
        <f>AA$21*shipping_manufacturing!$F$28/100</f>
        <v>0</v>
      </c>
      <c r="AB44" s="141">
        <f>AB$21*shipping_manufacturing!$F$28/100</f>
        <v>0</v>
      </c>
      <c r="AC44" s="141">
        <f>AC$21*shipping_manufacturing!$F$28/100</f>
        <v>0</v>
      </c>
      <c r="AD44" s="141">
        <f>AD$21*shipping_manufacturing!$F$28/100</f>
        <v>0</v>
      </c>
      <c r="AE44" s="141">
        <f>AE$21*shipping_manufacturing!$F$28/100</f>
        <v>0</v>
      </c>
      <c r="AF44" s="141">
        <f>AF$21*shipping_manufacturing!$F$28/100</f>
        <v>0</v>
      </c>
      <c r="AG44" s="141">
        <f>AG$21*shipping_manufacturing!$F$28/100</f>
        <v>0</v>
      </c>
      <c r="AH44" s="141">
        <f>AH$21*shipping_manufacturing!$F$28/100</f>
        <v>0</v>
      </c>
      <c r="AI44" s="141">
        <f>AI$21*shipping_manufacturing!$F$28/100</f>
        <v>0</v>
      </c>
      <c r="AJ44" s="141">
        <f>AJ$21*shipping_manufacturing!$F$28/100</f>
        <v>0</v>
      </c>
      <c r="AK44" s="141">
        <f>AK$21*shipping_manufacturing!$F$28/100</f>
        <v>0</v>
      </c>
      <c r="AL44" s="141">
        <f>AL$21*shipping_manufacturing!$F$28/100</f>
        <v>0</v>
      </c>
      <c r="AM44" s="141">
        <f>AM$21*shipping_manufacturing!$F$28/100</f>
        <v>0</v>
      </c>
      <c r="AN44" s="141">
        <f>AN$21*shipping_manufacturing!$F$28/100</f>
        <v>0</v>
      </c>
      <c r="AO44" s="141">
        <f>AO$21*shipping_manufacturing!$F$28/100</f>
        <v>0</v>
      </c>
      <c r="AP44" s="141">
        <f>AP$21*shipping_manufacturing!$F$28/100</f>
        <v>0</v>
      </c>
      <c r="AQ44" s="141">
        <f>AQ$21*shipping_manufacturing!$F$28/100</f>
        <v>0</v>
      </c>
      <c r="AR44" s="141">
        <f>AR$21*shipping_manufacturing!$F$28/100</f>
        <v>0</v>
      </c>
      <c r="AS44" s="141">
        <f>AS$21*shipping_manufacturing!$F$28/100</f>
        <v>0</v>
      </c>
      <c r="AT44" s="141">
        <f>AT$21*shipping_manufacturing!$F$28/100</f>
        <v>0</v>
      </c>
      <c r="AU44" s="141">
        <f>AU$21*shipping_manufacturing!$F$28/100</f>
        <v>0</v>
      </c>
      <c r="AV44" s="141">
        <f>AV$21*shipping_manufacturing!$F$28/100</f>
        <v>0</v>
      </c>
      <c r="AW44" s="141">
        <f>AW$21*shipping_manufacturing!$F$28/100</f>
        <v>0</v>
      </c>
      <c r="AX44" s="141">
        <f>AX$21*shipping_manufacturing!$F$28/100</f>
        <v>0</v>
      </c>
      <c r="AY44" s="141">
        <f>AY$21*shipping_manufacturing!$F$28/100</f>
        <v>0</v>
      </c>
    </row>
    <row r="45" spans="1:52" x14ac:dyDescent="0.2">
      <c r="A45" s="130" t="s">
        <v>340</v>
      </c>
      <c r="B45" s="182" t="s">
        <v>342</v>
      </c>
      <c r="C45" s="128"/>
      <c r="D45" s="128">
        <f>D$22*shipping_manufacturing!$G$28/100</f>
        <v>0</v>
      </c>
      <c r="E45" s="128">
        <f>E$22*shipping_manufacturing!$G$28/100</f>
        <v>0</v>
      </c>
      <c r="F45" s="128">
        <f>F$22*shipping_manufacturing!$G$28/100</f>
        <v>0</v>
      </c>
      <c r="G45" s="128">
        <f>G$22*shipping_manufacturing!$G$28/100</f>
        <v>0</v>
      </c>
      <c r="H45" s="128">
        <f>H$22*shipping_manufacturing!$G$28/100</f>
        <v>0</v>
      </c>
      <c r="I45" s="128">
        <f>I$22*shipping_manufacturing!$G$28/100</f>
        <v>0</v>
      </c>
      <c r="J45" s="128">
        <f>J$22*shipping_manufacturing!$G$28/100</f>
        <v>0</v>
      </c>
      <c r="K45" s="128">
        <f>K$22*shipping_manufacturing!$G$28/100</f>
        <v>0</v>
      </c>
      <c r="L45" s="128">
        <f>L$22*shipping_manufacturing!$G$28/100</f>
        <v>0</v>
      </c>
      <c r="M45" s="128">
        <f>M$22*shipping_manufacturing!$G$28/100</f>
        <v>0</v>
      </c>
      <c r="N45" s="128">
        <f>N$22*shipping_manufacturing!$G$28/100</f>
        <v>0</v>
      </c>
      <c r="O45" s="128">
        <f>O$22*shipping_manufacturing!$G$28/100</f>
        <v>0</v>
      </c>
      <c r="P45" s="128">
        <f>P$22*shipping_manufacturing!$G$28/100</f>
        <v>0</v>
      </c>
      <c r="Q45" s="128">
        <f>Q$22*shipping_manufacturing!$G$28/100</f>
        <v>0</v>
      </c>
      <c r="R45" s="128">
        <f>R$22*shipping_manufacturing!$G$28/100</f>
        <v>0</v>
      </c>
      <c r="S45" s="128">
        <f>S$22*shipping_manufacturing!$G$28/100</f>
        <v>0</v>
      </c>
      <c r="T45" s="128">
        <f>T$22*shipping_manufacturing!$G$28/100</f>
        <v>0</v>
      </c>
      <c r="U45" s="128">
        <f>U$22*shipping_manufacturing!$G$28/100</f>
        <v>0</v>
      </c>
      <c r="V45" s="128">
        <f>V$22*shipping_manufacturing!$G$28/100</f>
        <v>0</v>
      </c>
      <c r="W45" s="128">
        <f>W$22*shipping_manufacturing!$G$28/100</f>
        <v>0</v>
      </c>
      <c r="X45" s="128">
        <f>X$22*shipping_manufacturing!$G$28/100</f>
        <v>0</v>
      </c>
      <c r="Y45" s="128">
        <f>Y$22*shipping_manufacturing!$G$28/100</f>
        <v>0</v>
      </c>
      <c r="Z45" s="128">
        <f>Z$22*shipping_manufacturing!$G$28/100</f>
        <v>0</v>
      </c>
      <c r="AA45" s="128">
        <f>AA$22*shipping_manufacturing!$G$28/100</f>
        <v>0</v>
      </c>
      <c r="AB45" s="128">
        <f>AB$22*shipping_manufacturing!$G$28/100</f>
        <v>0</v>
      </c>
      <c r="AC45" s="128">
        <f>AC$22*shipping_manufacturing!$G$28/100</f>
        <v>0</v>
      </c>
      <c r="AD45" s="128">
        <f>AD$22*shipping_manufacturing!$G$28/100</f>
        <v>0</v>
      </c>
      <c r="AE45" s="128">
        <f>AE$22*shipping_manufacturing!$G$28/100</f>
        <v>0</v>
      </c>
      <c r="AF45" s="128">
        <f>AF$22*shipping_manufacturing!$G$28/100</f>
        <v>0</v>
      </c>
      <c r="AG45" s="128">
        <f>AG$22*shipping_manufacturing!$G$28/100</f>
        <v>0</v>
      </c>
      <c r="AH45" s="128">
        <f>AH$22*shipping_manufacturing!$G$28/100</f>
        <v>0</v>
      </c>
      <c r="AI45" s="128">
        <f>AI$22*shipping_manufacturing!$G$28/100</f>
        <v>0</v>
      </c>
      <c r="AJ45" s="128">
        <f>AJ$22*shipping_manufacturing!$G$28/100</f>
        <v>0</v>
      </c>
      <c r="AK45" s="128">
        <f>AK$22*shipping_manufacturing!$G$28/100</f>
        <v>0</v>
      </c>
      <c r="AL45" s="128">
        <f>AL$22*shipping_manufacturing!$G$28/100</f>
        <v>0</v>
      </c>
      <c r="AM45" s="128">
        <f>AM$22*shipping_manufacturing!$G$28/100</f>
        <v>0</v>
      </c>
      <c r="AN45" s="128">
        <f>AN$22*shipping_manufacturing!$G$28/100</f>
        <v>0</v>
      </c>
      <c r="AO45" s="128">
        <f>AO$22*shipping_manufacturing!$G$28/100</f>
        <v>0</v>
      </c>
      <c r="AP45" s="128">
        <f>AP$22*shipping_manufacturing!$G$28/100</f>
        <v>0</v>
      </c>
      <c r="AQ45" s="128">
        <f>AQ$22*shipping_manufacturing!$G$28/100</f>
        <v>0</v>
      </c>
      <c r="AR45" s="128">
        <f>AR$22*shipping_manufacturing!$G$28/100</f>
        <v>0</v>
      </c>
      <c r="AS45" s="128">
        <f>AS$22*shipping_manufacturing!$G$28/100</f>
        <v>0</v>
      </c>
      <c r="AT45" s="128">
        <f>AT$22*shipping_manufacturing!$G$28/100</f>
        <v>0</v>
      </c>
      <c r="AU45" s="128">
        <f>AU$22*shipping_manufacturing!$G$28/100</f>
        <v>0</v>
      </c>
      <c r="AV45" s="128">
        <f>AV$22*shipping_manufacturing!$G$28/100</f>
        <v>0</v>
      </c>
      <c r="AW45" s="128">
        <f>AW$22*shipping_manufacturing!$G$28/100</f>
        <v>0</v>
      </c>
      <c r="AX45" s="128">
        <f>AX$22*shipping_manufacturing!$G$28/100</f>
        <v>0</v>
      </c>
      <c r="AY45" s="128">
        <f>AY$22*shipping_manufacturing!$G$28/100</f>
        <v>0</v>
      </c>
    </row>
    <row r="46" spans="1:52" x14ac:dyDescent="0.2">
      <c r="A46" s="128">
        <v>2339</v>
      </c>
      <c r="B46" s="182" t="s">
        <v>343</v>
      </c>
      <c r="C46" s="128"/>
      <c r="D46" s="128">
        <f>SUM(D44:D45)</f>
        <v>54.892142701720985</v>
      </c>
      <c r="E46" s="128">
        <f t="shared" ref="E46:AY46" si="14">SUM(E44:E45)</f>
        <v>0</v>
      </c>
      <c r="F46" s="128">
        <f t="shared" si="14"/>
        <v>0</v>
      </c>
      <c r="G46" s="128">
        <f t="shared" si="14"/>
        <v>0</v>
      </c>
      <c r="H46" s="128">
        <f t="shared" si="14"/>
        <v>0</v>
      </c>
      <c r="I46" s="128">
        <f t="shared" si="14"/>
        <v>0</v>
      </c>
      <c r="J46" s="128">
        <f t="shared" si="14"/>
        <v>0</v>
      </c>
      <c r="K46" s="128">
        <f t="shared" si="14"/>
        <v>0</v>
      </c>
      <c r="L46" s="128">
        <f t="shared" si="14"/>
        <v>0</v>
      </c>
      <c r="M46" s="128">
        <f t="shared" si="14"/>
        <v>0</v>
      </c>
      <c r="N46" s="128">
        <f t="shared" si="14"/>
        <v>0</v>
      </c>
      <c r="O46" s="128">
        <f t="shared" si="14"/>
        <v>0</v>
      </c>
      <c r="P46" s="128">
        <f t="shared" si="14"/>
        <v>0</v>
      </c>
      <c r="Q46" s="128">
        <f t="shared" si="14"/>
        <v>0</v>
      </c>
      <c r="R46" s="128">
        <f t="shared" si="14"/>
        <v>0</v>
      </c>
      <c r="S46" s="128">
        <f t="shared" si="14"/>
        <v>0</v>
      </c>
      <c r="T46" s="128">
        <f t="shared" si="14"/>
        <v>0</v>
      </c>
      <c r="U46" s="128">
        <f t="shared" si="14"/>
        <v>0</v>
      </c>
      <c r="V46" s="128">
        <f t="shared" si="14"/>
        <v>0</v>
      </c>
      <c r="W46" s="128">
        <f t="shared" si="14"/>
        <v>0</v>
      </c>
      <c r="X46" s="128">
        <f t="shared" si="14"/>
        <v>0</v>
      </c>
      <c r="Y46" s="128">
        <f t="shared" si="14"/>
        <v>0</v>
      </c>
      <c r="Z46" s="128">
        <f t="shared" si="14"/>
        <v>0</v>
      </c>
      <c r="AA46" s="128">
        <f t="shared" si="14"/>
        <v>0</v>
      </c>
      <c r="AB46" s="128">
        <f t="shared" si="14"/>
        <v>0</v>
      </c>
      <c r="AC46" s="128">
        <f t="shared" si="14"/>
        <v>0</v>
      </c>
      <c r="AD46" s="128">
        <f t="shared" si="14"/>
        <v>0</v>
      </c>
      <c r="AE46" s="128">
        <f t="shared" si="14"/>
        <v>0</v>
      </c>
      <c r="AF46" s="128">
        <f t="shared" si="14"/>
        <v>0</v>
      </c>
      <c r="AG46" s="128">
        <f t="shared" si="14"/>
        <v>0</v>
      </c>
      <c r="AH46" s="128">
        <f t="shared" si="14"/>
        <v>0</v>
      </c>
      <c r="AI46" s="128">
        <f t="shared" si="14"/>
        <v>0</v>
      </c>
      <c r="AJ46" s="128">
        <f t="shared" si="14"/>
        <v>0</v>
      </c>
      <c r="AK46" s="128">
        <f t="shared" si="14"/>
        <v>0</v>
      </c>
      <c r="AL46" s="128">
        <f t="shared" si="14"/>
        <v>0</v>
      </c>
      <c r="AM46" s="128">
        <f t="shared" si="14"/>
        <v>0</v>
      </c>
      <c r="AN46" s="128">
        <f t="shared" si="14"/>
        <v>0</v>
      </c>
      <c r="AO46" s="128">
        <f t="shared" si="14"/>
        <v>0</v>
      </c>
      <c r="AP46" s="128">
        <f t="shared" si="14"/>
        <v>0</v>
      </c>
      <c r="AQ46" s="128">
        <f t="shared" si="14"/>
        <v>0</v>
      </c>
      <c r="AR46" s="128">
        <f t="shared" si="14"/>
        <v>0</v>
      </c>
      <c r="AS46" s="128">
        <f t="shared" si="14"/>
        <v>0</v>
      </c>
      <c r="AT46" s="128">
        <f t="shared" si="14"/>
        <v>0</v>
      </c>
      <c r="AU46" s="128">
        <f t="shared" si="14"/>
        <v>0</v>
      </c>
      <c r="AV46" s="128">
        <f t="shared" si="14"/>
        <v>0</v>
      </c>
      <c r="AW46" s="128">
        <f t="shared" si="14"/>
        <v>0</v>
      </c>
      <c r="AX46" s="128">
        <f t="shared" si="14"/>
        <v>0</v>
      </c>
      <c r="AY46" s="128">
        <f t="shared" si="14"/>
        <v>0</v>
      </c>
    </row>
    <row r="47" spans="1:52" x14ac:dyDescent="0.2">
      <c r="A47" s="128"/>
      <c r="B47" s="182" t="s">
        <v>344</v>
      </c>
      <c r="C47" s="128"/>
      <c r="D47" s="128">
        <v>30</v>
      </c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28"/>
      <c r="Z47" s="128"/>
      <c r="AA47" s="128"/>
      <c r="AB47" s="128"/>
      <c r="AC47" s="128"/>
      <c r="AD47" s="128"/>
      <c r="AE47" s="128"/>
      <c r="AF47" s="128"/>
      <c r="AG47" s="128"/>
      <c r="AH47" s="128"/>
      <c r="AI47" s="128"/>
      <c r="AJ47" s="128"/>
      <c r="AK47" s="128"/>
      <c r="AL47" s="128"/>
      <c r="AM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</row>
    <row r="48" spans="1:52" x14ac:dyDescent="0.2">
      <c r="A48" s="128"/>
      <c r="B48" s="182" t="s">
        <v>345</v>
      </c>
      <c r="C48" s="128"/>
      <c r="D48" s="128">
        <v>0</v>
      </c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8"/>
      <c r="AB48" s="128"/>
      <c r="AC48" s="128"/>
      <c r="AD48" s="128"/>
      <c r="AE48" s="128"/>
      <c r="AF48" s="128"/>
      <c r="AG48" s="128"/>
      <c r="AH48" s="128"/>
      <c r="AI48" s="128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</row>
    <row r="49" spans="1:52" x14ac:dyDescent="0.2">
      <c r="A49" s="128"/>
      <c r="B49" s="182" t="s">
        <v>346</v>
      </c>
      <c r="C49" s="128"/>
      <c r="D49" s="128">
        <v>1</v>
      </c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8"/>
      <c r="AB49" s="128"/>
      <c r="AC49" s="128"/>
      <c r="AD49" s="128"/>
      <c r="AE49" s="128"/>
      <c r="AF49" s="128"/>
      <c r="AG49" s="128"/>
      <c r="AH49" s="128"/>
      <c r="AI49" s="128"/>
      <c r="AJ49" s="128"/>
      <c r="AK49" s="128"/>
      <c r="AL49" s="128"/>
      <c r="AM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</row>
    <row r="50" spans="1:52" x14ac:dyDescent="0.2">
      <c r="A50" s="128"/>
      <c r="B50" s="182" t="s">
        <v>347</v>
      </c>
      <c r="C50" s="128"/>
      <c r="D50" s="128">
        <f>D44-D47</f>
        <v>24.892142701720985</v>
      </c>
      <c r="E50" s="128">
        <f t="shared" ref="E50:AY50" si="15">E44-E47</f>
        <v>0</v>
      </c>
      <c r="F50" s="128">
        <f t="shared" si="15"/>
        <v>0</v>
      </c>
      <c r="G50" s="128">
        <f t="shared" si="15"/>
        <v>0</v>
      </c>
      <c r="H50" s="128">
        <f t="shared" si="15"/>
        <v>0</v>
      </c>
      <c r="I50" s="128">
        <f t="shared" si="15"/>
        <v>0</v>
      </c>
      <c r="J50" s="128">
        <f t="shared" si="15"/>
        <v>0</v>
      </c>
      <c r="K50" s="128">
        <f t="shared" si="15"/>
        <v>0</v>
      </c>
      <c r="L50" s="128">
        <f t="shared" si="15"/>
        <v>0</v>
      </c>
      <c r="M50" s="128">
        <f t="shared" si="15"/>
        <v>0</v>
      </c>
      <c r="N50" s="128">
        <f t="shared" si="15"/>
        <v>0</v>
      </c>
      <c r="O50" s="128">
        <f t="shared" si="15"/>
        <v>0</v>
      </c>
      <c r="P50" s="128">
        <f t="shared" si="15"/>
        <v>0</v>
      </c>
      <c r="Q50" s="128">
        <f t="shared" si="15"/>
        <v>0</v>
      </c>
      <c r="R50" s="128">
        <f t="shared" si="15"/>
        <v>0</v>
      </c>
      <c r="S50" s="128">
        <f t="shared" si="15"/>
        <v>0</v>
      </c>
      <c r="T50" s="128">
        <f t="shared" si="15"/>
        <v>0</v>
      </c>
      <c r="U50" s="128">
        <f t="shared" si="15"/>
        <v>0</v>
      </c>
      <c r="V50" s="128">
        <f t="shared" si="15"/>
        <v>0</v>
      </c>
      <c r="W50" s="128">
        <f t="shared" si="15"/>
        <v>0</v>
      </c>
      <c r="X50" s="128">
        <f t="shared" si="15"/>
        <v>0</v>
      </c>
      <c r="Y50" s="128">
        <f t="shared" si="15"/>
        <v>0</v>
      </c>
      <c r="Z50" s="128">
        <f t="shared" si="15"/>
        <v>0</v>
      </c>
      <c r="AA50" s="128">
        <f t="shared" si="15"/>
        <v>0</v>
      </c>
      <c r="AB50" s="128">
        <f t="shared" si="15"/>
        <v>0</v>
      </c>
      <c r="AC50" s="128">
        <f t="shared" si="15"/>
        <v>0</v>
      </c>
      <c r="AD50" s="128">
        <f t="shared" si="15"/>
        <v>0</v>
      </c>
      <c r="AE50" s="128">
        <f t="shared" si="15"/>
        <v>0</v>
      </c>
      <c r="AF50" s="128">
        <f t="shared" si="15"/>
        <v>0</v>
      </c>
      <c r="AG50" s="128">
        <f t="shared" si="15"/>
        <v>0</v>
      </c>
      <c r="AH50" s="128">
        <f t="shared" si="15"/>
        <v>0</v>
      </c>
      <c r="AI50" s="128">
        <f t="shared" si="15"/>
        <v>0</v>
      </c>
      <c r="AJ50" s="128">
        <f t="shared" si="15"/>
        <v>0</v>
      </c>
      <c r="AK50" s="128">
        <f t="shared" si="15"/>
        <v>0</v>
      </c>
      <c r="AL50" s="128">
        <f t="shared" si="15"/>
        <v>0</v>
      </c>
      <c r="AM50" s="128">
        <f t="shared" si="15"/>
        <v>0</v>
      </c>
      <c r="AN50" s="128">
        <f t="shared" si="15"/>
        <v>0</v>
      </c>
      <c r="AO50" s="128">
        <f t="shared" si="15"/>
        <v>0</v>
      </c>
      <c r="AP50" s="128">
        <f t="shared" si="15"/>
        <v>0</v>
      </c>
      <c r="AQ50" s="128">
        <f t="shared" si="15"/>
        <v>0</v>
      </c>
      <c r="AR50" s="128">
        <f t="shared" si="15"/>
        <v>0</v>
      </c>
      <c r="AS50" s="128">
        <f t="shared" si="15"/>
        <v>0</v>
      </c>
      <c r="AT50" s="128">
        <f t="shared" si="15"/>
        <v>0</v>
      </c>
      <c r="AU50" s="128">
        <f t="shared" si="15"/>
        <v>0</v>
      </c>
      <c r="AV50" s="128">
        <f t="shared" si="15"/>
        <v>0</v>
      </c>
      <c r="AW50" s="128">
        <f t="shared" si="15"/>
        <v>0</v>
      </c>
      <c r="AX50" s="128">
        <f t="shared" si="15"/>
        <v>0</v>
      </c>
      <c r="AY50" s="128">
        <f t="shared" si="15"/>
        <v>0</v>
      </c>
    </row>
    <row r="51" spans="1:52" x14ac:dyDescent="0.2">
      <c r="A51" s="128"/>
      <c r="B51" s="182" t="s">
        <v>348</v>
      </c>
      <c r="C51" s="128"/>
      <c r="D51" s="128">
        <f>D45-D48</f>
        <v>0</v>
      </c>
      <c r="E51" s="128">
        <f t="shared" ref="E51:AY51" si="16">E45-E48</f>
        <v>0</v>
      </c>
      <c r="F51" s="128">
        <f t="shared" si="16"/>
        <v>0</v>
      </c>
      <c r="G51" s="128">
        <f t="shared" si="16"/>
        <v>0</v>
      </c>
      <c r="H51" s="128">
        <f t="shared" si="16"/>
        <v>0</v>
      </c>
      <c r="I51" s="128">
        <f t="shared" si="16"/>
        <v>0</v>
      </c>
      <c r="J51" s="128">
        <f t="shared" si="16"/>
        <v>0</v>
      </c>
      <c r="K51" s="128">
        <f t="shared" si="16"/>
        <v>0</v>
      </c>
      <c r="L51" s="128">
        <f t="shared" si="16"/>
        <v>0</v>
      </c>
      <c r="M51" s="128">
        <f t="shared" si="16"/>
        <v>0</v>
      </c>
      <c r="N51" s="128">
        <f t="shared" si="16"/>
        <v>0</v>
      </c>
      <c r="O51" s="128">
        <f t="shared" si="16"/>
        <v>0</v>
      </c>
      <c r="P51" s="128">
        <f t="shared" si="16"/>
        <v>0</v>
      </c>
      <c r="Q51" s="128">
        <f t="shared" si="16"/>
        <v>0</v>
      </c>
      <c r="R51" s="128">
        <f t="shared" si="16"/>
        <v>0</v>
      </c>
      <c r="S51" s="128">
        <f t="shared" si="16"/>
        <v>0</v>
      </c>
      <c r="T51" s="128">
        <f t="shared" si="16"/>
        <v>0</v>
      </c>
      <c r="U51" s="128">
        <f t="shared" si="16"/>
        <v>0</v>
      </c>
      <c r="V51" s="128">
        <f t="shared" si="16"/>
        <v>0</v>
      </c>
      <c r="W51" s="128">
        <f t="shared" si="16"/>
        <v>0</v>
      </c>
      <c r="X51" s="128">
        <f t="shared" si="16"/>
        <v>0</v>
      </c>
      <c r="Y51" s="128">
        <f t="shared" si="16"/>
        <v>0</v>
      </c>
      <c r="Z51" s="128">
        <f t="shared" si="16"/>
        <v>0</v>
      </c>
      <c r="AA51" s="128">
        <f t="shared" si="16"/>
        <v>0</v>
      </c>
      <c r="AB51" s="128">
        <f t="shared" si="16"/>
        <v>0</v>
      </c>
      <c r="AC51" s="128">
        <f t="shared" si="16"/>
        <v>0</v>
      </c>
      <c r="AD51" s="128">
        <f t="shared" si="16"/>
        <v>0</v>
      </c>
      <c r="AE51" s="128">
        <f t="shared" si="16"/>
        <v>0</v>
      </c>
      <c r="AF51" s="128">
        <f t="shared" si="16"/>
        <v>0</v>
      </c>
      <c r="AG51" s="128">
        <f t="shared" si="16"/>
        <v>0</v>
      </c>
      <c r="AH51" s="128">
        <f t="shared" si="16"/>
        <v>0</v>
      </c>
      <c r="AI51" s="128">
        <f t="shared" si="16"/>
        <v>0</v>
      </c>
      <c r="AJ51" s="128">
        <f t="shared" si="16"/>
        <v>0</v>
      </c>
      <c r="AK51" s="128">
        <f t="shared" si="16"/>
        <v>0</v>
      </c>
      <c r="AL51" s="128">
        <f t="shared" si="16"/>
        <v>0</v>
      </c>
      <c r="AM51" s="128">
        <f t="shared" si="16"/>
        <v>0</v>
      </c>
      <c r="AN51" s="128">
        <f t="shared" si="16"/>
        <v>0</v>
      </c>
      <c r="AO51" s="128">
        <f t="shared" si="16"/>
        <v>0</v>
      </c>
      <c r="AP51" s="128">
        <f t="shared" si="16"/>
        <v>0</v>
      </c>
      <c r="AQ51" s="128">
        <f t="shared" si="16"/>
        <v>0</v>
      </c>
      <c r="AR51" s="128">
        <f t="shared" si="16"/>
        <v>0</v>
      </c>
      <c r="AS51" s="128">
        <f t="shared" si="16"/>
        <v>0</v>
      </c>
      <c r="AT51" s="128">
        <f t="shared" si="16"/>
        <v>0</v>
      </c>
      <c r="AU51" s="128">
        <f t="shared" si="16"/>
        <v>0</v>
      </c>
      <c r="AV51" s="128">
        <f t="shared" si="16"/>
        <v>0</v>
      </c>
      <c r="AW51" s="128">
        <f t="shared" si="16"/>
        <v>0</v>
      </c>
      <c r="AX51" s="128">
        <f t="shared" si="16"/>
        <v>0</v>
      </c>
      <c r="AY51" s="128">
        <f t="shared" si="16"/>
        <v>0</v>
      </c>
    </row>
    <row r="52" spans="1:52" x14ac:dyDescent="0.2">
      <c r="A52" s="128"/>
      <c r="B52" s="182" t="s">
        <v>349</v>
      </c>
      <c r="C52" s="128"/>
      <c r="D52" s="128">
        <v>2</v>
      </c>
      <c r="E52" s="128">
        <v>4</v>
      </c>
      <c r="F52" s="128">
        <v>2</v>
      </c>
      <c r="G52" s="128">
        <v>3</v>
      </c>
      <c r="H52" s="128">
        <v>2</v>
      </c>
      <c r="I52" s="128">
        <v>3</v>
      </c>
      <c r="J52" s="128">
        <v>3</v>
      </c>
      <c r="K52" s="128">
        <v>3</v>
      </c>
      <c r="L52" s="128">
        <v>2</v>
      </c>
      <c r="M52" s="128">
        <v>2</v>
      </c>
      <c r="N52" s="128">
        <v>3</v>
      </c>
      <c r="O52" s="128">
        <v>2</v>
      </c>
      <c r="P52" s="128">
        <v>3</v>
      </c>
      <c r="Q52" s="128">
        <v>2</v>
      </c>
      <c r="R52" s="128">
        <v>3</v>
      </c>
      <c r="S52" s="128">
        <v>3</v>
      </c>
      <c r="T52" s="128">
        <v>2</v>
      </c>
      <c r="U52" s="128">
        <v>4</v>
      </c>
      <c r="V52" s="128">
        <v>2</v>
      </c>
      <c r="W52" s="128">
        <v>2</v>
      </c>
      <c r="X52" s="128">
        <v>3</v>
      </c>
      <c r="Y52" s="128">
        <v>3</v>
      </c>
      <c r="Z52" s="128">
        <v>2</v>
      </c>
      <c r="AA52" s="128">
        <v>2</v>
      </c>
      <c r="AB52" s="128">
        <v>2</v>
      </c>
      <c r="AC52" s="128">
        <v>3</v>
      </c>
      <c r="AD52" s="128">
        <v>2</v>
      </c>
      <c r="AE52" s="128">
        <v>3</v>
      </c>
      <c r="AF52" s="128">
        <v>2</v>
      </c>
      <c r="AG52" s="128">
        <v>2</v>
      </c>
      <c r="AH52" s="128">
        <v>2</v>
      </c>
      <c r="AI52" s="128">
        <v>3</v>
      </c>
      <c r="AJ52" s="128">
        <v>2</v>
      </c>
      <c r="AK52" s="128">
        <v>2</v>
      </c>
      <c r="AL52" s="128">
        <v>3</v>
      </c>
      <c r="AM52" s="128">
        <v>3</v>
      </c>
      <c r="AN52" s="128">
        <v>2</v>
      </c>
      <c r="AO52" s="128">
        <v>2</v>
      </c>
      <c r="AP52" s="128">
        <v>3</v>
      </c>
      <c r="AQ52" s="128">
        <v>2</v>
      </c>
      <c r="AR52" s="128">
        <v>2</v>
      </c>
      <c r="AS52" s="128">
        <v>2</v>
      </c>
      <c r="AT52" s="128">
        <v>2</v>
      </c>
      <c r="AU52" s="128">
        <v>2</v>
      </c>
      <c r="AV52" s="128">
        <v>2</v>
      </c>
      <c r="AW52" s="128">
        <v>2</v>
      </c>
      <c r="AX52" s="128">
        <v>2</v>
      </c>
      <c r="AY52" s="128">
        <v>2</v>
      </c>
    </row>
    <row r="53" spans="1:52" x14ac:dyDescent="0.2">
      <c r="A53" s="128"/>
      <c r="B53" s="193" t="s">
        <v>350</v>
      </c>
      <c r="C53" s="128"/>
      <c r="D53" s="128">
        <v>84204</v>
      </c>
      <c r="E53" s="128">
        <v>0</v>
      </c>
      <c r="F53" s="128">
        <v>0</v>
      </c>
      <c r="G53" s="128">
        <v>0</v>
      </c>
      <c r="H53" s="128">
        <v>0</v>
      </c>
      <c r="I53" s="128">
        <v>0</v>
      </c>
      <c r="J53" s="128">
        <v>0</v>
      </c>
      <c r="K53" s="128">
        <v>0</v>
      </c>
      <c r="L53" s="128">
        <v>0</v>
      </c>
      <c r="M53" s="128">
        <v>0</v>
      </c>
      <c r="N53" s="128">
        <v>0</v>
      </c>
      <c r="O53" s="128">
        <v>0</v>
      </c>
      <c r="P53" s="128">
        <v>0</v>
      </c>
      <c r="Q53" s="128">
        <v>0</v>
      </c>
      <c r="R53" s="128">
        <v>0</v>
      </c>
      <c r="S53" s="128">
        <v>0</v>
      </c>
      <c r="T53" s="128">
        <v>0</v>
      </c>
      <c r="U53" s="128">
        <v>0</v>
      </c>
      <c r="V53" s="128">
        <v>0</v>
      </c>
      <c r="W53" s="128">
        <v>0</v>
      </c>
      <c r="X53" s="128">
        <v>0</v>
      </c>
      <c r="Y53" s="128">
        <v>0</v>
      </c>
      <c r="Z53" s="128">
        <v>0</v>
      </c>
      <c r="AA53" s="128">
        <v>0</v>
      </c>
      <c r="AB53" s="128">
        <v>0</v>
      </c>
      <c r="AC53" s="128">
        <v>0</v>
      </c>
      <c r="AD53" s="128">
        <v>0</v>
      </c>
      <c r="AE53" s="128">
        <v>0</v>
      </c>
      <c r="AF53" s="128">
        <v>0</v>
      </c>
      <c r="AG53" s="128">
        <v>0</v>
      </c>
      <c r="AH53" s="128">
        <v>0</v>
      </c>
      <c r="AI53" s="128">
        <v>0</v>
      </c>
      <c r="AJ53" s="128">
        <v>0</v>
      </c>
      <c r="AK53" s="128">
        <v>0</v>
      </c>
      <c r="AL53" s="128">
        <v>0</v>
      </c>
      <c r="AM53" s="128">
        <v>0</v>
      </c>
      <c r="AN53" s="128">
        <v>0</v>
      </c>
      <c r="AO53" s="128">
        <v>0</v>
      </c>
      <c r="AP53" s="128">
        <v>0</v>
      </c>
      <c r="AQ53" s="128">
        <v>0</v>
      </c>
      <c r="AR53" s="128">
        <v>0</v>
      </c>
      <c r="AS53" s="128">
        <v>0</v>
      </c>
      <c r="AT53" s="128">
        <v>0</v>
      </c>
      <c r="AU53" s="128">
        <v>0</v>
      </c>
      <c r="AV53" s="128">
        <v>0</v>
      </c>
      <c r="AW53" s="128">
        <v>0</v>
      </c>
      <c r="AX53" s="128">
        <v>0</v>
      </c>
      <c r="AY53" s="128">
        <v>0</v>
      </c>
      <c r="AZ53">
        <f>SUM($D$53:$AY$53)</f>
        <v>84204</v>
      </c>
    </row>
    <row r="54" spans="1:52" x14ac:dyDescent="0.2">
      <c r="A54" s="142"/>
      <c r="B54" s="157" t="s">
        <v>351</v>
      </c>
      <c r="C54" s="142"/>
      <c r="D54" s="142">
        <v>37844.769156561502</v>
      </c>
      <c r="E54" s="142">
        <v>0</v>
      </c>
      <c r="F54" s="142">
        <v>0</v>
      </c>
      <c r="G54" s="142">
        <v>0</v>
      </c>
      <c r="H54" s="142">
        <v>0</v>
      </c>
      <c r="I54" s="142">
        <v>0</v>
      </c>
      <c r="J54" s="142">
        <v>0</v>
      </c>
      <c r="K54" s="142">
        <v>0</v>
      </c>
      <c r="L54" s="142">
        <v>0</v>
      </c>
      <c r="M54" s="142">
        <v>0</v>
      </c>
      <c r="N54" s="142">
        <v>0</v>
      </c>
      <c r="O54" s="142">
        <v>0</v>
      </c>
      <c r="P54" s="142">
        <v>0</v>
      </c>
      <c r="Q54" s="142">
        <v>0</v>
      </c>
      <c r="R54" s="142">
        <v>0</v>
      </c>
      <c r="S54" s="142">
        <v>0</v>
      </c>
      <c r="T54" s="142">
        <v>0</v>
      </c>
      <c r="U54" s="142">
        <v>0</v>
      </c>
      <c r="V54" s="142">
        <v>0</v>
      </c>
      <c r="W54" s="142">
        <v>0</v>
      </c>
      <c r="X54" s="142">
        <v>0</v>
      </c>
      <c r="Y54" s="142">
        <v>0</v>
      </c>
      <c r="Z54" s="142">
        <v>0</v>
      </c>
      <c r="AA54" s="142">
        <v>0</v>
      </c>
      <c r="AB54" s="142">
        <v>0</v>
      </c>
      <c r="AC54" s="142">
        <v>0</v>
      </c>
      <c r="AD54" s="142">
        <v>0</v>
      </c>
      <c r="AE54" s="142">
        <v>0</v>
      </c>
      <c r="AF54" s="142">
        <v>0</v>
      </c>
      <c r="AG54" s="142">
        <v>0</v>
      </c>
      <c r="AH54" s="142">
        <v>0</v>
      </c>
      <c r="AI54" s="142">
        <v>0</v>
      </c>
      <c r="AJ54" s="142">
        <v>0</v>
      </c>
      <c r="AK54" s="142">
        <v>0</v>
      </c>
      <c r="AL54" s="142">
        <v>0</v>
      </c>
      <c r="AM54" s="142">
        <v>0</v>
      </c>
      <c r="AN54" s="142">
        <v>0</v>
      </c>
      <c r="AO54" s="142">
        <v>0</v>
      </c>
      <c r="AP54" s="142">
        <v>0</v>
      </c>
      <c r="AQ54" s="142">
        <v>0</v>
      </c>
      <c r="AR54" s="142">
        <v>0</v>
      </c>
      <c r="AS54" s="142">
        <v>0</v>
      </c>
      <c r="AT54" s="142">
        <v>0</v>
      </c>
      <c r="AU54" s="142">
        <v>0</v>
      </c>
      <c r="AV54" s="142">
        <v>0</v>
      </c>
      <c r="AW54" s="142">
        <v>0</v>
      </c>
      <c r="AX54" s="142">
        <v>0</v>
      </c>
      <c r="AY54" s="142">
        <v>0</v>
      </c>
      <c r="AZ54">
        <f>SUM($D$54:$AY$54)</f>
        <v>37844.769156561502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5" t="s">
        <v>12</v>
      </c>
      <c r="E2" s="128"/>
    </row>
    <row r="3" spans="1:52" x14ac:dyDescent="0.2">
      <c r="A3" t="s">
        <v>286</v>
      </c>
      <c r="B3" s="125">
        <v>3853</v>
      </c>
      <c r="E3" s="128"/>
    </row>
    <row r="4" spans="1:52" x14ac:dyDescent="0.2">
      <c r="A4" s="1"/>
      <c r="C4" s="9" t="s">
        <v>287</v>
      </c>
    </row>
    <row r="5" spans="1:52" x14ac:dyDescent="0.2">
      <c r="B5" s="124"/>
      <c r="C5" s="129">
        <v>0</v>
      </c>
      <c r="D5" s="129">
        <v>1</v>
      </c>
      <c r="E5" s="129">
        <v>2</v>
      </c>
      <c r="F5" s="129">
        <v>3</v>
      </c>
      <c r="G5" s="129">
        <v>4</v>
      </c>
      <c r="H5" s="129">
        <v>5</v>
      </c>
      <c r="I5" s="129">
        <v>6</v>
      </c>
      <c r="J5" s="129">
        <v>7</v>
      </c>
      <c r="K5" s="129">
        <v>8</v>
      </c>
      <c r="L5" s="129">
        <v>9</v>
      </c>
      <c r="M5" s="129">
        <v>10</v>
      </c>
      <c r="N5" s="129">
        <v>11</v>
      </c>
      <c r="O5" s="129">
        <v>12</v>
      </c>
      <c r="P5" s="129">
        <v>13</v>
      </c>
      <c r="Q5" s="129">
        <v>14</v>
      </c>
      <c r="R5" s="129">
        <v>15</v>
      </c>
      <c r="S5" s="129">
        <v>16</v>
      </c>
      <c r="T5" s="129">
        <v>17</v>
      </c>
      <c r="U5" s="129">
        <v>18</v>
      </c>
      <c r="V5" s="129">
        <v>19</v>
      </c>
      <c r="W5" s="129">
        <v>20</v>
      </c>
      <c r="X5" s="129">
        <v>21</v>
      </c>
      <c r="Y5" s="129">
        <v>22</v>
      </c>
      <c r="Z5" s="129">
        <v>23</v>
      </c>
      <c r="AA5" s="129">
        <v>24</v>
      </c>
      <c r="AB5" s="129">
        <v>25</v>
      </c>
      <c r="AC5" s="129">
        <v>26</v>
      </c>
      <c r="AD5" s="129">
        <v>27</v>
      </c>
      <c r="AE5" s="129">
        <v>28</v>
      </c>
      <c r="AF5" s="129">
        <v>29</v>
      </c>
      <c r="AG5" s="129">
        <v>30</v>
      </c>
      <c r="AH5" s="129">
        <v>31</v>
      </c>
      <c r="AI5" s="129">
        <v>32</v>
      </c>
      <c r="AJ5" s="129">
        <v>33</v>
      </c>
      <c r="AK5" s="129">
        <v>34</v>
      </c>
      <c r="AL5" s="129">
        <v>35</v>
      </c>
      <c r="AM5" s="129">
        <v>36</v>
      </c>
      <c r="AN5" s="129">
        <v>37</v>
      </c>
      <c r="AO5" s="129">
        <v>38</v>
      </c>
      <c r="AP5" s="129">
        <v>39</v>
      </c>
      <c r="AQ5" s="129">
        <v>40</v>
      </c>
      <c r="AR5" s="129">
        <v>41</v>
      </c>
      <c r="AS5" s="129">
        <v>42</v>
      </c>
      <c r="AT5" s="129">
        <v>43</v>
      </c>
      <c r="AU5" s="129">
        <v>44</v>
      </c>
      <c r="AV5" s="129">
        <v>45</v>
      </c>
      <c r="AW5" s="129">
        <v>46</v>
      </c>
      <c r="AX5" s="129">
        <v>47</v>
      </c>
      <c r="AY5" s="129">
        <v>48</v>
      </c>
    </row>
    <row r="6" spans="1:52" x14ac:dyDescent="0.2">
      <c r="A6" s="1" t="s">
        <v>304</v>
      </c>
      <c r="B6" s="131"/>
      <c r="C6" s="130" t="s">
        <v>288</v>
      </c>
      <c r="D6" s="129" t="s">
        <v>289</v>
      </c>
      <c r="E6" s="129" t="s">
        <v>289</v>
      </c>
      <c r="F6" s="129" t="s">
        <v>289</v>
      </c>
      <c r="G6" s="129" t="s">
        <v>289</v>
      </c>
      <c r="H6" s="129" t="s">
        <v>289</v>
      </c>
      <c r="I6" s="129" t="s">
        <v>289</v>
      </c>
      <c r="J6" s="129" t="s">
        <v>289</v>
      </c>
      <c r="K6" s="129" t="s">
        <v>289</v>
      </c>
      <c r="L6" s="129" t="s">
        <v>289</v>
      </c>
      <c r="M6" s="129" t="s">
        <v>289</v>
      </c>
      <c r="N6" s="129" t="s">
        <v>289</v>
      </c>
      <c r="O6" s="129" t="s">
        <v>289</v>
      </c>
      <c r="P6" s="129" t="s">
        <v>289</v>
      </c>
      <c r="Q6" s="129" t="s">
        <v>289</v>
      </c>
      <c r="R6" s="129" t="s">
        <v>289</v>
      </c>
      <c r="S6" s="129" t="s">
        <v>289</v>
      </c>
      <c r="T6" s="129" t="s">
        <v>289</v>
      </c>
      <c r="U6" s="129" t="s">
        <v>289</v>
      </c>
      <c r="V6" s="129" t="s">
        <v>289</v>
      </c>
      <c r="W6" s="129" t="s">
        <v>289</v>
      </c>
      <c r="X6" s="129" t="s">
        <v>289</v>
      </c>
      <c r="Y6" s="129" t="s">
        <v>289</v>
      </c>
      <c r="Z6" s="129" t="s">
        <v>289</v>
      </c>
      <c r="AA6" s="129" t="s">
        <v>289</v>
      </c>
      <c r="AB6" s="129" t="s">
        <v>289</v>
      </c>
      <c r="AC6" s="129" t="s">
        <v>289</v>
      </c>
      <c r="AD6" s="129" t="s">
        <v>289</v>
      </c>
      <c r="AE6" s="129" t="s">
        <v>289</v>
      </c>
      <c r="AF6" s="129" t="s">
        <v>289</v>
      </c>
      <c r="AG6" s="129" t="s">
        <v>289</v>
      </c>
      <c r="AH6" s="129" t="s">
        <v>289</v>
      </c>
      <c r="AI6" s="129" t="s">
        <v>289</v>
      </c>
      <c r="AJ6" s="129" t="s">
        <v>289</v>
      </c>
      <c r="AK6" s="129" t="s">
        <v>289</v>
      </c>
      <c r="AL6" s="129" t="s">
        <v>289</v>
      </c>
      <c r="AM6" s="129" t="s">
        <v>289</v>
      </c>
      <c r="AN6" s="129" t="s">
        <v>289</v>
      </c>
      <c r="AO6" s="129" t="s">
        <v>289</v>
      </c>
      <c r="AP6" s="129" t="s">
        <v>289</v>
      </c>
      <c r="AQ6" s="129" t="s">
        <v>289</v>
      </c>
      <c r="AR6" s="129" t="s">
        <v>289</v>
      </c>
      <c r="AS6" s="129" t="s">
        <v>289</v>
      </c>
      <c r="AT6" s="129" t="s">
        <v>289</v>
      </c>
      <c r="AU6" s="129" t="s">
        <v>289</v>
      </c>
      <c r="AV6" s="129" t="s">
        <v>289</v>
      </c>
      <c r="AW6" s="129" t="s">
        <v>289</v>
      </c>
      <c r="AX6" s="129" t="s">
        <v>289</v>
      </c>
      <c r="AY6" s="9" t="s">
        <v>290</v>
      </c>
      <c r="AZ6" s="159" t="s">
        <v>150</v>
      </c>
    </row>
    <row r="7" spans="1:52" x14ac:dyDescent="0.2">
      <c r="A7" s="132" t="s">
        <v>125</v>
      </c>
      <c r="B7" s="160">
        <v>1</v>
      </c>
      <c r="C7" s="161" t="s">
        <v>293</v>
      </c>
      <c r="D7" s="161">
        <v>1325.5489045897211</v>
      </c>
      <c r="E7" s="161">
        <v>1325.5489045897211</v>
      </c>
      <c r="F7" s="161">
        <v>1325.5489045897211</v>
      </c>
      <c r="G7" s="161">
        <v>1325.5489045897211</v>
      </c>
      <c r="H7" s="161">
        <v>1325.5489045897211</v>
      </c>
      <c r="I7" s="161">
        <v>1325.5489045897211</v>
      </c>
      <c r="J7" s="161">
        <v>1325.5489045897211</v>
      </c>
      <c r="K7" s="161">
        <v>1325.5489045897211</v>
      </c>
      <c r="L7" s="161">
        <v>1325.5489045897211</v>
      </c>
      <c r="M7" s="161">
        <v>1325.5489045897211</v>
      </c>
      <c r="N7" s="161">
        <v>1325.5489045897211</v>
      </c>
      <c r="O7" s="161">
        <v>1325.5489045897211</v>
      </c>
      <c r="P7" s="161">
        <v>1325.5489045897211</v>
      </c>
      <c r="Q7" s="161">
        <v>1325.5489045897211</v>
      </c>
      <c r="R7" s="161">
        <v>1325.5489045897211</v>
      </c>
      <c r="S7" s="161">
        <v>1325.5489045897211</v>
      </c>
      <c r="T7" s="161">
        <v>1325.5489045897211</v>
      </c>
      <c r="U7" s="161">
        <v>1325.5489045897211</v>
      </c>
      <c r="V7" s="161">
        <v>1325.5489045897211</v>
      </c>
      <c r="W7" s="161">
        <v>1325.5489045897211</v>
      </c>
      <c r="X7" s="161">
        <v>1325.5489045897211</v>
      </c>
      <c r="Y7" s="161">
        <v>1325.5489045897211</v>
      </c>
      <c r="Z7" s="161">
        <v>1325.5489045897211</v>
      </c>
      <c r="AA7" s="161">
        <v>1325.5489045897211</v>
      </c>
      <c r="AB7" s="161">
        <v>1325.5489045897211</v>
      </c>
      <c r="AC7" s="161">
        <v>1325.5489045897211</v>
      </c>
      <c r="AD7" s="161">
        <v>1325.5489045897211</v>
      </c>
      <c r="AE7" s="161">
        <v>1325.5489045897211</v>
      </c>
      <c r="AF7" s="161">
        <v>1325.5489045897211</v>
      </c>
      <c r="AG7" s="161">
        <v>1325.5489045897211</v>
      </c>
      <c r="AH7" s="161">
        <v>1325.5489045897211</v>
      </c>
      <c r="AI7" s="161">
        <v>1325.5489045897211</v>
      </c>
      <c r="AJ7" s="161">
        <v>1325.5489045897211</v>
      </c>
      <c r="AK7" s="161">
        <v>1325.5489045897211</v>
      </c>
      <c r="AL7" s="161">
        <v>1325.5489045897211</v>
      </c>
      <c r="AM7" s="161">
        <v>1325.5489045897211</v>
      </c>
      <c r="AN7" s="161">
        <v>1325.5489045897211</v>
      </c>
      <c r="AO7" s="161">
        <v>1325.5489045897211</v>
      </c>
      <c r="AP7" s="161">
        <v>1325.5489045897211</v>
      </c>
      <c r="AQ7" s="161">
        <v>1325.5489045897211</v>
      </c>
      <c r="AR7" s="161">
        <v>1325.5489045897211</v>
      </c>
      <c r="AS7" s="161">
        <v>1325.5489045897211</v>
      </c>
      <c r="AT7" s="161">
        <v>1325.5489045897211</v>
      </c>
      <c r="AU7" s="161">
        <v>1325.5489045897211</v>
      </c>
      <c r="AV7" s="161">
        <v>1325.5489045897211</v>
      </c>
      <c r="AW7" s="161">
        <v>1325.5489045897211</v>
      </c>
      <c r="AX7" s="161">
        <v>1325.5489045897211</v>
      </c>
      <c r="AY7" s="161">
        <v>1325.5489045897211</v>
      </c>
      <c r="AZ7" s="124"/>
    </row>
    <row r="8" spans="1:52" x14ac:dyDescent="0.2">
      <c r="A8" s="162"/>
      <c r="B8" s="163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2"/>
      <c r="AE8" s="162"/>
      <c r="AF8" s="162"/>
      <c r="AG8" s="162"/>
      <c r="AH8" s="162"/>
      <c r="AI8" s="162"/>
      <c r="AJ8" s="162"/>
      <c r="AK8" s="162"/>
      <c r="AL8" s="162"/>
      <c r="AM8" s="162"/>
      <c r="AN8" s="162"/>
      <c r="AO8" s="162"/>
      <c r="AP8" s="162"/>
      <c r="AQ8" s="162"/>
      <c r="AR8" s="162"/>
      <c r="AS8" s="162"/>
      <c r="AT8" s="162"/>
      <c r="AU8" s="162"/>
      <c r="AV8" s="162"/>
      <c r="AW8" s="162"/>
      <c r="AX8" s="162"/>
      <c r="AY8" s="162"/>
      <c r="AZ8" s="164"/>
    </row>
    <row r="9" spans="1:52" x14ac:dyDescent="0.2">
      <c r="A9" s="1" t="s">
        <v>294</v>
      </c>
      <c r="B9" s="165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  <c r="AB9" s="124"/>
      <c r="AC9" s="124"/>
      <c r="AD9" s="124"/>
      <c r="AE9" s="124"/>
      <c r="AF9" s="124"/>
      <c r="AG9" s="124"/>
      <c r="AH9" s="124"/>
      <c r="AI9" s="124"/>
      <c r="AJ9" s="124"/>
      <c r="AK9" s="124"/>
      <c r="AL9" s="124"/>
      <c r="AM9" s="124"/>
      <c r="AN9" s="124"/>
      <c r="AO9" s="124"/>
      <c r="AP9" s="124"/>
      <c r="AQ9" s="124"/>
      <c r="AR9" s="124"/>
      <c r="AS9" s="124"/>
      <c r="AT9" s="124"/>
      <c r="AU9" s="124"/>
      <c r="AV9" s="124"/>
      <c r="AW9" s="124"/>
      <c r="AX9" s="124"/>
      <c r="AY9" s="124"/>
      <c r="AZ9" s="124"/>
    </row>
    <row r="10" spans="1:52" x14ac:dyDescent="0.2">
      <c r="A10" s="166" t="s">
        <v>125</v>
      </c>
      <c r="B10" s="167">
        <v>1</v>
      </c>
      <c r="C10" s="161" t="s">
        <v>293</v>
      </c>
      <c r="D10" s="161">
        <f t="shared" ref="D10:AY10" si="0">MAX(SUM(D$14:D$16)+D$7-$B$3,0)</f>
        <v>0</v>
      </c>
      <c r="E10" s="161">
        <f t="shared" si="0"/>
        <v>0</v>
      </c>
      <c r="F10" s="161">
        <f t="shared" si="0"/>
        <v>0</v>
      </c>
      <c r="G10" s="161">
        <f t="shared" si="0"/>
        <v>0</v>
      </c>
      <c r="H10" s="161">
        <f t="shared" si="0"/>
        <v>0</v>
      </c>
      <c r="I10" s="161">
        <f t="shared" si="0"/>
        <v>0</v>
      </c>
      <c r="J10" s="161">
        <f t="shared" si="0"/>
        <v>0</v>
      </c>
      <c r="K10" s="161">
        <f t="shared" si="0"/>
        <v>0</v>
      </c>
      <c r="L10" s="161">
        <f t="shared" si="0"/>
        <v>0</v>
      </c>
      <c r="M10" s="161">
        <f t="shared" si="0"/>
        <v>0</v>
      </c>
      <c r="N10" s="161">
        <f t="shared" si="0"/>
        <v>0</v>
      </c>
      <c r="O10" s="161">
        <f t="shared" si="0"/>
        <v>0</v>
      </c>
      <c r="P10" s="161">
        <f t="shared" si="0"/>
        <v>0</v>
      </c>
      <c r="Q10" s="161">
        <f t="shared" si="0"/>
        <v>0</v>
      </c>
      <c r="R10" s="161">
        <f t="shared" si="0"/>
        <v>0</v>
      </c>
      <c r="S10" s="161">
        <f t="shared" si="0"/>
        <v>0</v>
      </c>
      <c r="T10" s="161">
        <f t="shared" si="0"/>
        <v>0</v>
      </c>
      <c r="U10" s="161">
        <f t="shared" si="0"/>
        <v>0</v>
      </c>
      <c r="V10" s="161">
        <f t="shared" si="0"/>
        <v>0</v>
      </c>
      <c r="W10" s="161">
        <f t="shared" si="0"/>
        <v>0</v>
      </c>
      <c r="X10" s="161">
        <f t="shared" si="0"/>
        <v>0</v>
      </c>
      <c r="Y10" s="161">
        <f t="shared" si="0"/>
        <v>0</v>
      </c>
      <c r="Z10" s="161">
        <f t="shared" si="0"/>
        <v>0</v>
      </c>
      <c r="AA10" s="161">
        <f t="shared" si="0"/>
        <v>0</v>
      </c>
      <c r="AB10" s="161">
        <f t="shared" si="0"/>
        <v>0</v>
      </c>
      <c r="AC10" s="161">
        <f t="shared" si="0"/>
        <v>0</v>
      </c>
      <c r="AD10" s="161">
        <f t="shared" si="0"/>
        <v>0</v>
      </c>
      <c r="AE10" s="161">
        <f t="shared" si="0"/>
        <v>0</v>
      </c>
      <c r="AF10" s="161">
        <f t="shared" si="0"/>
        <v>0</v>
      </c>
      <c r="AG10" s="161">
        <f t="shared" si="0"/>
        <v>0</v>
      </c>
      <c r="AH10" s="161">
        <f t="shared" si="0"/>
        <v>0</v>
      </c>
      <c r="AI10" s="161">
        <f t="shared" si="0"/>
        <v>0</v>
      </c>
      <c r="AJ10" s="161">
        <f t="shared" si="0"/>
        <v>0</v>
      </c>
      <c r="AK10" s="161">
        <f t="shared" si="0"/>
        <v>0</v>
      </c>
      <c r="AL10" s="161">
        <f t="shared" si="0"/>
        <v>0</v>
      </c>
      <c r="AM10" s="161">
        <f t="shared" si="0"/>
        <v>0</v>
      </c>
      <c r="AN10" s="161">
        <f t="shared" si="0"/>
        <v>0</v>
      </c>
      <c r="AO10" s="161">
        <f t="shared" si="0"/>
        <v>0</v>
      </c>
      <c r="AP10" s="161">
        <f t="shared" si="0"/>
        <v>0</v>
      </c>
      <c r="AQ10" s="161">
        <f t="shared" si="0"/>
        <v>0</v>
      </c>
      <c r="AR10" s="161">
        <f t="shared" si="0"/>
        <v>0</v>
      </c>
      <c r="AS10" s="161">
        <f t="shared" si="0"/>
        <v>0</v>
      </c>
      <c r="AT10" s="161">
        <f t="shared" si="0"/>
        <v>0</v>
      </c>
      <c r="AU10" s="161">
        <f t="shared" si="0"/>
        <v>0</v>
      </c>
      <c r="AV10" s="161">
        <f t="shared" si="0"/>
        <v>0</v>
      </c>
      <c r="AW10" s="161">
        <f t="shared" si="0"/>
        <v>0</v>
      </c>
      <c r="AX10" s="161">
        <f t="shared" si="0"/>
        <v>0</v>
      </c>
      <c r="AY10" s="161">
        <f t="shared" si="0"/>
        <v>0</v>
      </c>
      <c r="AZ10" s="168">
        <f>SUM($D10:$AY10)</f>
        <v>0</v>
      </c>
    </row>
    <row r="11" spans="1:52" x14ac:dyDescent="0.2">
      <c r="C11" s="128"/>
    </row>
    <row r="12" spans="1:52" x14ac:dyDescent="0.2">
      <c r="A12" s="169" t="s">
        <v>295</v>
      </c>
      <c r="B12" s="163"/>
      <c r="C12" s="128"/>
    </row>
    <row r="13" spans="1:52" x14ac:dyDescent="0.2">
      <c r="A13" s="139" t="s">
        <v>125</v>
      </c>
      <c r="B13" s="140">
        <v>1</v>
      </c>
      <c r="C13" s="141">
        <v>492.59555470197967</v>
      </c>
      <c r="D13" s="155">
        <f t="shared" ref="D13:AY13" si="1">D$7-D$10</f>
        <v>1325.5489045897211</v>
      </c>
      <c r="E13" s="155">
        <f t="shared" si="1"/>
        <v>1325.5489045897211</v>
      </c>
      <c r="F13" s="155">
        <f t="shared" si="1"/>
        <v>1325.5489045897211</v>
      </c>
      <c r="G13" s="155">
        <f t="shared" si="1"/>
        <v>1325.5489045897211</v>
      </c>
      <c r="H13" s="155">
        <f t="shared" si="1"/>
        <v>1325.5489045897211</v>
      </c>
      <c r="I13" s="155">
        <f t="shared" si="1"/>
        <v>1325.5489045897211</v>
      </c>
      <c r="J13" s="155">
        <f t="shared" si="1"/>
        <v>1325.5489045897211</v>
      </c>
      <c r="K13" s="155">
        <f t="shared" si="1"/>
        <v>1325.5489045897211</v>
      </c>
      <c r="L13" s="155">
        <f t="shared" si="1"/>
        <v>1325.5489045897211</v>
      </c>
      <c r="M13" s="155">
        <f t="shared" si="1"/>
        <v>1325.5489045897211</v>
      </c>
      <c r="N13" s="155">
        <f t="shared" si="1"/>
        <v>1325.5489045897211</v>
      </c>
      <c r="O13" s="155">
        <f t="shared" si="1"/>
        <v>1325.5489045897211</v>
      </c>
      <c r="P13" s="155">
        <f t="shared" si="1"/>
        <v>1325.5489045897211</v>
      </c>
      <c r="Q13" s="155">
        <f t="shared" si="1"/>
        <v>1325.5489045897211</v>
      </c>
      <c r="R13" s="155">
        <f t="shared" si="1"/>
        <v>1325.5489045897211</v>
      </c>
      <c r="S13" s="155">
        <f t="shared" si="1"/>
        <v>1325.5489045897211</v>
      </c>
      <c r="T13" s="155">
        <f t="shared" si="1"/>
        <v>1325.5489045897211</v>
      </c>
      <c r="U13" s="155">
        <f t="shared" si="1"/>
        <v>1325.5489045897211</v>
      </c>
      <c r="V13" s="155">
        <f t="shared" si="1"/>
        <v>1325.5489045897211</v>
      </c>
      <c r="W13" s="155">
        <f t="shared" si="1"/>
        <v>1325.5489045897211</v>
      </c>
      <c r="X13" s="155">
        <f t="shared" si="1"/>
        <v>1325.5489045897211</v>
      </c>
      <c r="Y13" s="155">
        <f t="shared" si="1"/>
        <v>1325.5489045897211</v>
      </c>
      <c r="Z13" s="155">
        <f t="shared" si="1"/>
        <v>1325.5489045897211</v>
      </c>
      <c r="AA13" s="155">
        <f t="shared" si="1"/>
        <v>1325.5489045897211</v>
      </c>
      <c r="AB13" s="155">
        <f t="shared" si="1"/>
        <v>1325.5489045897211</v>
      </c>
      <c r="AC13" s="155">
        <f t="shared" si="1"/>
        <v>1325.5489045897211</v>
      </c>
      <c r="AD13" s="155">
        <f t="shared" si="1"/>
        <v>1325.5489045897211</v>
      </c>
      <c r="AE13" s="155">
        <f t="shared" si="1"/>
        <v>1325.5489045897211</v>
      </c>
      <c r="AF13" s="155">
        <f t="shared" si="1"/>
        <v>1325.5489045897211</v>
      </c>
      <c r="AG13" s="155">
        <f t="shared" si="1"/>
        <v>1325.5489045897211</v>
      </c>
      <c r="AH13" s="155">
        <f t="shared" si="1"/>
        <v>1325.5489045897211</v>
      </c>
      <c r="AI13" s="155">
        <f t="shared" si="1"/>
        <v>1325.5489045897211</v>
      </c>
      <c r="AJ13" s="155">
        <f t="shared" si="1"/>
        <v>1325.5489045897211</v>
      </c>
      <c r="AK13" s="155">
        <f t="shared" si="1"/>
        <v>1325.5489045897211</v>
      </c>
      <c r="AL13" s="155">
        <f t="shared" si="1"/>
        <v>1325.5489045897211</v>
      </c>
      <c r="AM13" s="155">
        <f t="shared" si="1"/>
        <v>1325.5489045897211</v>
      </c>
      <c r="AN13" s="155">
        <f t="shared" si="1"/>
        <v>1325.5489045897211</v>
      </c>
      <c r="AO13" s="155">
        <f t="shared" si="1"/>
        <v>1325.5489045897211</v>
      </c>
      <c r="AP13" s="155">
        <f t="shared" si="1"/>
        <v>1325.5489045897211</v>
      </c>
      <c r="AQ13" s="155">
        <f t="shared" si="1"/>
        <v>1325.5489045897211</v>
      </c>
      <c r="AR13" s="155">
        <f t="shared" si="1"/>
        <v>1325.5489045897211</v>
      </c>
      <c r="AS13" s="155">
        <f t="shared" si="1"/>
        <v>1325.5489045897211</v>
      </c>
      <c r="AT13" s="155">
        <f t="shared" si="1"/>
        <v>1325.5489045897211</v>
      </c>
      <c r="AU13" s="155">
        <f t="shared" si="1"/>
        <v>1325.5489045897211</v>
      </c>
      <c r="AV13" s="155">
        <f t="shared" si="1"/>
        <v>1325.5489045897211</v>
      </c>
      <c r="AW13" s="155">
        <f t="shared" si="1"/>
        <v>1325.5489045897211</v>
      </c>
      <c r="AX13" s="155">
        <f t="shared" si="1"/>
        <v>1325.5489045897211</v>
      </c>
      <c r="AY13" s="155">
        <f t="shared" si="1"/>
        <v>1325.5489045897211</v>
      </c>
      <c r="AZ13" s="127"/>
    </row>
    <row r="14" spans="1:52" x14ac:dyDescent="0.2">
      <c r="A14" s="128"/>
      <c r="B14" s="137">
        <v>2</v>
      </c>
      <c r="C14" s="128">
        <v>0</v>
      </c>
      <c r="D14" s="124">
        <f>IF(C$20="Yes",C13,0)</f>
        <v>0</v>
      </c>
      <c r="E14" s="124">
        <f t="shared" ref="E14:AY17" si="2">IF(D$20="Yes",D13,0)</f>
        <v>0</v>
      </c>
      <c r="F14" s="124">
        <f t="shared" si="2"/>
        <v>0</v>
      </c>
      <c r="G14" s="124">
        <f t="shared" si="2"/>
        <v>0</v>
      </c>
      <c r="H14" s="124">
        <f t="shared" si="2"/>
        <v>0</v>
      </c>
      <c r="I14" s="124">
        <f t="shared" si="2"/>
        <v>0</v>
      </c>
      <c r="J14" s="124">
        <f t="shared" si="2"/>
        <v>0</v>
      </c>
      <c r="K14" s="124">
        <f t="shared" si="2"/>
        <v>0</v>
      </c>
      <c r="L14" s="124">
        <f t="shared" si="2"/>
        <v>0</v>
      </c>
      <c r="M14" s="124">
        <f t="shared" si="2"/>
        <v>0</v>
      </c>
      <c r="N14" s="124">
        <f t="shared" si="2"/>
        <v>0</v>
      </c>
      <c r="O14" s="124">
        <f t="shared" si="2"/>
        <v>0</v>
      </c>
      <c r="P14" s="124">
        <f t="shared" si="2"/>
        <v>0</v>
      </c>
      <c r="Q14" s="124">
        <f t="shared" si="2"/>
        <v>0</v>
      </c>
      <c r="R14" s="124">
        <f t="shared" si="2"/>
        <v>0</v>
      </c>
      <c r="S14" s="124">
        <f t="shared" si="2"/>
        <v>0</v>
      </c>
      <c r="T14" s="124">
        <f t="shared" si="2"/>
        <v>0</v>
      </c>
      <c r="U14" s="124">
        <f t="shared" si="2"/>
        <v>0</v>
      </c>
      <c r="V14" s="124">
        <f t="shared" si="2"/>
        <v>0</v>
      </c>
      <c r="W14" s="124">
        <f t="shared" si="2"/>
        <v>0</v>
      </c>
      <c r="X14" s="124">
        <f t="shared" si="2"/>
        <v>0</v>
      </c>
      <c r="Y14" s="124">
        <f t="shared" si="2"/>
        <v>1325.5489045897211</v>
      </c>
      <c r="Z14" s="124">
        <f t="shared" si="2"/>
        <v>0</v>
      </c>
      <c r="AA14" s="124">
        <f t="shared" si="2"/>
        <v>0</v>
      </c>
      <c r="AB14" s="124">
        <f t="shared" si="2"/>
        <v>0</v>
      </c>
      <c r="AC14" s="124">
        <f t="shared" si="2"/>
        <v>0</v>
      </c>
      <c r="AD14" s="124">
        <f t="shared" si="2"/>
        <v>0</v>
      </c>
      <c r="AE14" s="124">
        <f t="shared" si="2"/>
        <v>0</v>
      </c>
      <c r="AF14" s="124">
        <f t="shared" si="2"/>
        <v>0</v>
      </c>
      <c r="AG14" s="124">
        <f t="shared" si="2"/>
        <v>0</v>
      </c>
      <c r="AH14" s="124">
        <f t="shared" si="2"/>
        <v>0</v>
      </c>
      <c r="AI14" s="124">
        <f t="shared" si="2"/>
        <v>0</v>
      </c>
      <c r="AJ14" s="124">
        <f t="shared" si="2"/>
        <v>0</v>
      </c>
      <c r="AK14" s="124">
        <f t="shared" si="2"/>
        <v>0</v>
      </c>
      <c r="AL14" s="124">
        <f t="shared" si="2"/>
        <v>0</v>
      </c>
      <c r="AM14" s="124">
        <f t="shared" si="2"/>
        <v>0</v>
      </c>
      <c r="AN14" s="124">
        <f t="shared" si="2"/>
        <v>0</v>
      </c>
      <c r="AO14" s="124">
        <f t="shared" si="2"/>
        <v>0</v>
      </c>
      <c r="AP14" s="124">
        <f t="shared" si="2"/>
        <v>0</v>
      </c>
      <c r="AQ14" s="124">
        <f t="shared" si="2"/>
        <v>0</v>
      </c>
      <c r="AR14" s="124">
        <f t="shared" si="2"/>
        <v>0</v>
      </c>
      <c r="AS14" s="124">
        <f t="shared" si="2"/>
        <v>0</v>
      </c>
      <c r="AT14" s="124">
        <f t="shared" si="2"/>
        <v>0</v>
      </c>
      <c r="AU14" s="124">
        <f t="shared" si="2"/>
        <v>0</v>
      </c>
      <c r="AV14" s="124">
        <f t="shared" si="2"/>
        <v>0</v>
      </c>
      <c r="AW14" s="124">
        <f t="shared" si="2"/>
        <v>0</v>
      </c>
      <c r="AX14" s="124">
        <f t="shared" si="2"/>
        <v>1325.5489045897211</v>
      </c>
      <c r="AY14" s="124">
        <f t="shared" si="2"/>
        <v>0</v>
      </c>
      <c r="AZ14" s="127"/>
    </row>
    <row r="15" spans="1:52" x14ac:dyDescent="0.2">
      <c r="A15" s="128"/>
      <c r="B15" s="144">
        <v>3</v>
      </c>
      <c r="C15" s="128">
        <v>0</v>
      </c>
      <c r="D15" s="124">
        <f>IF(C$20="Yes",C14,0)</f>
        <v>0</v>
      </c>
      <c r="E15" s="124">
        <f t="shared" si="2"/>
        <v>0</v>
      </c>
      <c r="F15" s="124">
        <f t="shared" si="2"/>
        <v>0</v>
      </c>
      <c r="G15" s="124">
        <f t="shared" si="2"/>
        <v>0</v>
      </c>
      <c r="H15" s="124">
        <f t="shared" si="2"/>
        <v>0</v>
      </c>
      <c r="I15" s="124">
        <f t="shared" si="2"/>
        <v>0</v>
      </c>
      <c r="J15" s="124">
        <f t="shared" si="2"/>
        <v>0</v>
      </c>
      <c r="K15" s="124">
        <f t="shared" si="2"/>
        <v>0</v>
      </c>
      <c r="L15" s="124">
        <f t="shared" si="2"/>
        <v>0</v>
      </c>
      <c r="M15" s="124">
        <f t="shared" si="2"/>
        <v>0</v>
      </c>
      <c r="N15" s="124">
        <f t="shared" si="2"/>
        <v>0</v>
      </c>
      <c r="O15" s="124">
        <f t="shared" si="2"/>
        <v>0</v>
      </c>
      <c r="P15" s="124">
        <f t="shared" si="2"/>
        <v>0</v>
      </c>
      <c r="Q15" s="124">
        <f t="shared" si="2"/>
        <v>0</v>
      </c>
      <c r="R15" s="124">
        <f t="shared" si="2"/>
        <v>0</v>
      </c>
      <c r="S15" s="124">
        <f t="shared" si="2"/>
        <v>0</v>
      </c>
      <c r="T15" s="124">
        <f t="shared" si="2"/>
        <v>0</v>
      </c>
      <c r="U15" s="124">
        <f t="shared" si="2"/>
        <v>0</v>
      </c>
      <c r="V15" s="124">
        <f t="shared" si="2"/>
        <v>0</v>
      </c>
      <c r="W15" s="124">
        <f t="shared" si="2"/>
        <v>0</v>
      </c>
      <c r="X15" s="124">
        <f t="shared" si="2"/>
        <v>0</v>
      </c>
      <c r="Y15" s="124">
        <f t="shared" si="2"/>
        <v>0</v>
      </c>
      <c r="Z15" s="124">
        <f t="shared" si="2"/>
        <v>0</v>
      </c>
      <c r="AA15" s="124">
        <f t="shared" si="2"/>
        <v>0</v>
      </c>
      <c r="AB15" s="124">
        <f t="shared" si="2"/>
        <v>0</v>
      </c>
      <c r="AC15" s="124">
        <f t="shared" si="2"/>
        <v>0</v>
      </c>
      <c r="AD15" s="124">
        <f t="shared" si="2"/>
        <v>0</v>
      </c>
      <c r="AE15" s="124">
        <f t="shared" si="2"/>
        <v>0</v>
      </c>
      <c r="AF15" s="124">
        <f t="shared" si="2"/>
        <v>0</v>
      </c>
      <c r="AG15" s="124">
        <f t="shared" si="2"/>
        <v>0</v>
      </c>
      <c r="AH15" s="124">
        <f t="shared" si="2"/>
        <v>0</v>
      </c>
      <c r="AI15" s="124">
        <f t="shared" si="2"/>
        <v>0</v>
      </c>
      <c r="AJ15" s="124">
        <f t="shared" si="2"/>
        <v>0</v>
      </c>
      <c r="AK15" s="124">
        <f t="shared" si="2"/>
        <v>0</v>
      </c>
      <c r="AL15" s="124">
        <f t="shared" si="2"/>
        <v>0</v>
      </c>
      <c r="AM15" s="124">
        <f t="shared" si="2"/>
        <v>0</v>
      </c>
      <c r="AN15" s="124">
        <f t="shared" si="2"/>
        <v>0</v>
      </c>
      <c r="AO15" s="124">
        <f t="shared" si="2"/>
        <v>0</v>
      </c>
      <c r="AP15" s="124">
        <f t="shared" si="2"/>
        <v>0</v>
      </c>
      <c r="AQ15" s="124">
        <f t="shared" si="2"/>
        <v>0</v>
      </c>
      <c r="AR15" s="124">
        <f t="shared" si="2"/>
        <v>0</v>
      </c>
      <c r="AS15" s="124">
        <f t="shared" si="2"/>
        <v>0</v>
      </c>
      <c r="AT15" s="124">
        <f t="shared" si="2"/>
        <v>0</v>
      </c>
      <c r="AU15" s="124">
        <f t="shared" si="2"/>
        <v>0</v>
      </c>
      <c r="AV15" s="124">
        <f t="shared" si="2"/>
        <v>0</v>
      </c>
      <c r="AW15" s="124">
        <f t="shared" si="2"/>
        <v>0</v>
      </c>
      <c r="AX15" s="124">
        <f t="shared" si="2"/>
        <v>0</v>
      </c>
      <c r="AY15" s="124">
        <f t="shared" si="2"/>
        <v>0</v>
      </c>
      <c r="AZ15" s="127"/>
    </row>
    <row r="16" spans="1:52" x14ac:dyDescent="0.2">
      <c r="A16" s="128"/>
      <c r="B16" s="147">
        <v>4</v>
      </c>
      <c r="C16" s="128">
        <v>0</v>
      </c>
      <c r="D16" s="124">
        <f>IF(C$20="Yes",C15,0)</f>
        <v>0</v>
      </c>
      <c r="E16" s="124">
        <f t="shared" si="2"/>
        <v>0</v>
      </c>
      <c r="F16" s="124">
        <f t="shared" si="2"/>
        <v>0</v>
      </c>
      <c r="G16" s="124">
        <f t="shared" si="2"/>
        <v>0</v>
      </c>
      <c r="H16" s="124">
        <f t="shared" si="2"/>
        <v>0</v>
      </c>
      <c r="I16" s="124">
        <f t="shared" si="2"/>
        <v>0</v>
      </c>
      <c r="J16" s="124">
        <f t="shared" si="2"/>
        <v>0</v>
      </c>
      <c r="K16" s="124">
        <f t="shared" si="2"/>
        <v>0</v>
      </c>
      <c r="L16" s="124">
        <f t="shared" si="2"/>
        <v>0</v>
      </c>
      <c r="M16" s="124">
        <f t="shared" si="2"/>
        <v>0</v>
      </c>
      <c r="N16" s="124">
        <f t="shared" si="2"/>
        <v>0</v>
      </c>
      <c r="O16" s="124">
        <f t="shared" si="2"/>
        <v>0</v>
      </c>
      <c r="P16" s="124">
        <f t="shared" si="2"/>
        <v>0</v>
      </c>
      <c r="Q16" s="124">
        <f t="shared" si="2"/>
        <v>0</v>
      </c>
      <c r="R16" s="124">
        <f t="shared" si="2"/>
        <v>0</v>
      </c>
      <c r="S16" s="124">
        <f t="shared" si="2"/>
        <v>0</v>
      </c>
      <c r="T16" s="124">
        <f t="shared" si="2"/>
        <v>0</v>
      </c>
      <c r="U16" s="124">
        <f t="shared" si="2"/>
        <v>0</v>
      </c>
      <c r="V16" s="124">
        <f t="shared" si="2"/>
        <v>0</v>
      </c>
      <c r="W16" s="124">
        <f t="shared" si="2"/>
        <v>0</v>
      </c>
      <c r="X16" s="124">
        <f t="shared" si="2"/>
        <v>0</v>
      </c>
      <c r="Y16" s="124">
        <f t="shared" si="2"/>
        <v>0</v>
      </c>
      <c r="Z16" s="124">
        <f t="shared" si="2"/>
        <v>0</v>
      </c>
      <c r="AA16" s="124">
        <f t="shared" si="2"/>
        <v>0</v>
      </c>
      <c r="AB16" s="124">
        <f t="shared" si="2"/>
        <v>0</v>
      </c>
      <c r="AC16" s="124">
        <f t="shared" si="2"/>
        <v>0</v>
      </c>
      <c r="AD16" s="124">
        <f t="shared" si="2"/>
        <v>0</v>
      </c>
      <c r="AE16" s="124">
        <f t="shared" si="2"/>
        <v>0</v>
      </c>
      <c r="AF16" s="124">
        <f t="shared" si="2"/>
        <v>0</v>
      </c>
      <c r="AG16" s="124">
        <f t="shared" si="2"/>
        <v>0</v>
      </c>
      <c r="AH16" s="124">
        <f t="shared" si="2"/>
        <v>0</v>
      </c>
      <c r="AI16" s="124">
        <f t="shared" si="2"/>
        <v>0</v>
      </c>
      <c r="AJ16" s="124">
        <f t="shared" si="2"/>
        <v>0</v>
      </c>
      <c r="AK16" s="124">
        <f t="shared" si="2"/>
        <v>0</v>
      </c>
      <c r="AL16" s="124">
        <f t="shared" si="2"/>
        <v>0</v>
      </c>
      <c r="AM16" s="124">
        <f t="shared" si="2"/>
        <v>0</v>
      </c>
      <c r="AN16" s="124">
        <f t="shared" si="2"/>
        <v>0</v>
      </c>
      <c r="AO16" s="124">
        <f t="shared" si="2"/>
        <v>0</v>
      </c>
      <c r="AP16" s="124">
        <f t="shared" si="2"/>
        <v>0</v>
      </c>
      <c r="AQ16" s="124">
        <f t="shared" si="2"/>
        <v>0</v>
      </c>
      <c r="AR16" s="124">
        <f t="shared" si="2"/>
        <v>0</v>
      </c>
      <c r="AS16" s="124">
        <f t="shared" si="2"/>
        <v>0</v>
      </c>
      <c r="AT16" s="124">
        <f t="shared" si="2"/>
        <v>0</v>
      </c>
      <c r="AU16" s="124">
        <f t="shared" si="2"/>
        <v>0</v>
      </c>
      <c r="AV16" s="124">
        <f t="shared" si="2"/>
        <v>0</v>
      </c>
      <c r="AW16" s="124">
        <f t="shared" si="2"/>
        <v>0</v>
      </c>
      <c r="AX16" s="124">
        <f t="shared" si="2"/>
        <v>0</v>
      </c>
      <c r="AY16" s="124">
        <f t="shared" si="2"/>
        <v>0</v>
      </c>
      <c r="AZ16" s="145"/>
    </row>
    <row r="17" spans="1:52" x14ac:dyDescent="0.2">
      <c r="A17" s="142"/>
      <c r="B17" s="149" t="s">
        <v>296</v>
      </c>
      <c r="C17" s="142">
        <v>0</v>
      </c>
      <c r="D17" s="131">
        <f>IF(C$20="Yes",C16,0)</f>
        <v>0</v>
      </c>
      <c r="E17" s="131">
        <f t="shared" si="2"/>
        <v>0</v>
      </c>
      <c r="F17" s="131">
        <f t="shared" si="2"/>
        <v>0</v>
      </c>
      <c r="G17" s="131">
        <f t="shared" si="2"/>
        <v>0</v>
      </c>
      <c r="H17" s="131">
        <f t="shared" si="2"/>
        <v>0</v>
      </c>
      <c r="I17" s="131">
        <f t="shared" si="2"/>
        <v>0</v>
      </c>
      <c r="J17" s="131">
        <f t="shared" si="2"/>
        <v>0</v>
      </c>
      <c r="K17" s="131">
        <f t="shared" si="2"/>
        <v>0</v>
      </c>
      <c r="L17" s="131">
        <f t="shared" si="2"/>
        <v>0</v>
      </c>
      <c r="M17" s="131">
        <f t="shared" si="2"/>
        <v>0</v>
      </c>
      <c r="N17" s="131">
        <f t="shared" si="2"/>
        <v>0</v>
      </c>
      <c r="O17" s="131">
        <f t="shared" si="2"/>
        <v>0</v>
      </c>
      <c r="P17" s="131">
        <f t="shared" si="2"/>
        <v>0</v>
      </c>
      <c r="Q17" s="131">
        <f t="shared" si="2"/>
        <v>0</v>
      </c>
      <c r="R17" s="131">
        <f t="shared" si="2"/>
        <v>0</v>
      </c>
      <c r="S17" s="131">
        <f t="shared" si="2"/>
        <v>0</v>
      </c>
      <c r="T17" s="131">
        <f t="shared" si="2"/>
        <v>0</v>
      </c>
      <c r="U17" s="131">
        <f t="shared" si="2"/>
        <v>0</v>
      </c>
      <c r="V17" s="131">
        <f t="shared" si="2"/>
        <v>0</v>
      </c>
      <c r="W17" s="131">
        <f t="shared" si="2"/>
        <v>0</v>
      </c>
      <c r="X17" s="131">
        <f t="shared" si="2"/>
        <v>0</v>
      </c>
      <c r="Y17" s="131">
        <f t="shared" si="2"/>
        <v>0</v>
      </c>
      <c r="Z17" s="131">
        <f t="shared" si="2"/>
        <v>0</v>
      </c>
      <c r="AA17" s="131">
        <f t="shared" si="2"/>
        <v>0</v>
      </c>
      <c r="AB17" s="131">
        <f t="shared" si="2"/>
        <v>0</v>
      </c>
      <c r="AC17" s="131">
        <f t="shared" si="2"/>
        <v>0</v>
      </c>
      <c r="AD17" s="131">
        <f t="shared" si="2"/>
        <v>0</v>
      </c>
      <c r="AE17" s="131">
        <f t="shared" si="2"/>
        <v>0</v>
      </c>
      <c r="AF17" s="131">
        <f t="shared" si="2"/>
        <v>0</v>
      </c>
      <c r="AG17" s="131">
        <f t="shared" si="2"/>
        <v>0</v>
      </c>
      <c r="AH17" s="131">
        <f t="shared" si="2"/>
        <v>0</v>
      </c>
      <c r="AI17" s="131">
        <f t="shared" si="2"/>
        <v>0</v>
      </c>
      <c r="AJ17" s="131">
        <f t="shared" si="2"/>
        <v>0</v>
      </c>
      <c r="AK17" s="131">
        <f t="shared" si="2"/>
        <v>0</v>
      </c>
      <c r="AL17" s="131">
        <f t="shared" si="2"/>
        <v>0</v>
      </c>
      <c r="AM17" s="131">
        <f t="shared" si="2"/>
        <v>0</v>
      </c>
      <c r="AN17" s="131">
        <f t="shared" si="2"/>
        <v>0</v>
      </c>
      <c r="AO17" s="131">
        <f t="shared" si="2"/>
        <v>0</v>
      </c>
      <c r="AP17" s="131">
        <f t="shared" si="2"/>
        <v>0</v>
      </c>
      <c r="AQ17" s="131">
        <f t="shared" si="2"/>
        <v>0</v>
      </c>
      <c r="AR17" s="131">
        <f t="shared" si="2"/>
        <v>0</v>
      </c>
      <c r="AS17" s="131">
        <f t="shared" si="2"/>
        <v>0</v>
      </c>
      <c r="AT17" s="131">
        <f t="shared" si="2"/>
        <v>0</v>
      </c>
      <c r="AU17" s="131">
        <f t="shared" si="2"/>
        <v>0</v>
      </c>
      <c r="AV17" s="131">
        <f t="shared" si="2"/>
        <v>0</v>
      </c>
      <c r="AW17" s="131">
        <f t="shared" si="2"/>
        <v>0</v>
      </c>
      <c r="AX17" s="131">
        <f t="shared" si="2"/>
        <v>0</v>
      </c>
      <c r="AY17" s="131">
        <f t="shared" si="2"/>
        <v>0</v>
      </c>
      <c r="AZ17" s="168">
        <f>SUM($D$17:$AY$17)</f>
        <v>0</v>
      </c>
    </row>
    <row r="18" spans="1:52" x14ac:dyDescent="0.2">
      <c r="A18" s="124"/>
      <c r="B18" s="170"/>
      <c r="C18" s="155"/>
      <c r="D18" s="155"/>
      <c r="E18" s="155"/>
      <c r="F18" s="155"/>
      <c r="G18" s="155"/>
      <c r="H18" s="155"/>
      <c r="I18" s="155"/>
      <c r="J18" s="155"/>
      <c r="K18" s="155"/>
      <c r="L18" s="155"/>
      <c r="M18" s="155"/>
      <c r="N18" s="155"/>
      <c r="O18" s="155"/>
      <c r="P18" s="155"/>
      <c r="Q18" s="155"/>
      <c r="R18" s="155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155"/>
      <c r="AT18" s="155"/>
      <c r="AU18" s="155"/>
      <c r="AV18" s="155"/>
      <c r="AW18" s="155"/>
      <c r="AX18" s="155"/>
      <c r="AY18" s="155"/>
      <c r="AZ18" s="124"/>
    </row>
    <row r="19" spans="1:52" x14ac:dyDescent="0.2">
      <c r="A19" s="1" t="s">
        <v>116</v>
      </c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4"/>
      <c r="AO19" s="124"/>
      <c r="AP19" s="124"/>
      <c r="AQ19" s="124"/>
      <c r="AR19" s="124"/>
      <c r="AS19" s="124"/>
      <c r="AT19" s="124"/>
      <c r="AU19" s="124"/>
      <c r="AV19" s="124"/>
      <c r="AW19" s="124"/>
      <c r="AX19" s="124"/>
      <c r="AY19" s="124"/>
    </row>
    <row r="20" spans="1:52" s="128" customFormat="1" x14ac:dyDescent="0.2">
      <c r="A20" s="132" t="s">
        <v>305</v>
      </c>
      <c r="B20" s="171" t="s">
        <v>306</v>
      </c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 t="s">
        <v>339</v>
      </c>
      <c r="Y20" s="134"/>
      <c r="Z20" s="134"/>
      <c r="AA20" s="134"/>
      <c r="AB20" s="134"/>
      <c r="AC20" s="134"/>
      <c r="AD20" s="134"/>
      <c r="AE20" s="134"/>
      <c r="AF20" s="134"/>
      <c r="AG20" s="134"/>
      <c r="AH20" s="134"/>
      <c r="AI20" s="134"/>
      <c r="AJ20" s="134"/>
      <c r="AK20" s="134"/>
      <c r="AL20" s="134"/>
      <c r="AM20" s="134"/>
      <c r="AN20" s="134"/>
      <c r="AO20" s="134"/>
      <c r="AP20" s="134"/>
      <c r="AQ20" s="134"/>
      <c r="AR20" s="134"/>
      <c r="AS20" s="134"/>
      <c r="AT20" s="134"/>
      <c r="AU20" s="134"/>
      <c r="AV20" s="134"/>
      <c r="AW20" s="134" t="s">
        <v>339</v>
      </c>
      <c r="AX20" s="134"/>
      <c r="AY20" s="134"/>
      <c r="AZ20" s="125"/>
    </row>
    <row r="21" spans="1:52" s="128" customFormat="1" x14ac:dyDescent="0.2">
      <c r="A21" s="172" t="s">
        <v>133</v>
      </c>
      <c r="B21" s="173">
        <f>shipping_manufacturing!$G$19/100</f>
        <v>1</v>
      </c>
      <c r="C21" s="173" t="s">
        <v>293</v>
      </c>
      <c r="D21" s="124">
        <f>IF(C$20="Yes",0,SUM(C$13:C$16)*$B$21)</f>
        <v>492.59555470197967</v>
      </c>
      <c r="E21" s="124">
        <f t="shared" ref="E21:AY21" si="3">IF(D$20="Yes",0,SUM(D$13:D$16)*$B$21)</f>
        <v>1325.5489045897211</v>
      </c>
      <c r="F21" s="124">
        <f t="shared" si="3"/>
        <v>1325.5489045897211</v>
      </c>
      <c r="G21" s="124">
        <f t="shared" si="3"/>
        <v>1325.5489045897211</v>
      </c>
      <c r="H21" s="124">
        <f t="shared" si="3"/>
        <v>1325.5489045897211</v>
      </c>
      <c r="I21" s="124">
        <f t="shared" si="3"/>
        <v>1325.5489045897211</v>
      </c>
      <c r="J21" s="124">
        <f t="shared" si="3"/>
        <v>1325.5489045897211</v>
      </c>
      <c r="K21" s="124">
        <f t="shared" si="3"/>
        <v>1325.5489045897211</v>
      </c>
      <c r="L21" s="124">
        <f t="shared" si="3"/>
        <v>1325.5489045897211</v>
      </c>
      <c r="M21" s="124">
        <f t="shared" si="3"/>
        <v>1325.5489045897211</v>
      </c>
      <c r="N21" s="124">
        <f t="shared" si="3"/>
        <v>1325.5489045897211</v>
      </c>
      <c r="O21" s="124">
        <f t="shared" si="3"/>
        <v>1325.5489045897211</v>
      </c>
      <c r="P21" s="124">
        <f t="shared" si="3"/>
        <v>1325.5489045897211</v>
      </c>
      <c r="Q21" s="124">
        <f t="shared" si="3"/>
        <v>1325.5489045897211</v>
      </c>
      <c r="R21" s="124">
        <f t="shared" si="3"/>
        <v>1325.5489045897211</v>
      </c>
      <c r="S21" s="124">
        <f t="shared" si="3"/>
        <v>1325.5489045897211</v>
      </c>
      <c r="T21" s="124">
        <f t="shared" si="3"/>
        <v>1325.5489045897211</v>
      </c>
      <c r="U21" s="124">
        <f t="shared" si="3"/>
        <v>1325.5489045897211</v>
      </c>
      <c r="V21" s="124">
        <f t="shared" si="3"/>
        <v>1325.5489045897211</v>
      </c>
      <c r="W21" s="124">
        <f t="shared" si="3"/>
        <v>1325.5489045897211</v>
      </c>
      <c r="X21" s="124">
        <f t="shared" si="3"/>
        <v>1325.5489045897211</v>
      </c>
      <c r="Y21" s="124">
        <f t="shared" si="3"/>
        <v>0</v>
      </c>
      <c r="Z21" s="124">
        <f t="shared" si="3"/>
        <v>2651.0978091794423</v>
      </c>
      <c r="AA21" s="124">
        <f t="shared" si="3"/>
        <v>1325.5489045897211</v>
      </c>
      <c r="AB21" s="124">
        <f t="shared" si="3"/>
        <v>1325.5489045897211</v>
      </c>
      <c r="AC21" s="124">
        <f t="shared" si="3"/>
        <v>1325.5489045897211</v>
      </c>
      <c r="AD21" s="124">
        <f t="shared" si="3"/>
        <v>1325.5489045897211</v>
      </c>
      <c r="AE21" s="124">
        <f t="shared" si="3"/>
        <v>1325.5489045897211</v>
      </c>
      <c r="AF21" s="124">
        <f t="shared" si="3"/>
        <v>1325.5489045897211</v>
      </c>
      <c r="AG21" s="124">
        <f t="shared" si="3"/>
        <v>1325.5489045897211</v>
      </c>
      <c r="AH21" s="124">
        <f t="shared" si="3"/>
        <v>1325.5489045897211</v>
      </c>
      <c r="AI21" s="124">
        <f t="shared" si="3"/>
        <v>1325.5489045897211</v>
      </c>
      <c r="AJ21" s="124">
        <f t="shared" si="3"/>
        <v>1325.5489045897211</v>
      </c>
      <c r="AK21" s="124">
        <f t="shared" si="3"/>
        <v>1325.5489045897211</v>
      </c>
      <c r="AL21" s="124">
        <f t="shared" si="3"/>
        <v>1325.5489045897211</v>
      </c>
      <c r="AM21" s="124">
        <f t="shared" si="3"/>
        <v>1325.5489045897211</v>
      </c>
      <c r="AN21" s="124">
        <f t="shared" si="3"/>
        <v>1325.5489045897211</v>
      </c>
      <c r="AO21" s="124">
        <f t="shared" si="3"/>
        <v>1325.5489045897211</v>
      </c>
      <c r="AP21" s="124">
        <f t="shared" si="3"/>
        <v>1325.5489045897211</v>
      </c>
      <c r="AQ21" s="124">
        <f t="shared" si="3"/>
        <v>1325.5489045897211</v>
      </c>
      <c r="AR21" s="124">
        <f t="shared" si="3"/>
        <v>1325.5489045897211</v>
      </c>
      <c r="AS21" s="124">
        <f t="shared" si="3"/>
        <v>1325.5489045897211</v>
      </c>
      <c r="AT21" s="124">
        <f t="shared" si="3"/>
        <v>1325.5489045897211</v>
      </c>
      <c r="AU21" s="124">
        <f t="shared" si="3"/>
        <v>1325.5489045897211</v>
      </c>
      <c r="AV21" s="124">
        <f t="shared" si="3"/>
        <v>1325.5489045897211</v>
      </c>
      <c r="AW21" s="124">
        <f t="shared" si="3"/>
        <v>1325.5489045897211</v>
      </c>
      <c r="AX21" s="124">
        <f t="shared" si="3"/>
        <v>0</v>
      </c>
      <c r="AY21" s="124">
        <f t="shared" si="3"/>
        <v>2651.0978091794423</v>
      </c>
      <c r="AZ21" s="174">
        <f>SUM($D21:$AY21)</f>
        <v>62793.394070418828</v>
      </c>
    </row>
    <row r="22" spans="1:52" s="128" customFormat="1" x14ac:dyDescent="0.2">
      <c r="A22" s="175" t="s">
        <v>123</v>
      </c>
      <c r="B22" s="176">
        <f>1-$B$21</f>
        <v>0</v>
      </c>
      <c r="C22" s="176" t="s">
        <v>293</v>
      </c>
      <c r="D22" s="131">
        <f>IF(C$20="Yes",0,SUM(C$13:C$16)*$B$22)</f>
        <v>0</v>
      </c>
      <c r="E22" s="131">
        <f t="shared" ref="E22:AY22" si="4">IF(D$20="Yes",0,SUM(D$13:D$16)*$B$22)</f>
        <v>0</v>
      </c>
      <c r="F22" s="131">
        <f t="shared" si="4"/>
        <v>0</v>
      </c>
      <c r="G22" s="131">
        <f t="shared" si="4"/>
        <v>0</v>
      </c>
      <c r="H22" s="131">
        <f t="shared" si="4"/>
        <v>0</v>
      </c>
      <c r="I22" s="131">
        <f t="shared" si="4"/>
        <v>0</v>
      </c>
      <c r="J22" s="131">
        <f t="shared" si="4"/>
        <v>0</v>
      </c>
      <c r="K22" s="131">
        <f t="shared" si="4"/>
        <v>0</v>
      </c>
      <c r="L22" s="131">
        <f t="shared" si="4"/>
        <v>0</v>
      </c>
      <c r="M22" s="131">
        <f t="shared" si="4"/>
        <v>0</v>
      </c>
      <c r="N22" s="131">
        <f t="shared" si="4"/>
        <v>0</v>
      </c>
      <c r="O22" s="131">
        <f t="shared" si="4"/>
        <v>0</v>
      </c>
      <c r="P22" s="131">
        <f t="shared" si="4"/>
        <v>0</v>
      </c>
      <c r="Q22" s="131">
        <f t="shared" si="4"/>
        <v>0</v>
      </c>
      <c r="R22" s="131">
        <f t="shared" si="4"/>
        <v>0</v>
      </c>
      <c r="S22" s="131">
        <f t="shared" si="4"/>
        <v>0</v>
      </c>
      <c r="T22" s="131">
        <f t="shared" si="4"/>
        <v>0</v>
      </c>
      <c r="U22" s="131">
        <f t="shared" si="4"/>
        <v>0</v>
      </c>
      <c r="V22" s="131">
        <f t="shared" si="4"/>
        <v>0</v>
      </c>
      <c r="W22" s="131">
        <f t="shared" si="4"/>
        <v>0</v>
      </c>
      <c r="X22" s="131">
        <f t="shared" si="4"/>
        <v>0</v>
      </c>
      <c r="Y22" s="131">
        <f t="shared" si="4"/>
        <v>0</v>
      </c>
      <c r="Z22" s="131">
        <f t="shared" si="4"/>
        <v>0</v>
      </c>
      <c r="AA22" s="131">
        <f t="shared" si="4"/>
        <v>0</v>
      </c>
      <c r="AB22" s="131">
        <f t="shared" si="4"/>
        <v>0</v>
      </c>
      <c r="AC22" s="131">
        <f t="shared" si="4"/>
        <v>0</v>
      </c>
      <c r="AD22" s="131">
        <f t="shared" si="4"/>
        <v>0</v>
      </c>
      <c r="AE22" s="131">
        <f t="shared" si="4"/>
        <v>0</v>
      </c>
      <c r="AF22" s="131">
        <f t="shared" si="4"/>
        <v>0</v>
      </c>
      <c r="AG22" s="131">
        <f t="shared" si="4"/>
        <v>0</v>
      </c>
      <c r="AH22" s="131">
        <f t="shared" si="4"/>
        <v>0</v>
      </c>
      <c r="AI22" s="131">
        <f t="shared" si="4"/>
        <v>0</v>
      </c>
      <c r="AJ22" s="131">
        <f t="shared" si="4"/>
        <v>0</v>
      </c>
      <c r="AK22" s="131">
        <f t="shared" si="4"/>
        <v>0</v>
      </c>
      <c r="AL22" s="131">
        <f t="shared" si="4"/>
        <v>0</v>
      </c>
      <c r="AM22" s="131">
        <f t="shared" si="4"/>
        <v>0</v>
      </c>
      <c r="AN22" s="131">
        <f t="shared" si="4"/>
        <v>0</v>
      </c>
      <c r="AO22" s="131">
        <f t="shared" si="4"/>
        <v>0</v>
      </c>
      <c r="AP22" s="131">
        <f t="shared" si="4"/>
        <v>0</v>
      </c>
      <c r="AQ22" s="131">
        <f t="shared" si="4"/>
        <v>0</v>
      </c>
      <c r="AR22" s="131">
        <f t="shared" si="4"/>
        <v>0</v>
      </c>
      <c r="AS22" s="131">
        <f t="shared" si="4"/>
        <v>0</v>
      </c>
      <c r="AT22" s="131">
        <f t="shared" si="4"/>
        <v>0</v>
      </c>
      <c r="AU22" s="131">
        <f t="shared" si="4"/>
        <v>0</v>
      </c>
      <c r="AV22" s="131">
        <f t="shared" si="4"/>
        <v>0</v>
      </c>
      <c r="AW22" s="131">
        <f t="shared" si="4"/>
        <v>0</v>
      </c>
      <c r="AX22" s="131">
        <f t="shared" si="4"/>
        <v>0</v>
      </c>
      <c r="AY22" s="131">
        <f t="shared" si="4"/>
        <v>0</v>
      </c>
      <c r="AZ22" s="158">
        <f t="shared" ref="AZ22:AZ30" si="5">SUM($D22:$AY22)</f>
        <v>0</v>
      </c>
    </row>
    <row r="23" spans="1:52" x14ac:dyDescent="0.2">
      <c r="A23" s="177" t="s">
        <v>307</v>
      </c>
      <c r="B23" s="141">
        <v>2000</v>
      </c>
      <c r="C23" t="s">
        <v>293</v>
      </c>
      <c r="D23">
        <f>D$21*$B$23</f>
        <v>985191.10940395936</v>
      </c>
      <c r="E23">
        <f t="shared" ref="E23:AY23" si="6">E$21*$B$23</f>
        <v>2651097.8091794425</v>
      </c>
      <c r="F23">
        <f t="shared" si="6"/>
        <v>2651097.8091794425</v>
      </c>
      <c r="G23">
        <f t="shared" si="6"/>
        <v>2651097.8091794425</v>
      </c>
      <c r="H23">
        <f t="shared" si="6"/>
        <v>2651097.8091794425</v>
      </c>
      <c r="I23">
        <f t="shared" si="6"/>
        <v>2651097.8091794425</v>
      </c>
      <c r="J23">
        <f t="shared" si="6"/>
        <v>2651097.8091794425</v>
      </c>
      <c r="K23">
        <f t="shared" si="6"/>
        <v>2651097.8091794425</v>
      </c>
      <c r="L23">
        <f t="shared" si="6"/>
        <v>2651097.8091794425</v>
      </c>
      <c r="M23">
        <f t="shared" si="6"/>
        <v>2651097.8091794425</v>
      </c>
      <c r="N23">
        <f t="shared" si="6"/>
        <v>2651097.8091794425</v>
      </c>
      <c r="O23">
        <f t="shared" si="6"/>
        <v>2651097.8091794425</v>
      </c>
      <c r="P23">
        <f t="shared" si="6"/>
        <v>2651097.8091794425</v>
      </c>
      <c r="Q23">
        <f t="shared" si="6"/>
        <v>2651097.8091794425</v>
      </c>
      <c r="R23">
        <f t="shared" si="6"/>
        <v>2651097.8091794425</v>
      </c>
      <c r="S23">
        <f t="shared" si="6"/>
        <v>2651097.8091794425</v>
      </c>
      <c r="T23">
        <f t="shared" si="6"/>
        <v>2651097.8091794425</v>
      </c>
      <c r="U23">
        <f t="shared" si="6"/>
        <v>2651097.8091794425</v>
      </c>
      <c r="V23">
        <f t="shared" si="6"/>
        <v>2651097.8091794425</v>
      </c>
      <c r="W23">
        <f t="shared" si="6"/>
        <v>2651097.8091794425</v>
      </c>
      <c r="X23">
        <f t="shared" si="6"/>
        <v>2651097.8091794425</v>
      </c>
      <c r="Y23">
        <f t="shared" si="6"/>
        <v>0</v>
      </c>
      <c r="Z23">
        <f t="shared" si="6"/>
        <v>5302195.6183588849</v>
      </c>
      <c r="AA23">
        <f t="shared" si="6"/>
        <v>2651097.8091794425</v>
      </c>
      <c r="AB23">
        <f t="shared" si="6"/>
        <v>2651097.8091794425</v>
      </c>
      <c r="AC23">
        <f t="shared" si="6"/>
        <v>2651097.8091794425</v>
      </c>
      <c r="AD23">
        <f t="shared" si="6"/>
        <v>2651097.8091794425</v>
      </c>
      <c r="AE23">
        <f t="shared" si="6"/>
        <v>2651097.8091794425</v>
      </c>
      <c r="AF23">
        <f t="shared" si="6"/>
        <v>2651097.8091794425</v>
      </c>
      <c r="AG23">
        <f t="shared" si="6"/>
        <v>2651097.8091794425</v>
      </c>
      <c r="AH23">
        <f t="shared" si="6"/>
        <v>2651097.8091794425</v>
      </c>
      <c r="AI23">
        <f t="shared" si="6"/>
        <v>2651097.8091794425</v>
      </c>
      <c r="AJ23">
        <f t="shared" si="6"/>
        <v>2651097.8091794425</v>
      </c>
      <c r="AK23">
        <f t="shared" si="6"/>
        <v>2651097.8091794425</v>
      </c>
      <c r="AL23">
        <f t="shared" si="6"/>
        <v>2651097.8091794425</v>
      </c>
      <c r="AM23">
        <f t="shared" si="6"/>
        <v>2651097.8091794425</v>
      </c>
      <c r="AN23">
        <f t="shared" si="6"/>
        <v>2651097.8091794425</v>
      </c>
      <c r="AO23">
        <f t="shared" si="6"/>
        <v>2651097.8091794425</v>
      </c>
      <c r="AP23">
        <f t="shared" si="6"/>
        <v>2651097.8091794425</v>
      </c>
      <c r="AQ23">
        <f t="shared" si="6"/>
        <v>2651097.8091794425</v>
      </c>
      <c r="AR23">
        <f t="shared" si="6"/>
        <v>2651097.8091794425</v>
      </c>
      <c r="AS23">
        <f t="shared" si="6"/>
        <v>2651097.8091794425</v>
      </c>
      <c r="AT23">
        <f t="shared" si="6"/>
        <v>2651097.8091794425</v>
      </c>
      <c r="AU23">
        <f t="shared" si="6"/>
        <v>2651097.8091794425</v>
      </c>
      <c r="AV23">
        <f t="shared" si="6"/>
        <v>2651097.8091794425</v>
      </c>
      <c r="AW23">
        <f t="shared" si="6"/>
        <v>2651097.8091794425</v>
      </c>
      <c r="AX23">
        <f t="shared" si="6"/>
        <v>0</v>
      </c>
      <c r="AY23">
        <f t="shared" si="6"/>
        <v>5302195.6183588849</v>
      </c>
      <c r="AZ23" s="156">
        <f t="shared" si="5"/>
        <v>125586788.1408377</v>
      </c>
    </row>
    <row r="24" spans="1:52" s="128" customFormat="1" x14ac:dyDescent="0.2">
      <c r="A24" s="178" t="s">
        <v>308</v>
      </c>
      <c r="B24" s="179">
        <v>1000</v>
      </c>
      <c r="C24" s="173" t="s">
        <v>293</v>
      </c>
      <c r="D24" s="124">
        <f>D$22*$B$24</f>
        <v>0</v>
      </c>
      <c r="E24" s="124">
        <f t="shared" ref="E24:AY24" si="7">E$22*$B$24</f>
        <v>0</v>
      </c>
      <c r="F24" s="124">
        <f t="shared" si="7"/>
        <v>0</v>
      </c>
      <c r="G24" s="124">
        <f t="shared" si="7"/>
        <v>0</v>
      </c>
      <c r="H24" s="124">
        <f t="shared" si="7"/>
        <v>0</v>
      </c>
      <c r="I24" s="124">
        <f t="shared" si="7"/>
        <v>0</v>
      </c>
      <c r="J24" s="124">
        <f t="shared" si="7"/>
        <v>0</v>
      </c>
      <c r="K24" s="124">
        <f t="shared" si="7"/>
        <v>0</v>
      </c>
      <c r="L24" s="124">
        <f t="shared" si="7"/>
        <v>0</v>
      </c>
      <c r="M24" s="124">
        <f t="shared" si="7"/>
        <v>0</v>
      </c>
      <c r="N24" s="124">
        <f t="shared" si="7"/>
        <v>0</v>
      </c>
      <c r="O24" s="124">
        <f t="shared" si="7"/>
        <v>0</v>
      </c>
      <c r="P24" s="124">
        <f t="shared" si="7"/>
        <v>0</v>
      </c>
      <c r="Q24" s="124">
        <f t="shared" si="7"/>
        <v>0</v>
      </c>
      <c r="R24" s="124">
        <f t="shared" si="7"/>
        <v>0</v>
      </c>
      <c r="S24" s="124">
        <f t="shared" si="7"/>
        <v>0</v>
      </c>
      <c r="T24" s="124">
        <f t="shared" si="7"/>
        <v>0</v>
      </c>
      <c r="U24" s="124">
        <f t="shared" si="7"/>
        <v>0</v>
      </c>
      <c r="V24" s="124">
        <f t="shared" si="7"/>
        <v>0</v>
      </c>
      <c r="W24" s="124">
        <f t="shared" si="7"/>
        <v>0</v>
      </c>
      <c r="X24" s="124">
        <f t="shared" si="7"/>
        <v>0</v>
      </c>
      <c r="Y24" s="124">
        <f t="shared" si="7"/>
        <v>0</v>
      </c>
      <c r="Z24" s="124">
        <f t="shared" si="7"/>
        <v>0</v>
      </c>
      <c r="AA24" s="124">
        <f t="shared" si="7"/>
        <v>0</v>
      </c>
      <c r="AB24" s="124">
        <f t="shared" si="7"/>
        <v>0</v>
      </c>
      <c r="AC24" s="124">
        <f t="shared" si="7"/>
        <v>0</v>
      </c>
      <c r="AD24" s="124">
        <f t="shared" si="7"/>
        <v>0</v>
      </c>
      <c r="AE24" s="124">
        <f t="shared" si="7"/>
        <v>0</v>
      </c>
      <c r="AF24" s="124">
        <f t="shared" si="7"/>
        <v>0</v>
      </c>
      <c r="AG24" s="124">
        <f t="shared" si="7"/>
        <v>0</v>
      </c>
      <c r="AH24" s="124">
        <f t="shared" si="7"/>
        <v>0</v>
      </c>
      <c r="AI24" s="124">
        <f t="shared" si="7"/>
        <v>0</v>
      </c>
      <c r="AJ24" s="124">
        <f t="shared" si="7"/>
        <v>0</v>
      </c>
      <c r="AK24" s="124">
        <f t="shared" si="7"/>
        <v>0</v>
      </c>
      <c r="AL24" s="124">
        <f t="shared" si="7"/>
        <v>0</v>
      </c>
      <c r="AM24" s="124">
        <f t="shared" si="7"/>
        <v>0</v>
      </c>
      <c r="AN24" s="124">
        <f t="shared" si="7"/>
        <v>0</v>
      </c>
      <c r="AO24" s="124">
        <f t="shared" si="7"/>
        <v>0</v>
      </c>
      <c r="AP24" s="124">
        <f t="shared" si="7"/>
        <v>0</v>
      </c>
      <c r="AQ24" s="124">
        <f t="shared" si="7"/>
        <v>0</v>
      </c>
      <c r="AR24" s="124">
        <f t="shared" si="7"/>
        <v>0</v>
      </c>
      <c r="AS24" s="124">
        <f t="shared" si="7"/>
        <v>0</v>
      </c>
      <c r="AT24" s="124">
        <f t="shared" si="7"/>
        <v>0</v>
      </c>
      <c r="AU24" s="124">
        <f t="shared" si="7"/>
        <v>0</v>
      </c>
      <c r="AV24" s="124">
        <f t="shared" si="7"/>
        <v>0</v>
      </c>
      <c r="AW24" s="124">
        <f t="shared" si="7"/>
        <v>0</v>
      </c>
      <c r="AX24" s="124">
        <f t="shared" si="7"/>
        <v>0</v>
      </c>
      <c r="AY24" s="124">
        <f t="shared" si="7"/>
        <v>0</v>
      </c>
      <c r="AZ24" s="158">
        <f t="shared" si="5"/>
        <v>0</v>
      </c>
    </row>
    <row r="25" spans="1:52" x14ac:dyDescent="0.2"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  <c r="AP25" s="155"/>
      <c r="AQ25" s="155"/>
      <c r="AR25" s="155"/>
      <c r="AS25" s="155"/>
      <c r="AT25" s="155"/>
      <c r="AU25" s="155"/>
      <c r="AV25" s="155"/>
      <c r="AW25" s="155"/>
      <c r="AX25" s="155"/>
      <c r="AY25" s="155"/>
      <c r="AZ25" s="124"/>
    </row>
    <row r="26" spans="1:52" x14ac:dyDescent="0.2">
      <c r="A26" s="180" t="s">
        <v>18</v>
      </c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24"/>
      <c r="AX26" s="124"/>
      <c r="AY26" s="124"/>
      <c r="AZ26" s="124"/>
    </row>
    <row r="27" spans="1:52" x14ac:dyDescent="0.2">
      <c r="B27" s="152" t="s">
        <v>309</v>
      </c>
      <c r="C27" s="141">
        <v>48</v>
      </c>
      <c r="D27" s="141">
        <f>C$27-C$28+C$29</f>
        <v>48</v>
      </c>
      <c r="E27" s="141">
        <f t="shared" ref="E27:AY27" si="8">D27-D28+D29</f>
        <v>49</v>
      </c>
      <c r="F27" s="141">
        <f t="shared" si="8"/>
        <v>21</v>
      </c>
      <c r="G27" s="141">
        <f t="shared" si="8"/>
        <v>45</v>
      </c>
      <c r="H27" s="141">
        <f t="shared" si="8"/>
        <v>21</v>
      </c>
      <c r="I27" s="141">
        <f t="shared" si="8"/>
        <v>45</v>
      </c>
      <c r="J27" s="141">
        <f t="shared" si="8"/>
        <v>21</v>
      </c>
      <c r="K27" s="141">
        <f t="shared" si="8"/>
        <v>45</v>
      </c>
      <c r="L27" s="141">
        <f t="shared" si="8"/>
        <v>21</v>
      </c>
      <c r="M27" s="141">
        <f t="shared" si="8"/>
        <v>45</v>
      </c>
      <c r="N27" s="141">
        <f t="shared" si="8"/>
        <v>21</v>
      </c>
      <c r="O27" s="141">
        <f t="shared" si="8"/>
        <v>45</v>
      </c>
      <c r="P27" s="141">
        <f t="shared" si="8"/>
        <v>21</v>
      </c>
      <c r="Q27" s="141">
        <f t="shared" si="8"/>
        <v>45</v>
      </c>
      <c r="R27" s="141">
        <f t="shared" si="8"/>
        <v>21</v>
      </c>
      <c r="S27" s="141">
        <f t="shared" si="8"/>
        <v>45</v>
      </c>
      <c r="T27" s="141">
        <f t="shared" si="8"/>
        <v>21</v>
      </c>
      <c r="U27" s="141">
        <f t="shared" si="8"/>
        <v>45</v>
      </c>
      <c r="V27" s="141">
        <f t="shared" si="8"/>
        <v>21</v>
      </c>
      <c r="W27" s="141">
        <f t="shared" si="8"/>
        <v>45</v>
      </c>
      <c r="X27" s="141">
        <f t="shared" si="8"/>
        <v>21</v>
      </c>
      <c r="Y27" s="141">
        <f t="shared" si="8"/>
        <v>45</v>
      </c>
      <c r="Z27" s="141">
        <f t="shared" si="8"/>
        <v>66</v>
      </c>
      <c r="AA27" s="141">
        <f t="shared" si="8"/>
        <v>0</v>
      </c>
      <c r="AB27" s="141">
        <f t="shared" si="8"/>
        <v>66</v>
      </c>
      <c r="AC27" s="141">
        <f t="shared" si="8"/>
        <v>21</v>
      </c>
      <c r="AD27" s="141">
        <f t="shared" si="8"/>
        <v>45</v>
      </c>
      <c r="AE27" s="141">
        <f t="shared" si="8"/>
        <v>21</v>
      </c>
      <c r="AF27" s="141">
        <f t="shared" si="8"/>
        <v>45</v>
      </c>
      <c r="AG27" s="141">
        <f t="shared" si="8"/>
        <v>21</v>
      </c>
      <c r="AH27" s="141">
        <f t="shared" si="8"/>
        <v>45</v>
      </c>
      <c r="AI27" s="141">
        <f t="shared" si="8"/>
        <v>21</v>
      </c>
      <c r="AJ27" s="141">
        <f t="shared" si="8"/>
        <v>45</v>
      </c>
      <c r="AK27" s="141">
        <f t="shared" si="8"/>
        <v>21</v>
      </c>
      <c r="AL27" s="141">
        <f t="shared" si="8"/>
        <v>45</v>
      </c>
      <c r="AM27" s="141">
        <f t="shared" si="8"/>
        <v>21</v>
      </c>
      <c r="AN27" s="141">
        <f t="shared" si="8"/>
        <v>45</v>
      </c>
      <c r="AO27" s="141">
        <f t="shared" si="8"/>
        <v>21</v>
      </c>
      <c r="AP27" s="141">
        <f t="shared" si="8"/>
        <v>45</v>
      </c>
      <c r="AQ27" s="141">
        <f t="shared" si="8"/>
        <v>21</v>
      </c>
      <c r="AR27" s="141">
        <f t="shared" si="8"/>
        <v>45</v>
      </c>
      <c r="AS27" s="141">
        <f t="shared" si="8"/>
        <v>21</v>
      </c>
      <c r="AT27" s="141">
        <f t="shared" si="8"/>
        <v>45</v>
      </c>
      <c r="AU27" s="141">
        <f t="shared" si="8"/>
        <v>21</v>
      </c>
      <c r="AV27" s="141">
        <f t="shared" si="8"/>
        <v>45</v>
      </c>
      <c r="AW27" s="141">
        <f t="shared" si="8"/>
        <v>21</v>
      </c>
      <c r="AX27" s="141">
        <f t="shared" si="8"/>
        <v>45</v>
      </c>
      <c r="AY27" s="181">
        <f t="shared" si="8"/>
        <v>66</v>
      </c>
      <c r="AZ27" s="124"/>
    </row>
    <row r="28" spans="1:52" x14ac:dyDescent="0.2">
      <c r="B28" s="182" t="s">
        <v>310</v>
      </c>
      <c r="C28" s="128">
        <v>18</v>
      </c>
      <c r="D28" s="128">
        <v>17</v>
      </c>
      <c r="E28" s="128">
        <v>45</v>
      </c>
      <c r="F28" s="128">
        <v>21</v>
      </c>
      <c r="G28" s="128">
        <v>45</v>
      </c>
      <c r="H28" s="128">
        <v>21</v>
      </c>
      <c r="I28" s="128">
        <v>45</v>
      </c>
      <c r="J28" s="128">
        <v>21</v>
      </c>
      <c r="K28" s="128">
        <v>45</v>
      </c>
      <c r="L28" s="128">
        <v>21</v>
      </c>
      <c r="M28" s="128">
        <v>45</v>
      </c>
      <c r="N28" s="128">
        <v>21</v>
      </c>
      <c r="O28" s="128">
        <v>45</v>
      </c>
      <c r="P28" s="128">
        <v>21</v>
      </c>
      <c r="Q28" s="128">
        <v>45</v>
      </c>
      <c r="R28" s="128">
        <v>21</v>
      </c>
      <c r="S28" s="128">
        <v>45</v>
      </c>
      <c r="T28" s="128">
        <v>21</v>
      </c>
      <c r="U28" s="128">
        <v>45</v>
      </c>
      <c r="V28" s="128">
        <v>21</v>
      </c>
      <c r="W28" s="128">
        <v>45</v>
      </c>
      <c r="X28" s="128">
        <v>21</v>
      </c>
      <c r="Y28" s="128">
        <v>0</v>
      </c>
      <c r="Z28" s="128">
        <v>66</v>
      </c>
      <c r="AA28" s="128">
        <v>0</v>
      </c>
      <c r="AB28" s="128">
        <v>45</v>
      </c>
      <c r="AC28" s="128">
        <v>21</v>
      </c>
      <c r="AD28" s="128">
        <v>45</v>
      </c>
      <c r="AE28" s="128">
        <v>21</v>
      </c>
      <c r="AF28" s="128">
        <v>45</v>
      </c>
      <c r="AG28" s="128">
        <v>21</v>
      </c>
      <c r="AH28" s="128">
        <v>45</v>
      </c>
      <c r="AI28" s="128">
        <v>21</v>
      </c>
      <c r="AJ28" s="128">
        <v>45</v>
      </c>
      <c r="AK28" s="128">
        <v>21</v>
      </c>
      <c r="AL28" s="128">
        <v>45</v>
      </c>
      <c r="AM28" s="128">
        <v>21</v>
      </c>
      <c r="AN28" s="128">
        <v>45</v>
      </c>
      <c r="AO28" s="128">
        <v>21</v>
      </c>
      <c r="AP28" s="128">
        <v>45</v>
      </c>
      <c r="AQ28" s="128">
        <v>21</v>
      </c>
      <c r="AR28" s="128">
        <v>45</v>
      </c>
      <c r="AS28" s="128">
        <v>21</v>
      </c>
      <c r="AT28" s="128">
        <v>45</v>
      </c>
      <c r="AU28" s="128">
        <v>21</v>
      </c>
      <c r="AV28" s="128">
        <v>45</v>
      </c>
      <c r="AW28" s="128">
        <v>21</v>
      </c>
      <c r="AX28" s="128">
        <v>0</v>
      </c>
      <c r="AY28" s="183">
        <v>66</v>
      </c>
      <c r="AZ28" s="124"/>
    </row>
    <row r="29" spans="1:52" x14ac:dyDescent="0.2">
      <c r="B29" s="153" t="s">
        <v>311</v>
      </c>
      <c r="C29" s="142">
        <v>18</v>
      </c>
      <c r="D29" s="142">
        <f>C$28</f>
        <v>18</v>
      </c>
      <c r="E29" s="142">
        <f t="shared" ref="E29:AY29" si="9">D$28</f>
        <v>17</v>
      </c>
      <c r="F29" s="142">
        <f t="shared" si="9"/>
        <v>45</v>
      </c>
      <c r="G29" s="142">
        <f t="shared" si="9"/>
        <v>21</v>
      </c>
      <c r="H29" s="142">
        <f t="shared" si="9"/>
        <v>45</v>
      </c>
      <c r="I29" s="142">
        <f t="shared" si="9"/>
        <v>21</v>
      </c>
      <c r="J29" s="142">
        <f t="shared" si="9"/>
        <v>45</v>
      </c>
      <c r="K29" s="142">
        <f t="shared" si="9"/>
        <v>21</v>
      </c>
      <c r="L29" s="142">
        <f t="shared" si="9"/>
        <v>45</v>
      </c>
      <c r="M29" s="142">
        <f t="shared" si="9"/>
        <v>21</v>
      </c>
      <c r="N29" s="142">
        <f t="shared" si="9"/>
        <v>45</v>
      </c>
      <c r="O29" s="142">
        <f t="shared" si="9"/>
        <v>21</v>
      </c>
      <c r="P29" s="142">
        <f t="shared" si="9"/>
        <v>45</v>
      </c>
      <c r="Q29" s="142">
        <f t="shared" si="9"/>
        <v>21</v>
      </c>
      <c r="R29" s="142">
        <f t="shared" si="9"/>
        <v>45</v>
      </c>
      <c r="S29" s="142">
        <f t="shared" si="9"/>
        <v>21</v>
      </c>
      <c r="T29" s="142">
        <f t="shared" si="9"/>
        <v>45</v>
      </c>
      <c r="U29" s="142">
        <f t="shared" si="9"/>
        <v>21</v>
      </c>
      <c r="V29" s="142">
        <f t="shared" si="9"/>
        <v>45</v>
      </c>
      <c r="W29" s="142">
        <f t="shared" si="9"/>
        <v>21</v>
      </c>
      <c r="X29" s="142">
        <f t="shared" si="9"/>
        <v>45</v>
      </c>
      <c r="Y29" s="142">
        <f t="shared" si="9"/>
        <v>21</v>
      </c>
      <c r="Z29" s="142">
        <f t="shared" si="9"/>
        <v>0</v>
      </c>
      <c r="AA29" s="142">
        <f t="shared" si="9"/>
        <v>66</v>
      </c>
      <c r="AB29" s="142">
        <f t="shared" si="9"/>
        <v>0</v>
      </c>
      <c r="AC29" s="142">
        <f t="shared" si="9"/>
        <v>45</v>
      </c>
      <c r="AD29" s="142">
        <f t="shared" si="9"/>
        <v>21</v>
      </c>
      <c r="AE29" s="142">
        <f t="shared" si="9"/>
        <v>45</v>
      </c>
      <c r="AF29" s="142">
        <f t="shared" si="9"/>
        <v>21</v>
      </c>
      <c r="AG29" s="142">
        <f t="shared" si="9"/>
        <v>45</v>
      </c>
      <c r="AH29" s="142">
        <f t="shared" si="9"/>
        <v>21</v>
      </c>
      <c r="AI29" s="142">
        <f t="shared" si="9"/>
        <v>45</v>
      </c>
      <c r="AJ29" s="142">
        <f t="shared" si="9"/>
        <v>21</v>
      </c>
      <c r="AK29" s="142">
        <f t="shared" si="9"/>
        <v>45</v>
      </c>
      <c r="AL29" s="142">
        <f t="shared" si="9"/>
        <v>21</v>
      </c>
      <c r="AM29" s="142">
        <f t="shared" si="9"/>
        <v>45</v>
      </c>
      <c r="AN29" s="142">
        <f t="shared" si="9"/>
        <v>21</v>
      </c>
      <c r="AO29" s="142">
        <f t="shared" si="9"/>
        <v>45</v>
      </c>
      <c r="AP29" s="142">
        <f t="shared" si="9"/>
        <v>21</v>
      </c>
      <c r="AQ29" s="142">
        <f t="shared" si="9"/>
        <v>45</v>
      </c>
      <c r="AR29" s="142">
        <f t="shared" si="9"/>
        <v>21</v>
      </c>
      <c r="AS29" s="142">
        <f t="shared" si="9"/>
        <v>45</v>
      </c>
      <c r="AT29" s="142">
        <f t="shared" si="9"/>
        <v>21</v>
      </c>
      <c r="AU29" s="142">
        <f t="shared" si="9"/>
        <v>45</v>
      </c>
      <c r="AV29" s="142">
        <f t="shared" si="9"/>
        <v>21</v>
      </c>
      <c r="AW29" s="142">
        <f t="shared" si="9"/>
        <v>45</v>
      </c>
      <c r="AX29" s="142">
        <f t="shared" si="9"/>
        <v>21</v>
      </c>
      <c r="AY29" s="184">
        <f t="shared" si="9"/>
        <v>0</v>
      </c>
      <c r="AZ29" s="185"/>
    </row>
    <row r="30" spans="1:52" x14ac:dyDescent="0.2">
      <c r="A30" s="186" t="s">
        <v>312</v>
      </c>
      <c r="B30" s="161">
        <v>10</v>
      </c>
      <c r="C30" s="134" t="s">
        <v>293</v>
      </c>
      <c r="D30" s="134">
        <f>D$27*$B$30</f>
        <v>480</v>
      </c>
      <c r="E30" s="134">
        <f t="shared" ref="E30:AY30" si="10">E$27*$B$30</f>
        <v>490</v>
      </c>
      <c r="F30" s="134">
        <f t="shared" si="10"/>
        <v>210</v>
      </c>
      <c r="G30" s="134">
        <f t="shared" si="10"/>
        <v>450</v>
      </c>
      <c r="H30" s="134">
        <f t="shared" si="10"/>
        <v>210</v>
      </c>
      <c r="I30" s="134">
        <f t="shared" si="10"/>
        <v>450</v>
      </c>
      <c r="J30" s="134">
        <f t="shared" si="10"/>
        <v>210</v>
      </c>
      <c r="K30" s="134">
        <f t="shared" si="10"/>
        <v>450</v>
      </c>
      <c r="L30" s="134">
        <f t="shared" si="10"/>
        <v>210</v>
      </c>
      <c r="M30" s="134">
        <f t="shared" si="10"/>
        <v>450</v>
      </c>
      <c r="N30" s="134">
        <f t="shared" si="10"/>
        <v>210</v>
      </c>
      <c r="O30" s="134">
        <f t="shared" si="10"/>
        <v>450</v>
      </c>
      <c r="P30" s="134">
        <f t="shared" si="10"/>
        <v>210</v>
      </c>
      <c r="Q30" s="134">
        <f t="shared" si="10"/>
        <v>450</v>
      </c>
      <c r="R30" s="134">
        <f>R$27*$B$30</f>
        <v>210</v>
      </c>
      <c r="S30" s="134">
        <f t="shared" si="10"/>
        <v>450</v>
      </c>
      <c r="T30" s="134">
        <f t="shared" si="10"/>
        <v>210</v>
      </c>
      <c r="U30" s="134">
        <f t="shared" si="10"/>
        <v>450</v>
      </c>
      <c r="V30" s="134">
        <f t="shared" si="10"/>
        <v>210</v>
      </c>
      <c r="W30" s="134">
        <f t="shared" si="10"/>
        <v>450</v>
      </c>
      <c r="X30" s="134">
        <f t="shared" si="10"/>
        <v>210</v>
      </c>
      <c r="Y30" s="134">
        <f t="shared" si="10"/>
        <v>450</v>
      </c>
      <c r="Z30" s="134">
        <f t="shared" si="10"/>
        <v>660</v>
      </c>
      <c r="AA30" s="134">
        <f t="shared" si="10"/>
        <v>0</v>
      </c>
      <c r="AB30" s="134">
        <f t="shared" si="10"/>
        <v>660</v>
      </c>
      <c r="AC30" s="134">
        <f t="shared" si="10"/>
        <v>210</v>
      </c>
      <c r="AD30" s="134">
        <f t="shared" si="10"/>
        <v>450</v>
      </c>
      <c r="AE30" s="134">
        <f>AE$27*$B$30</f>
        <v>210</v>
      </c>
      <c r="AF30" s="134">
        <f t="shared" si="10"/>
        <v>450</v>
      </c>
      <c r="AG30" s="134">
        <f t="shared" si="10"/>
        <v>210</v>
      </c>
      <c r="AH30" s="134">
        <f t="shared" si="10"/>
        <v>450</v>
      </c>
      <c r="AI30" s="134">
        <f t="shared" si="10"/>
        <v>210</v>
      </c>
      <c r="AJ30" s="134">
        <f t="shared" si="10"/>
        <v>450</v>
      </c>
      <c r="AK30" s="134">
        <f t="shared" si="10"/>
        <v>210</v>
      </c>
      <c r="AL30" s="134">
        <f t="shared" si="10"/>
        <v>450</v>
      </c>
      <c r="AM30" s="134">
        <f t="shared" si="10"/>
        <v>210</v>
      </c>
      <c r="AN30" s="134">
        <f t="shared" si="10"/>
        <v>450</v>
      </c>
      <c r="AO30" s="134">
        <f t="shared" si="10"/>
        <v>210</v>
      </c>
      <c r="AP30" s="134">
        <f t="shared" si="10"/>
        <v>450</v>
      </c>
      <c r="AQ30" s="134">
        <f t="shared" si="10"/>
        <v>210</v>
      </c>
      <c r="AR30" s="134">
        <f t="shared" si="10"/>
        <v>450</v>
      </c>
      <c r="AS30" s="134">
        <f t="shared" si="10"/>
        <v>210</v>
      </c>
      <c r="AT30" s="134">
        <f t="shared" si="10"/>
        <v>450</v>
      </c>
      <c r="AU30" s="134">
        <f t="shared" si="10"/>
        <v>210</v>
      </c>
      <c r="AV30" s="134">
        <f t="shared" si="10"/>
        <v>450</v>
      </c>
      <c r="AW30" s="134">
        <f t="shared" si="10"/>
        <v>210</v>
      </c>
      <c r="AX30" s="134">
        <f t="shared" si="10"/>
        <v>450</v>
      </c>
      <c r="AY30" s="134">
        <f t="shared" si="10"/>
        <v>660</v>
      </c>
      <c r="AZ30" s="158">
        <f t="shared" si="5"/>
        <v>16810</v>
      </c>
    </row>
    <row r="32" spans="1:52" x14ac:dyDescent="0.2">
      <c r="A32" s="1" t="s">
        <v>300</v>
      </c>
    </row>
    <row r="33" spans="1:52" x14ac:dyDescent="0.2">
      <c r="A33" s="152" t="s">
        <v>22</v>
      </c>
      <c r="B33" s="152" t="s">
        <v>341</v>
      </c>
      <c r="C33" s="141"/>
      <c r="D33" s="141">
        <f>D$21*shipping_manufacturing!$H$27/100</f>
        <v>492.59555470197961</v>
      </c>
      <c r="E33" s="141">
        <f>E$21*shipping_manufacturing!$H$27/100</f>
        <v>1325.5489045897211</v>
      </c>
      <c r="F33" s="141">
        <f>F$21*shipping_manufacturing!$H$27/100</f>
        <v>1325.5489045897211</v>
      </c>
      <c r="G33" s="141">
        <f>G$21*shipping_manufacturing!$H$27/100</f>
        <v>1325.5489045897211</v>
      </c>
      <c r="H33" s="141">
        <f>H$21*shipping_manufacturing!$H$27/100</f>
        <v>1325.5489045897211</v>
      </c>
      <c r="I33" s="141">
        <f>I$21*shipping_manufacturing!$H$27/100</f>
        <v>1325.5489045897211</v>
      </c>
      <c r="J33" s="141">
        <f>J$21*shipping_manufacturing!$H$27/100</f>
        <v>1325.5489045897211</v>
      </c>
      <c r="K33" s="141">
        <f>K$21*shipping_manufacturing!$H$27/100</f>
        <v>1325.5489045897211</v>
      </c>
      <c r="L33" s="141">
        <f>L$21*shipping_manufacturing!$H$27/100</f>
        <v>1325.5489045897211</v>
      </c>
      <c r="M33" s="141">
        <f>M$21*shipping_manufacturing!$H$27/100</f>
        <v>1325.5489045897211</v>
      </c>
      <c r="N33" s="141">
        <f>N$21*shipping_manufacturing!$H$27/100</f>
        <v>1325.5489045897211</v>
      </c>
      <c r="O33" s="141">
        <f>O$21*shipping_manufacturing!$H$27/100</f>
        <v>1325.5489045897211</v>
      </c>
      <c r="P33" s="141">
        <f>P$21*shipping_manufacturing!$H$27/100</f>
        <v>1325.5489045897211</v>
      </c>
      <c r="Q33" s="141">
        <f>Q$21*shipping_manufacturing!$H$27/100</f>
        <v>1325.5489045897211</v>
      </c>
      <c r="R33" s="141">
        <f>R$21*shipping_manufacturing!$H$27/100</f>
        <v>1325.5489045897211</v>
      </c>
      <c r="S33" s="141">
        <f>S$21*shipping_manufacturing!$H$27/100</f>
        <v>1325.5489045897211</v>
      </c>
      <c r="T33" s="141">
        <f>T$21*shipping_manufacturing!$H$27/100</f>
        <v>1325.5489045897211</v>
      </c>
      <c r="U33" s="141">
        <f>U$21*shipping_manufacturing!$H$27/100</f>
        <v>1325.5489045897211</v>
      </c>
      <c r="V33" s="141">
        <f>V$21*shipping_manufacturing!$H$27/100</f>
        <v>1325.5489045897211</v>
      </c>
      <c r="W33" s="141">
        <f>W$21*shipping_manufacturing!$H$27/100</f>
        <v>1325.5489045897211</v>
      </c>
      <c r="X33" s="141">
        <f>X$21*shipping_manufacturing!$H$27/100</f>
        <v>1325.5489045897211</v>
      </c>
      <c r="Y33" s="141">
        <f>Y$21*shipping_manufacturing!$H$27/100</f>
        <v>0</v>
      </c>
      <c r="Z33" s="141">
        <f>Z$21*shipping_manufacturing!$H$27/100</f>
        <v>2651.0978091794423</v>
      </c>
      <c r="AA33" s="141">
        <f>AA$21*shipping_manufacturing!$H$27/100</f>
        <v>1325.5489045897211</v>
      </c>
      <c r="AB33" s="141">
        <f>AB$21*shipping_manufacturing!$H$27/100</f>
        <v>1325.5489045897211</v>
      </c>
      <c r="AC33" s="141">
        <f>AC$21*shipping_manufacturing!$H$27/100</f>
        <v>1325.5489045897211</v>
      </c>
      <c r="AD33" s="141">
        <f>AD$21*shipping_manufacturing!$H$27/100</f>
        <v>1325.5489045897211</v>
      </c>
      <c r="AE33" s="141">
        <f>AE$21*shipping_manufacturing!$H$27/100</f>
        <v>1325.5489045897211</v>
      </c>
      <c r="AF33" s="141">
        <f>AF$21*shipping_manufacturing!$H$27/100</f>
        <v>1325.5489045897211</v>
      </c>
      <c r="AG33" s="141">
        <f>AG$21*shipping_manufacturing!$H$27/100</f>
        <v>1325.5489045897211</v>
      </c>
      <c r="AH33" s="141">
        <f>AH$21*shipping_manufacturing!$H$27/100</f>
        <v>1325.5489045897211</v>
      </c>
      <c r="AI33" s="141">
        <f>AI$21*shipping_manufacturing!$H$27/100</f>
        <v>1325.5489045897211</v>
      </c>
      <c r="AJ33" s="141">
        <f>AJ$21*shipping_manufacturing!$H$27/100</f>
        <v>1325.5489045897211</v>
      </c>
      <c r="AK33" s="141">
        <f>AK$21*shipping_manufacturing!$H$27/100</f>
        <v>1325.5489045897211</v>
      </c>
      <c r="AL33" s="141">
        <f>AL$21*shipping_manufacturing!$H$27/100</f>
        <v>1325.5489045897211</v>
      </c>
      <c r="AM33" s="141">
        <f>AM$21*shipping_manufacturing!$H$27/100</f>
        <v>1325.5489045897211</v>
      </c>
      <c r="AN33" s="141">
        <f>AN$21*shipping_manufacturing!$H$27/100</f>
        <v>1325.5489045897211</v>
      </c>
      <c r="AO33" s="141">
        <f>AO$21*shipping_manufacturing!$H$27/100</f>
        <v>1325.5489045897211</v>
      </c>
      <c r="AP33" s="141">
        <f>AP$21*shipping_manufacturing!$H$27/100</f>
        <v>1325.5489045897211</v>
      </c>
      <c r="AQ33" s="141">
        <f>AQ$21*shipping_manufacturing!$H$27/100</f>
        <v>1325.5489045897211</v>
      </c>
      <c r="AR33" s="141">
        <f>AR$21*shipping_manufacturing!$H$27/100</f>
        <v>1325.5489045897211</v>
      </c>
      <c r="AS33" s="141">
        <f>AS$21*shipping_manufacturing!$H$27/100</f>
        <v>1325.5489045897211</v>
      </c>
      <c r="AT33" s="141">
        <f>AT$21*shipping_manufacturing!$H$27/100</f>
        <v>1325.5489045897211</v>
      </c>
      <c r="AU33" s="141">
        <f>AU$21*shipping_manufacturing!$H$27/100</f>
        <v>1325.5489045897211</v>
      </c>
      <c r="AV33" s="141">
        <f>AV$21*shipping_manufacturing!$H$27/100</f>
        <v>1325.5489045897211</v>
      </c>
      <c r="AW33" s="141">
        <f>AW$21*shipping_manufacturing!$H$27/100</f>
        <v>1325.5489045897211</v>
      </c>
      <c r="AX33" s="141">
        <f>AX$21*shipping_manufacturing!$H$27/100</f>
        <v>0</v>
      </c>
      <c r="AY33" s="141">
        <f>AY$21*shipping_manufacturing!$H$27/100</f>
        <v>2651.0978091794423</v>
      </c>
    </row>
    <row r="34" spans="1:52" x14ac:dyDescent="0.2">
      <c r="A34" s="130" t="s">
        <v>340</v>
      </c>
      <c r="B34" s="182" t="s">
        <v>342</v>
      </c>
      <c r="C34" s="128"/>
      <c r="D34" s="128">
        <f>D$22*shipping_manufacturing!$I$27/100</f>
        <v>0</v>
      </c>
      <c r="E34" s="128">
        <f>E$22*shipping_manufacturing!$I$27/100</f>
        <v>0</v>
      </c>
      <c r="F34" s="128">
        <f>F$22*shipping_manufacturing!$I$27/100</f>
        <v>0</v>
      </c>
      <c r="G34" s="128">
        <f>G$22*shipping_manufacturing!$I$27/100</f>
        <v>0</v>
      </c>
      <c r="H34" s="128">
        <f>H$22*shipping_manufacturing!$I$27/100</f>
        <v>0</v>
      </c>
      <c r="I34" s="128">
        <f>I$22*shipping_manufacturing!$I$27/100</f>
        <v>0</v>
      </c>
      <c r="J34" s="128">
        <f>J$22*shipping_manufacturing!$I$27/100</f>
        <v>0</v>
      </c>
      <c r="K34" s="128">
        <f>K$22*shipping_manufacturing!$I$27/100</f>
        <v>0</v>
      </c>
      <c r="L34" s="128">
        <f>L$22*shipping_manufacturing!$I$27/100</f>
        <v>0</v>
      </c>
      <c r="M34" s="128">
        <f>M$22*shipping_manufacturing!$I$27/100</f>
        <v>0</v>
      </c>
      <c r="N34" s="128">
        <f>N$22*shipping_manufacturing!$I$27/100</f>
        <v>0</v>
      </c>
      <c r="O34" s="128">
        <f>O$22*shipping_manufacturing!$I$27/100</f>
        <v>0</v>
      </c>
      <c r="P34" s="128">
        <f>P$22*shipping_manufacturing!$I$27/100</f>
        <v>0</v>
      </c>
      <c r="Q34" s="128">
        <f>Q$22*shipping_manufacturing!$I$27/100</f>
        <v>0</v>
      </c>
      <c r="R34" s="128">
        <f>R$22*shipping_manufacturing!$I$27/100</f>
        <v>0</v>
      </c>
      <c r="S34" s="128">
        <f>S$22*shipping_manufacturing!$I$27/100</f>
        <v>0</v>
      </c>
      <c r="T34" s="128">
        <f>T$22*shipping_manufacturing!$I$27/100</f>
        <v>0</v>
      </c>
      <c r="U34" s="128">
        <f>U$22*shipping_manufacturing!$I$27/100</f>
        <v>0</v>
      </c>
      <c r="V34" s="128">
        <f>V$22*shipping_manufacturing!$I$27/100</f>
        <v>0</v>
      </c>
      <c r="W34" s="128">
        <f>W$22*shipping_manufacturing!$I$27/100</f>
        <v>0</v>
      </c>
      <c r="X34" s="128">
        <f>X$22*shipping_manufacturing!$I$27/100</f>
        <v>0</v>
      </c>
      <c r="Y34" s="128">
        <f>Y$22*shipping_manufacturing!$I$27/100</f>
        <v>0</v>
      </c>
      <c r="Z34" s="128">
        <f>Z$22*shipping_manufacturing!$I$27/100</f>
        <v>0</v>
      </c>
      <c r="AA34" s="128">
        <f>AA$22*shipping_manufacturing!$I$27/100</f>
        <v>0</v>
      </c>
      <c r="AB34" s="128">
        <f>AB$22*shipping_manufacturing!$I$27/100</f>
        <v>0</v>
      </c>
      <c r="AC34" s="128">
        <f>AC$22*shipping_manufacturing!$I$27/100</f>
        <v>0</v>
      </c>
      <c r="AD34" s="128">
        <f>AD$22*shipping_manufacturing!$I$27/100</f>
        <v>0</v>
      </c>
      <c r="AE34" s="128">
        <f>AE$22*shipping_manufacturing!$I$27/100</f>
        <v>0</v>
      </c>
      <c r="AF34" s="128">
        <f>AF$22*shipping_manufacturing!$I$27/100</f>
        <v>0</v>
      </c>
      <c r="AG34" s="128">
        <f>AG$22*shipping_manufacturing!$I$27/100</f>
        <v>0</v>
      </c>
      <c r="AH34" s="128">
        <f>AH$22*shipping_manufacturing!$I$27/100</f>
        <v>0</v>
      </c>
      <c r="AI34" s="128">
        <f>AI$22*shipping_manufacturing!$I$27/100</f>
        <v>0</v>
      </c>
      <c r="AJ34" s="128">
        <f>AJ$22*shipping_manufacturing!$I$27/100</f>
        <v>0</v>
      </c>
      <c r="AK34" s="128">
        <f>AK$22*shipping_manufacturing!$I$27/100</f>
        <v>0</v>
      </c>
      <c r="AL34" s="128">
        <f>AL$22*shipping_manufacturing!$I$27/100</f>
        <v>0</v>
      </c>
      <c r="AM34" s="128">
        <f>AM$22*shipping_manufacturing!$I$27/100</f>
        <v>0</v>
      </c>
      <c r="AN34" s="128">
        <f>AN$22*shipping_manufacturing!$I$27/100</f>
        <v>0</v>
      </c>
      <c r="AO34" s="128">
        <f>AO$22*shipping_manufacturing!$I$27/100</f>
        <v>0</v>
      </c>
      <c r="AP34" s="128">
        <f>AP$22*shipping_manufacturing!$I$27/100</f>
        <v>0</v>
      </c>
      <c r="AQ34" s="128">
        <f>AQ$22*shipping_manufacturing!$I$27/100</f>
        <v>0</v>
      </c>
      <c r="AR34" s="128">
        <f>AR$22*shipping_manufacturing!$I$27/100</f>
        <v>0</v>
      </c>
      <c r="AS34" s="128">
        <f>AS$22*shipping_manufacturing!$I$27/100</f>
        <v>0</v>
      </c>
      <c r="AT34" s="128">
        <f>AT$22*shipping_manufacturing!$I$27/100</f>
        <v>0</v>
      </c>
      <c r="AU34" s="128">
        <f>AU$22*shipping_manufacturing!$I$27/100</f>
        <v>0</v>
      </c>
      <c r="AV34" s="128">
        <f>AV$22*shipping_manufacturing!$I$27/100</f>
        <v>0</v>
      </c>
      <c r="AW34" s="128">
        <f>AW$22*shipping_manufacturing!$I$27/100</f>
        <v>0</v>
      </c>
      <c r="AX34" s="128">
        <f>AX$22*shipping_manufacturing!$I$27/100</f>
        <v>0</v>
      </c>
      <c r="AY34" s="128">
        <f>AY$22*shipping_manufacturing!$I$27/100</f>
        <v>0</v>
      </c>
    </row>
    <row r="35" spans="1:52" x14ac:dyDescent="0.2">
      <c r="A35" s="128">
        <v>1245</v>
      </c>
      <c r="B35" s="182" t="s">
        <v>343</v>
      </c>
      <c r="C35" s="128"/>
      <c r="D35" s="128">
        <f>SUM(D33:D34)</f>
        <v>492.59555470197961</v>
      </c>
      <c r="E35" s="128">
        <f t="shared" ref="E35:AY35" si="11">SUM(E33:E34)</f>
        <v>1325.5489045897211</v>
      </c>
      <c r="F35" s="128">
        <f t="shared" si="11"/>
        <v>1325.5489045897211</v>
      </c>
      <c r="G35" s="128">
        <f t="shared" si="11"/>
        <v>1325.5489045897211</v>
      </c>
      <c r="H35" s="128">
        <f t="shared" si="11"/>
        <v>1325.5489045897211</v>
      </c>
      <c r="I35" s="128">
        <f t="shared" si="11"/>
        <v>1325.5489045897211</v>
      </c>
      <c r="J35" s="128">
        <f t="shared" si="11"/>
        <v>1325.5489045897211</v>
      </c>
      <c r="K35" s="128">
        <f t="shared" si="11"/>
        <v>1325.5489045897211</v>
      </c>
      <c r="L35" s="128">
        <f t="shared" si="11"/>
        <v>1325.5489045897211</v>
      </c>
      <c r="M35" s="128">
        <f t="shared" si="11"/>
        <v>1325.5489045897211</v>
      </c>
      <c r="N35" s="128">
        <f t="shared" si="11"/>
        <v>1325.5489045897211</v>
      </c>
      <c r="O35" s="128">
        <f t="shared" si="11"/>
        <v>1325.5489045897211</v>
      </c>
      <c r="P35" s="128">
        <f t="shared" si="11"/>
        <v>1325.5489045897211</v>
      </c>
      <c r="Q35" s="128">
        <f t="shared" si="11"/>
        <v>1325.5489045897211</v>
      </c>
      <c r="R35" s="128">
        <f t="shared" si="11"/>
        <v>1325.5489045897211</v>
      </c>
      <c r="S35" s="128">
        <f t="shared" si="11"/>
        <v>1325.5489045897211</v>
      </c>
      <c r="T35" s="128">
        <f t="shared" si="11"/>
        <v>1325.5489045897211</v>
      </c>
      <c r="U35" s="128">
        <f t="shared" si="11"/>
        <v>1325.5489045897211</v>
      </c>
      <c r="V35" s="128">
        <f t="shared" si="11"/>
        <v>1325.5489045897211</v>
      </c>
      <c r="W35" s="128">
        <f t="shared" si="11"/>
        <v>1325.5489045897211</v>
      </c>
      <c r="X35" s="128">
        <f t="shared" si="11"/>
        <v>1325.5489045897211</v>
      </c>
      <c r="Y35" s="128">
        <f t="shared" si="11"/>
        <v>0</v>
      </c>
      <c r="Z35" s="128">
        <f t="shared" si="11"/>
        <v>2651.0978091794423</v>
      </c>
      <c r="AA35" s="128">
        <f t="shared" si="11"/>
        <v>1325.5489045897211</v>
      </c>
      <c r="AB35" s="128">
        <f t="shared" si="11"/>
        <v>1325.5489045897211</v>
      </c>
      <c r="AC35" s="128">
        <f t="shared" si="11"/>
        <v>1325.5489045897211</v>
      </c>
      <c r="AD35" s="128">
        <f t="shared" si="11"/>
        <v>1325.5489045897211</v>
      </c>
      <c r="AE35" s="128">
        <f t="shared" si="11"/>
        <v>1325.5489045897211</v>
      </c>
      <c r="AF35" s="128">
        <f t="shared" si="11"/>
        <v>1325.5489045897211</v>
      </c>
      <c r="AG35" s="128">
        <f t="shared" si="11"/>
        <v>1325.5489045897211</v>
      </c>
      <c r="AH35" s="128">
        <f t="shared" si="11"/>
        <v>1325.5489045897211</v>
      </c>
      <c r="AI35" s="128">
        <f t="shared" si="11"/>
        <v>1325.5489045897211</v>
      </c>
      <c r="AJ35" s="128">
        <f t="shared" si="11"/>
        <v>1325.5489045897211</v>
      </c>
      <c r="AK35" s="128">
        <f t="shared" si="11"/>
        <v>1325.5489045897211</v>
      </c>
      <c r="AL35" s="128">
        <f t="shared" si="11"/>
        <v>1325.5489045897211</v>
      </c>
      <c r="AM35" s="128">
        <f t="shared" si="11"/>
        <v>1325.5489045897211</v>
      </c>
      <c r="AN35" s="128">
        <f t="shared" si="11"/>
        <v>1325.5489045897211</v>
      </c>
      <c r="AO35" s="128">
        <f t="shared" si="11"/>
        <v>1325.5489045897211</v>
      </c>
      <c r="AP35" s="128">
        <f t="shared" si="11"/>
        <v>1325.5489045897211</v>
      </c>
      <c r="AQ35" s="128">
        <f t="shared" si="11"/>
        <v>1325.5489045897211</v>
      </c>
      <c r="AR35" s="128">
        <f t="shared" si="11"/>
        <v>1325.5489045897211</v>
      </c>
      <c r="AS35" s="128">
        <f t="shared" si="11"/>
        <v>1325.5489045897211</v>
      </c>
      <c r="AT35" s="128">
        <f t="shared" si="11"/>
        <v>1325.5489045897211</v>
      </c>
      <c r="AU35" s="128">
        <f t="shared" si="11"/>
        <v>1325.5489045897211</v>
      </c>
      <c r="AV35" s="128">
        <f t="shared" si="11"/>
        <v>1325.5489045897211</v>
      </c>
      <c r="AW35" s="128">
        <f t="shared" si="11"/>
        <v>1325.5489045897211</v>
      </c>
      <c r="AX35" s="128">
        <f t="shared" si="11"/>
        <v>0</v>
      </c>
      <c r="AY35" s="128">
        <f t="shared" si="11"/>
        <v>2651.0978091794423</v>
      </c>
    </row>
    <row r="36" spans="1:52" x14ac:dyDescent="0.2">
      <c r="A36" s="128"/>
      <c r="B36" s="182" t="s">
        <v>344</v>
      </c>
      <c r="C36" s="128"/>
      <c r="D36" s="128">
        <v>492.59555470197961</v>
      </c>
      <c r="E36" s="128">
        <v>1325.5489045897211</v>
      </c>
      <c r="F36" s="128">
        <v>630</v>
      </c>
      <c r="G36" s="128">
        <v>1325.5489045897211</v>
      </c>
      <c r="H36" s="128">
        <v>630</v>
      </c>
      <c r="I36" s="128">
        <v>1325.5489045897211</v>
      </c>
      <c r="J36" s="128">
        <v>630</v>
      </c>
      <c r="K36" s="128">
        <v>1325.5489045897211</v>
      </c>
      <c r="L36" s="128">
        <v>630</v>
      </c>
      <c r="M36" s="128">
        <v>1325.5489045897211</v>
      </c>
      <c r="N36" s="128">
        <v>630</v>
      </c>
      <c r="O36" s="128">
        <v>1325.5489045897211</v>
      </c>
      <c r="P36" s="128">
        <v>630</v>
      </c>
      <c r="Q36" s="128">
        <v>1325.5489045897211</v>
      </c>
      <c r="R36" s="128">
        <v>630</v>
      </c>
      <c r="S36" s="128">
        <v>1325.5489045897211</v>
      </c>
      <c r="T36" s="128">
        <v>630</v>
      </c>
      <c r="U36" s="128">
        <v>1325.5489045897211</v>
      </c>
      <c r="V36" s="128">
        <v>630</v>
      </c>
      <c r="W36" s="128">
        <v>1325.5489045897211</v>
      </c>
      <c r="X36" s="128">
        <v>630</v>
      </c>
      <c r="Y36" s="128"/>
      <c r="Z36" s="128">
        <v>1980</v>
      </c>
      <c r="AA36" s="128"/>
      <c r="AB36" s="128">
        <v>1325.5489045897211</v>
      </c>
      <c r="AC36" s="128">
        <v>630</v>
      </c>
      <c r="AD36" s="128">
        <v>1325.5489045897211</v>
      </c>
      <c r="AE36" s="128">
        <v>630</v>
      </c>
      <c r="AF36" s="128">
        <v>1325.5489045897211</v>
      </c>
      <c r="AG36" s="128">
        <v>630</v>
      </c>
      <c r="AH36" s="128">
        <v>1325.5489045897211</v>
      </c>
      <c r="AI36" s="128">
        <v>630</v>
      </c>
      <c r="AJ36" s="128">
        <v>1325.5489045897211</v>
      </c>
      <c r="AK36" s="128">
        <v>630</v>
      </c>
      <c r="AL36" s="128">
        <v>1325.5489045897211</v>
      </c>
      <c r="AM36" s="128">
        <v>630</v>
      </c>
      <c r="AN36" s="128">
        <v>1325.5489045897211</v>
      </c>
      <c r="AO36" s="128">
        <v>630</v>
      </c>
      <c r="AP36" s="128">
        <v>1325.5489045897211</v>
      </c>
      <c r="AQ36" s="128">
        <v>630</v>
      </c>
      <c r="AR36" s="128">
        <v>1325.5489045897211</v>
      </c>
      <c r="AS36" s="128">
        <v>630</v>
      </c>
      <c r="AT36" s="128">
        <v>1325.5489045897211</v>
      </c>
      <c r="AU36" s="128">
        <v>630</v>
      </c>
      <c r="AV36" s="128">
        <v>1325.5489045897211</v>
      </c>
      <c r="AW36" s="128">
        <v>630</v>
      </c>
      <c r="AX36" s="128"/>
      <c r="AY36" s="128">
        <v>1980</v>
      </c>
    </row>
    <row r="37" spans="1:52" x14ac:dyDescent="0.2">
      <c r="A37" s="128"/>
      <c r="B37" s="182" t="s">
        <v>345</v>
      </c>
      <c r="C37" s="128"/>
      <c r="D37" s="128">
        <v>0</v>
      </c>
      <c r="E37" s="128">
        <v>0</v>
      </c>
      <c r="F37" s="128">
        <v>0</v>
      </c>
      <c r="G37" s="128">
        <v>0</v>
      </c>
      <c r="H37" s="128">
        <v>0</v>
      </c>
      <c r="I37" s="128">
        <v>0</v>
      </c>
      <c r="J37" s="128">
        <v>0</v>
      </c>
      <c r="K37" s="128">
        <v>0</v>
      </c>
      <c r="L37" s="128">
        <v>0</v>
      </c>
      <c r="M37" s="128">
        <v>0</v>
      </c>
      <c r="N37" s="128">
        <v>0</v>
      </c>
      <c r="O37" s="128">
        <v>0</v>
      </c>
      <c r="P37" s="128">
        <v>0</v>
      </c>
      <c r="Q37" s="128">
        <v>0</v>
      </c>
      <c r="R37" s="128">
        <v>0</v>
      </c>
      <c r="S37" s="128">
        <v>0</v>
      </c>
      <c r="T37" s="128">
        <v>0</v>
      </c>
      <c r="U37" s="128">
        <v>0</v>
      </c>
      <c r="V37" s="128">
        <v>0</v>
      </c>
      <c r="W37" s="128">
        <v>0</v>
      </c>
      <c r="X37" s="128">
        <v>0</v>
      </c>
      <c r="Y37" s="128"/>
      <c r="Z37" s="128">
        <v>0</v>
      </c>
      <c r="AA37" s="128"/>
      <c r="AB37" s="128">
        <v>0</v>
      </c>
      <c r="AC37" s="128">
        <v>0</v>
      </c>
      <c r="AD37" s="128">
        <v>0</v>
      </c>
      <c r="AE37" s="128">
        <v>0</v>
      </c>
      <c r="AF37" s="128">
        <v>0</v>
      </c>
      <c r="AG37" s="128">
        <v>0</v>
      </c>
      <c r="AH37" s="128">
        <v>0</v>
      </c>
      <c r="AI37" s="128">
        <v>0</v>
      </c>
      <c r="AJ37" s="128">
        <v>0</v>
      </c>
      <c r="AK37" s="128">
        <v>0</v>
      </c>
      <c r="AL37" s="128">
        <v>0</v>
      </c>
      <c r="AM37" s="128">
        <v>0</v>
      </c>
      <c r="AN37" s="128">
        <v>0</v>
      </c>
      <c r="AO37" s="128">
        <v>0</v>
      </c>
      <c r="AP37" s="128">
        <v>0</v>
      </c>
      <c r="AQ37" s="128">
        <v>0</v>
      </c>
      <c r="AR37" s="128">
        <v>0</v>
      </c>
      <c r="AS37" s="128">
        <v>0</v>
      </c>
      <c r="AT37" s="128">
        <v>0</v>
      </c>
      <c r="AU37" s="128">
        <v>0</v>
      </c>
      <c r="AV37" s="128">
        <v>0</v>
      </c>
      <c r="AW37" s="128">
        <v>0</v>
      </c>
      <c r="AX37" s="128"/>
      <c r="AY37" s="128">
        <v>0</v>
      </c>
    </row>
    <row r="38" spans="1:52" x14ac:dyDescent="0.2">
      <c r="A38" s="128"/>
      <c r="B38" s="182" t="s">
        <v>346</v>
      </c>
      <c r="C38" s="128"/>
      <c r="D38" s="128">
        <v>17</v>
      </c>
      <c r="E38" s="128">
        <v>45</v>
      </c>
      <c r="F38" s="128">
        <v>21</v>
      </c>
      <c r="G38" s="128">
        <v>45</v>
      </c>
      <c r="H38" s="128">
        <v>21</v>
      </c>
      <c r="I38" s="128">
        <v>45</v>
      </c>
      <c r="J38" s="128">
        <v>21</v>
      </c>
      <c r="K38" s="128">
        <v>45</v>
      </c>
      <c r="L38" s="128">
        <v>21</v>
      </c>
      <c r="M38" s="128">
        <v>45</v>
      </c>
      <c r="N38" s="128">
        <v>21</v>
      </c>
      <c r="O38" s="128">
        <v>45</v>
      </c>
      <c r="P38" s="128">
        <v>21</v>
      </c>
      <c r="Q38" s="128">
        <v>45</v>
      </c>
      <c r="R38" s="128">
        <v>21</v>
      </c>
      <c r="S38" s="128">
        <v>45</v>
      </c>
      <c r="T38" s="128">
        <v>21</v>
      </c>
      <c r="U38" s="128">
        <v>45</v>
      </c>
      <c r="V38" s="128">
        <v>21</v>
      </c>
      <c r="W38" s="128">
        <v>45</v>
      </c>
      <c r="X38" s="128">
        <v>21</v>
      </c>
      <c r="Y38" s="128"/>
      <c r="Z38" s="128">
        <v>66</v>
      </c>
      <c r="AA38" s="128"/>
      <c r="AB38" s="128">
        <v>45</v>
      </c>
      <c r="AC38" s="128">
        <v>21</v>
      </c>
      <c r="AD38" s="128">
        <v>45</v>
      </c>
      <c r="AE38" s="128">
        <v>21</v>
      </c>
      <c r="AF38" s="128">
        <v>45</v>
      </c>
      <c r="AG38" s="128">
        <v>21</v>
      </c>
      <c r="AH38" s="128">
        <v>45</v>
      </c>
      <c r="AI38" s="128">
        <v>21</v>
      </c>
      <c r="AJ38" s="128">
        <v>45</v>
      </c>
      <c r="AK38" s="128">
        <v>21</v>
      </c>
      <c r="AL38" s="128">
        <v>45</v>
      </c>
      <c r="AM38" s="128">
        <v>21</v>
      </c>
      <c r="AN38" s="128">
        <v>45</v>
      </c>
      <c r="AO38" s="128">
        <v>21</v>
      </c>
      <c r="AP38" s="128">
        <v>45</v>
      </c>
      <c r="AQ38" s="128">
        <v>21</v>
      </c>
      <c r="AR38" s="128">
        <v>45</v>
      </c>
      <c r="AS38" s="128">
        <v>21</v>
      </c>
      <c r="AT38" s="128">
        <v>45</v>
      </c>
      <c r="AU38" s="128">
        <v>21</v>
      </c>
      <c r="AV38" s="128">
        <v>45</v>
      </c>
      <c r="AW38" s="128">
        <v>21</v>
      </c>
      <c r="AX38" s="128"/>
      <c r="AY38" s="128">
        <v>66</v>
      </c>
    </row>
    <row r="39" spans="1:52" x14ac:dyDescent="0.2">
      <c r="A39" s="128"/>
      <c r="B39" s="182" t="s">
        <v>347</v>
      </c>
      <c r="C39" s="128"/>
      <c r="D39" s="128">
        <f>D33-D36</f>
        <v>0</v>
      </c>
      <c r="E39" s="128">
        <f t="shared" ref="E39:AY39" si="12">E33-E36</f>
        <v>0</v>
      </c>
      <c r="F39" s="128">
        <f t="shared" si="12"/>
        <v>695.54890458972113</v>
      </c>
      <c r="G39" s="128">
        <f t="shared" si="12"/>
        <v>0</v>
      </c>
      <c r="H39" s="128">
        <f t="shared" si="12"/>
        <v>695.54890458972113</v>
      </c>
      <c r="I39" s="128">
        <f t="shared" si="12"/>
        <v>0</v>
      </c>
      <c r="J39" s="128">
        <f t="shared" si="12"/>
        <v>695.54890458972113</v>
      </c>
      <c r="K39" s="128">
        <f t="shared" si="12"/>
        <v>0</v>
      </c>
      <c r="L39" s="128">
        <f t="shared" si="12"/>
        <v>695.54890458972113</v>
      </c>
      <c r="M39" s="128">
        <f t="shared" si="12"/>
        <v>0</v>
      </c>
      <c r="N39" s="128">
        <f t="shared" si="12"/>
        <v>695.54890458972113</v>
      </c>
      <c r="O39" s="128">
        <f t="shared" si="12"/>
        <v>0</v>
      </c>
      <c r="P39" s="128">
        <f t="shared" si="12"/>
        <v>695.54890458972113</v>
      </c>
      <c r="Q39" s="128">
        <f t="shared" si="12"/>
        <v>0</v>
      </c>
      <c r="R39" s="128">
        <f t="shared" si="12"/>
        <v>695.54890458972113</v>
      </c>
      <c r="S39" s="128">
        <f t="shared" si="12"/>
        <v>0</v>
      </c>
      <c r="T39" s="128">
        <f t="shared" si="12"/>
        <v>695.54890458972113</v>
      </c>
      <c r="U39" s="128">
        <f t="shared" si="12"/>
        <v>0</v>
      </c>
      <c r="V39" s="128">
        <f t="shared" si="12"/>
        <v>695.54890458972113</v>
      </c>
      <c r="W39" s="128">
        <f t="shared" si="12"/>
        <v>0</v>
      </c>
      <c r="X39" s="128">
        <f t="shared" si="12"/>
        <v>695.54890458972113</v>
      </c>
      <c r="Y39" s="128">
        <f t="shared" si="12"/>
        <v>0</v>
      </c>
      <c r="Z39" s="128">
        <f t="shared" si="12"/>
        <v>671.09780917944227</v>
      </c>
      <c r="AA39" s="128">
        <f t="shared" si="12"/>
        <v>1325.5489045897211</v>
      </c>
      <c r="AB39" s="128">
        <f t="shared" si="12"/>
        <v>0</v>
      </c>
      <c r="AC39" s="128">
        <f t="shared" si="12"/>
        <v>695.54890458972113</v>
      </c>
      <c r="AD39" s="128">
        <f t="shared" si="12"/>
        <v>0</v>
      </c>
      <c r="AE39" s="128">
        <f t="shared" si="12"/>
        <v>695.54890458972113</v>
      </c>
      <c r="AF39" s="128">
        <f t="shared" si="12"/>
        <v>0</v>
      </c>
      <c r="AG39" s="128">
        <f t="shared" si="12"/>
        <v>695.54890458972113</v>
      </c>
      <c r="AH39" s="128">
        <f t="shared" si="12"/>
        <v>0</v>
      </c>
      <c r="AI39" s="128">
        <f t="shared" si="12"/>
        <v>695.54890458972113</v>
      </c>
      <c r="AJ39" s="128">
        <f t="shared" si="12"/>
        <v>0</v>
      </c>
      <c r="AK39" s="128">
        <f t="shared" si="12"/>
        <v>695.54890458972113</v>
      </c>
      <c r="AL39" s="128">
        <f t="shared" si="12"/>
        <v>0</v>
      </c>
      <c r="AM39" s="128">
        <f t="shared" si="12"/>
        <v>695.54890458972113</v>
      </c>
      <c r="AN39" s="128">
        <f t="shared" si="12"/>
        <v>0</v>
      </c>
      <c r="AO39" s="128">
        <f t="shared" si="12"/>
        <v>695.54890458972113</v>
      </c>
      <c r="AP39" s="128">
        <f t="shared" si="12"/>
        <v>0</v>
      </c>
      <c r="AQ39" s="128">
        <f t="shared" si="12"/>
        <v>695.54890458972113</v>
      </c>
      <c r="AR39" s="128">
        <f t="shared" si="12"/>
        <v>0</v>
      </c>
      <c r="AS39" s="128">
        <f t="shared" si="12"/>
        <v>695.54890458972113</v>
      </c>
      <c r="AT39" s="128">
        <f t="shared" si="12"/>
        <v>0</v>
      </c>
      <c r="AU39" s="128">
        <f t="shared" si="12"/>
        <v>695.54890458972113</v>
      </c>
      <c r="AV39" s="128">
        <f t="shared" si="12"/>
        <v>0</v>
      </c>
      <c r="AW39" s="128">
        <f t="shared" si="12"/>
        <v>695.54890458972113</v>
      </c>
      <c r="AX39" s="128">
        <f t="shared" si="12"/>
        <v>0</v>
      </c>
      <c r="AY39" s="128">
        <f t="shared" si="12"/>
        <v>671.09780917944227</v>
      </c>
    </row>
    <row r="40" spans="1:52" x14ac:dyDescent="0.2">
      <c r="A40" s="128"/>
      <c r="B40" s="182" t="s">
        <v>348</v>
      </c>
      <c r="C40" s="128"/>
      <c r="D40" s="128">
        <f>D34-D37</f>
        <v>0</v>
      </c>
      <c r="E40" s="128">
        <f t="shared" ref="E40:AY40" si="13">E34-E37</f>
        <v>0</v>
      </c>
      <c r="F40" s="128">
        <f t="shared" si="13"/>
        <v>0</v>
      </c>
      <c r="G40" s="128">
        <f t="shared" si="13"/>
        <v>0</v>
      </c>
      <c r="H40" s="128">
        <f t="shared" si="13"/>
        <v>0</v>
      </c>
      <c r="I40" s="128">
        <f t="shared" si="13"/>
        <v>0</v>
      </c>
      <c r="J40" s="128">
        <f t="shared" si="13"/>
        <v>0</v>
      </c>
      <c r="K40" s="128">
        <f t="shared" si="13"/>
        <v>0</v>
      </c>
      <c r="L40" s="128">
        <f t="shared" si="13"/>
        <v>0</v>
      </c>
      <c r="M40" s="128">
        <f t="shared" si="13"/>
        <v>0</v>
      </c>
      <c r="N40" s="128">
        <f t="shared" si="13"/>
        <v>0</v>
      </c>
      <c r="O40" s="128">
        <f t="shared" si="13"/>
        <v>0</v>
      </c>
      <c r="P40" s="128">
        <f t="shared" si="13"/>
        <v>0</v>
      </c>
      <c r="Q40" s="128">
        <f t="shared" si="13"/>
        <v>0</v>
      </c>
      <c r="R40" s="128">
        <f t="shared" si="13"/>
        <v>0</v>
      </c>
      <c r="S40" s="128">
        <f t="shared" si="13"/>
        <v>0</v>
      </c>
      <c r="T40" s="128">
        <f t="shared" si="13"/>
        <v>0</v>
      </c>
      <c r="U40" s="128">
        <f t="shared" si="13"/>
        <v>0</v>
      </c>
      <c r="V40" s="128">
        <f t="shared" si="13"/>
        <v>0</v>
      </c>
      <c r="W40" s="128">
        <f t="shared" si="13"/>
        <v>0</v>
      </c>
      <c r="X40" s="128">
        <f t="shared" si="13"/>
        <v>0</v>
      </c>
      <c r="Y40" s="128">
        <f t="shared" si="13"/>
        <v>0</v>
      </c>
      <c r="Z40" s="128">
        <f t="shared" si="13"/>
        <v>0</v>
      </c>
      <c r="AA40" s="128">
        <f t="shared" si="13"/>
        <v>0</v>
      </c>
      <c r="AB40" s="128">
        <f t="shared" si="13"/>
        <v>0</v>
      </c>
      <c r="AC40" s="128">
        <f t="shared" si="13"/>
        <v>0</v>
      </c>
      <c r="AD40" s="128">
        <f t="shared" si="13"/>
        <v>0</v>
      </c>
      <c r="AE40" s="128">
        <f t="shared" si="13"/>
        <v>0</v>
      </c>
      <c r="AF40" s="128">
        <f t="shared" si="13"/>
        <v>0</v>
      </c>
      <c r="AG40" s="128">
        <f t="shared" si="13"/>
        <v>0</v>
      </c>
      <c r="AH40" s="128">
        <f t="shared" si="13"/>
        <v>0</v>
      </c>
      <c r="AI40" s="128">
        <f t="shared" si="13"/>
        <v>0</v>
      </c>
      <c r="AJ40" s="128">
        <f t="shared" si="13"/>
        <v>0</v>
      </c>
      <c r="AK40" s="128">
        <f t="shared" si="13"/>
        <v>0</v>
      </c>
      <c r="AL40" s="128">
        <f t="shared" si="13"/>
        <v>0</v>
      </c>
      <c r="AM40" s="128">
        <f t="shared" si="13"/>
        <v>0</v>
      </c>
      <c r="AN40" s="128">
        <f t="shared" si="13"/>
        <v>0</v>
      </c>
      <c r="AO40" s="128">
        <f t="shared" si="13"/>
        <v>0</v>
      </c>
      <c r="AP40" s="128">
        <f t="shared" si="13"/>
        <v>0</v>
      </c>
      <c r="AQ40" s="128">
        <f t="shared" si="13"/>
        <v>0</v>
      </c>
      <c r="AR40" s="128">
        <f t="shared" si="13"/>
        <v>0</v>
      </c>
      <c r="AS40" s="128">
        <f t="shared" si="13"/>
        <v>0</v>
      </c>
      <c r="AT40" s="128">
        <f t="shared" si="13"/>
        <v>0</v>
      </c>
      <c r="AU40" s="128">
        <f t="shared" si="13"/>
        <v>0</v>
      </c>
      <c r="AV40" s="128">
        <f t="shared" si="13"/>
        <v>0</v>
      </c>
      <c r="AW40" s="128">
        <f t="shared" si="13"/>
        <v>0</v>
      </c>
      <c r="AX40" s="128">
        <f t="shared" si="13"/>
        <v>0</v>
      </c>
      <c r="AY40" s="128">
        <f t="shared" si="13"/>
        <v>0</v>
      </c>
    </row>
    <row r="41" spans="1:52" x14ac:dyDescent="0.2">
      <c r="A41" s="128"/>
      <c r="B41" s="182" t="s">
        <v>349</v>
      </c>
      <c r="C41" s="128"/>
      <c r="D41" s="128">
        <v>1</v>
      </c>
      <c r="E41" s="128">
        <v>1</v>
      </c>
      <c r="F41" s="128">
        <v>2</v>
      </c>
      <c r="G41" s="128">
        <v>3</v>
      </c>
      <c r="H41" s="128">
        <v>2</v>
      </c>
      <c r="I41" s="128">
        <v>1</v>
      </c>
      <c r="J41" s="128">
        <v>1</v>
      </c>
      <c r="K41" s="128">
        <v>1</v>
      </c>
      <c r="L41" s="128">
        <v>2</v>
      </c>
      <c r="M41" s="128">
        <v>3</v>
      </c>
      <c r="N41" s="128">
        <v>2</v>
      </c>
      <c r="O41" s="128">
        <v>1</v>
      </c>
      <c r="P41" s="128">
        <v>1</v>
      </c>
      <c r="Q41" s="128">
        <v>1</v>
      </c>
      <c r="R41" s="128">
        <v>1</v>
      </c>
      <c r="S41" s="128">
        <v>1</v>
      </c>
      <c r="T41" s="128">
        <v>1</v>
      </c>
      <c r="U41" s="128">
        <v>2</v>
      </c>
      <c r="V41" s="128">
        <v>1</v>
      </c>
      <c r="W41" s="128">
        <v>1</v>
      </c>
      <c r="X41" s="128">
        <v>1</v>
      </c>
      <c r="Y41" s="128">
        <v>1</v>
      </c>
      <c r="Z41" s="128">
        <v>2</v>
      </c>
      <c r="AA41" s="128">
        <v>1</v>
      </c>
      <c r="AB41" s="128">
        <v>1</v>
      </c>
      <c r="AC41" s="128">
        <v>1</v>
      </c>
      <c r="AD41" s="128">
        <v>1</v>
      </c>
      <c r="AE41" s="128">
        <v>1</v>
      </c>
      <c r="AF41" s="128">
        <v>1</v>
      </c>
      <c r="AG41" s="128">
        <v>1</v>
      </c>
      <c r="AH41" s="128">
        <v>3</v>
      </c>
      <c r="AI41" s="128">
        <v>1</v>
      </c>
      <c r="AJ41" s="128">
        <v>2</v>
      </c>
      <c r="AK41" s="128">
        <v>1</v>
      </c>
      <c r="AL41" s="128">
        <v>1</v>
      </c>
      <c r="AM41" s="128">
        <v>3</v>
      </c>
      <c r="AN41" s="128">
        <v>2</v>
      </c>
      <c r="AO41" s="128">
        <v>1</v>
      </c>
      <c r="AP41" s="128">
        <v>1</v>
      </c>
      <c r="AQ41" s="128">
        <v>1</v>
      </c>
      <c r="AR41" s="128">
        <v>1</v>
      </c>
      <c r="AS41" s="128">
        <v>1</v>
      </c>
      <c r="AT41" s="128">
        <v>2</v>
      </c>
      <c r="AU41" s="128">
        <v>2</v>
      </c>
      <c r="AV41" s="128">
        <v>2</v>
      </c>
      <c r="AW41" s="128">
        <v>1</v>
      </c>
      <c r="AX41" s="128">
        <v>1</v>
      </c>
      <c r="AY41" s="128">
        <v>2</v>
      </c>
    </row>
    <row r="42" spans="1:52" x14ac:dyDescent="0.2">
      <c r="A42" s="128"/>
      <c r="B42" s="193" t="s">
        <v>350</v>
      </c>
      <c r="C42" s="128"/>
      <c r="D42" s="128">
        <v>761940</v>
      </c>
      <c r="E42" s="128">
        <v>2016900</v>
      </c>
      <c r="F42" s="128">
        <v>941220</v>
      </c>
      <c r="G42" s="128">
        <v>2016900</v>
      </c>
      <c r="H42" s="128">
        <v>941220</v>
      </c>
      <c r="I42" s="128">
        <v>2016900</v>
      </c>
      <c r="J42" s="128">
        <v>941220</v>
      </c>
      <c r="K42" s="128">
        <v>2016900</v>
      </c>
      <c r="L42" s="128">
        <v>941220</v>
      </c>
      <c r="M42" s="128">
        <v>2016900</v>
      </c>
      <c r="N42" s="128">
        <v>941220</v>
      </c>
      <c r="O42" s="128">
        <v>2016900</v>
      </c>
      <c r="P42" s="128">
        <v>941220</v>
      </c>
      <c r="Q42" s="128">
        <v>2016900</v>
      </c>
      <c r="R42" s="128">
        <v>941220</v>
      </c>
      <c r="S42" s="128">
        <v>2016900</v>
      </c>
      <c r="T42" s="128">
        <v>941220</v>
      </c>
      <c r="U42" s="128">
        <v>2016900</v>
      </c>
      <c r="V42" s="128">
        <v>941220</v>
      </c>
      <c r="W42" s="128">
        <v>2016900</v>
      </c>
      <c r="X42" s="128">
        <v>941220</v>
      </c>
      <c r="Y42" s="128">
        <v>0</v>
      </c>
      <c r="Z42" s="128">
        <v>2958120</v>
      </c>
      <c r="AA42" s="128">
        <v>0</v>
      </c>
      <c r="AB42" s="128">
        <v>2016900</v>
      </c>
      <c r="AC42" s="128">
        <v>941220</v>
      </c>
      <c r="AD42" s="128">
        <v>2016900</v>
      </c>
      <c r="AE42" s="128">
        <v>941220</v>
      </c>
      <c r="AF42" s="128">
        <v>2016900</v>
      </c>
      <c r="AG42" s="128">
        <v>941220</v>
      </c>
      <c r="AH42" s="128">
        <v>2016900</v>
      </c>
      <c r="AI42" s="128">
        <v>941220</v>
      </c>
      <c r="AJ42" s="128">
        <v>2016900</v>
      </c>
      <c r="AK42" s="128">
        <v>941220</v>
      </c>
      <c r="AL42" s="128">
        <v>2016900</v>
      </c>
      <c r="AM42" s="128">
        <v>941220</v>
      </c>
      <c r="AN42" s="128">
        <v>2016900</v>
      </c>
      <c r="AO42" s="128">
        <v>941220</v>
      </c>
      <c r="AP42" s="128">
        <v>2016900</v>
      </c>
      <c r="AQ42" s="128">
        <v>941220</v>
      </c>
      <c r="AR42" s="128">
        <v>2016900</v>
      </c>
      <c r="AS42" s="128">
        <v>941220</v>
      </c>
      <c r="AT42" s="128">
        <v>2016900</v>
      </c>
      <c r="AU42" s="128">
        <v>941220</v>
      </c>
      <c r="AV42" s="128">
        <v>2016900</v>
      </c>
      <c r="AW42" s="128">
        <v>941220</v>
      </c>
      <c r="AX42" s="128">
        <v>0</v>
      </c>
      <c r="AY42" s="128">
        <v>2958120</v>
      </c>
      <c r="AZ42">
        <f>SUM($D$42:$AY$42)</f>
        <v>68798700</v>
      </c>
    </row>
    <row r="43" spans="1:52" x14ac:dyDescent="0.2">
      <c r="A43" s="128"/>
      <c r="B43" s="193" t="s">
        <v>351</v>
      </c>
      <c r="C43" s="128"/>
      <c r="D43" s="128">
        <v>0</v>
      </c>
      <c r="E43" s="128">
        <v>0</v>
      </c>
      <c r="F43" s="128">
        <v>562872.95103923185</v>
      </c>
      <c r="G43" s="128">
        <v>0</v>
      </c>
      <c r="H43" s="128">
        <v>562872.95103923185</v>
      </c>
      <c r="I43" s="128">
        <v>0</v>
      </c>
      <c r="J43" s="128">
        <v>562872.95103923185</v>
      </c>
      <c r="K43" s="128">
        <v>0</v>
      </c>
      <c r="L43" s="128">
        <v>562872.95103923185</v>
      </c>
      <c r="M43" s="128">
        <v>0</v>
      </c>
      <c r="N43" s="128">
        <v>562872.95103923185</v>
      </c>
      <c r="O43" s="128">
        <v>0</v>
      </c>
      <c r="P43" s="128">
        <v>562872.95103923185</v>
      </c>
      <c r="Q43" s="128">
        <v>0</v>
      </c>
      <c r="R43" s="128">
        <v>562872.95103923185</v>
      </c>
      <c r="S43" s="128">
        <v>0</v>
      </c>
      <c r="T43" s="128">
        <v>562872.95103923185</v>
      </c>
      <c r="U43" s="128">
        <v>0</v>
      </c>
      <c r="V43" s="128">
        <v>562872.95103923185</v>
      </c>
      <c r="W43" s="128">
        <v>0</v>
      </c>
      <c r="X43" s="128">
        <v>562872.95103923185</v>
      </c>
      <c r="Y43" s="128">
        <v>0</v>
      </c>
      <c r="Z43" s="128">
        <v>543085.9020784637</v>
      </c>
      <c r="AA43" s="128">
        <v>1072700.4510392318</v>
      </c>
      <c r="AB43" s="128">
        <v>0</v>
      </c>
      <c r="AC43" s="128">
        <v>562872.95103923185</v>
      </c>
      <c r="AD43" s="128">
        <v>0</v>
      </c>
      <c r="AE43" s="128">
        <v>562872.95103923185</v>
      </c>
      <c r="AF43" s="128">
        <v>0</v>
      </c>
      <c r="AG43" s="128">
        <v>562872.95103923185</v>
      </c>
      <c r="AH43" s="128">
        <v>0</v>
      </c>
      <c r="AI43" s="128">
        <v>562872.95103923185</v>
      </c>
      <c r="AJ43" s="128">
        <v>0</v>
      </c>
      <c r="AK43" s="128">
        <v>562872.95103923185</v>
      </c>
      <c r="AL43" s="128">
        <v>0</v>
      </c>
      <c r="AM43" s="128">
        <v>562872.95103923185</v>
      </c>
      <c r="AN43" s="128">
        <v>0</v>
      </c>
      <c r="AO43" s="128">
        <v>562872.95103923185</v>
      </c>
      <c r="AP43" s="128">
        <v>0</v>
      </c>
      <c r="AQ43" s="128">
        <v>562872.95103923185</v>
      </c>
      <c r="AR43" s="128">
        <v>0</v>
      </c>
      <c r="AS43" s="128">
        <v>562872.95103923185</v>
      </c>
      <c r="AT43" s="128">
        <v>0</v>
      </c>
      <c r="AU43" s="128">
        <v>562872.95103923185</v>
      </c>
      <c r="AV43" s="128">
        <v>0</v>
      </c>
      <c r="AW43" s="128">
        <v>562872.95103923185</v>
      </c>
      <c r="AX43" s="128">
        <v>0</v>
      </c>
      <c r="AY43" s="128">
        <v>543085.9020784637</v>
      </c>
      <c r="AZ43">
        <f>SUM($D$43:$AY$43)</f>
        <v>13979204.227020033</v>
      </c>
    </row>
    <row r="44" spans="1:52" x14ac:dyDescent="0.2">
      <c r="A44" s="152" t="s">
        <v>59</v>
      </c>
      <c r="B44" s="152" t="s">
        <v>341</v>
      </c>
      <c r="C44" s="141"/>
      <c r="D44" s="141">
        <f>D$21*shipping_manufacturing!$H$28/100</f>
        <v>0</v>
      </c>
      <c r="E44" s="141">
        <f>E$21*shipping_manufacturing!$H$28/100</f>
        <v>0</v>
      </c>
      <c r="F44" s="141">
        <f>F$21*shipping_manufacturing!$H$28/100</f>
        <v>0</v>
      </c>
      <c r="G44" s="141">
        <f>G$21*shipping_manufacturing!$H$28/100</f>
        <v>0</v>
      </c>
      <c r="H44" s="141">
        <f>H$21*shipping_manufacturing!$H$28/100</f>
        <v>0</v>
      </c>
      <c r="I44" s="141">
        <f>I$21*shipping_manufacturing!$H$28/100</f>
        <v>0</v>
      </c>
      <c r="J44" s="141">
        <f>J$21*shipping_manufacturing!$H$28/100</f>
        <v>0</v>
      </c>
      <c r="K44" s="141">
        <f>K$21*shipping_manufacturing!$H$28/100</f>
        <v>0</v>
      </c>
      <c r="L44" s="141">
        <f>L$21*shipping_manufacturing!$H$28/100</f>
        <v>0</v>
      </c>
      <c r="M44" s="141">
        <f>M$21*shipping_manufacturing!$H$28/100</f>
        <v>0</v>
      </c>
      <c r="N44" s="141">
        <f>N$21*shipping_manufacturing!$H$28/100</f>
        <v>0</v>
      </c>
      <c r="O44" s="141">
        <f>O$21*shipping_manufacturing!$H$28/100</f>
        <v>0</v>
      </c>
      <c r="P44" s="141">
        <f>P$21*shipping_manufacturing!$H$28/100</f>
        <v>0</v>
      </c>
      <c r="Q44" s="141">
        <f>Q$21*shipping_manufacturing!$H$28/100</f>
        <v>0</v>
      </c>
      <c r="R44" s="141">
        <f>R$21*shipping_manufacturing!$H$28/100</f>
        <v>0</v>
      </c>
      <c r="S44" s="141">
        <f>S$21*shipping_manufacturing!$H$28/100</f>
        <v>0</v>
      </c>
      <c r="T44" s="141">
        <f>T$21*shipping_manufacturing!$H$28/100</f>
        <v>0</v>
      </c>
      <c r="U44" s="141">
        <f>U$21*shipping_manufacturing!$H$28/100</f>
        <v>0</v>
      </c>
      <c r="V44" s="141">
        <f>V$21*shipping_manufacturing!$H$28/100</f>
        <v>0</v>
      </c>
      <c r="W44" s="141">
        <f>W$21*shipping_manufacturing!$H$28/100</f>
        <v>0</v>
      </c>
      <c r="X44" s="141">
        <f>X$21*shipping_manufacturing!$H$28/100</f>
        <v>0</v>
      </c>
      <c r="Y44" s="141">
        <f>Y$21*shipping_manufacturing!$H$28/100</f>
        <v>0</v>
      </c>
      <c r="Z44" s="141">
        <f>Z$21*shipping_manufacturing!$H$28/100</f>
        <v>0</v>
      </c>
      <c r="AA44" s="141">
        <f>AA$21*shipping_manufacturing!$H$28/100</f>
        <v>0</v>
      </c>
      <c r="AB44" s="141">
        <f>AB$21*shipping_manufacturing!$H$28/100</f>
        <v>0</v>
      </c>
      <c r="AC44" s="141">
        <f>AC$21*shipping_manufacturing!$H$28/100</f>
        <v>0</v>
      </c>
      <c r="AD44" s="141">
        <f>AD$21*shipping_manufacturing!$H$28/100</f>
        <v>0</v>
      </c>
      <c r="AE44" s="141">
        <f>AE$21*shipping_manufacturing!$H$28/100</f>
        <v>0</v>
      </c>
      <c r="AF44" s="141">
        <f>AF$21*shipping_manufacturing!$H$28/100</f>
        <v>0</v>
      </c>
      <c r="AG44" s="141">
        <f>AG$21*shipping_manufacturing!$H$28/100</f>
        <v>0</v>
      </c>
      <c r="AH44" s="141">
        <f>AH$21*shipping_manufacturing!$H$28/100</f>
        <v>0</v>
      </c>
      <c r="AI44" s="141">
        <f>AI$21*shipping_manufacturing!$H$28/100</f>
        <v>0</v>
      </c>
      <c r="AJ44" s="141">
        <f>AJ$21*shipping_manufacturing!$H$28/100</f>
        <v>0</v>
      </c>
      <c r="AK44" s="141">
        <f>AK$21*shipping_manufacturing!$H$28/100</f>
        <v>0</v>
      </c>
      <c r="AL44" s="141">
        <f>AL$21*shipping_manufacturing!$H$28/100</f>
        <v>0</v>
      </c>
      <c r="AM44" s="141">
        <f>AM$21*shipping_manufacturing!$H$28/100</f>
        <v>0</v>
      </c>
      <c r="AN44" s="141">
        <f>AN$21*shipping_manufacturing!$H$28/100</f>
        <v>0</v>
      </c>
      <c r="AO44" s="141">
        <f>AO$21*shipping_manufacturing!$H$28/100</f>
        <v>0</v>
      </c>
      <c r="AP44" s="141">
        <f>AP$21*shipping_manufacturing!$H$28/100</f>
        <v>0</v>
      </c>
      <c r="AQ44" s="141">
        <f>AQ$21*shipping_manufacturing!$H$28/100</f>
        <v>0</v>
      </c>
      <c r="AR44" s="141">
        <f>AR$21*shipping_manufacturing!$H$28/100</f>
        <v>0</v>
      </c>
      <c r="AS44" s="141">
        <f>AS$21*shipping_manufacturing!$H$28/100</f>
        <v>0</v>
      </c>
      <c r="AT44" s="141">
        <f>AT$21*shipping_manufacturing!$H$28/100</f>
        <v>0</v>
      </c>
      <c r="AU44" s="141">
        <f>AU$21*shipping_manufacturing!$H$28/100</f>
        <v>0</v>
      </c>
      <c r="AV44" s="141">
        <f>AV$21*shipping_manufacturing!$H$28/100</f>
        <v>0</v>
      </c>
      <c r="AW44" s="141">
        <f>AW$21*shipping_manufacturing!$H$28/100</f>
        <v>0</v>
      </c>
      <c r="AX44" s="141">
        <f>AX$21*shipping_manufacturing!$H$28/100</f>
        <v>0</v>
      </c>
      <c r="AY44" s="141">
        <f>AY$21*shipping_manufacturing!$H$28/100</f>
        <v>0</v>
      </c>
    </row>
    <row r="45" spans="1:52" x14ac:dyDescent="0.2">
      <c r="A45" s="130" t="s">
        <v>340</v>
      </c>
      <c r="B45" s="182" t="s">
        <v>342</v>
      </c>
      <c r="C45" s="128"/>
      <c r="D45" s="128">
        <f>D$22*shipping_manufacturing!$I$28/100</f>
        <v>0</v>
      </c>
      <c r="E45" s="128">
        <f>E$22*shipping_manufacturing!$I$28/100</f>
        <v>0</v>
      </c>
      <c r="F45" s="128">
        <f>F$22*shipping_manufacturing!$I$28/100</f>
        <v>0</v>
      </c>
      <c r="G45" s="128">
        <f>G$22*shipping_manufacturing!$I$28/100</f>
        <v>0</v>
      </c>
      <c r="H45" s="128">
        <f>H$22*shipping_manufacturing!$I$28/100</f>
        <v>0</v>
      </c>
      <c r="I45" s="128">
        <f>I$22*shipping_manufacturing!$I$28/100</f>
        <v>0</v>
      </c>
      <c r="J45" s="128">
        <f>J$22*shipping_manufacturing!$I$28/100</f>
        <v>0</v>
      </c>
      <c r="K45" s="128">
        <f>K$22*shipping_manufacturing!$I$28/100</f>
        <v>0</v>
      </c>
      <c r="L45" s="128">
        <f>L$22*shipping_manufacturing!$I$28/100</f>
        <v>0</v>
      </c>
      <c r="M45" s="128">
        <f>M$22*shipping_manufacturing!$I$28/100</f>
        <v>0</v>
      </c>
      <c r="N45" s="128">
        <f>N$22*shipping_manufacturing!$I$28/100</f>
        <v>0</v>
      </c>
      <c r="O45" s="128">
        <f>O$22*shipping_manufacturing!$I$28/100</f>
        <v>0</v>
      </c>
      <c r="P45" s="128">
        <f>P$22*shipping_manufacturing!$I$28/100</f>
        <v>0</v>
      </c>
      <c r="Q45" s="128">
        <f>Q$22*shipping_manufacturing!$I$28/100</f>
        <v>0</v>
      </c>
      <c r="R45" s="128">
        <f>R$22*shipping_manufacturing!$I$28/100</f>
        <v>0</v>
      </c>
      <c r="S45" s="128">
        <f>S$22*shipping_manufacturing!$I$28/100</f>
        <v>0</v>
      </c>
      <c r="T45" s="128">
        <f>T$22*shipping_manufacturing!$I$28/100</f>
        <v>0</v>
      </c>
      <c r="U45" s="128">
        <f>U$22*shipping_manufacturing!$I$28/100</f>
        <v>0</v>
      </c>
      <c r="V45" s="128">
        <f>V$22*shipping_manufacturing!$I$28/100</f>
        <v>0</v>
      </c>
      <c r="W45" s="128">
        <f>W$22*shipping_manufacturing!$I$28/100</f>
        <v>0</v>
      </c>
      <c r="X45" s="128">
        <f>X$22*shipping_manufacturing!$I$28/100</f>
        <v>0</v>
      </c>
      <c r="Y45" s="128">
        <f>Y$22*shipping_manufacturing!$I$28/100</f>
        <v>0</v>
      </c>
      <c r="Z45" s="128">
        <f>Z$22*shipping_manufacturing!$I$28/100</f>
        <v>0</v>
      </c>
      <c r="AA45" s="128">
        <f>AA$22*shipping_manufacturing!$I$28/100</f>
        <v>0</v>
      </c>
      <c r="AB45" s="128">
        <f>AB$22*shipping_manufacturing!$I$28/100</f>
        <v>0</v>
      </c>
      <c r="AC45" s="128">
        <f>AC$22*shipping_manufacturing!$I$28/100</f>
        <v>0</v>
      </c>
      <c r="AD45" s="128">
        <f>AD$22*shipping_manufacturing!$I$28/100</f>
        <v>0</v>
      </c>
      <c r="AE45" s="128">
        <f>AE$22*shipping_manufacturing!$I$28/100</f>
        <v>0</v>
      </c>
      <c r="AF45" s="128">
        <f>AF$22*shipping_manufacturing!$I$28/100</f>
        <v>0</v>
      </c>
      <c r="AG45" s="128">
        <f>AG$22*shipping_manufacturing!$I$28/100</f>
        <v>0</v>
      </c>
      <c r="AH45" s="128">
        <f>AH$22*shipping_manufacturing!$I$28/100</f>
        <v>0</v>
      </c>
      <c r="AI45" s="128">
        <f>AI$22*shipping_manufacturing!$I$28/100</f>
        <v>0</v>
      </c>
      <c r="AJ45" s="128">
        <f>AJ$22*shipping_manufacturing!$I$28/100</f>
        <v>0</v>
      </c>
      <c r="AK45" s="128">
        <f>AK$22*shipping_manufacturing!$I$28/100</f>
        <v>0</v>
      </c>
      <c r="AL45" s="128">
        <f>AL$22*shipping_manufacturing!$I$28/100</f>
        <v>0</v>
      </c>
      <c r="AM45" s="128">
        <f>AM$22*shipping_manufacturing!$I$28/100</f>
        <v>0</v>
      </c>
      <c r="AN45" s="128">
        <f>AN$22*shipping_manufacturing!$I$28/100</f>
        <v>0</v>
      </c>
      <c r="AO45" s="128">
        <f>AO$22*shipping_manufacturing!$I$28/100</f>
        <v>0</v>
      </c>
      <c r="AP45" s="128">
        <f>AP$22*shipping_manufacturing!$I$28/100</f>
        <v>0</v>
      </c>
      <c r="AQ45" s="128">
        <f>AQ$22*shipping_manufacturing!$I$28/100</f>
        <v>0</v>
      </c>
      <c r="AR45" s="128">
        <f>AR$22*shipping_manufacturing!$I$28/100</f>
        <v>0</v>
      </c>
      <c r="AS45" s="128">
        <f>AS$22*shipping_manufacturing!$I$28/100</f>
        <v>0</v>
      </c>
      <c r="AT45" s="128">
        <f>AT$22*shipping_manufacturing!$I$28/100</f>
        <v>0</v>
      </c>
      <c r="AU45" s="128">
        <f>AU$22*shipping_manufacturing!$I$28/100</f>
        <v>0</v>
      </c>
      <c r="AV45" s="128">
        <f>AV$22*shipping_manufacturing!$I$28/100</f>
        <v>0</v>
      </c>
      <c r="AW45" s="128">
        <f>AW$22*shipping_manufacturing!$I$28/100</f>
        <v>0</v>
      </c>
      <c r="AX45" s="128">
        <f>AX$22*shipping_manufacturing!$I$28/100</f>
        <v>0</v>
      </c>
      <c r="AY45" s="128">
        <f>AY$22*shipping_manufacturing!$I$28/100</f>
        <v>0</v>
      </c>
    </row>
    <row r="46" spans="1:52" x14ac:dyDescent="0.2">
      <c r="A46" s="128">
        <v>495</v>
      </c>
      <c r="B46" s="182" t="s">
        <v>343</v>
      </c>
      <c r="C46" s="128"/>
      <c r="D46" s="128">
        <f>SUM(D44:D45)</f>
        <v>0</v>
      </c>
      <c r="E46" s="128">
        <f t="shared" ref="E46:AY46" si="14">SUM(E44:E45)</f>
        <v>0</v>
      </c>
      <c r="F46" s="128">
        <f t="shared" si="14"/>
        <v>0</v>
      </c>
      <c r="G46" s="128">
        <f t="shared" si="14"/>
        <v>0</v>
      </c>
      <c r="H46" s="128">
        <f t="shared" si="14"/>
        <v>0</v>
      </c>
      <c r="I46" s="128">
        <f t="shared" si="14"/>
        <v>0</v>
      </c>
      <c r="J46" s="128">
        <f t="shared" si="14"/>
        <v>0</v>
      </c>
      <c r="K46" s="128">
        <f t="shared" si="14"/>
        <v>0</v>
      </c>
      <c r="L46" s="128">
        <f t="shared" si="14"/>
        <v>0</v>
      </c>
      <c r="M46" s="128">
        <f t="shared" si="14"/>
        <v>0</v>
      </c>
      <c r="N46" s="128">
        <f t="shared" si="14"/>
        <v>0</v>
      </c>
      <c r="O46" s="128">
        <f t="shared" si="14"/>
        <v>0</v>
      </c>
      <c r="P46" s="128">
        <f t="shared" si="14"/>
        <v>0</v>
      </c>
      <c r="Q46" s="128">
        <f t="shared" si="14"/>
        <v>0</v>
      </c>
      <c r="R46" s="128">
        <f t="shared" si="14"/>
        <v>0</v>
      </c>
      <c r="S46" s="128">
        <f t="shared" si="14"/>
        <v>0</v>
      </c>
      <c r="T46" s="128">
        <f t="shared" si="14"/>
        <v>0</v>
      </c>
      <c r="U46" s="128">
        <f t="shared" si="14"/>
        <v>0</v>
      </c>
      <c r="V46" s="128">
        <f t="shared" si="14"/>
        <v>0</v>
      </c>
      <c r="W46" s="128">
        <f t="shared" si="14"/>
        <v>0</v>
      </c>
      <c r="X46" s="128">
        <f t="shared" si="14"/>
        <v>0</v>
      </c>
      <c r="Y46" s="128">
        <f t="shared" si="14"/>
        <v>0</v>
      </c>
      <c r="Z46" s="128">
        <f t="shared" si="14"/>
        <v>0</v>
      </c>
      <c r="AA46" s="128">
        <f t="shared" si="14"/>
        <v>0</v>
      </c>
      <c r="AB46" s="128">
        <f t="shared" si="14"/>
        <v>0</v>
      </c>
      <c r="AC46" s="128">
        <f t="shared" si="14"/>
        <v>0</v>
      </c>
      <c r="AD46" s="128">
        <f t="shared" si="14"/>
        <v>0</v>
      </c>
      <c r="AE46" s="128">
        <f t="shared" si="14"/>
        <v>0</v>
      </c>
      <c r="AF46" s="128">
        <f t="shared" si="14"/>
        <v>0</v>
      </c>
      <c r="AG46" s="128">
        <f t="shared" si="14"/>
        <v>0</v>
      </c>
      <c r="AH46" s="128">
        <f t="shared" si="14"/>
        <v>0</v>
      </c>
      <c r="AI46" s="128">
        <f t="shared" si="14"/>
        <v>0</v>
      </c>
      <c r="AJ46" s="128">
        <f t="shared" si="14"/>
        <v>0</v>
      </c>
      <c r="AK46" s="128">
        <f t="shared" si="14"/>
        <v>0</v>
      </c>
      <c r="AL46" s="128">
        <f t="shared" si="14"/>
        <v>0</v>
      </c>
      <c r="AM46" s="128">
        <f t="shared" si="14"/>
        <v>0</v>
      </c>
      <c r="AN46" s="128">
        <f t="shared" si="14"/>
        <v>0</v>
      </c>
      <c r="AO46" s="128">
        <f t="shared" si="14"/>
        <v>0</v>
      </c>
      <c r="AP46" s="128">
        <f t="shared" si="14"/>
        <v>0</v>
      </c>
      <c r="AQ46" s="128">
        <f t="shared" si="14"/>
        <v>0</v>
      </c>
      <c r="AR46" s="128">
        <f t="shared" si="14"/>
        <v>0</v>
      </c>
      <c r="AS46" s="128">
        <f t="shared" si="14"/>
        <v>0</v>
      </c>
      <c r="AT46" s="128">
        <f t="shared" si="14"/>
        <v>0</v>
      </c>
      <c r="AU46" s="128">
        <f t="shared" si="14"/>
        <v>0</v>
      </c>
      <c r="AV46" s="128">
        <f t="shared" si="14"/>
        <v>0</v>
      </c>
      <c r="AW46" s="128">
        <f t="shared" si="14"/>
        <v>0</v>
      </c>
      <c r="AX46" s="128">
        <f t="shared" si="14"/>
        <v>0</v>
      </c>
      <c r="AY46" s="128">
        <f t="shared" si="14"/>
        <v>0</v>
      </c>
    </row>
    <row r="47" spans="1:52" x14ac:dyDescent="0.2">
      <c r="A47" s="128"/>
      <c r="B47" s="182" t="s">
        <v>344</v>
      </c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28"/>
      <c r="Z47" s="128"/>
      <c r="AA47" s="128"/>
      <c r="AB47" s="128"/>
      <c r="AC47" s="128"/>
      <c r="AD47" s="128"/>
      <c r="AE47" s="128"/>
      <c r="AF47" s="128"/>
      <c r="AG47" s="128"/>
      <c r="AH47" s="128"/>
      <c r="AI47" s="128"/>
      <c r="AJ47" s="128"/>
      <c r="AK47" s="128"/>
      <c r="AL47" s="128"/>
      <c r="AM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</row>
    <row r="48" spans="1:52" x14ac:dyDescent="0.2">
      <c r="A48" s="128"/>
      <c r="B48" s="182" t="s">
        <v>345</v>
      </c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8"/>
      <c r="AB48" s="128"/>
      <c r="AC48" s="128"/>
      <c r="AD48" s="128"/>
      <c r="AE48" s="128"/>
      <c r="AF48" s="128"/>
      <c r="AG48" s="128"/>
      <c r="AH48" s="128"/>
      <c r="AI48" s="128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</row>
    <row r="49" spans="1:52" x14ac:dyDescent="0.2">
      <c r="A49" s="128"/>
      <c r="B49" s="182" t="s">
        <v>346</v>
      </c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8"/>
      <c r="AB49" s="128"/>
      <c r="AC49" s="128"/>
      <c r="AD49" s="128"/>
      <c r="AE49" s="128"/>
      <c r="AF49" s="128"/>
      <c r="AG49" s="128"/>
      <c r="AH49" s="128"/>
      <c r="AI49" s="128"/>
      <c r="AJ49" s="128"/>
      <c r="AK49" s="128"/>
      <c r="AL49" s="128"/>
      <c r="AM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</row>
    <row r="50" spans="1:52" x14ac:dyDescent="0.2">
      <c r="A50" s="128"/>
      <c r="B50" s="182" t="s">
        <v>347</v>
      </c>
      <c r="C50" s="128"/>
      <c r="D50" s="128">
        <f>D44-D47</f>
        <v>0</v>
      </c>
      <c r="E50" s="128">
        <f t="shared" ref="E50:AY50" si="15">E44-E47</f>
        <v>0</v>
      </c>
      <c r="F50" s="128">
        <f t="shared" si="15"/>
        <v>0</v>
      </c>
      <c r="G50" s="128">
        <f t="shared" si="15"/>
        <v>0</v>
      </c>
      <c r="H50" s="128">
        <f t="shared" si="15"/>
        <v>0</v>
      </c>
      <c r="I50" s="128">
        <f t="shared" si="15"/>
        <v>0</v>
      </c>
      <c r="J50" s="128">
        <f t="shared" si="15"/>
        <v>0</v>
      </c>
      <c r="K50" s="128">
        <f t="shared" si="15"/>
        <v>0</v>
      </c>
      <c r="L50" s="128">
        <f t="shared" si="15"/>
        <v>0</v>
      </c>
      <c r="M50" s="128">
        <f t="shared" si="15"/>
        <v>0</v>
      </c>
      <c r="N50" s="128">
        <f t="shared" si="15"/>
        <v>0</v>
      </c>
      <c r="O50" s="128">
        <f t="shared" si="15"/>
        <v>0</v>
      </c>
      <c r="P50" s="128">
        <f t="shared" si="15"/>
        <v>0</v>
      </c>
      <c r="Q50" s="128">
        <f t="shared" si="15"/>
        <v>0</v>
      </c>
      <c r="R50" s="128">
        <f t="shared" si="15"/>
        <v>0</v>
      </c>
      <c r="S50" s="128">
        <f t="shared" si="15"/>
        <v>0</v>
      </c>
      <c r="T50" s="128">
        <f t="shared" si="15"/>
        <v>0</v>
      </c>
      <c r="U50" s="128">
        <f t="shared" si="15"/>
        <v>0</v>
      </c>
      <c r="V50" s="128">
        <f t="shared" si="15"/>
        <v>0</v>
      </c>
      <c r="W50" s="128">
        <f t="shared" si="15"/>
        <v>0</v>
      </c>
      <c r="X50" s="128">
        <f t="shared" si="15"/>
        <v>0</v>
      </c>
      <c r="Y50" s="128">
        <f t="shared" si="15"/>
        <v>0</v>
      </c>
      <c r="Z50" s="128">
        <f t="shared" si="15"/>
        <v>0</v>
      </c>
      <c r="AA50" s="128">
        <f t="shared" si="15"/>
        <v>0</v>
      </c>
      <c r="AB50" s="128">
        <f t="shared" si="15"/>
        <v>0</v>
      </c>
      <c r="AC50" s="128">
        <f t="shared" si="15"/>
        <v>0</v>
      </c>
      <c r="AD50" s="128">
        <f t="shared" si="15"/>
        <v>0</v>
      </c>
      <c r="AE50" s="128">
        <f t="shared" si="15"/>
        <v>0</v>
      </c>
      <c r="AF50" s="128">
        <f t="shared" si="15"/>
        <v>0</v>
      </c>
      <c r="AG50" s="128">
        <f t="shared" si="15"/>
        <v>0</v>
      </c>
      <c r="AH50" s="128">
        <f t="shared" si="15"/>
        <v>0</v>
      </c>
      <c r="AI50" s="128">
        <f t="shared" si="15"/>
        <v>0</v>
      </c>
      <c r="AJ50" s="128">
        <f t="shared" si="15"/>
        <v>0</v>
      </c>
      <c r="AK50" s="128">
        <f t="shared" si="15"/>
        <v>0</v>
      </c>
      <c r="AL50" s="128">
        <f t="shared" si="15"/>
        <v>0</v>
      </c>
      <c r="AM50" s="128">
        <f t="shared" si="15"/>
        <v>0</v>
      </c>
      <c r="AN50" s="128">
        <f t="shared" si="15"/>
        <v>0</v>
      </c>
      <c r="AO50" s="128">
        <f t="shared" si="15"/>
        <v>0</v>
      </c>
      <c r="AP50" s="128">
        <f t="shared" si="15"/>
        <v>0</v>
      </c>
      <c r="AQ50" s="128">
        <f t="shared" si="15"/>
        <v>0</v>
      </c>
      <c r="AR50" s="128">
        <f t="shared" si="15"/>
        <v>0</v>
      </c>
      <c r="AS50" s="128">
        <f t="shared" si="15"/>
        <v>0</v>
      </c>
      <c r="AT50" s="128">
        <f t="shared" si="15"/>
        <v>0</v>
      </c>
      <c r="AU50" s="128">
        <f t="shared" si="15"/>
        <v>0</v>
      </c>
      <c r="AV50" s="128">
        <f t="shared" si="15"/>
        <v>0</v>
      </c>
      <c r="AW50" s="128">
        <f t="shared" si="15"/>
        <v>0</v>
      </c>
      <c r="AX50" s="128">
        <f t="shared" si="15"/>
        <v>0</v>
      </c>
      <c r="AY50" s="128">
        <f t="shared" si="15"/>
        <v>0</v>
      </c>
    </row>
    <row r="51" spans="1:52" x14ac:dyDescent="0.2">
      <c r="A51" s="128"/>
      <c r="B51" s="182" t="s">
        <v>348</v>
      </c>
      <c r="C51" s="128"/>
      <c r="D51" s="128">
        <f>D45-D48</f>
        <v>0</v>
      </c>
      <c r="E51" s="128">
        <f t="shared" ref="E51:AY51" si="16">E45-E48</f>
        <v>0</v>
      </c>
      <c r="F51" s="128">
        <f t="shared" si="16"/>
        <v>0</v>
      </c>
      <c r="G51" s="128">
        <f t="shared" si="16"/>
        <v>0</v>
      </c>
      <c r="H51" s="128">
        <f t="shared" si="16"/>
        <v>0</v>
      </c>
      <c r="I51" s="128">
        <f t="shared" si="16"/>
        <v>0</v>
      </c>
      <c r="J51" s="128">
        <f t="shared" si="16"/>
        <v>0</v>
      </c>
      <c r="K51" s="128">
        <f t="shared" si="16"/>
        <v>0</v>
      </c>
      <c r="L51" s="128">
        <f t="shared" si="16"/>
        <v>0</v>
      </c>
      <c r="M51" s="128">
        <f t="shared" si="16"/>
        <v>0</v>
      </c>
      <c r="N51" s="128">
        <f t="shared" si="16"/>
        <v>0</v>
      </c>
      <c r="O51" s="128">
        <f t="shared" si="16"/>
        <v>0</v>
      </c>
      <c r="P51" s="128">
        <f t="shared" si="16"/>
        <v>0</v>
      </c>
      <c r="Q51" s="128">
        <f t="shared" si="16"/>
        <v>0</v>
      </c>
      <c r="R51" s="128">
        <f t="shared" si="16"/>
        <v>0</v>
      </c>
      <c r="S51" s="128">
        <f t="shared" si="16"/>
        <v>0</v>
      </c>
      <c r="T51" s="128">
        <f t="shared" si="16"/>
        <v>0</v>
      </c>
      <c r="U51" s="128">
        <f t="shared" si="16"/>
        <v>0</v>
      </c>
      <c r="V51" s="128">
        <f t="shared" si="16"/>
        <v>0</v>
      </c>
      <c r="W51" s="128">
        <f t="shared" si="16"/>
        <v>0</v>
      </c>
      <c r="X51" s="128">
        <f t="shared" si="16"/>
        <v>0</v>
      </c>
      <c r="Y51" s="128">
        <f t="shared" si="16"/>
        <v>0</v>
      </c>
      <c r="Z51" s="128">
        <f t="shared" si="16"/>
        <v>0</v>
      </c>
      <c r="AA51" s="128">
        <f t="shared" si="16"/>
        <v>0</v>
      </c>
      <c r="AB51" s="128">
        <f t="shared" si="16"/>
        <v>0</v>
      </c>
      <c r="AC51" s="128">
        <f t="shared" si="16"/>
        <v>0</v>
      </c>
      <c r="AD51" s="128">
        <f t="shared" si="16"/>
        <v>0</v>
      </c>
      <c r="AE51" s="128">
        <f t="shared" si="16"/>
        <v>0</v>
      </c>
      <c r="AF51" s="128">
        <f t="shared" si="16"/>
        <v>0</v>
      </c>
      <c r="AG51" s="128">
        <f t="shared" si="16"/>
        <v>0</v>
      </c>
      <c r="AH51" s="128">
        <f t="shared" si="16"/>
        <v>0</v>
      </c>
      <c r="AI51" s="128">
        <f t="shared" si="16"/>
        <v>0</v>
      </c>
      <c r="AJ51" s="128">
        <f t="shared" si="16"/>
        <v>0</v>
      </c>
      <c r="AK51" s="128">
        <f t="shared" si="16"/>
        <v>0</v>
      </c>
      <c r="AL51" s="128">
        <f t="shared" si="16"/>
        <v>0</v>
      </c>
      <c r="AM51" s="128">
        <f t="shared" si="16"/>
        <v>0</v>
      </c>
      <c r="AN51" s="128">
        <f t="shared" si="16"/>
        <v>0</v>
      </c>
      <c r="AO51" s="128">
        <f t="shared" si="16"/>
        <v>0</v>
      </c>
      <c r="AP51" s="128">
        <f t="shared" si="16"/>
        <v>0</v>
      </c>
      <c r="AQ51" s="128">
        <f t="shared" si="16"/>
        <v>0</v>
      </c>
      <c r="AR51" s="128">
        <f t="shared" si="16"/>
        <v>0</v>
      </c>
      <c r="AS51" s="128">
        <f t="shared" si="16"/>
        <v>0</v>
      </c>
      <c r="AT51" s="128">
        <f t="shared" si="16"/>
        <v>0</v>
      </c>
      <c r="AU51" s="128">
        <f t="shared" si="16"/>
        <v>0</v>
      </c>
      <c r="AV51" s="128">
        <f t="shared" si="16"/>
        <v>0</v>
      </c>
      <c r="AW51" s="128">
        <f t="shared" si="16"/>
        <v>0</v>
      </c>
      <c r="AX51" s="128">
        <f t="shared" si="16"/>
        <v>0</v>
      </c>
      <c r="AY51" s="128">
        <f t="shared" si="16"/>
        <v>0</v>
      </c>
    </row>
    <row r="52" spans="1:52" x14ac:dyDescent="0.2">
      <c r="A52" s="128"/>
      <c r="B52" s="182" t="s">
        <v>349</v>
      </c>
      <c r="C52" s="128"/>
      <c r="D52" s="128">
        <v>1</v>
      </c>
      <c r="E52" s="128">
        <v>1</v>
      </c>
      <c r="F52" s="128">
        <v>2</v>
      </c>
      <c r="G52" s="128">
        <v>3</v>
      </c>
      <c r="H52" s="128">
        <v>1</v>
      </c>
      <c r="I52" s="128">
        <v>1</v>
      </c>
      <c r="J52" s="128">
        <v>1</v>
      </c>
      <c r="K52" s="128">
        <v>1</v>
      </c>
      <c r="L52" s="128">
        <v>3</v>
      </c>
      <c r="M52" s="128">
        <v>2</v>
      </c>
      <c r="N52" s="128">
        <v>2</v>
      </c>
      <c r="O52" s="128">
        <v>1</v>
      </c>
      <c r="P52" s="128">
        <v>2</v>
      </c>
      <c r="Q52" s="128">
        <v>1</v>
      </c>
      <c r="R52" s="128">
        <v>1</v>
      </c>
      <c r="S52" s="128">
        <v>1</v>
      </c>
      <c r="T52" s="128">
        <v>1</v>
      </c>
      <c r="U52" s="128">
        <v>1</v>
      </c>
      <c r="V52" s="128">
        <v>1</v>
      </c>
      <c r="W52" s="128">
        <v>1</v>
      </c>
      <c r="X52" s="128">
        <v>1</v>
      </c>
      <c r="Y52" s="128">
        <v>3</v>
      </c>
      <c r="Z52" s="128">
        <v>1</v>
      </c>
      <c r="AA52" s="128">
        <v>1</v>
      </c>
      <c r="AB52" s="128">
        <v>2</v>
      </c>
      <c r="AC52" s="128">
        <v>1</v>
      </c>
      <c r="AD52" s="128">
        <v>1</v>
      </c>
      <c r="AE52" s="128">
        <v>2</v>
      </c>
      <c r="AF52" s="128">
        <v>2</v>
      </c>
      <c r="AG52" s="128">
        <v>1</v>
      </c>
      <c r="AH52" s="128">
        <v>2</v>
      </c>
      <c r="AI52" s="128">
        <v>2</v>
      </c>
      <c r="AJ52" s="128">
        <v>1</v>
      </c>
      <c r="AK52" s="128">
        <v>1</v>
      </c>
      <c r="AL52" s="128">
        <v>1</v>
      </c>
      <c r="AM52" s="128">
        <v>1</v>
      </c>
      <c r="AN52" s="128">
        <v>1</v>
      </c>
      <c r="AO52" s="128">
        <v>1</v>
      </c>
      <c r="AP52" s="128">
        <v>1</v>
      </c>
      <c r="AQ52" s="128">
        <v>1</v>
      </c>
      <c r="AR52" s="128">
        <v>1</v>
      </c>
      <c r="AS52" s="128">
        <v>1</v>
      </c>
      <c r="AT52" s="128">
        <v>3</v>
      </c>
      <c r="AU52" s="128">
        <v>1</v>
      </c>
      <c r="AV52" s="128">
        <v>1</v>
      </c>
      <c r="AW52" s="128">
        <v>1</v>
      </c>
      <c r="AX52" s="128">
        <v>1</v>
      </c>
      <c r="AY52" s="128">
        <v>2</v>
      </c>
    </row>
    <row r="53" spans="1:52" x14ac:dyDescent="0.2">
      <c r="A53" s="128"/>
      <c r="B53" s="193" t="s">
        <v>350</v>
      </c>
      <c r="C53" s="128"/>
      <c r="D53" s="128">
        <v>0</v>
      </c>
      <c r="E53" s="128">
        <v>0</v>
      </c>
      <c r="F53" s="128">
        <v>0</v>
      </c>
      <c r="G53" s="128">
        <v>0</v>
      </c>
      <c r="H53" s="128">
        <v>0</v>
      </c>
      <c r="I53" s="128">
        <v>0</v>
      </c>
      <c r="J53" s="128">
        <v>0</v>
      </c>
      <c r="K53" s="128">
        <v>0</v>
      </c>
      <c r="L53" s="128">
        <v>0</v>
      </c>
      <c r="M53" s="128">
        <v>0</v>
      </c>
      <c r="N53" s="128">
        <v>0</v>
      </c>
      <c r="O53" s="128">
        <v>0</v>
      </c>
      <c r="P53" s="128">
        <v>0</v>
      </c>
      <c r="Q53" s="128">
        <v>0</v>
      </c>
      <c r="R53" s="128">
        <v>0</v>
      </c>
      <c r="S53" s="128">
        <v>0</v>
      </c>
      <c r="T53" s="128">
        <v>0</v>
      </c>
      <c r="U53" s="128">
        <v>0</v>
      </c>
      <c r="V53" s="128">
        <v>0</v>
      </c>
      <c r="W53" s="128">
        <v>0</v>
      </c>
      <c r="X53" s="128">
        <v>0</v>
      </c>
      <c r="Y53" s="128">
        <v>0</v>
      </c>
      <c r="Z53" s="128">
        <v>0</v>
      </c>
      <c r="AA53" s="128">
        <v>0</v>
      </c>
      <c r="AB53" s="128">
        <v>0</v>
      </c>
      <c r="AC53" s="128">
        <v>0</v>
      </c>
      <c r="AD53" s="128">
        <v>0</v>
      </c>
      <c r="AE53" s="128">
        <v>0</v>
      </c>
      <c r="AF53" s="128">
        <v>0</v>
      </c>
      <c r="AG53" s="128">
        <v>0</v>
      </c>
      <c r="AH53" s="128">
        <v>0</v>
      </c>
      <c r="AI53" s="128">
        <v>0</v>
      </c>
      <c r="AJ53" s="128">
        <v>0</v>
      </c>
      <c r="AK53" s="128">
        <v>0</v>
      </c>
      <c r="AL53" s="128">
        <v>0</v>
      </c>
      <c r="AM53" s="128">
        <v>0</v>
      </c>
      <c r="AN53" s="128">
        <v>0</v>
      </c>
      <c r="AO53" s="128">
        <v>0</v>
      </c>
      <c r="AP53" s="128">
        <v>0</v>
      </c>
      <c r="AQ53" s="128">
        <v>0</v>
      </c>
      <c r="AR53" s="128">
        <v>0</v>
      </c>
      <c r="AS53" s="128">
        <v>0</v>
      </c>
      <c r="AT53" s="128">
        <v>0</v>
      </c>
      <c r="AU53" s="128">
        <v>0</v>
      </c>
      <c r="AV53" s="128">
        <v>0</v>
      </c>
      <c r="AW53" s="128">
        <v>0</v>
      </c>
      <c r="AX53" s="128">
        <v>0</v>
      </c>
      <c r="AY53" s="128">
        <v>0</v>
      </c>
      <c r="AZ53">
        <f>SUM($D$53:$AY$53)</f>
        <v>0</v>
      </c>
    </row>
    <row r="54" spans="1:52" x14ac:dyDescent="0.2">
      <c r="A54" s="142"/>
      <c r="B54" s="157" t="s">
        <v>351</v>
      </c>
      <c r="C54" s="142"/>
      <c r="D54" s="142">
        <v>0</v>
      </c>
      <c r="E54" s="142">
        <v>0</v>
      </c>
      <c r="F54" s="142">
        <v>0</v>
      </c>
      <c r="G54" s="142">
        <v>0</v>
      </c>
      <c r="H54" s="142">
        <v>0</v>
      </c>
      <c r="I54" s="142">
        <v>0</v>
      </c>
      <c r="J54" s="142">
        <v>0</v>
      </c>
      <c r="K54" s="142">
        <v>0</v>
      </c>
      <c r="L54" s="142">
        <v>0</v>
      </c>
      <c r="M54" s="142">
        <v>0</v>
      </c>
      <c r="N54" s="142">
        <v>0</v>
      </c>
      <c r="O54" s="142">
        <v>0</v>
      </c>
      <c r="P54" s="142">
        <v>0</v>
      </c>
      <c r="Q54" s="142">
        <v>0</v>
      </c>
      <c r="R54" s="142">
        <v>0</v>
      </c>
      <c r="S54" s="142">
        <v>0</v>
      </c>
      <c r="T54" s="142">
        <v>0</v>
      </c>
      <c r="U54" s="142">
        <v>0</v>
      </c>
      <c r="V54" s="142">
        <v>0</v>
      </c>
      <c r="W54" s="142">
        <v>0</v>
      </c>
      <c r="X54" s="142">
        <v>0</v>
      </c>
      <c r="Y54" s="142">
        <v>0</v>
      </c>
      <c r="Z54" s="142">
        <v>0</v>
      </c>
      <c r="AA54" s="142">
        <v>0</v>
      </c>
      <c r="AB54" s="142">
        <v>0</v>
      </c>
      <c r="AC54" s="142">
        <v>0</v>
      </c>
      <c r="AD54" s="142">
        <v>0</v>
      </c>
      <c r="AE54" s="142">
        <v>0</v>
      </c>
      <c r="AF54" s="142">
        <v>0</v>
      </c>
      <c r="AG54" s="142">
        <v>0</v>
      </c>
      <c r="AH54" s="142">
        <v>0</v>
      </c>
      <c r="AI54" s="142">
        <v>0</v>
      </c>
      <c r="AJ54" s="142">
        <v>0</v>
      </c>
      <c r="AK54" s="142">
        <v>0</v>
      </c>
      <c r="AL54" s="142">
        <v>0</v>
      </c>
      <c r="AM54" s="142">
        <v>0</v>
      </c>
      <c r="AN54" s="142">
        <v>0</v>
      </c>
      <c r="AO54" s="142">
        <v>0</v>
      </c>
      <c r="AP54" s="142">
        <v>0</v>
      </c>
      <c r="AQ54" s="142">
        <v>0</v>
      </c>
      <c r="AR54" s="142">
        <v>0</v>
      </c>
      <c r="AS54" s="142">
        <v>0</v>
      </c>
      <c r="AT54" s="142">
        <v>0</v>
      </c>
      <c r="AU54" s="142">
        <v>0</v>
      </c>
      <c r="AV54" s="142">
        <v>0</v>
      </c>
      <c r="AW54" s="142">
        <v>0</v>
      </c>
      <c r="AX54" s="142">
        <v>0</v>
      </c>
      <c r="AY54" s="142">
        <v>0</v>
      </c>
      <c r="AZ54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75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customWidth="1"/>
    <col min="2" max="2" width="12.7109375" customWidth="1"/>
  </cols>
  <sheetData>
    <row r="1" spans="1:54" x14ac:dyDescent="0.2">
      <c r="A1" s="1" t="s">
        <v>284</v>
      </c>
    </row>
    <row r="2" spans="1:54" x14ac:dyDescent="0.2">
      <c r="A2" t="s">
        <v>285</v>
      </c>
      <c r="B2" s="125" t="s">
        <v>22</v>
      </c>
    </row>
    <row r="3" spans="1:54" x14ac:dyDescent="0.2">
      <c r="A3" t="s">
        <v>286</v>
      </c>
      <c r="B3" s="126">
        <v>40000</v>
      </c>
      <c r="C3" s="127"/>
    </row>
    <row r="4" spans="1:54" x14ac:dyDescent="0.2">
      <c r="B4" s="128"/>
      <c r="C4" s="128"/>
    </row>
    <row r="5" spans="1:54" x14ac:dyDescent="0.2">
      <c r="C5" s="9" t="s">
        <v>287</v>
      </c>
    </row>
    <row r="6" spans="1:54" x14ac:dyDescent="0.2">
      <c r="C6" s="129">
        <v>0</v>
      </c>
      <c r="D6" s="129">
        <v>1</v>
      </c>
      <c r="E6" s="129">
        <v>2</v>
      </c>
      <c r="F6" s="129">
        <v>3</v>
      </c>
      <c r="G6" s="129">
        <v>4</v>
      </c>
      <c r="H6" s="129">
        <v>5</v>
      </c>
      <c r="I6" s="129">
        <v>6</v>
      </c>
      <c r="J6" s="129">
        <v>7</v>
      </c>
      <c r="K6" s="129">
        <v>8</v>
      </c>
      <c r="L6" s="129">
        <v>9</v>
      </c>
      <c r="M6" s="129">
        <v>10</v>
      </c>
      <c r="N6" s="129">
        <v>11</v>
      </c>
      <c r="O6" s="129">
        <v>12</v>
      </c>
      <c r="P6" s="129">
        <v>13</v>
      </c>
      <c r="Q6" s="129">
        <v>14</v>
      </c>
      <c r="R6" s="129">
        <v>15</v>
      </c>
      <c r="S6" s="129">
        <v>16</v>
      </c>
      <c r="T6" s="129">
        <v>17</v>
      </c>
      <c r="U6" s="129">
        <v>18</v>
      </c>
      <c r="V6" s="129">
        <v>19</v>
      </c>
      <c r="W6" s="129">
        <v>20</v>
      </c>
      <c r="X6" s="129">
        <v>21</v>
      </c>
      <c r="Y6" s="129">
        <v>22</v>
      </c>
      <c r="Z6" s="129">
        <v>23</v>
      </c>
      <c r="AA6" s="129">
        <v>24</v>
      </c>
      <c r="AB6" s="129">
        <v>25</v>
      </c>
      <c r="AC6" s="129">
        <v>26</v>
      </c>
      <c r="AD6" s="129">
        <v>27</v>
      </c>
      <c r="AE6" s="129">
        <v>28</v>
      </c>
      <c r="AF6" s="129">
        <v>29</v>
      </c>
      <c r="AG6" s="129">
        <v>30</v>
      </c>
      <c r="AH6" s="129">
        <v>31</v>
      </c>
      <c r="AI6" s="129">
        <v>32</v>
      </c>
      <c r="AJ6" s="129">
        <v>33</v>
      </c>
      <c r="AK6" s="129">
        <v>34</v>
      </c>
      <c r="AL6" s="129">
        <v>35</v>
      </c>
      <c r="AM6" s="129">
        <v>36</v>
      </c>
      <c r="AN6" s="129">
        <v>37</v>
      </c>
      <c r="AO6" s="129">
        <v>38</v>
      </c>
      <c r="AP6" s="129">
        <v>39</v>
      </c>
      <c r="AQ6" s="129">
        <v>40</v>
      </c>
      <c r="AR6" s="129">
        <v>41</v>
      </c>
      <c r="AS6" s="129">
        <v>42</v>
      </c>
      <c r="AT6" s="129">
        <v>43</v>
      </c>
      <c r="AU6" s="129">
        <v>44</v>
      </c>
      <c r="AV6" s="129">
        <v>45</v>
      </c>
      <c r="AW6" s="129">
        <v>46</v>
      </c>
      <c r="AX6" s="129">
        <v>47</v>
      </c>
      <c r="AY6" s="129">
        <v>48</v>
      </c>
    </row>
    <row r="7" spans="1:54" x14ac:dyDescent="0.2">
      <c r="B7" s="128"/>
      <c r="C7" s="130" t="s">
        <v>288</v>
      </c>
      <c r="D7" s="129" t="s">
        <v>289</v>
      </c>
      <c r="E7" s="129" t="s">
        <v>289</v>
      </c>
      <c r="F7" s="129" t="s">
        <v>289</v>
      </c>
      <c r="G7" s="129" t="s">
        <v>289</v>
      </c>
      <c r="H7" s="129" t="s">
        <v>289</v>
      </c>
      <c r="I7" s="129" t="s">
        <v>289</v>
      </c>
      <c r="J7" s="129" t="s">
        <v>289</v>
      </c>
      <c r="K7" s="129" t="s">
        <v>289</v>
      </c>
      <c r="L7" s="129" t="s">
        <v>289</v>
      </c>
      <c r="M7" s="129" t="s">
        <v>289</v>
      </c>
      <c r="N7" s="129" t="s">
        <v>289</v>
      </c>
      <c r="O7" s="129" t="s">
        <v>289</v>
      </c>
      <c r="P7" s="129" t="s">
        <v>289</v>
      </c>
      <c r="Q7" s="129" t="s">
        <v>289</v>
      </c>
      <c r="R7" s="129" t="s">
        <v>289</v>
      </c>
      <c r="S7" s="129" t="s">
        <v>289</v>
      </c>
      <c r="T7" s="129" t="s">
        <v>289</v>
      </c>
      <c r="U7" s="129" t="s">
        <v>289</v>
      </c>
      <c r="V7" s="129" t="s">
        <v>289</v>
      </c>
      <c r="W7" s="129" t="s">
        <v>289</v>
      </c>
      <c r="X7" s="129" t="s">
        <v>289</v>
      </c>
      <c r="Y7" s="129" t="s">
        <v>289</v>
      </c>
      <c r="Z7" s="129" t="s">
        <v>289</v>
      </c>
      <c r="AA7" s="129" t="s">
        <v>289</v>
      </c>
      <c r="AB7" s="129" t="s">
        <v>289</v>
      </c>
      <c r="AC7" s="129" t="s">
        <v>289</v>
      </c>
      <c r="AD7" s="129" t="s">
        <v>289</v>
      </c>
      <c r="AE7" s="129" t="s">
        <v>289</v>
      </c>
      <c r="AF7" s="129" t="s">
        <v>289</v>
      </c>
      <c r="AG7" s="129" t="s">
        <v>289</v>
      </c>
      <c r="AH7" s="129" t="s">
        <v>289</v>
      </c>
      <c r="AI7" s="129" t="s">
        <v>289</v>
      </c>
      <c r="AJ7" s="129" t="s">
        <v>289</v>
      </c>
      <c r="AK7" s="129" t="s">
        <v>289</v>
      </c>
      <c r="AL7" s="129" t="s">
        <v>289</v>
      </c>
      <c r="AM7" s="129" t="s">
        <v>289</v>
      </c>
      <c r="AN7" s="129" t="s">
        <v>289</v>
      </c>
      <c r="AO7" s="129" t="s">
        <v>289</v>
      </c>
      <c r="AP7" s="129" t="s">
        <v>289</v>
      </c>
      <c r="AQ7" s="129" t="s">
        <v>289</v>
      </c>
      <c r="AR7" s="129" t="s">
        <v>289</v>
      </c>
      <c r="AS7" s="129" t="s">
        <v>289</v>
      </c>
      <c r="AT7" s="129" t="s">
        <v>289</v>
      </c>
      <c r="AU7" s="129" t="s">
        <v>289</v>
      </c>
      <c r="AV7" s="129" t="s">
        <v>289</v>
      </c>
      <c r="AW7" s="129" t="s">
        <v>289</v>
      </c>
      <c r="AX7" s="129" t="s">
        <v>289</v>
      </c>
      <c r="AY7" s="9" t="s">
        <v>290</v>
      </c>
      <c r="AZ7" s="9" t="s">
        <v>291</v>
      </c>
    </row>
    <row r="8" spans="1:54" x14ac:dyDescent="0.2">
      <c r="A8" s="1" t="s">
        <v>292</v>
      </c>
      <c r="B8" s="131"/>
      <c r="AY8" s="128"/>
    </row>
    <row r="9" spans="1:54" x14ac:dyDescent="0.2">
      <c r="A9" s="132" t="s">
        <v>125</v>
      </c>
      <c r="B9" s="133">
        <v>1</v>
      </c>
      <c r="C9" s="134" t="s">
        <v>293</v>
      </c>
      <c r="D9" s="134">
        <v>1721.3370918795613</v>
      </c>
      <c r="E9" s="134">
        <v>1721.3370918795613</v>
      </c>
      <c r="F9" s="134">
        <v>1721.3370918795613</v>
      </c>
      <c r="G9" s="134">
        <v>1721.3370918795613</v>
      </c>
      <c r="H9" s="134">
        <v>1721.3370918795613</v>
      </c>
      <c r="I9" s="134">
        <v>1721.3370918795613</v>
      </c>
      <c r="J9" s="134">
        <v>1721.3370918795613</v>
      </c>
      <c r="K9" s="134">
        <v>1721.3370918795613</v>
      </c>
      <c r="L9" s="134">
        <v>1721.3370918795613</v>
      </c>
      <c r="M9" s="134">
        <v>1721.3370918795613</v>
      </c>
      <c r="N9" s="134">
        <v>1721.3370918795613</v>
      </c>
      <c r="O9" s="134">
        <v>1721.3370918795613</v>
      </c>
      <c r="P9" s="134">
        <v>1721.3370918795613</v>
      </c>
      <c r="Q9" s="134">
        <v>1721.3370918795613</v>
      </c>
      <c r="R9" s="134">
        <v>1721.3370918795613</v>
      </c>
      <c r="S9" s="134">
        <v>1721.3370918795613</v>
      </c>
      <c r="T9" s="134">
        <v>1721.3370918795613</v>
      </c>
      <c r="U9" s="134">
        <v>1721.3370918795613</v>
      </c>
      <c r="V9" s="134">
        <v>1721.3370918795613</v>
      </c>
      <c r="W9" s="134">
        <v>1721.3370918795613</v>
      </c>
      <c r="X9" s="134">
        <v>1721.3370918795613</v>
      </c>
      <c r="Y9" s="134">
        <v>1721.3370918795613</v>
      </c>
      <c r="Z9" s="134">
        <v>1721.3370918795613</v>
      </c>
      <c r="AA9" s="134">
        <v>1721.3370918795613</v>
      </c>
      <c r="AB9" s="134">
        <v>1721.3370918795613</v>
      </c>
      <c r="AC9" s="134">
        <v>1721.3370918795613</v>
      </c>
      <c r="AD9" s="134">
        <v>1721.3370918795613</v>
      </c>
      <c r="AE9" s="134">
        <v>1721.3370918795613</v>
      </c>
      <c r="AF9" s="134">
        <v>1721.3370918795613</v>
      </c>
      <c r="AG9" s="134">
        <v>1721.3370918795613</v>
      </c>
      <c r="AH9" s="134">
        <v>1721.3370918795613</v>
      </c>
      <c r="AI9" s="134">
        <v>1721.3370918795613</v>
      </c>
      <c r="AJ9" s="134">
        <v>1721.3370918795613</v>
      </c>
      <c r="AK9" s="134">
        <v>1721.3370918795613</v>
      </c>
      <c r="AL9" s="134">
        <v>1721.3370918795613</v>
      </c>
      <c r="AM9" s="134">
        <v>1721.3370918795613</v>
      </c>
      <c r="AN9" s="134">
        <v>1721.3370918795613</v>
      </c>
      <c r="AO9" s="134">
        <v>1721.3370918795613</v>
      </c>
      <c r="AP9" s="134">
        <v>1721.3370918795613</v>
      </c>
      <c r="AQ9" s="134">
        <v>1721.3370918795613</v>
      </c>
      <c r="AR9" s="134">
        <v>1721.3370918795613</v>
      </c>
      <c r="AS9" s="134">
        <v>1721.3370918795613</v>
      </c>
      <c r="AT9" s="134">
        <v>1721.3370918795613</v>
      </c>
      <c r="AU9" s="134">
        <v>1721.3370918795613</v>
      </c>
      <c r="AV9" s="134">
        <v>1721.3370918795613</v>
      </c>
      <c r="AW9" s="134">
        <v>1721.3370918795613</v>
      </c>
      <c r="AX9" s="134">
        <v>1721.3370918795613</v>
      </c>
      <c r="AY9" s="134">
        <v>1721.3370918795613</v>
      </c>
    </row>
    <row r="10" spans="1:54" x14ac:dyDescent="0.2">
      <c r="A10" s="135" t="s">
        <v>133</v>
      </c>
      <c r="B10" s="136">
        <v>1</v>
      </c>
      <c r="C10" s="124" t="s">
        <v>293</v>
      </c>
      <c r="D10">
        <v>122.39332949241017</v>
      </c>
      <c r="E10">
        <v>1532.430490505006</v>
      </c>
      <c r="F10">
        <v>1877.5489045897211</v>
      </c>
      <c r="G10">
        <v>1182</v>
      </c>
      <c r="H10">
        <v>1877.5489045897211</v>
      </c>
      <c r="I10">
        <v>630</v>
      </c>
      <c r="J10">
        <v>1775.5489045897211</v>
      </c>
      <c r="K10">
        <v>1877.5489045897211</v>
      </c>
      <c r="L10">
        <v>1775.5489045897211</v>
      </c>
      <c r="M10">
        <v>1182</v>
      </c>
      <c r="N10">
        <v>1775.5489045897211</v>
      </c>
      <c r="O10">
        <v>1182</v>
      </c>
      <c r="P10">
        <v>1877.5489045897211</v>
      </c>
      <c r="Q10">
        <v>1325.5489045897211</v>
      </c>
      <c r="R10">
        <v>1877.5489045897211</v>
      </c>
      <c r="S10">
        <v>1877.5489045897211</v>
      </c>
      <c r="T10">
        <v>1877.5489045897211</v>
      </c>
      <c r="U10">
        <v>1877.5489045897211</v>
      </c>
      <c r="V10">
        <v>1877.5489045897211</v>
      </c>
      <c r="W10">
        <v>1325.5489045897211</v>
      </c>
      <c r="X10">
        <v>1325.5489045897211</v>
      </c>
      <c r="Y10">
        <v>1877.5489045897211</v>
      </c>
      <c r="Z10">
        <v>552</v>
      </c>
      <c r="AA10">
        <v>2430</v>
      </c>
      <c r="AB10">
        <v>1877.5489045897211</v>
      </c>
      <c r="AC10">
        <v>1877.5489045897211</v>
      </c>
      <c r="AD10">
        <v>1877.5489045897211</v>
      </c>
      <c r="AE10">
        <v>1877.5489045897211</v>
      </c>
      <c r="AF10">
        <v>1325.5489045897211</v>
      </c>
      <c r="AG10">
        <v>1877.5489045897211</v>
      </c>
      <c r="AH10">
        <v>1325.5489045897211</v>
      </c>
      <c r="AI10">
        <v>1775.5489045897211</v>
      </c>
      <c r="AJ10">
        <v>1877.5489045897211</v>
      </c>
      <c r="AK10">
        <v>1775.5489045897211</v>
      </c>
      <c r="AL10">
        <v>1877.5489045897211</v>
      </c>
      <c r="AM10">
        <v>1877.5489045897211</v>
      </c>
      <c r="AN10">
        <v>1182</v>
      </c>
      <c r="AO10">
        <v>1877.5489045897211</v>
      </c>
      <c r="AP10">
        <v>1325.5489045897211</v>
      </c>
      <c r="AQ10">
        <v>1775.5489045897211</v>
      </c>
      <c r="AR10">
        <v>1325.5489045897211</v>
      </c>
      <c r="AS10">
        <v>1775.5489045897211</v>
      </c>
      <c r="AT10">
        <v>1877.5489045897211</v>
      </c>
      <c r="AU10">
        <v>1877.5489045897211</v>
      </c>
      <c r="AV10">
        <v>630</v>
      </c>
      <c r="AW10">
        <v>1775.5489045897211</v>
      </c>
      <c r="AX10">
        <v>1877.5489045897211</v>
      </c>
      <c r="AY10">
        <v>450</v>
      </c>
      <c r="AZ10">
        <v>2532</v>
      </c>
    </row>
    <row r="11" spans="1:54" x14ac:dyDescent="0.2">
      <c r="B11" s="136">
        <v>2</v>
      </c>
      <c r="C11" s="124" t="s">
        <v>293</v>
      </c>
      <c r="D11">
        <v>0</v>
      </c>
      <c r="E11">
        <v>0</v>
      </c>
      <c r="H11">
        <v>695.54890458972113</v>
      </c>
      <c r="J11">
        <v>695.54890458972113</v>
      </c>
      <c r="K11">
        <v>102</v>
      </c>
      <c r="M11">
        <v>102</v>
      </c>
      <c r="N11">
        <v>695.54890458972113</v>
      </c>
      <c r="O11">
        <v>102</v>
      </c>
      <c r="P11">
        <v>695.54890458972113</v>
      </c>
      <c r="Q11">
        <v>0</v>
      </c>
      <c r="R11">
        <v>552</v>
      </c>
      <c r="T11">
        <v>0</v>
      </c>
      <c r="W11">
        <v>0</v>
      </c>
      <c r="AA11">
        <v>0</v>
      </c>
      <c r="AB11">
        <v>773.09780917944227</v>
      </c>
      <c r="AC11">
        <v>0</v>
      </c>
      <c r="AG11">
        <v>552</v>
      </c>
      <c r="AI11">
        <v>552</v>
      </c>
      <c r="AJ11">
        <v>102</v>
      </c>
      <c r="AK11">
        <v>0</v>
      </c>
      <c r="AL11">
        <v>102</v>
      </c>
      <c r="AP11">
        <v>0</v>
      </c>
      <c r="AR11">
        <v>102</v>
      </c>
      <c r="AS11">
        <v>0</v>
      </c>
      <c r="AT11">
        <v>102</v>
      </c>
      <c r="AV11">
        <v>0</v>
      </c>
      <c r="AW11">
        <v>695.54890458972113</v>
      </c>
      <c r="AX11">
        <v>102</v>
      </c>
      <c r="AZ11">
        <v>102</v>
      </c>
      <c r="BA11">
        <v>671.09780917944227</v>
      </c>
    </row>
    <row r="12" spans="1:54" x14ac:dyDescent="0.2">
      <c r="B12" s="137">
        <v>3</v>
      </c>
      <c r="C12" s="124" t="s">
        <v>293</v>
      </c>
      <c r="J12">
        <v>0</v>
      </c>
      <c r="P12">
        <v>0</v>
      </c>
      <c r="V12">
        <v>0</v>
      </c>
      <c r="Y12">
        <v>552</v>
      </c>
      <c r="AC12">
        <v>0</v>
      </c>
      <c r="AK12">
        <v>0</v>
      </c>
      <c r="AP12">
        <v>695.54890458972113</v>
      </c>
      <c r="AR12">
        <v>552</v>
      </c>
      <c r="AX12">
        <v>552</v>
      </c>
      <c r="BB12">
        <v>0</v>
      </c>
    </row>
    <row r="13" spans="1:54" x14ac:dyDescent="0.2">
      <c r="B13" s="137">
        <v>4</v>
      </c>
      <c r="C13" s="124" t="s">
        <v>293</v>
      </c>
    </row>
    <row r="14" spans="1:54" x14ac:dyDescent="0.2">
      <c r="A14" s="132" t="s">
        <v>134</v>
      </c>
      <c r="B14" s="138">
        <v>1</v>
      </c>
      <c r="C14" s="134" t="s">
        <v>293</v>
      </c>
      <c r="D14" s="134">
        <v>382.02125413264991</v>
      </c>
      <c r="E14" s="134">
        <f t="shared" ref="E14:AZ14" si="0">D$172*SUM(D$122:D$169)</f>
        <v>1798.0462250536789</v>
      </c>
      <c r="F14" s="134">
        <f t="shared" si="0"/>
        <v>2768.3286818357337</v>
      </c>
      <c r="G14" s="134">
        <f t="shared" si="0"/>
        <v>3374.7186250445156</v>
      </c>
      <c r="H14" s="134">
        <f t="shared" si="0"/>
        <v>3798.9947115506534</v>
      </c>
      <c r="I14" s="134">
        <f t="shared" si="0"/>
        <v>4030.5872019494927</v>
      </c>
      <c r="J14" s="134">
        <f t="shared" si="0"/>
        <v>4189.3883429182733</v>
      </c>
      <c r="K14" s="134">
        <f t="shared" si="0"/>
        <v>4315.4385079165877</v>
      </c>
      <c r="L14" s="134">
        <f t="shared" si="0"/>
        <v>4412.6329549127622</v>
      </c>
      <c r="M14" s="134">
        <f t="shared" si="0"/>
        <v>4432.8587082331196</v>
      </c>
      <c r="N14" s="134">
        <f t="shared" si="0"/>
        <v>4472.5671711842851</v>
      </c>
      <c r="O14" s="134">
        <f t="shared" si="0"/>
        <v>4540.5483954920537</v>
      </c>
      <c r="P14" s="134">
        <f t="shared" si="0"/>
        <v>4557.1558572763615</v>
      </c>
      <c r="Q14" s="134">
        <f t="shared" si="0"/>
        <v>4532.1264824586615</v>
      </c>
      <c r="R14" s="134">
        <f t="shared" si="0"/>
        <v>4540.9181907799912</v>
      </c>
      <c r="S14" s="134">
        <f t="shared" si="0"/>
        <v>4517.2935336834908</v>
      </c>
      <c r="T14" s="134">
        <f t="shared" si="0"/>
        <v>4604.2600400146957</v>
      </c>
      <c r="U14" s="134">
        <f t="shared" si="0"/>
        <v>4563.9478762919753</v>
      </c>
      <c r="V14" s="134">
        <f t="shared" si="0"/>
        <v>4539.9818951466877</v>
      </c>
      <c r="W14" s="134">
        <f t="shared" si="0"/>
        <v>4542.8548237236319</v>
      </c>
      <c r="X14" s="134">
        <f t="shared" si="0"/>
        <v>4544.7754230676765</v>
      </c>
      <c r="Y14" s="134">
        <f t="shared" si="0"/>
        <v>4572.909561296462</v>
      </c>
      <c r="Z14" s="134">
        <f t="shared" si="0"/>
        <v>4550.945183648676</v>
      </c>
      <c r="AA14" s="134">
        <f t="shared" si="0"/>
        <v>4604.5473002868603</v>
      </c>
      <c r="AB14" s="134">
        <f t="shared" si="0"/>
        <v>4610.5476440587654</v>
      </c>
      <c r="AC14" s="134">
        <f t="shared" si="0"/>
        <v>4566.8253064297796</v>
      </c>
      <c r="AD14" s="134">
        <f t="shared" si="0"/>
        <v>4565.4408524483142</v>
      </c>
      <c r="AE14" s="134">
        <f t="shared" si="0"/>
        <v>4569.8190630375602</v>
      </c>
      <c r="AF14" s="134">
        <f t="shared" si="0"/>
        <v>4538.2716543887445</v>
      </c>
      <c r="AG14" s="134">
        <f t="shared" si="0"/>
        <v>4533.424405467581</v>
      </c>
      <c r="AH14" s="134">
        <f t="shared" si="0"/>
        <v>4533.167295002585</v>
      </c>
      <c r="AI14" s="134">
        <f t="shared" si="0"/>
        <v>4555.8677935123642</v>
      </c>
      <c r="AJ14" s="134">
        <f t="shared" si="0"/>
        <v>4569.3860259858611</v>
      </c>
      <c r="AK14" s="134">
        <f t="shared" si="0"/>
        <v>4576.7657647050528</v>
      </c>
      <c r="AL14" s="134">
        <f t="shared" si="0"/>
        <v>4594.2956234692556</v>
      </c>
      <c r="AM14" s="134">
        <f t="shared" si="0"/>
        <v>4615.2961642585715</v>
      </c>
      <c r="AN14" s="134">
        <f t="shared" si="0"/>
        <v>4578.9498313305194</v>
      </c>
      <c r="AO14" s="134">
        <f t="shared" si="0"/>
        <v>4566.5851345257452</v>
      </c>
      <c r="AP14" s="134">
        <f t="shared" si="0"/>
        <v>4551.0264909677171</v>
      </c>
      <c r="AQ14" s="134">
        <f t="shared" si="0"/>
        <v>4567.8069556381033</v>
      </c>
      <c r="AR14" s="134">
        <f t="shared" si="0"/>
        <v>4588.3065143227595</v>
      </c>
      <c r="AS14" s="134">
        <f t="shared" si="0"/>
        <v>4582.1217747668979</v>
      </c>
      <c r="AT14" s="134">
        <f t="shared" si="0"/>
        <v>4601.8540084498409</v>
      </c>
      <c r="AU14" s="134">
        <f t="shared" si="0"/>
        <v>4559.3560511254273</v>
      </c>
      <c r="AV14" s="134">
        <f t="shared" si="0"/>
        <v>4516.0287072297488</v>
      </c>
      <c r="AW14" s="134">
        <f t="shared" si="0"/>
        <v>4553.6919155725664</v>
      </c>
      <c r="AX14" s="134">
        <f t="shared" si="0"/>
        <v>4521.5236866804953</v>
      </c>
      <c r="AY14" s="134">
        <f t="shared" si="0"/>
        <v>4506.9798634355875</v>
      </c>
      <c r="AZ14" s="128">
        <f t="shared" si="0"/>
        <v>4518.4720438491331</v>
      </c>
      <c r="BA14" s="125">
        <f>SUM($E14:$AZ14)</f>
        <v>210847.63626442524</v>
      </c>
    </row>
    <row r="15" spans="1:54" x14ac:dyDescent="0.2">
      <c r="A15" s="139" t="s">
        <v>123</v>
      </c>
      <c r="B15" s="140">
        <v>1</v>
      </c>
      <c r="C15" s="141" t="s">
        <v>293</v>
      </c>
      <c r="D15" s="141">
        <v>5242.6487703439288</v>
      </c>
      <c r="E15" s="141">
        <v>5428.3758488486765</v>
      </c>
      <c r="F15" s="141">
        <v>5242.6487703439288</v>
      </c>
      <c r="G15" s="141">
        <v>5242.6487703439288</v>
      </c>
      <c r="H15" s="141">
        <v>5242.6487703439288</v>
      </c>
      <c r="I15" s="141">
        <v>5242.6487703439288</v>
      </c>
      <c r="J15" s="141">
        <v>5242.6487703439288</v>
      </c>
      <c r="K15" s="141">
        <v>5242.6487703439288</v>
      </c>
      <c r="L15" s="141">
        <v>5242.6487703439288</v>
      </c>
      <c r="M15" s="141">
        <v>5242.6487703439288</v>
      </c>
      <c r="N15" s="141">
        <v>5242.6487703439288</v>
      </c>
      <c r="O15" s="141">
        <v>5242.6487703439288</v>
      </c>
      <c r="P15" s="141">
        <v>5242.6487703439288</v>
      </c>
      <c r="Q15" s="141">
        <v>5242.6487703439288</v>
      </c>
      <c r="R15" s="141">
        <v>5242.6487703439288</v>
      </c>
      <c r="S15" s="141">
        <v>5242.6487703439288</v>
      </c>
      <c r="T15" s="141">
        <v>5242.6487703439288</v>
      </c>
      <c r="U15" s="141">
        <v>5242.6487703439288</v>
      </c>
      <c r="V15" s="141">
        <v>5242.6487703439288</v>
      </c>
      <c r="W15" s="141">
        <v>5242.6487703439288</v>
      </c>
      <c r="X15" s="141">
        <v>5242.6487703439288</v>
      </c>
      <c r="Y15" s="141">
        <v>5242.6487703439288</v>
      </c>
      <c r="Z15" s="141">
        <v>5242.6487703439288</v>
      </c>
      <c r="AA15" s="141">
        <v>5242.6487703439288</v>
      </c>
      <c r="AB15" s="141">
        <v>5242.6487703439288</v>
      </c>
      <c r="AC15" s="141">
        <v>5242.6487703439288</v>
      </c>
      <c r="AD15" s="141">
        <v>5242.6487703439288</v>
      </c>
      <c r="AE15" s="141">
        <v>5242.6487703439288</v>
      </c>
      <c r="AF15" s="141">
        <v>5242.6487703439288</v>
      </c>
      <c r="AG15" s="141">
        <v>5242.6487703439288</v>
      </c>
      <c r="AH15" s="141">
        <v>5242.6487703439288</v>
      </c>
      <c r="AI15" s="141">
        <v>5242.6487703439288</v>
      </c>
      <c r="AJ15" s="141">
        <v>5242.6487703439288</v>
      </c>
      <c r="AK15" s="141">
        <v>5242.6487703439288</v>
      </c>
      <c r="AL15" s="141">
        <v>5242.6487703439288</v>
      </c>
      <c r="AM15" s="141">
        <v>5242.6487703439288</v>
      </c>
      <c r="AN15" s="141">
        <v>5242.6487703439288</v>
      </c>
      <c r="AO15" s="141">
        <v>5242.6487703439288</v>
      </c>
      <c r="AP15" s="141">
        <v>5242.6487703439288</v>
      </c>
      <c r="AQ15" s="141">
        <v>5242.6487703439288</v>
      </c>
      <c r="AR15" s="141">
        <v>5242.6487703439288</v>
      </c>
      <c r="AS15" s="141">
        <v>5242.6487703439288</v>
      </c>
      <c r="AT15" s="141">
        <v>5242.6487703439288</v>
      </c>
      <c r="AU15" s="141">
        <v>5242.6487703439288</v>
      </c>
      <c r="AV15" s="141">
        <v>5242.6487703439288</v>
      </c>
      <c r="AW15" s="141">
        <v>5242.6487703439288</v>
      </c>
      <c r="AX15" s="141">
        <v>5242.6487703439288</v>
      </c>
      <c r="AY15" s="141">
        <v>5242.6487703439288</v>
      </c>
      <c r="AZ15">
        <v>0</v>
      </c>
    </row>
    <row r="16" spans="1:54" x14ac:dyDescent="0.2">
      <c r="A16" s="128"/>
      <c r="B16" s="136">
        <v>2</v>
      </c>
      <c r="C16" s="127" t="s">
        <v>293</v>
      </c>
      <c r="D16" s="124">
        <v>0</v>
      </c>
      <c r="E16" s="128">
        <v>0</v>
      </c>
      <c r="F16" s="128"/>
      <c r="G16" s="128"/>
      <c r="H16" s="128">
        <v>0</v>
      </c>
      <c r="I16" s="128"/>
      <c r="J16" s="128">
        <v>0</v>
      </c>
      <c r="K16" s="128">
        <v>0</v>
      </c>
      <c r="L16" s="128"/>
      <c r="M16" s="128">
        <v>0</v>
      </c>
      <c r="N16" s="128">
        <v>0</v>
      </c>
      <c r="O16" s="128">
        <v>0</v>
      </c>
      <c r="P16" s="128">
        <v>0</v>
      </c>
      <c r="Q16" s="128">
        <v>0</v>
      </c>
      <c r="R16" s="128">
        <v>0</v>
      </c>
      <c r="S16" s="128"/>
      <c r="T16" s="128">
        <v>0</v>
      </c>
      <c r="U16" s="128"/>
      <c r="V16" s="128"/>
      <c r="W16" s="128">
        <v>0</v>
      </c>
      <c r="X16" s="128"/>
      <c r="Y16" s="128"/>
      <c r="Z16" s="128"/>
      <c r="AA16" s="128">
        <v>0</v>
      </c>
      <c r="AB16" s="128">
        <v>0</v>
      </c>
      <c r="AC16" s="128">
        <v>0</v>
      </c>
      <c r="AD16" s="128"/>
      <c r="AE16" s="128"/>
      <c r="AF16" s="128"/>
      <c r="AG16" s="128">
        <v>0</v>
      </c>
      <c r="AH16" s="128"/>
      <c r="AI16" s="128">
        <v>0</v>
      </c>
      <c r="AJ16" s="128">
        <v>0</v>
      </c>
      <c r="AK16" s="128">
        <v>0</v>
      </c>
      <c r="AL16" s="128">
        <v>0</v>
      </c>
      <c r="AM16" s="128"/>
      <c r="AN16" s="128"/>
      <c r="AO16" s="128"/>
      <c r="AP16" s="128">
        <v>0</v>
      </c>
      <c r="AQ16" s="128"/>
      <c r="AR16" s="128">
        <v>0</v>
      </c>
      <c r="AS16" s="128">
        <v>0</v>
      </c>
      <c r="AT16" s="128">
        <v>0</v>
      </c>
      <c r="AU16" s="128"/>
      <c r="AV16" s="128">
        <v>0</v>
      </c>
      <c r="AW16" s="128">
        <v>0</v>
      </c>
      <c r="AX16" s="128">
        <v>0</v>
      </c>
      <c r="AY16" s="128"/>
      <c r="AZ16">
        <v>0</v>
      </c>
      <c r="BA16">
        <v>0</v>
      </c>
    </row>
    <row r="17" spans="1:54" x14ac:dyDescent="0.2">
      <c r="A17" s="128"/>
      <c r="B17" s="136">
        <v>3</v>
      </c>
      <c r="C17" s="127" t="s">
        <v>293</v>
      </c>
      <c r="D17" s="124"/>
      <c r="E17" s="128"/>
      <c r="F17" s="128"/>
      <c r="G17" s="128"/>
      <c r="H17" s="128"/>
      <c r="I17" s="128"/>
      <c r="J17" s="128">
        <v>0</v>
      </c>
      <c r="K17" s="128"/>
      <c r="L17" s="128"/>
      <c r="M17" s="128"/>
      <c r="N17" s="128"/>
      <c r="O17" s="128"/>
      <c r="P17" s="128">
        <v>0</v>
      </c>
      <c r="Q17" s="128"/>
      <c r="R17" s="128"/>
      <c r="S17" s="128"/>
      <c r="T17" s="128"/>
      <c r="U17" s="128"/>
      <c r="V17" s="128">
        <v>0</v>
      </c>
      <c r="W17" s="128"/>
      <c r="X17" s="128"/>
      <c r="Y17" s="128">
        <v>0</v>
      </c>
      <c r="Z17" s="128"/>
      <c r="AA17" s="128"/>
      <c r="AB17" s="128"/>
      <c r="AC17" s="128">
        <v>0</v>
      </c>
      <c r="AD17" s="128"/>
      <c r="AE17" s="128"/>
      <c r="AF17" s="128"/>
      <c r="AG17" s="128"/>
      <c r="AH17" s="128"/>
      <c r="AI17" s="128"/>
      <c r="AJ17" s="128"/>
      <c r="AK17" s="128">
        <v>0</v>
      </c>
      <c r="AL17" s="128"/>
      <c r="AM17" s="128"/>
      <c r="AN17" s="128"/>
      <c r="AO17" s="128"/>
      <c r="AP17" s="128">
        <v>0</v>
      </c>
      <c r="AQ17" s="128"/>
      <c r="AR17" s="128">
        <v>0</v>
      </c>
      <c r="AS17" s="128"/>
      <c r="AT17" s="128"/>
      <c r="AU17" s="128"/>
      <c r="AV17" s="128"/>
      <c r="AW17" s="128"/>
      <c r="AX17" s="128">
        <v>0</v>
      </c>
      <c r="AY17" s="128"/>
      <c r="BB17">
        <v>0</v>
      </c>
    </row>
    <row r="18" spans="1:54" x14ac:dyDescent="0.2">
      <c r="A18" s="142"/>
      <c r="B18" s="133">
        <v>4</v>
      </c>
      <c r="C18" s="142" t="s">
        <v>293</v>
      </c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/>
      <c r="AV18" s="142"/>
      <c r="AW18" s="142"/>
      <c r="AX18" s="142"/>
      <c r="AY18" s="142"/>
    </row>
    <row r="20" spans="1:54" x14ac:dyDescent="0.2">
      <c r="A20" s="1" t="s">
        <v>294</v>
      </c>
    </row>
    <row r="21" spans="1:54" x14ac:dyDescent="0.2">
      <c r="A21" s="143" t="s">
        <v>125</v>
      </c>
      <c r="B21" s="140">
        <v>1</v>
      </c>
      <c r="C21" s="141" t="s">
        <v>293</v>
      </c>
      <c r="D21" s="141"/>
      <c r="E21" s="141"/>
      <c r="F21" s="141"/>
      <c r="G21" s="141"/>
      <c r="H21" s="141"/>
      <c r="I21" s="141"/>
      <c r="J21" s="141"/>
      <c r="K21" s="141">
        <v>1721.3370918795613</v>
      </c>
      <c r="L21" s="141">
        <v>1721.3370918795613</v>
      </c>
      <c r="M21" s="141">
        <v>1721.3370918795613</v>
      </c>
      <c r="N21" s="141">
        <v>1721.3370918795613</v>
      </c>
      <c r="O21" s="141">
        <v>1721.3370918795613</v>
      </c>
      <c r="P21" s="141">
        <v>1721.3370918795613</v>
      </c>
      <c r="Q21" s="141">
        <v>1721.3370918795613</v>
      </c>
      <c r="R21" s="141">
        <v>1721.3370918795613</v>
      </c>
      <c r="S21" s="141">
        <v>1721.3370918795613</v>
      </c>
      <c r="T21" s="141">
        <v>1721.3370918795613</v>
      </c>
      <c r="U21" s="141">
        <v>1721.3370918795613</v>
      </c>
      <c r="V21" s="141">
        <v>1721.3370918795613</v>
      </c>
      <c r="W21" s="141">
        <v>1721.3370918795613</v>
      </c>
      <c r="X21" s="141">
        <v>1721.3370918795613</v>
      </c>
      <c r="Y21" s="141">
        <v>1721.3370918795613</v>
      </c>
      <c r="Z21" s="141">
        <v>1721.3370918795613</v>
      </c>
      <c r="AA21" s="141">
        <v>1721.3370918795613</v>
      </c>
      <c r="AB21" s="141">
        <v>1721.3370918795613</v>
      </c>
      <c r="AC21" s="141">
        <v>1721.3370918795613</v>
      </c>
      <c r="AD21" s="141">
        <v>1721.3370918795613</v>
      </c>
      <c r="AE21" s="141">
        <v>1721.3370918795613</v>
      </c>
      <c r="AF21" s="141">
        <v>1721.3370918795613</v>
      </c>
      <c r="AG21" s="141">
        <v>1721.3370918795613</v>
      </c>
      <c r="AH21" s="141">
        <v>1721.3370918795613</v>
      </c>
      <c r="AI21" s="141">
        <v>1721.3370918795613</v>
      </c>
      <c r="AJ21" s="141">
        <v>1721.3370918795613</v>
      </c>
      <c r="AK21" s="141">
        <v>1721.3370918795613</v>
      </c>
      <c r="AL21" s="141">
        <v>1721.3370918795613</v>
      </c>
      <c r="AM21" s="141">
        <v>1721.3370918795613</v>
      </c>
      <c r="AN21" s="141">
        <v>1721.3370918795613</v>
      </c>
      <c r="AO21" s="141">
        <v>1721.3370918795613</v>
      </c>
      <c r="AP21" s="141">
        <v>1721.3370918795613</v>
      </c>
      <c r="AQ21" s="141">
        <v>1721.3370918795613</v>
      </c>
      <c r="AR21" s="141">
        <v>1721.3370918795613</v>
      </c>
      <c r="AS21" s="141">
        <v>1721.3370918795613</v>
      </c>
      <c r="AT21" s="141">
        <v>1721.3370918795613</v>
      </c>
      <c r="AU21" s="141">
        <v>1721.3370918795613</v>
      </c>
      <c r="AV21" s="141">
        <v>1721.3370918795613</v>
      </c>
      <c r="AW21" s="141">
        <v>1721.3370918795613</v>
      </c>
      <c r="AX21" s="141">
        <v>1721.3370918795613</v>
      </c>
      <c r="AY21" s="141">
        <v>1721.3370918795613</v>
      </c>
    </row>
    <row r="22" spans="1:54" x14ac:dyDescent="0.2">
      <c r="A22" s="127"/>
      <c r="B22" s="137">
        <v>2</v>
      </c>
      <c r="C22" s="128" t="s">
        <v>293</v>
      </c>
      <c r="D22" s="128"/>
      <c r="E22" s="128"/>
      <c r="F22" s="128"/>
      <c r="G22" s="128"/>
      <c r="H22" s="128"/>
      <c r="I22" s="128"/>
      <c r="J22" s="128">
        <v>674.4639059183346</v>
      </c>
      <c r="K22" s="128">
        <v>1721.3370918795613</v>
      </c>
      <c r="L22" s="128">
        <v>0</v>
      </c>
      <c r="M22" s="128">
        <v>0</v>
      </c>
      <c r="N22" s="128">
        <v>0</v>
      </c>
      <c r="O22" s="128">
        <v>0</v>
      </c>
      <c r="P22" s="128">
        <v>0</v>
      </c>
      <c r="Q22" s="128">
        <v>0</v>
      </c>
      <c r="R22" s="128">
        <v>0</v>
      </c>
      <c r="S22" s="128">
        <v>0</v>
      </c>
      <c r="T22" s="128">
        <v>0</v>
      </c>
      <c r="U22" s="128">
        <v>0</v>
      </c>
      <c r="V22" s="128">
        <v>0</v>
      </c>
      <c r="W22" s="128">
        <v>0</v>
      </c>
      <c r="X22" s="128">
        <v>0</v>
      </c>
      <c r="Y22" s="128">
        <v>0</v>
      </c>
      <c r="Z22" s="128">
        <v>0</v>
      </c>
      <c r="AA22" s="128">
        <v>0</v>
      </c>
      <c r="AB22" s="128">
        <v>0</v>
      </c>
      <c r="AC22" s="128">
        <v>0</v>
      </c>
      <c r="AD22" s="128">
        <v>0</v>
      </c>
      <c r="AE22" s="128">
        <v>0</v>
      </c>
      <c r="AF22" s="128">
        <v>0</v>
      </c>
      <c r="AG22" s="128">
        <v>0</v>
      </c>
      <c r="AH22" s="128">
        <v>0</v>
      </c>
      <c r="AI22" s="128">
        <v>0</v>
      </c>
      <c r="AJ22" s="128">
        <v>0</v>
      </c>
      <c r="AK22" s="128">
        <v>0</v>
      </c>
      <c r="AL22" s="128">
        <v>0</v>
      </c>
      <c r="AM22" s="128">
        <v>0</v>
      </c>
      <c r="AN22" s="128">
        <v>0</v>
      </c>
      <c r="AO22" s="128">
        <v>0</v>
      </c>
      <c r="AP22" s="128">
        <v>0</v>
      </c>
      <c r="AQ22" s="128">
        <v>0</v>
      </c>
      <c r="AR22" s="128">
        <v>0</v>
      </c>
      <c r="AS22" s="128">
        <v>0</v>
      </c>
      <c r="AT22" s="128">
        <v>0</v>
      </c>
      <c r="AU22" s="128">
        <v>0</v>
      </c>
      <c r="AV22" s="128">
        <v>0</v>
      </c>
      <c r="AW22" s="128">
        <v>0</v>
      </c>
      <c r="AX22" s="128">
        <v>0</v>
      </c>
      <c r="AY22" s="128">
        <v>0</v>
      </c>
    </row>
    <row r="23" spans="1:54" x14ac:dyDescent="0.2">
      <c r="A23" s="127"/>
      <c r="B23" s="144">
        <v>3</v>
      </c>
      <c r="C23" s="128" t="s">
        <v>293</v>
      </c>
      <c r="D23" s="128"/>
      <c r="E23" s="128"/>
      <c r="F23" s="128"/>
      <c r="G23" s="128"/>
      <c r="H23" s="128"/>
      <c r="I23" s="128"/>
      <c r="J23" s="128">
        <v>1721.3370918795613</v>
      </c>
      <c r="K23" s="128">
        <v>580.87318596122668</v>
      </c>
      <c r="L23" s="128">
        <v>0</v>
      </c>
      <c r="M23" s="128">
        <v>0</v>
      </c>
      <c r="N23" s="128">
        <v>0</v>
      </c>
      <c r="O23" s="128">
        <v>0</v>
      </c>
      <c r="P23" s="128">
        <v>0</v>
      </c>
      <c r="Q23" s="128">
        <v>0</v>
      </c>
      <c r="R23" s="128">
        <v>0</v>
      </c>
      <c r="S23" s="128">
        <v>0</v>
      </c>
      <c r="T23" s="128">
        <v>0</v>
      </c>
      <c r="U23" s="128">
        <v>0</v>
      </c>
      <c r="V23" s="128">
        <v>0</v>
      </c>
      <c r="W23" s="128">
        <v>0</v>
      </c>
      <c r="X23" s="128">
        <v>0</v>
      </c>
      <c r="Y23" s="128">
        <v>0</v>
      </c>
      <c r="Z23" s="128">
        <v>0</v>
      </c>
      <c r="AA23" s="128">
        <v>0</v>
      </c>
      <c r="AB23" s="128">
        <v>0</v>
      </c>
      <c r="AC23" s="128">
        <v>0</v>
      </c>
      <c r="AD23" s="128">
        <v>0</v>
      </c>
      <c r="AE23" s="128">
        <v>0</v>
      </c>
      <c r="AF23" s="128">
        <v>0</v>
      </c>
      <c r="AG23" s="128">
        <v>0</v>
      </c>
      <c r="AH23" s="128">
        <v>0</v>
      </c>
      <c r="AI23" s="128">
        <v>0</v>
      </c>
      <c r="AJ23" s="128">
        <v>0</v>
      </c>
      <c r="AK23" s="128">
        <v>0</v>
      </c>
      <c r="AL23" s="128">
        <v>0</v>
      </c>
      <c r="AM23" s="128">
        <v>0</v>
      </c>
      <c r="AN23" s="128">
        <v>0</v>
      </c>
      <c r="AO23" s="128">
        <v>0</v>
      </c>
      <c r="AP23" s="128">
        <v>0</v>
      </c>
      <c r="AQ23" s="128">
        <v>0</v>
      </c>
      <c r="AR23" s="128">
        <v>0</v>
      </c>
      <c r="AS23" s="128">
        <v>0</v>
      </c>
      <c r="AT23" s="128">
        <v>0</v>
      </c>
      <c r="AU23" s="128">
        <v>0</v>
      </c>
      <c r="AV23" s="128">
        <v>0</v>
      </c>
      <c r="AW23" s="128">
        <v>0</v>
      </c>
      <c r="AX23" s="128">
        <v>0</v>
      </c>
      <c r="AY23" s="128">
        <v>0</v>
      </c>
    </row>
    <row r="24" spans="1:54" x14ac:dyDescent="0.2">
      <c r="A24" s="145"/>
      <c r="B24" s="146">
        <v>4</v>
      </c>
      <c r="C24" s="145" t="s">
        <v>293</v>
      </c>
      <c r="D24" s="142">
        <v>0</v>
      </c>
      <c r="E24" s="142">
        <v>0</v>
      </c>
      <c r="F24" s="142">
        <v>0</v>
      </c>
      <c r="G24" s="142">
        <v>0</v>
      </c>
      <c r="H24" s="142">
        <v>0</v>
      </c>
      <c r="I24" s="142">
        <v>0</v>
      </c>
      <c r="J24" s="142">
        <v>1721.3370918795613</v>
      </c>
      <c r="K24" s="142">
        <v>0</v>
      </c>
      <c r="L24" s="142">
        <v>0</v>
      </c>
      <c r="M24" s="142">
        <v>0</v>
      </c>
      <c r="N24" s="142">
        <v>0</v>
      </c>
      <c r="O24" s="142">
        <v>0</v>
      </c>
      <c r="P24" s="142">
        <v>0</v>
      </c>
      <c r="Q24" s="142">
        <v>0</v>
      </c>
      <c r="R24" s="142">
        <v>0</v>
      </c>
      <c r="S24" s="142">
        <v>0</v>
      </c>
      <c r="T24" s="142">
        <v>0</v>
      </c>
      <c r="U24" s="142">
        <v>0</v>
      </c>
      <c r="V24" s="142">
        <v>0</v>
      </c>
      <c r="W24" s="142">
        <v>0</v>
      </c>
      <c r="X24" s="142">
        <v>0</v>
      </c>
      <c r="Y24" s="142">
        <v>0</v>
      </c>
      <c r="Z24" s="142">
        <v>0</v>
      </c>
      <c r="AA24" s="142">
        <v>0</v>
      </c>
      <c r="AB24" s="142">
        <v>0</v>
      </c>
      <c r="AC24" s="142">
        <v>0</v>
      </c>
      <c r="AD24" s="142">
        <v>0</v>
      </c>
      <c r="AE24" s="142">
        <v>0</v>
      </c>
      <c r="AF24" s="142">
        <v>0</v>
      </c>
      <c r="AG24" s="142">
        <v>0</v>
      </c>
      <c r="AH24" s="142">
        <v>0</v>
      </c>
      <c r="AI24" s="142">
        <v>0</v>
      </c>
      <c r="AJ24" s="142">
        <v>0</v>
      </c>
      <c r="AK24" s="142">
        <v>0</v>
      </c>
      <c r="AL24" s="142">
        <v>0</v>
      </c>
      <c r="AM24" s="142">
        <v>0</v>
      </c>
      <c r="AN24" s="142">
        <v>0</v>
      </c>
      <c r="AO24" s="142">
        <v>0</v>
      </c>
      <c r="AP24" s="142">
        <v>0</v>
      </c>
      <c r="AQ24" s="142">
        <v>0</v>
      </c>
      <c r="AR24" s="142">
        <v>0</v>
      </c>
      <c r="AS24" s="142">
        <v>0</v>
      </c>
      <c r="AT24" s="142">
        <v>0</v>
      </c>
      <c r="AU24" s="142">
        <v>0</v>
      </c>
      <c r="AV24" s="142">
        <v>0</v>
      </c>
      <c r="AW24" s="142">
        <v>0</v>
      </c>
      <c r="AX24" s="142">
        <v>0</v>
      </c>
      <c r="AY24" s="142">
        <v>0</v>
      </c>
    </row>
    <row r="25" spans="1:54" x14ac:dyDescent="0.2">
      <c r="A25" s="143" t="s">
        <v>133</v>
      </c>
      <c r="B25" s="140">
        <v>1</v>
      </c>
      <c r="C25" s="127" t="s">
        <v>293</v>
      </c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28"/>
      <c r="AF25" s="128"/>
      <c r="AG25" s="128"/>
      <c r="AH25" s="128"/>
      <c r="AI25" s="128"/>
      <c r="AJ25" s="128"/>
      <c r="AK25" s="128"/>
      <c r="AL25" s="128"/>
      <c r="AM25" s="128"/>
      <c r="AN25" s="128"/>
      <c r="AO25" s="128"/>
      <c r="AP25" s="128"/>
      <c r="AQ25" s="128"/>
      <c r="AR25" s="128"/>
      <c r="AS25" s="128"/>
      <c r="AT25" s="128"/>
      <c r="AU25" s="128"/>
      <c r="AV25" s="128"/>
      <c r="AW25" s="128"/>
      <c r="AX25" s="128"/>
      <c r="AY25" s="128"/>
    </row>
    <row r="26" spans="1:54" x14ac:dyDescent="0.2">
      <c r="A26" s="127"/>
      <c r="B26" s="136">
        <v>2</v>
      </c>
      <c r="C26" s="127" t="s">
        <v>293</v>
      </c>
      <c r="D26" s="128"/>
      <c r="E26" s="128"/>
      <c r="F26" s="128"/>
      <c r="G26" s="128"/>
      <c r="H26" s="128"/>
      <c r="I26" s="128"/>
      <c r="J26" s="128"/>
      <c r="K26" s="128"/>
      <c r="L26" s="128">
        <v>410.24968925412878</v>
      </c>
      <c r="M26" s="128">
        <v>572.87421715969128</v>
      </c>
      <c r="N26" s="128">
        <v>1018.270133425674</v>
      </c>
      <c r="O26" s="128">
        <v>981.25366840689594</v>
      </c>
      <c r="P26" s="128">
        <v>1260.7590229576733</v>
      </c>
      <c r="Q26" s="128">
        <v>1068.7103169149036</v>
      </c>
      <c r="R26" s="128">
        <v>1188.4363000816213</v>
      </c>
      <c r="S26" s="128">
        <v>1263.3911193552553</v>
      </c>
      <c r="T26" s="128">
        <v>1147.3705014626219</v>
      </c>
      <c r="U26" s="128">
        <v>1213.5444578224665</v>
      </c>
      <c r="V26" s="128">
        <v>1258.1047626566663</v>
      </c>
      <c r="W26" s="128">
        <v>957.02515689731956</v>
      </c>
      <c r="X26" s="128">
        <v>648.44813087206762</v>
      </c>
      <c r="Y26" s="128">
        <v>658.29998667640598</v>
      </c>
      <c r="Z26" s="128">
        <v>857.75109122108756</v>
      </c>
      <c r="AA26" s="128">
        <v>460.38094336236941</v>
      </c>
      <c r="AB26" s="128">
        <v>1993.8535660321734</v>
      </c>
      <c r="AC26" s="128">
        <v>1335.5746703484087</v>
      </c>
      <c r="AD26" s="128">
        <v>1280.612619737559</v>
      </c>
      <c r="AE26" s="128">
        <v>1180.1700778973288</v>
      </c>
      <c r="AF26" s="128">
        <v>995.68038416296508</v>
      </c>
      <c r="AG26" s="128">
        <v>1184.5851635408455</v>
      </c>
      <c r="AH26" s="128">
        <v>1012.2034472611969</v>
      </c>
      <c r="AI26" s="128">
        <v>1194.5550393539211</v>
      </c>
      <c r="AJ26" s="128">
        <v>1217.9411423855436</v>
      </c>
      <c r="AK26" s="128">
        <v>1198.9129355023845</v>
      </c>
      <c r="AL26" s="128">
        <v>1288.758933348154</v>
      </c>
      <c r="AM26" s="128">
        <v>1215.4456842833874</v>
      </c>
      <c r="AN26" s="128">
        <v>912.00305298292119</v>
      </c>
      <c r="AO26" s="128">
        <v>599.20762257384024</v>
      </c>
      <c r="AP26" s="128">
        <v>833.9420483953744</v>
      </c>
      <c r="AQ26" s="128">
        <v>739.08444644868985</v>
      </c>
      <c r="AR26" s="128">
        <v>926.19748575289179</v>
      </c>
      <c r="AS26" s="128">
        <v>787.55897252582474</v>
      </c>
      <c r="AT26" s="128">
        <v>1088.979191966921</v>
      </c>
      <c r="AU26" s="128">
        <v>1150.3859879491579</v>
      </c>
      <c r="AV26" s="128">
        <v>946.30940760333806</v>
      </c>
      <c r="AW26" s="128">
        <v>928.55981549655223</v>
      </c>
      <c r="AX26" s="128">
        <v>1168.203639114575</v>
      </c>
      <c r="AY26" s="128">
        <v>667.9298386632953</v>
      </c>
    </row>
    <row r="27" spans="1:54" x14ac:dyDescent="0.2">
      <c r="A27" s="127"/>
      <c r="B27" s="137">
        <v>3</v>
      </c>
      <c r="C27" s="127" t="s">
        <v>293</v>
      </c>
      <c r="D27" s="128"/>
      <c r="E27" s="128"/>
      <c r="F27" s="128"/>
      <c r="G27" s="128"/>
      <c r="H27" s="128"/>
      <c r="I27" s="128"/>
      <c r="J27" s="128"/>
      <c r="K27" s="128"/>
      <c r="L27" s="128">
        <v>1877.5489045897211</v>
      </c>
      <c r="M27" s="128">
        <v>702.29921533559241</v>
      </c>
      <c r="N27" s="128">
        <v>631.67468743002973</v>
      </c>
      <c r="O27" s="128">
        <v>133.27877116404716</v>
      </c>
      <c r="P27" s="128">
        <v>83.295236182825192</v>
      </c>
      <c r="Q27" s="128">
        <v>0</v>
      </c>
      <c r="R27" s="128">
        <v>0</v>
      </c>
      <c r="S27" s="128">
        <v>0</v>
      </c>
      <c r="T27" s="128">
        <v>0</v>
      </c>
      <c r="U27" s="128">
        <v>0</v>
      </c>
      <c r="V27" s="128">
        <v>0</v>
      </c>
      <c r="W27" s="128">
        <v>0</v>
      </c>
      <c r="X27" s="128">
        <v>0</v>
      </c>
      <c r="Y27" s="128">
        <v>552</v>
      </c>
      <c r="Z27" s="128">
        <v>0</v>
      </c>
      <c r="AA27" s="128">
        <v>26.197103568843659</v>
      </c>
      <c r="AB27" s="128">
        <v>0</v>
      </c>
      <c r="AC27" s="128">
        <v>0</v>
      </c>
      <c r="AD27" s="128">
        <v>0</v>
      </c>
      <c r="AE27" s="128">
        <v>0</v>
      </c>
      <c r="AF27" s="128">
        <v>0</v>
      </c>
      <c r="AG27" s="128">
        <v>0</v>
      </c>
      <c r="AH27" s="128">
        <v>0</v>
      </c>
      <c r="AI27" s="128">
        <v>0</v>
      </c>
      <c r="AJ27" s="128">
        <v>0</v>
      </c>
      <c r="AK27" s="128">
        <v>0</v>
      </c>
      <c r="AL27" s="128">
        <v>0</v>
      </c>
      <c r="AM27" s="128">
        <v>0</v>
      </c>
      <c r="AN27" s="128">
        <v>0</v>
      </c>
      <c r="AO27" s="128">
        <v>0</v>
      </c>
      <c r="AP27" s="128">
        <v>695.54890458972113</v>
      </c>
      <c r="AQ27" s="128">
        <v>0</v>
      </c>
      <c r="AR27" s="128">
        <v>552</v>
      </c>
      <c r="AS27" s="128">
        <v>0</v>
      </c>
      <c r="AT27" s="128">
        <v>0</v>
      </c>
      <c r="AU27" s="128">
        <v>0</v>
      </c>
      <c r="AV27" s="128">
        <v>0</v>
      </c>
      <c r="AW27" s="128">
        <v>92.184172968947223</v>
      </c>
      <c r="AX27" s="128">
        <v>552</v>
      </c>
      <c r="AY27" s="128">
        <v>0</v>
      </c>
    </row>
    <row r="28" spans="1:54" x14ac:dyDescent="0.2">
      <c r="A28" s="127"/>
      <c r="B28" s="137">
        <v>4</v>
      </c>
      <c r="C28" s="127" t="s">
        <v>293</v>
      </c>
      <c r="D28" s="128"/>
      <c r="E28" s="128"/>
      <c r="F28" s="128"/>
      <c r="G28" s="128"/>
      <c r="H28" s="128"/>
      <c r="I28" s="128"/>
      <c r="J28" s="128"/>
      <c r="K28" s="128">
        <v>1270.4590974084115</v>
      </c>
      <c r="L28" s="128">
        <v>1304.6387117710308</v>
      </c>
      <c r="M28" s="128">
        <v>0</v>
      </c>
      <c r="N28" s="128">
        <v>0</v>
      </c>
      <c r="O28" s="128">
        <v>0</v>
      </c>
      <c r="P28" s="128">
        <v>0</v>
      </c>
      <c r="Q28" s="128">
        <v>0</v>
      </c>
      <c r="R28" s="128">
        <v>0</v>
      </c>
      <c r="S28" s="128">
        <v>0</v>
      </c>
      <c r="T28" s="128">
        <v>0</v>
      </c>
      <c r="U28" s="128">
        <v>0</v>
      </c>
      <c r="V28" s="128">
        <v>0</v>
      </c>
      <c r="W28" s="128">
        <v>0</v>
      </c>
      <c r="X28" s="128">
        <v>0</v>
      </c>
      <c r="Y28" s="128">
        <v>0</v>
      </c>
      <c r="Z28" s="128">
        <v>0</v>
      </c>
      <c r="AA28" s="128">
        <v>0</v>
      </c>
      <c r="AB28" s="128">
        <v>0</v>
      </c>
      <c r="AC28" s="128">
        <v>0</v>
      </c>
      <c r="AD28" s="128">
        <v>0</v>
      </c>
      <c r="AE28" s="128">
        <v>0</v>
      </c>
      <c r="AF28" s="128">
        <v>0</v>
      </c>
      <c r="AG28" s="128">
        <v>0</v>
      </c>
      <c r="AH28" s="128">
        <v>0</v>
      </c>
      <c r="AI28" s="128">
        <v>0</v>
      </c>
      <c r="AJ28" s="128">
        <v>0</v>
      </c>
      <c r="AK28" s="128">
        <v>0</v>
      </c>
      <c r="AL28" s="128">
        <v>0</v>
      </c>
      <c r="AM28" s="128">
        <v>0</v>
      </c>
      <c r="AN28" s="128">
        <v>0</v>
      </c>
      <c r="AO28" s="128">
        <v>0</v>
      </c>
      <c r="AP28" s="128">
        <v>0</v>
      </c>
      <c r="AQ28" s="128">
        <v>0</v>
      </c>
      <c r="AR28" s="128">
        <v>0</v>
      </c>
      <c r="AS28" s="128">
        <v>0</v>
      </c>
      <c r="AT28" s="128">
        <v>0</v>
      </c>
      <c r="AU28" s="128">
        <v>0</v>
      </c>
      <c r="AV28" s="128">
        <v>0</v>
      </c>
      <c r="AW28" s="128">
        <v>0</v>
      </c>
      <c r="AX28" s="128">
        <v>0</v>
      </c>
      <c r="AY28" s="128">
        <v>0</v>
      </c>
    </row>
    <row r="29" spans="1:54" x14ac:dyDescent="0.2">
      <c r="A29" s="127"/>
      <c r="B29" s="144">
        <v>5</v>
      </c>
      <c r="C29" s="127" t="s">
        <v>293</v>
      </c>
      <c r="D29" s="128"/>
      <c r="E29" s="128"/>
      <c r="F29" s="128"/>
      <c r="G29" s="128"/>
      <c r="H29" s="128"/>
      <c r="I29" s="128"/>
      <c r="J29" s="128"/>
      <c r="K29" s="128">
        <v>1110.5282996844483</v>
      </c>
      <c r="L29" s="128">
        <v>0</v>
      </c>
      <c r="M29" s="128">
        <v>0</v>
      </c>
      <c r="N29" s="128">
        <v>0</v>
      </c>
      <c r="O29" s="128">
        <v>0</v>
      </c>
      <c r="P29" s="128">
        <v>0</v>
      </c>
      <c r="Q29" s="128">
        <v>0</v>
      </c>
      <c r="R29" s="128">
        <v>0</v>
      </c>
      <c r="S29" s="128">
        <v>0</v>
      </c>
      <c r="T29" s="128">
        <v>0</v>
      </c>
      <c r="U29" s="128">
        <v>0</v>
      </c>
      <c r="V29" s="128">
        <v>0</v>
      </c>
      <c r="W29" s="128">
        <v>0</v>
      </c>
      <c r="X29" s="128">
        <v>0</v>
      </c>
      <c r="Y29" s="128">
        <v>0</v>
      </c>
      <c r="Z29" s="128">
        <v>0</v>
      </c>
      <c r="AA29" s="128">
        <v>0</v>
      </c>
      <c r="AB29" s="128">
        <v>0</v>
      </c>
      <c r="AC29" s="128">
        <v>0</v>
      </c>
      <c r="AD29" s="128">
        <v>0</v>
      </c>
      <c r="AE29" s="128">
        <v>0</v>
      </c>
      <c r="AF29" s="128">
        <v>0</v>
      </c>
      <c r="AG29" s="128">
        <v>0</v>
      </c>
      <c r="AH29" s="128">
        <v>0</v>
      </c>
      <c r="AI29" s="128">
        <v>0</v>
      </c>
      <c r="AJ29" s="128">
        <v>0</v>
      </c>
      <c r="AK29" s="128">
        <v>0</v>
      </c>
      <c r="AL29" s="128">
        <v>0</v>
      </c>
      <c r="AM29" s="128">
        <v>0</v>
      </c>
      <c r="AN29" s="128">
        <v>0</v>
      </c>
      <c r="AO29" s="128">
        <v>0</v>
      </c>
      <c r="AP29" s="128">
        <v>0</v>
      </c>
      <c r="AQ29" s="128">
        <v>0</v>
      </c>
      <c r="AR29" s="128">
        <v>0</v>
      </c>
      <c r="AS29" s="128">
        <v>0</v>
      </c>
      <c r="AT29" s="128">
        <v>0</v>
      </c>
      <c r="AU29" s="128">
        <v>0</v>
      </c>
      <c r="AV29" s="128">
        <v>0</v>
      </c>
      <c r="AW29" s="128">
        <v>0</v>
      </c>
      <c r="AX29" s="128">
        <v>0</v>
      </c>
      <c r="AY29" s="128">
        <v>0</v>
      </c>
    </row>
    <row r="30" spans="1:54" x14ac:dyDescent="0.2">
      <c r="A30" s="127"/>
      <c r="B30" s="144">
        <v>6</v>
      </c>
      <c r="C30" s="127" t="s">
        <v>293</v>
      </c>
      <c r="D30" s="128"/>
      <c r="E30" s="128"/>
      <c r="F30" s="128"/>
      <c r="G30" s="128"/>
      <c r="H30" s="128"/>
      <c r="I30" s="128"/>
      <c r="J30" s="128">
        <v>0</v>
      </c>
      <c r="K30" s="128">
        <v>0</v>
      </c>
      <c r="L30" s="128">
        <v>0</v>
      </c>
      <c r="M30" s="128">
        <v>0</v>
      </c>
      <c r="N30" s="128">
        <v>0</v>
      </c>
      <c r="O30" s="128">
        <v>0</v>
      </c>
      <c r="P30" s="128">
        <v>0</v>
      </c>
      <c r="Q30" s="128">
        <v>0</v>
      </c>
      <c r="R30" s="128">
        <v>0</v>
      </c>
      <c r="S30" s="128">
        <v>0</v>
      </c>
      <c r="T30" s="128">
        <v>0</v>
      </c>
      <c r="U30" s="128">
        <v>0</v>
      </c>
      <c r="V30" s="128">
        <v>0</v>
      </c>
      <c r="W30" s="128">
        <v>0</v>
      </c>
      <c r="X30" s="128">
        <v>0</v>
      </c>
      <c r="Y30" s="128">
        <v>0</v>
      </c>
      <c r="Z30" s="128">
        <v>0</v>
      </c>
      <c r="AA30" s="128">
        <v>0</v>
      </c>
      <c r="AB30" s="128">
        <v>0</v>
      </c>
      <c r="AC30" s="128">
        <v>0</v>
      </c>
      <c r="AD30" s="128">
        <v>0</v>
      </c>
      <c r="AE30" s="128">
        <v>0</v>
      </c>
      <c r="AF30" s="128">
        <v>0</v>
      </c>
      <c r="AG30" s="128">
        <v>0</v>
      </c>
      <c r="AH30" s="128">
        <v>0</v>
      </c>
      <c r="AI30" s="128">
        <v>0</v>
      </c>
      <c r="AJ30" s="128">
        <v>0</v>
      </c>
      <c r="AK30" s="128">
        <v>0</v>
      </c>
      <c r="AL30" s="128">
        <v>0</v>
      </c>
      <c r="AM30" s="128">
        <v>0</v>
      </c>
      <c r="AN30" s="128">
        <v>0</v>
      </c>
      <c r="AO30" s="128">
        <v>0</v>
      </c>
      <c r="AP30" s="128">
        <v>0</v>
      </c>
      <c r="AQ30" s="128">
        <v>0</v>
      </c>
      <c r="AR30" s="128">
        <v>0</v>
      </c>
      <c r="AS30" s="128">
        <v>0</v>
      </c>
      <c r="AT30" s="128">
        <v>0</v>
      </c>
      <c r="AU30" s="128">
        <v>0</v>
      </c>
      <c r="AV30" s="128">
        <v>0</v>
      </c>
      <c r="AW30" s="128">
        <v>0</v>
      </c>
      <c r="AX30" s="128">
        <v>0</v>
      </c>
      <c r="AY30" s="128">
        <v>0</v>
      </c>
    </row>
    <row r="31" spans="1:54" x14ac:dyDescent="0.2">
      <c r="A31" s="127"/>
      <c r="B31" s="147">
        <v>7</v>
      </c>
      <c r="C31" s="127" t="s">
        <v>293</v>
      </c>
      <c r="D31" s="128"/>
      <c r="E31" s="128"/>
      <c r="F31" s="128"/>
      <c r="G31" s="128"/>
      <c r="H31" s="128"/>
      <c r="I31" s="128"/>
      <c r="J31" s="128">
        <v>0</v>
      </c>
      <c r="K31" s="128">
        <v>0</v>
      </c>
      <c r="L31" s="128">
        <v>0</v>
      </c>
      <c r="M31" s="128">
        <v>0</v>
      </c>
      <c r="N31" s="128">
        <v>0</v>
      </c>
      <c r="O31" s="128">
        <v>0</v>
      </c>
      <c r="P31" s="128">
        <v>0</v>
      </c>
      <c r="Q31" s="128">
        <v>0</v>
      </c>
      <c r="R31" s="128">
        <v>0</v>
      </c>
      <c r="S31" s="128">
        <v>0</v>
      </c>
      <c r="T31" s="128">
        <v>0</v>
      </c>
      <c r="U31" s="128">
        <v>0</v>
      </c>
      <c r="V31" s="128">
        <v>0</v>
      </c>
      <c r="W31" s="128">
        <v>0</v>
      </c>
      <c r="X31" s="128">
        <v>0</v>
      </c>
      <c r="Y31" s="128">
        <v>0</v>
      </c>
      <c r="Z31" s="128">
        <v>0</v>
      </c>
      <c r="AA31" s="128">
        <v>0</v>
      </c>
      <c r="AB31" s="128">
        <v>0</v>
      </c>
      <c r="AC31" s="128">
        <v>0</v>
      </c>
      <c r="AD31" s="128">
        <v>0</v>
      </c>
      <c r="AE31" s="128">
        <v>0</v>
      </c>
      <c r="AF31" s="128">
        <v>0</v>
      </c>
      <c r="AG31" s="128">
        <v>0</v>
      </c>
      <c r="AH31" s="128">
        <v>0</v>
      </c>
      <c r="AI31" s="128">
        <v>0</v>
      </c>
      <c r="AJ31" s="128">
        <v>0</v>
      </c>
      <c r="AK31" s="128">
        <v>0</v>
      </c>
      <c r="AL31" s="128">
        <v>0</v>
      </c>
      <c r="AM31" s="128">
        <v>0</v>
      </c>
      <c r="AN31" s="128">
        <v>0</v>
      </c>
      <c r="AO31" s="128">
        <v>0</v>
      </c>
      <c r="AP31" s="128">
        <v>0</v>
      </c>
      <c r="AQ31" s="128">
        <v>0</v>
      </c>
      <c r="AR31" s="128">
        <v>0</v>
      </c>
      <c r="AS31" s="128">
        <v>0</v>
      </c>
      <c r="AT31" s="128">
        <v>0</v>
      </c>
      <c r="AU31" s="128">
        <v>0</v>
      </c>
      <c r="AV31" s="128">
        <v>0</v>
      </c>
      <c r="AW31" s="128">
        <v>0</v>
      </c>
      <c r="AX31" s="128">
        <v>0</v>
      </c>
      <c r="AY31" s="128">
        <v>0</v>
      </c>
    </row>
    <row r="32" spans="1:54" x14ac:dyDescent="0.2">
      <c r="A32" s="145"/>
      <c r="B32" s="146">
        <v>8</v>
      </c>
      <c r="C32" s="145" t="s">
        <v>293</v>
      </c>
      <c r="D32" s="142">
        <v>0</v>
      </c>
      <c r="E32" s="142">
        <v>0</v>
      </c>
      <c r="F32" s="142">
        <v>0</v>
      </c>
      <c r="G32" s="142">
        <v>0</v>
      </c>
      <c r="H32" s="142">
        <v>0</v>
      </c>
      <c r="I32" s="142">
        <v>0</v>
      </c>
      <c r="J32" s="142">
        <v>0</v>
      </c>
      <c r="K32" s="142">
        <v>0</v>
      </c>
      <c r="L32" s="142">
        <v>0</v>
      </c>
      <c r="M32" s="142">
        <v>0</v>
      </c>
      <c r="N32" s="142">
        <v>0</v>
      </c>
      <c r="O32" s="142">
        <v>0</v>
      </c>
      <c r="P32" s="142">
        <v>0</v>
      </c>
      <c r="Q32" s="142">
        <v>0</v>
      </c>
      <c r="R32" s="142">
        <v>0</v>
      </c>
      <c r="S32" s="142">
        <v>0</v>
      </c>
      <c r="T32" s="142">
        <v>0</v>
      </c>
      <c r="U32" s="142">
        <v>0</v>
      </c>
      <c r="V32" s="142">
        <v>0</v>
      </c>
      <c r="W32" s="142">
        <v>0</v>
      </c>
      <c r="X32" s="142">
        <v>0</v>
      </c>
      <c r="Y32" s="142">
        <v>0</v>
      </c>
      <c r="Z32" s="142">
        <v>0</v>
      </c>
      <c r="AA32" s="142">
        <v>0</v>
      </c>
      <c r="AB32" s="142">
        <v>0</v>
      </c>
      <c r="AC32" s="142">
        <v>0</v>
      </c>
      <c r="AD32" s="142">
        <v>0</v>
      </c>
      <c r="AE32" s="142">
        <v>0</v>
      </c>
      <c r="AF32" s="142">
        <v>0</v>
      </c>
      <c r="AG32" s="142">
        <v>0</v>
      </c>
      <c r="AH32" s="142">
        <v>0</v>
      </c>
      <c r="AI32" s="142">
        <v>0</v>
      </c>
      <c r="AJ32" s="142">
        <v>0</v>
      </c>
      <c r="AK32" s="142">
        <v>0</v>
      </c>
      <c r="AL32" s="142">
        <v>0</v>
      </c>
      <c r="AM32" s="142">
        <v>0</v>
      </c>
      <c r="AN32" s="142">
        <v>0</v>
      </c>
      <c r="AO32" s="142">
        <v>0</v>
      </c>
      <c r="AP32" s="142">
        <v>0</v>
      </c>
      <c r="AQ32" s="142">
        <v>0</v>
      </c>
      <c r="AR32" s="142">
        <v>0</v>
      </c>
      <c r="AS32" s="142">
        <v>0</v>
      </c>
      <c r="AT32" s="142">
        <v>0</v>
      </c>
      <c r="AU32" s="142">
        <v>0</v>
      </c>
      <c r="AV32" s="142">
        <v>0</v>
      </c>
      <c r="AW32" s="142">
        <v>0</v>
      </c>
      <c r="AX32" s="142">
        <v>0</v>
      </c>
      <c r="AY32" s="142">
        <v>0</v>
      </c>
    </row>
    <row r="33" spans="1:51" x14ac:dyDescent="0.2">
      <c r="A33" s="148" t="s">
        <v>134</v>
      </c>
      <c r="B33" s="136">
        <v>1</v>
      </c>
      <c r="C33" s="127" t="s">
        <v>293</v>
      </c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</row>
    <row r="34" spans="1:51" x14ac:dyDescent="0.2">
      <c r="A34" s="127"/>
      <c r="B34" s="136">
        <v>2</v>
      </c>
      <c r="C34" s="127" t="s">
        <v>293</v>
      </c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4"/>
      <c r="AO34" s="124"/>
      <c r="AP34" s="124"/>
      <c r="AQ34" s="124"/>
      <c r="AR34" s="124"/>
      <c r="AS34" s="124"/>
      <c r="AT34" s="124"/>
      <c r="AU34" s="124"/>
      <c r="AV34" s="124"/>
      <c r="AW34" s="124"/>
      <c r="AX34" s="124"/>
      <c r="AY34" s="124"/>
    </row>
    <row r="35" spans="1:51" x14ac:dyDescent="0.2">
      <c r="A35" s="127"/>
      <c r="B35" s="136">
        <v>3</v>
      </c>
      <c r="C35" s="127" t="s">
        <v>293</v>
      </c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4"/>
      <c r="AO35" s="124"/>
      <c r="AP35" s="124"/>
      <c r="AQ35" s="124"/>
      <c r="AR35" s="124"/>
      <c r="AS35" s="124"/>
      <c r="AT35" s="124"/>
      <c r="AU35" s="124"/>
      <c r="AV35" s="124"/>
      <c r="AW35" s="124"/>
      <c r="AX35" s="124"/>
      <c r="AY35" s="124"/>
    </row>
    <row r="36" spans="1:51" x14ac:dyDescent="0.2">
      <c r="A36" s="127"/>
      <c r="B36" s="137">
        <v>4</v>
      </c>
      <c r="C36" s="127" t="s">
        <v>293</v>
      </c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24"/>
      <c r="AX36" s="124"/>
      <c r="AY36" s="124"/>
    </row>
    <row r="37" spans="1:51" x14ac:dyDescent="0.2">
      <c r="A37" s="127"/>
      <c r="B37" s="137">
        <v>5</v>
      </c>
      <c r="C37" s="127" t="s">
        <v>293</v>
      </c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</row>
    <row r="38" spans="1:51" x14ac:dyDescent="0.2">
      <c r="A38" s="127"/>
      <c r="B38" s="137">
        <v>6</v>
      </c>
      <c r="C38" s="127" t="s">
        <v>293</v>
      </c>
      <c r="D38" s="124"/>
      <c r="E38" s="124"/>
      <c r="F38" s="124"/>
      <c r="G38" s="124"/>
      <c r="H38" s="124"/>
      <c r="I38" s="124"/>
      <c r="J38" s="124"/>
      <c r="K38" s="124"/>
      <c r="L38" s="124">
        <v>737.38546242936195</v>
      </c>
      <c r="M38" s="124">
        <v>1159.1421752334911</v>
      </c>
      <c r="N38" s="124">
        <v>2185.9492223504944</v>
      </c>
      <c r="O38" s="124">
        <v>2189.4783511739947</v>
      </c>
      <c r="P38" s="124">
        <v>2897.7823286385901</v>
      </c>
      <c r="Q38" s="124">
        <v>2669.831178740747</v>
      </c>
      <c r="R38" s="124">
        <v>3094.959598680005</v>
      </c>
      <c r="S38" s="124">
        <v>3350.9074460252855</v>
      </c>
      <c r="T38" s="124">
        <v>3347.1674483120269</v>
      </c>
      <c r="U38" s="124">
        <v>3334.2722699311548</v>
      </c>
      <c r="V38" s="124">
        <v>3333.2093249317754</v>
      </c>
      <c r="W38" s="124">
        <v>2891.2553605094427</v>
      </c>
      <c r="X38" s="124">
        <v>2823.0867137910391</v>
      </c>
      <c r="Y38" s="124">
        <v>3249.6908683647907</v>
      </c>
      <c r="Z38" s="124">
        <v>2479.3285074729361</v>
      </c>
      <c r="AA38" s="124">
        <v>3786.451354593677</v>
      </c>
      <c r="AB38" s="124">
        <v>3601.9113775279025</v>
      </c>
      <c r="AC38" s="124">
        <v>3499.6795583895168</v>
      </c>
      <c r="AD38" s="124">
        <v>3518.4891905179288</v>
      </c>
      <c r="AE38" s="124">
        <v>3424.6072262577868</v>
      </c>
      <c r="AF38" s="124">
        <v>2993.1793333797941</v>
      </c>
      <c r="AG38" s="124">
        <v>3372.2445444857367</v>
      </c>
      <c r="AH38" s="124">
        <v>2937.6911280994223</v>
      </c>
      <c r="AI38" s="124">
        <v>3309.5084572493688</v>
      </c>
      <c r="AJ38" s="124">
        <v>3402.3241373491664</v>
      </c>
      <c r="AK38" s="124">
        <v>3361.7898137428624</v>
      </c>
      <c r="AL38" s="124">
        <v>3529.9569009396196</v>
      </c>
      <c r="AM38" s="124">
        <v>3496.2844861222984</v>
      </c>
      <c r="AN38" s="124">
        <v>2946.7629084807213</v>
      </c>
      <c r="AO38" s="124">
        <v>3330.8851673281647</v>
      </c>
      <c r="AP38" s="124">
        <v>3018.7547678805754</v>
      </c>
      <c r="AQ38" s="124">
        <v>3362.1022316604804</v>
      </c>
      <c r="AR38" s="124">
        <v>3078.8067973719885</v>
      </c>
      <c r="AS38" s="124">
        <v>3374.149335521241</v>
      </c>
      <c r="AT38" s="124">
        <v>3444.4179871574479</v>
      </c>
      <c r="AU38" s="124">
        <v>3359.644539616193</v>
      </c>
      <c r="AV38" s="124">
        <v>2538.9574113890594</v>
      </c>
      <c r="AW38" s="124">
        <v>3214.1530468088386</v>
      </c>
      <c r="AX38" s="124">
        <v>3274.8405683051446</v>
      </c>
      <c r="AY38" s="124">
        <v>2121.4377252188797</v>
      </c>
    </row>
    <row r="39" spans="1:51" x14ac:dyDescent="0.2">
      <c r="A39" s="127"/>
      <c r="B39" s="144">
        <v>7</v>
      </c>
      <c r="C39" s="127" t="s">
        <v>293</v>
      </c>
      <c r="D39" s="124"/>
      <c r="E39" s="124"/>
      <c r="F39" s="124"/>
      <c r="G39" s="124"/>
      <c r="H39" s="124"/>
      <c r="I39" s="124"/>
      <c r="J39" s="124"/>
      <c r="K39" s="124"/>
      <c r="L39" s="124">
        <v>745.37490688941261</v>
      </c>
      <c r="M39" s="124">
        <v>2181.3331626151539</v>
      </c>
      <c r="N39" s="124">
        <v>2188.852536317162</v>
      </c>
      <c r="O39" s="124">
        <v>1445.6379795989983</v>
      </c>
      <c r="P39" s="124">
        <v>1471.9099917442786</v>
      </c>
      <c r="Q39" s="124">
        <v>868.65617927799758</v>
      </c>
      <c r="R39" s="124">
        <v>1207.8017761720153</v>
      </c>
      <c r="S39" s="124">
        <v>915.89910955311461</v>
      </c>
      <c r="T39" s="124">
        <v>568.65972515899966</v>
      </c>
      <c r="U39" s="124">
        <v>619.38094718002685</v>
      </c>
      <c r="V39" s="124">
        <v>757.88358734520671</v>
      </c>
      <c r="W39" s="124">
        <v>639.91715752688606</v>
      </c>
      <c r="X39" s="124">
        <v>1025.6628302705485</v>
      </c>
      <c r="Y39" s="124">
        <v>1249.2068198924517</v>
      </c>
      <c r="Z39" s="124">
        <v>924.569171649905</v>
      </c>
      <c r="AA39" s="124">
        <v>1571.6193688190392</v>
      </c>
      <c r="AB39" s="124">
        <v>261.53054055301072</v>
      </c>
      <c r="AC39" s="124">
        <v>497.94344619572939</v>
      </c>
      <c r="AD39" s="124">
        <v>435.09586467815961</v>
      </c>
      <c r="AE39" s="124">
        <v>550.4203707785332</v>
      </c>
      <c r="AF39" s="124">
        <v>681.33795739088919</v>
      </c>
      <c r="AG39" s="124">
        <v>1012.3679669070661</v>
      </c>
      <c r="AH39" s="124">
        <v>686.3030995730287</v>
      </c>
      <c r="AI39" s="124">
        <v>1009.1341783303574</v>
      </c>
      <c r="AJ39" s="124">
        <v>673.93239519894541</v>
      </c>
      <c r="AK39" s="124">
        <v>626.49492568839378</v>
      </c>
      <c r="AL39" s="124">
        <v>713.48184064588213</v>
      </c>
      <c r="AM39" s="124">
        <v>359.46750452796141</v>
      </c>
      <c r="AN39" s="124">
        <v>548.88280888028658</v>
      </c>
      <c r="AO39" s="124">
        <v>1091.1048850316429</v>
      </c>
      <c r="AP39" s="124">
        <v>666.50085865769643</v>
      </c>
      <c r="AQ39" s="124">
        <v>1101.0109968244774</v>
      </c>
      <c r="AR39" s="124">
        <v>721.19339180877523</v>
      </c>
      <c r="AS39" s="124">
        <v>1019.489366886583</v>
      </c>
      <c r="AT39" s="124">
        <v>627.80049580927835</v>
      </c>
      <c r="AU39" s="124">
        <v>499.16714736829726</v>
      </c>
      <c r="AV39" s="124">
        <v>747.38195135152409</v>
      </c>
      <c r="AW39" s="124">
        <v>1481.8495442490439</v>
      </c>
      <c r="AX39" s="124">
        <v>845.15346751392099</v>
      </c>
      <c r="AY39" s="124">
        <v>787.2812064617533</v>
      </c>
    </row>
    <row r="40" spans="1:51" x14ac:dyDescent="0.2">
      <c r="A40" s="127"/>
      <c r="B40" s="144">
        <v>8</v>
      </c>
      <c r="C40" s="127" t="s">
        <v>293</v>
      </c>
      <c r="D40" s="124"/>
      <c r="E40" s="124"/>
      <c r="F40" s="124"/>
      <c r="G40" s="124"/>
      <c r="H40" s="124"/>
      <c r="I40" s="124"/>
      <c r="J40" s="124"/>
      <c r="K40" s="124">
        <v>0</v>
      </c>
      <c r="L40" s="124">
        <v>0</v>
      </c>
      <c r="M40" s="124">
        <v>0</v>
      </c>
      <c r="N40" s="124">
        <v>0</v>
      </c>
      <c r="O40" s="124">
        <v>0</v>
      </c>
      <c r="P40" s="124">
        <v>0</v>
      </c>
      <c r="Q40" s="124">
        <v>0</v>
      </c>
      <c r="R40" s="124">
        <v>0</v>
      </c>
      <c r="S40" s="124">
        <v>0</v>
      </c>
      <c r="T40" s="124">
        <v>0</v>
      </c>
      <c r="U40" s="124">
        <v>0</v>
      </c>
      <c r="V40" s="124">
        <v>0</v>
      </c>
      <c r="W40" s="124">
        <v>0</v>
      </c>
      <c r="X40" s="124">
        <v>0</v>
      </c>
      <c r="Y40" s="124">
        <v>0</v>
      </c>
      <c r="Z40" s="124">
        <v>0</v>
      </c>
      <c r="AA40" s="124">
        <v>0</v>
      </c>
      <c r="AB40" s="124">
        <v>0</v>
      </c>
      <c r="AC40" s="124">
        <v>0</v>
      </c>
      <c r="AD40" s="124">
        <v>0</v>
      </c>
      <c r="AE40" s="124">
        <v>0</v>
      </c>
      <c r="AF40" s="124">
        <v>0</v>
      </c>
      <c r="AG40" s="124">
        <v>0</v>
      </c>
      <c r="AH40" s="124">
        <v>0</v>
      </c>
      <c r="AI40" s="124">
        <v>0</v>
      </c>
      <c r="AJ40" s="124">
        <v>0</v>
      </c>
      <c r="AK40" s="124">
        <v>0</v>
      </c>
      <c r="AL40" s="124">
        <v>0</v>
      </c>
      <c r="AM40" s="124">
        <v>0</v>
      </c>
      <c r="AN40" s="124">
        <v>0</v>
      </c>
      <c r="AO40" s="124">
        <v>0</v>
      </c>
      <c r="AP40" s="124">
        <v>0</v>
      </c>
      <c r="AQ40" s="124">
        <v>0</v>
      </c>
      <c r="AR40" s="124">
        <v>0</v>
      </c>
      <c r="AS40" s="124">
        <v>0</v>
      </c>
      <c r="AT40" s="124">
        <v>0</v>
      </c>
      <c r="AU40" s="124">
        <v>0</v>
      </c>
      <c r="AV40" s="124">
        <v>0</v>
      </c>
      <c r="AW40" s="124">
        <v>0</v>
      </c>
      <c r="AX40" s="124">
        <v>0</v>
      </c>
      <c r="AY40" s="124">
        <v>0</v>
      </c>
    </row>
    <row r="41" spans="1:51" x14ac:dyDescent="0.2">
      <c r="A41" s="127"/>
      <c r="B41" s="144">
        <v>9</v>
      </c>
      <c r="C41" s="127" t="s">
        <v>293</v>
      </c>
      <c r="D41" s="124"/>
      <c r="E41" s="124"/>
      <c r="F41" s="124"/>
      <c r="G41" s="124"/>
      <c r="H41" s="124"/>
      <c r="I41" s="124"/>
      <c r="J41" s="124"/>
      <c r="K41" s="124">
        <v>0</v>
      </c>
      <c r="L41" s="124">
        <v>0</v>
      </c>
      <c r="M41" s="124">
        <v>0</v>
      </c>
      <c r="N41" s="124">
        <v>0</v>
      </c>
      <c r="O41" s="124">
        <v>0</v>
      </c>
      <c r="P41" s="124">
        <v>0</v>
      </c>
      <c r="Q41" s="124">
        <v>0</v>
      </c>
      <c r="R41" s="124">
        <v>0</v>
      </c>
      <c r="S41" s="124">
        <v>0</v>
      </c>
      <c r="T41" s="124">
        <v>0</v>
      </c>
      <c r="U41" s="124">
        <v>0</v>
      </c>
      <c r="V41" s="124">
        <v>0</v>
      </c>
      <c r="W41" s="124">
        <v>0</v>
      </c>
      <c r="X41" s="124">
        <v>0</v>
      </c>
      <c r="Y41" s="124">
        <v>0</v>
      </c>
      <c r="Z41" s="124">
        <v>0</v>
      </c>
      <c r="AA41" s="124">
        <v>0</v>
      </c>
      <c r="AB41" s="124">
        <v>0</v>
      </c>
      <c r="AC41" s="124">
        <v>0</v>
      </c>
      <c r="AD41" s="124">
        <v>0</v>
      </c>
      <c r="AE41" s="124">
        <v>0</v>
      </c>
      <c r="AF41" s="124">
        <v>0</v>
      </c>
      <c r="AG41" s="124">
        <v>0</v>
      </c>
      <c r="AH41" s="124">
        <v>0</v>
      </c>
      <c r="AI41" s="124">
        <v>0</v>
      </c>
      <c r="AJ41" s="124">
        <v>0</v>
      </c>
      <c r="AK41" s="124">
        <v>0</v>
      </c>
      <c r="AL41" s="124">
        <v>0</v>
      </c>
      <c r="AM41" s="124">
        <v>0</v>
      </c>
      <c r="AN41" s="124">
        <v>0</v>
      </c>
      <c r="AO41" s="124">
        <v>0</v>
      </c>
      <c r="AP41" s="124">
        <v>0</v>
      </c>
      <c r="AQ41" s="124">
        <v>0</v>
      </c>
      <c r="AR41" s="124">
        <v>0</v>
      </c>
      <c r="AS41" s="124">
        <v>0</v>
      </c>
      <c r="AT41" s="124">
        <v>0</v>
      </c>
      <c r="AU41" s="124">
        <v>0</v>
      </c>
      <c r="AV41" s="124">
        <v>0</v>
      </c>
      <c r="AW41" s="124">
        <v>0</v>
      </c>
      <c r="AX41" s="124">
        <v>0</v>
      </c>
      <c r="AY41" s="124">
        <v>0</v>
      </c>
    </row>
    <row r="42" spans="1:51" x14ac:dyDescent="0.2">
      <c r="A42" s="127"/>
      <c r="B42" s="147">
        <v>10</v>
      </c>
      <c r="C42" s="127" t="s">
        <v>293</v>
      </c>
      <c r="D42" s="124"/>
      <c r="E42" s="124"/>
      <c r="F42" s="124"/>
      <c r="G42" s="124"/>
      <c r="H42" s="124"/>
      <c r="I42" s="124"/>
      <c r="J42" s="124">
        <v>0</v>
      </c>
      <c r="K42" s="124">
        <v>0</v>
      </c>
      <c r="L42" s="124">
        <v>0</v>
      </c>
      <c r="M42" s="124">
        <v>0</v>
      </c>
      <c r="N42" s="124">
        <v>0</v>
      </c>
      <c r="O42" s="124">
        <v>0</v>
      </c>
      <c r="P42" s="124">
        <v>0</v>
      </c>
      <c r="Q42" s="124">
        <v>0</v>
      </c>
      <c r="R42" s="124">
        <v>0</v>
      </c>
      <c r="S42" s="124">
        <v>0</v>
      </c>
      <c r="T42" s="124">
        <v>0</v>
      </c>
      <c r="U42" s="124">
        <v>0</v>
      </c>
      <c r="V42" s="124">
        <v>0</v>
      </c>
      <c r="W42" s="124">
        <v>0</v>
      </c>
      <c r="X42" s="124">
        <v>0</v>
      </c>
      <c r="Y42" s="124">
        <v>0</v>
      </c>
      <c r="Z42" s="124">
        <v>0</v>
      </c>
      <c r="AA42" s="124">
        <v>0</v>
      </c>
      <c r="AB42" s="124">
        <v>0</v>
      </c>
      <c r="AC42" s="124">
        <v>0</v>
      </c>
      <c r="AD42" s="124">
        <v>0</v>
      </c>
      <c r="AE42" s="124">
        <v>0</v>
      </c>
      <c r="AF42" s="124">
        <v>0</v>
      </c>
      <c r="AG42" s="124">
        <v>0</v>
      </c>
      <c r="AH42" s="124">
        <v>0</v>
      </c>
      <c r="AI42" s="124">
        <v>0</v>
      </c>
      <c r="AJ42" s="124">
        <v>0</v>
      </c>
      <c r="AK42" s="124">
        <v>0</v>
      </c>
      <c r="AL42" s="124">
        <v>0</v>
      </c>
      <c r="AM42" s="124">
        <v>0</v>
      </c>
      <c r="AN42" s="124">
        <v>0</v>
      </c>
      <c r="AO42" s="124">
        <v>0</v>
      </c>
      <c r="AP42" s="124">
        <v>0</v>
      </c>
      <c r="AQ42" s="124">
        <v>0</v>
      </c>
      <c r="AR42" s="124">
        <v>0</v>
      </c>
      <c r="AS42" s="124">
        <v>0</v>
      </c>
      <c r="AT42" s="124">
        <v>0</v>
      </c>
      <c r="AU42" s="124">
        <v>0</v>
      </c>
      <c r="AV42" s="124">
        <v>0</v>
      </c>
      <c r="AW42" s="124">
        <v>0</v>
      </c>
      <c r="AX42" s="124">
        <v>0</v>
      </c>
      <c r="AY42" s="124">
        <v>0</v>
      </c>
    </row>
    <row r="43" spans="1:51" x14ac:dyDescent="0.2">
      <c r="A43" s="127"/>
      <c r="B43" s="147">
        <v>11</v>
      </c>
      <c r="C43" s="127" t="s">
        <v>293</v>
      </c>
      <c r="D43" s="124"/>
      <c r="E43" s="124"/>
      <c r="F43" s="124"/>
      <c r="G43" s="124"/>
      <c r="H43" s="124"/>
      <c r="I43" s="124"/>
      <c r="J43" s="124">
        <v>0</v>
      </c>
      <c r="K43" s="124">
        <v>0</v>
      </c>
      <c r="L43" s="124">
        <v>0</v>
      </c>
      <c r="M43" s="124">
        <v>0</v>
      </c>
      <c r="N43" s="124">
        <v>0</v>
      </c>
      <c r="O43" s="124">
        <v>0</v>
      </c>
      <c r="P43" s="124">
        <v>0</v>
      </c>
      <c r="Q43" s="124">
        <v>0</v>
      </c>
      <c r="R43" s="124">
        <v>0</v>
      </c>
      <c r="S43" s="124">
        <v>0</v>
      </c>
      <c r="T43" s="124">
        <v>0</v>
      </c>
      <c r="U43" s="124">
        <v>0</v>
      </c>
      <c r="V43" s="124">
        <v>0</v>
      </c>
      <c r="W43" s="124">
        <v>0</v>
      </c>
      <c r="X43" s="124">
        <v>0</v>
      </c>
      <c r="Y43" s="124">
        <v>0</v>
      </c>
      <c r="Z43" s="124">
        <v>0</v>
      </c>
      <c r="AA43" s="124">
        <v>0</v>
      </c>
      <c r="AB43" s="124">
        <v>0</v>
      </c>
      <c r="AC43" s="124">
        <v>0</v>
      </c>
      <c r="AD43" s="124">
        <v>0</v>
      </c>
      <c r="AE43" s="124">
        <v>0</v>
      </c>
      <c r="AF43" s="124">
        <v>0</v>
      </c>
      <c r="AG43" s="124">
        <v>0</v>
      </c>
      <c r="AH43" s="124">
        <v>0</v>
      </c>
      <c r="AI43" s="124">
        <v>0</v>
      </c>
      <c r="AJ43" s="124">
        <v>0</v>
      </c>
      <c r="AK43" s="124">
        <v>0</v>
      </c>
      <c r="AL43" s="124">
        <v>0</v>
      </c>
      <c r="AM43" s="124">
        <v>0</v>
      </c>
      <c r="AN43" s="124">
        <v>0</v>
      </c>
      <c r="AO43" s="124">
        <v>0</v>
      </c>
      <c r="AP43" s="124">
        <v>0</v>
      </c>
      <c r="AQ43" s="124">
        <v>0</v>
      </c>
      <c r="AR43" s="124">
        <v>0</v>
      </c>
      <c r="AS43" s="124">
        <v>0</v>
      </c>
      <c r="AT43" s="124">
        <v>0</v>
      </c>
      <c r="AU43" s="124">
        <v>0</v>
      </c>
      <c r="AV43" s="124">
        <v>0</v>
      </c>
      <c r="AW43" s="124">
        <v>0</v>
      </c>
      <c r="AX43" s="124">
        <v>0</v>
      </c>
      <c r="AY43" s="124">
        <v>0</v>
      </c>
    </row>
    <row r="44" spans="1:51" x14ac:dyDescent="0.2">
      <c r="A44" s="127"/>
      <c r="B44" s="147">
        <v>12</v>
      </c>
      <c r="C44" s="145" t="s">
        <v>293</v>
      </c>
      <c r="D44" s="124">
        <v>0</v>
      </c>
      <c r="E44" s="124">
        <v>0</v>
      </c>
      <c r="F44" s="124">
        <v>0</v>
      </c>
      <c r="G44" s="124">
        <v>0</v>
      </c>
      <c r="H44" s="124">
        <v>0</v>
      </c>
      <c r="I44" s="124">
        <v>0</v>
      </c>
      <c r="J44" s="124">
        <v>0</v>
      </c>
      <c r="K44" s="124">
        <v>0</v>
      </c>
      <c r="L44" s="124">
        <v>0</v>
      </c>
      <c r="M44" s="124">
        <v>0</v>
      </c>
      <c r="N44" s="124">
        <v>0</v>
      </c>
      <c r="O44" s="124">
        <v>0</v>
      </c>
      <c r="P44" s="124">
        <v>0</v>
      </c>
      <c r="Q44" s="124">
        <v>0</v>
      </c>
      <c r="R44" s="124">
        <v>0</v>
      </c>
      <c r="S44" s="124">
        <v>0</v>
      </c>
      <c r="T44" s="124">
        <v>0</v>
      </c>
      <c r="U44" s="124">
        <v>0</v>
      </c>
      <c r="V44" s="124">
        <v>0</v>
      </c>
      <c r="W44" s="124">
        <v>0</v>
      </c>
      <c r="X44" s="124">
        <v>0</v>
      </c>
      <c r="Y44" s="124">
        <v>0</v>
      </c>
      <c r="Z44" s="124">
        <v>0</v>
      </c>
      <c r="AA44" s="124">
        <v>0</v>
      </c>
      <c r="AB44" s="124">
        <v>0</v>
      </c>
      <c r="AC44" s="124">
        <v>0</v>
      </c>
      <c r="AD44" s="124">
        <v>0</v>
      </c>
      <c r="AE44" s="124">
        <v>0</v>
      </c>
      <c r="AF44" s="124">
        <v>0</v>
      </c>
      <c r="AG44" s="124">
        <v>0</v>
      </c>
      <c r="AH44" s="124">
        <v>0</v>
      </c>
      <c r="AI44" s="124">
        <v>0</v>
      </c>
      <c r="AJ44" s="124">
        <v>0</v>
      </c>
      <c r="AK44" s="124">
        <v>0</v>
      </c>
      <c r="AL44" s="124">
        <v>0</v>
      </c>
      <c r="AM44" s="124">
        <v>0</v>
      </c>
      <c r="AN44" s="124">
        <v>0</v>
      </c>
      <c r="AO44" s="124">
        <v>0</v>
      </c>
      <c r="AP44" s="124">
        <v>0</v>
      </c>
      <c r="AQ44" s="124">
        <v>0</v>
      </c>
      <c r="AR44" s="124">
        <v>0</v>
      </c>
      <c r="AS44" s="124">
        <v>0</v>
      </c>
      <c r="AT44" s="124">
        <v>0</v>
      </c>
      <c r="AU44" s="124">
        <v>0</v>
      </c>
      <c r="AV44" s="124">
        <v>0</v>
      </c>
      <c r="AW44" s="124">
        <v>0</v>
      </c>
      <c r="AX44" s="124">
        <v>0</v>
      </c>
      <c r="AY44" s="124">
        <v>0</v>
      </c>
    </row>
    <row r="45" spans="1:51" x14ac:dyDescent="0.2">
      <c r="A45" s="143" t="s">
        <v>123</v>
      </c>
      <c r="B45" s="140">
        <v>1</v>
      </c>
      <c r="C45" s="127" t="s">
        <v>293</v>
      </c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  <c r="AC45" s="141"/>
      <c r="AD45" s="141"/>
      <c r="AE45" s="141"/>
      <c r="AF45" s="141"/>
      <c r="AG45" s="141"/>
      <c r="AH45" s="141"/>
      <c r="AI45" s="141"/>
      <c r="AJ45" s="141"/>
      <c r="AK45" s="141"/>
      <c r="AL45" s="141"/>
      <c r="AM45" s="141"/>
      <c r="AN45" s="141"/>
      <c r="AO45" s="141"/>
      <c r="AP45" s="141"/>
      <c r="AQ45" s="141"/>
      <c r="AR45" s="141"/>
      <c r="AS45" s="141"/>
      <c r="AT45" s="141"/>
      <c r="AU45" s="141"/>
      <c r="AV45" s="141"/>
      <c r="AW45" s="141"/>
      <c r="AX45" s="141"/>
      <c r="AY45" s="141"/>
    </row>
    <row r="46" spans="1:51" x14ac:dyDescent="0.2">
      <c r="A46" s="127"/>
      <c r="B46" s="136">
        <v>2</v>
      </c>
      <c r="C46" s="127" t="s">
        <v>293</v>
      </c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28"/>
      <c r="Z46" s="128"/>
      <c r="AA46" s="128"/>
      <c r="AB46" s="128"/>
      <c r="AC46" s="128"/>
      <c r="AD46" s="128"/>
      <c r="AE46" s="128"/>
      <c r="AF46" s="128"/>
      <c r="AG46" s="128"/>
      <c r="AH46" s="128"/>
      <c r="AI46" s="128"/>
      <c r="AJ46" s="128"/>
      <c r="AK46" s="128"/>
      <c r="AL46" s="128"/>
      <c r="AM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</row>
    <row r="47" spans="1:51" x14ac:dyDescent="0.2">
      <c r="A47" s="127"/>
      <c r="B47" s="136">
        <v>3</v>
      </c>
      <c r="C47" s="127" t="s">
        <v>293</v>
      </c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28"/>
      <c r="Z47" s="128"/>
      <c r="AA47" s="128"/>
      <c r="AB47" s="128"/>
      <c r="AC47" s="128"/>
      <c r="AD47" s="128"/>
      <c r="AE47" s="128"/>
      <c r="AF47" s="128"/>
      <c r="AG47" s="128"/>
      <c r="AH47" s="128"/>
      <c r="AI47" s="128"/>
      <c r="AJ47" s="128"/>
      <c r="AK47" s="128"/>
      <c r="AL47" s="128"/>
      <c r="AM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</row>
    <row r="48" spans="1:51" x14ac:dyDescent="0.2">
      <c r="A48" s="127"/>
      <c r="B48" s="136">
        <v>4</v>
      </c>
      <c r="C48" s="127" t="s">
        <v>293</v>
      </c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8"/>
      <c r="AB48" s="128"/>
      <c r="AC48" s="128"/>
      <c r="AD48" s="128"/>
      <c r="AE48" s="128"/>
      <c r="AF48" s="128"/>
      <c r="AG48" s="128"/>
      <c r="AH48" s="128"/>
      <c r="AI48" s="128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</row>
    <row r="49" spans="1:51" x14ac:dyDescent="0.2">
      <c r="A49" s="127"/>
      <c r="B49" s="136">
        <v>5</v>
      </c>
      <c r="C49" s="127" t="s">
        <v>293</v>
      </c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8"/>
      <c r="AB49" s="128"/>
      <c r="AC49" s="128"/>
      <c r="AD49" s="128"/>
      <c r="AE49" s="128"/>
      <c r="AF49" s="128"/>
      <c r="AG49" s="128"/>
      <c r="AH49" s="128"/>
      <c r="AI49" s="128"/>
      <c r="AJ49" s="128"/>
      <c r="AK49" s="128"/>
      <c r="AL49" s="128"/>
      <c r="AM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</row>
    <row r="50" spans="1:51" x14ac:dyDescent="0.2">
      <c r="A50" s="127"/>
      <c r="B50" s="136">
        <v>6</v>
      </c>
      <c r="C50" s="127" t="s">
        <v>293</v>
      </c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  <c r="V50" s="128"/>
      <c r="W50" s="128"/>
      <c r="X50" s="128"/>
      <c r="Y50" s="128"/>
      <c r="Z50" s="128"/>
      <c r="AA50" s="128"/>
      <c r="AB50" s="128"/>
      <c r="AC50" s="128"/>
      <c r="AD50" s="128"/>
      <c r="AE50" s="128"/>
      <c r="AF50" s="128"/>
      <c r="AG50" s="128"/>
      <c r="AH50" s="128"/>
      <c r="AI50" s="128"/>
      <c r="AJ50" s="128"/>
      <c r="AK50" s="128"/>
      <c r="AL50" s="128"/>
      <c r="AM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/>
      <c r="AX50" s="128"/>
      <c r="AY50" s="128"/>
    </row>
    <row r="51" spans="1:51" x14ac:dyDescent="0.2">
      <c r="A51" s="127"/>
      <c r="B51" s="136">
        <v>7</v>
      </c>
      <c r="C51" s="127" t="s">
        <v>293</v>
      </c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8"/>
      <c r="U51" s="128"/>
      <c r="V51" s="128"/>
      <c r="W51" s="128"/>
      <c r="X51" s="128"/>
      <c r="Y51" s="128"/>
      <c r="Z51" s="128"/>
      <c r="AA51" s="128"/>
      <c r="AB51" s="128"/>
      <c r="AC51" s="128"/>
      <c r="AD51" s="128"/>
      <c r="AE51" s="128"/>
      <c r="AF51" s="128"/>
      <c r="AG51" s="128"/>
      <c r="AH51" s="128"/>
      <c r="AI51" s="128"/>
      <c r="AJ51" s="128"/>
      <c r="AK51" s="128"/>
      <c r="AL51" s="128"/>
      <c r="AM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/>
      <c r="AX51" s="128"/>
      <c r="AY51" s="128"/>
    </row>
    <row r="52" spans="1:51" x14ac:dyDescent="0.2">
      <c r="A52" s="127"/>
      <c r="B52" s="136">
        <v>8</v>
      </c>
      <c r="C52" s="127" t="s">
        <v>293</v>
      </c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  <c r="Q52" s="128"/>
      <c r="R52" s="128"/>
      <c r="S52" s="128"/>
      <c r="T52" s="128"/>
      <c r="U52" s="128"/>
      <c r="V52" s="128"/>
      <c r="W52" s="128"/>
      <c r="X52" s="128"/>
      <c r="Y52" s="128"/>
      <c r="Z52" s="128"/>
      <c r="AA52" s="128"/>
      <c r="AB52" s="128"/>
      <c r="AC52" s="128"/>
      <c r="AD52" s="128"/>
      <c r="AE52" s="128"/>
      <c r="AF52" s="128"/>
      <c r="AG52" s="128"/>
      <c r="AH52" s="128"/>
      <c r="AI52" s="128"/>
      <c r="AJ52" s="128"/>
      <c r="AK52" s="128"/>
      <c r="AL52" s="128"/>
      <c r="AM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/>
      <c r="AX52" s="128"/>
      <c r="AY52" s="128"/>
    </row>
    <row r="53" spans="1:51" x14ac:dyDescent="0.2">
      <c r="A53" s="127"/>
      <c r="B53" s="136">
        <v>9</v>
      </c>
      <c r="C53" s="127" t="s">
        <v>293</v>
      </c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  <c r="Q53" s="128"/>
      <c r="R53" s="128"/>
      <c r="S53" s="128"/>
      <c r="T53" s="128"/>
      <c r="U53" s="128"/>
      <c r="V53" s="128"/>
      <c r="W53" s="128"/>
      <c r="X53" s="128"/>
      <c r="Y53" s="128"/>
      <c r="Z53" s="128"/>
      <c r="AA53" s="128"/>
      <c r="AB53" s="128"/>
      <c r="AC53" s="128"/>
      <c r="AD53" s="128"/>
      <c r="AE53" s="128"/>
      <c r="AF53" s="128"/>
      <c r="AG53" s="128"/>
      <c r="AH53" s="128"/>
      <c r="AI53" s="128"/>
      <c r="AJ53" s="128"/>
      <c r="AK53" s="128"/>
      <c r="AL53" s="128"/>
      <c r="AM53" s="128"/>
      <c r="AN53" s="128"/>
      <c r="AO53" s="128"/>
      <c r="AP53" s="128"/>
      <c r="AQ53" s="128"/>
      <c r="AR53" s="128"/>
      <c r="AS53" s="128"/>
      <c r="AT53" s="128"/>
      <c r="AU53" s="128"/>
      <c r="AV53" s="128"/>
      <c r="AW53" s="128"/>
      <c r="AX53" s="128"/>
      <c r="AY53" s="128"/>
    </row>
    <row r="54" spans="1:51" x14ac:dyDescent="0.2">
      <c r="A54" s="127"/>
      <c r="B54" s="136">
        <v>10</v>
      </c>
      <c r="C54" s="127" t="s">
        <v>293</v>
      </c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  <c r="P54" s="128"/>
      <c r="Q54" s="128"/>
      <c r="R54" s="128"/>
      <c r="S54" s="128"/>
      <c r="T54" s="128"/>
      <c r="U54" s="128"/>
      <c r="V54" s="128"/>
      <c r="W54" s="128"/>
      <c r="X54" s="128"/>
      <c r="Y54" s="128"/>
      <c r="Z54" s="128"/>
      <c r="AA54" s="128"/>
      <c r="AB54" s="128"/>
      <c r="AC54" s="128"/>
      <c r="AD54" s="128"/>
      <c r="AE54" s="128"/>
      <c r="AF54" s="128"/>
      <c r="AG54" s="128"/>
      <c r="AH54" s="128"/>
      <c r="AI54" s="128"/>
      <c r="AJ54" s="128"/>
      <c r="AK54" s="128"/>
      <c r="AL54" s="128"/>
      <c r="AM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</row>
    <row r="55" spans="1:51" x14ac:dyDescent="0.2">
      <c r="A55" s="127"/>
      <c r="B55" s="136">
        <v>11</v>
      </c>
      <c r="C55" s="127" t="s">
        <v>293</v>
      </c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8"/>
      <c r="U55" s="128"/>
      <c r="V55" s="128"/>
      <c r="W55" s="128"/>
      <c r="X55" s="128"/>
      <c r="Y55" s="128"/>
      <c r="Z55" s="128"/>
      <c r="AA55" s="128"/>
      <c r="AB55" s="128"/>
      <c r="AC55" s="128"/>
      <c r="AD55" s="128"/>
      <c r="AE55" s="128"/>
      <c r="AF55" s="128"/>
      <c r="AG55" s="128"/>
      <c r="AH55" s="128"/>
      <c r="AI55" s="128"/>
      <c r="AJ55" s="128"/>
      <c r="AK55" s="128"/>
      <c r="AL55" s="128"/>
      <c r="AM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/>
      <c r="AX55" s="128"/>
      <c r="AY55" s="128"/>
    </row>
    <row r="56" spans="1:51" x14ac:dyDescent="0.2">
      <c r="A56" s="127"/>
      <c r="B56" s="136">
        <v>12</v>
      </c>
      <c r="C56" s="127" t="s">
        <v>293</v>
      </c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O56" s="128"/>
      <c r="P56" s="128"/>
      <c r="Q56" s="128"/>
      <c r="R56" s="128"/>
      <c r="S56" s="128"/>
      <c r="T56" s="128"/>
      <c r="U56" s="128"/>
      <c r="V56" s="128"/>
      <c r="W56" s="128"/>
      <c r="X56" s="128"/>
      <c r="Y56" s="128"/>
      <c r="Z56" s="128"/>
      <c r="AA56" s="128"/>
      <c r="AB56" s="128"/>
      <c r="AC56" s="128"/>
      <c r="AD56" s="128"/>
      <c r="AE56" s="128"/>
      <c r="AF56" s="128"/>
      <c r="AG56" s="128"/>
      <c r="AH56" s="128"/>
      <c r="AI56" s="128"/>
      <c r="AJ56" s="128"/>
      <c r="AK56" s="128"/>
      <c r="AL56" s="128"/>
      <c r="AM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/>
      <c r="AX56" s="128"/>
      <c r="AY56" s="128"/>
    </row>
    <row r="57" spans="1:51" x14ac:dyDescent="0.2">
      <c r="A57" s="127"/>
      <c r="B57" s="137">
        <v>13</v>
      </c>
      <c r="C57" s="127" t="s">
        <v>293</v>
      </c>
      <c r="D57" s="128"/>
      <c r="E57" s="128"/>
      <c r="F57" s="128"/>
      <c r="G57" s="128"/>
      <c r="H57" s="128"/>
      <c r="I57" s="128"/>
      <c r="J57" s="128"/>
      <c r="K57" s="128"/>
      <c r="L57" s="128"/>
      <c r="M57" s="128"/>
      <c r="N57" s="128"/>
      <c r="O57" s="128"/>
      <c r="P57" s="128"/>
      <c r="Q57" s="128"/>
      <c r="R57" s="128"/>
      <c r="S57" s="128"/>
      <c r="T57" s="128"/>
      <c r="U57" s="128"/>
      <c r="V57" s="128"/>
      <c r="W57" s="128"/>
      <c r="X57" s="128"/>
      <c r="Y57" s="128"/>
      <c r="Z57" s="128"/>
      <c r="AA57" s="128"/>
      <c r="AB57" s="128"/>
      <c r="AC57" s="128"/>
      <c r="AD57" s="128"/>
      <c r="AE57" s="128"/>
      <c r="AF57" s="128"/>
      <c r="AG57" s="128"/>
      <c r="AH57" s="128"/>
      <c r="AI57" s="128"/>
      <c r="AJ57" s="128"/>
      <c r="AK57" s="128"/>
      <c r="AL57" s="128"/>
      <c r="AM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/>
      <c r="AX57" s="128"/>
      <c r="AY57" s="128"/>
    </row>
    <row r="58" spans="1:51" x14ac:dyDescent="0.2">
      <c r="A58" s="127"/>
      <c r="B58" s="137">
        <v>14</v>
      </c>
      <c r="C58" s="127" t="s">
        <v>293</v>
      </c>
      <c r="D58" s="128"/>
      <c r="E58" s="128"/>
      <c r="F58" s="128"/>
      <c r="G58" s="128"/>
      <c r="H58" s="128"/>
      <c r="I58" s="128"/>
      <c r="J58" s="128"/>
      <c r="K58" s="128"/>
      <c r="L58" s="128"/>
      <c r="M58" s="128"/>
      <c r="N58" s="128"/>
      <c r="O58" s="128"/>
      <c r="P58" s="128"/>
      <c r="Q58" s="128"/>
      <c r="R58" s="128"/>
      <c r="S58" s="128"/>
      <c r="T58" s="128"/>
      <c r="U58" s="128"/>
      <c r="V58" s="128"/>
      <c r="W58" s="128"/>
      <c r="X58" s="128"/>
      <c r="Y58" s="128"/>
      <c r="Z58" s="128"/>
      <c r="AA58" s="128"/>
      <c r="AB58" s="128"/>
      <c r="AC58" s="128"/>
      <c r="AD58" s="128"/>
      <c r="AE58" s="128"/>
      <c r="AF58" s="128"/>
      <c r="AG58" s="128"/>
      <c r="AH58" s="128"/>
      <c r="AI58" s="128"/>
      <c r="AJ58" s="128"/>
      <c r="AK58" s="128"/>
      <c r="AL58" s="128"/>
      <c r="AM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/>
      <c r="AX58" s="128"/>
      <c r="AY58" s="128"/>
    </row>
    <row r="59" spans="1:51" x14ac:dyDescent="0.2">
      <c r="A59" s="127"/>
      <c r="B59" s="137">
        <v>15</v>
      </c>
      <c r="C59" s="127" t="s">
        <v>293</v>
      </c>
      <c r="D59" s="128"/>
      <c r="E59" s="128"/>
      <c r="F59" s="128"/>
      <c r="G59" s="128"/>
      <c r="H59" s="128"/>
      <c r="I59" s="128"/>
      <c r="J59" s="128"/>
      <c r="K59" s="128"/>
      <c r="L59" s="128"/>
      <c r="M59" s="128"/>
      <c r="N59" s="128"/>
      <c r="O59" s="128"/>
      <c r="P59" s="128"/>
      <c r="Q59" s="128"/>
      <c r="R59" s="128"/>
      <c r="S59" s="128"/>
      <c r="T59" s="128"/>
      <c r="U59" s="128"/>
      <c r="V59" s="128"/>
      <c r="W59" s="128"/>
      <c r="X59" s="128"/>
      <c r="Y59" s="128"/>
      <c r="Z59" s="128"/>
      <c r="AA59" s="128"/>
      <c r="AB59" s="128"/>
      <c r="AC59" s="128"/>
      <c r="AD59" s="128"/>
      <c r="AE59" s="128"/>
      <c r="AF59" s="128"/>
      <c r="AG59" s="128"/>
      <c r="AH59" s="128"/>
      <c r="AI59" s="128"/>
      <c r="AJ59" s="128"/>
      <c r="AK59" s="128"/>
      <c r="AL59" s="128"/>
      <c r="AM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/>
      <c r="AX59" s="128"/>
      <c r="AY59" s="128"/>
    </row>
    <row r="60" spans="1:51" x14ac:dyDescent="0.2">
      <c r="A60" s="127"/>
      <c r="B60" s="137">
        <v>16</v>
      </c>
      <c r="C60" s="127" t="s">
        <v>293</v>
      </c>
      <c r="D60" s="128"/>
      <c r="E60" s="128"/>
      <c r="F60" s="128"/>
      <c r="G60" s="128"/>
      <c r="H60" s="128"/>
      <c r="I60" s="128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8"/>
      <c r="U60" s="128"/>
      <c r="V60" s="128"/>
      <c r="W60" s="128"/>
      <c r="X60" s="128"/>
      <c r="Y60" s="128"/>
      <c r="Z60" s="128"/>
      <c r="AA60" s="128"/>
      <c r="AB60" s="128"/>
      <c r="AC60" s="128"/>
      <c r="AD60" s="128"/>
      <c r="AE60" s="128"/>
      <c r="AF60" s="128"/>
      <c r="AG60" s="128"/>
      <c r="AH60" s="128"/>
      <c r="AI60" s="128"/>
      <c r="AJ60" s="128"/>
      <c r="AK60" s="128"/>
      <c r="AL60" s="128"/>
      <c r="AM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/>
      <c r="AX60" s="128"/>
      <c r="AY60" s="128"/>
    </row>
    <row r="61" spans="1:51" x14ac:dyDescent="0.2">
      <c r="A61" s="127"/>
      <c r="B61" s="137">
        <v>17</v>
      </c>
      <c r="C61" s="127" t="s">
        <v>293</v>
      </c>
      <c r="D61" s="128"/>
      <c r="E61" s="128"/>
      <c r="F61" s="128"/>
      <c r="G61" s="128"/>
      <c r="H61" s="128"/>
      <c r="I61" s="128"/>
      <c r="J61" s="128"/>
      <c r="K61" s="128"/>
      <c r="L61" s="128"/>
      <c r="M61" s="128"/>
      <c r="N61" s="128"/>
      <c r="O61" s="128"/>
      <c r="P61" s="128"/>
      <c r="Q61" s="128"/>
      <c r="R61" s="128"/>
      <c r="S61" s="128"/>
      <c r="T61" s="128"/>
      <c r="U61" s="128"/>
      <c r="V61" s="128"/>
      <c r="W61" s="128"/>
      <c r="X61" s="128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/>
      <c r="AX61" s="128"/>
      <c r="AY61" s="128"/>
    </row>
    <row r="62" spans="1:51" x14ac:dyDescent="0.2">
      <c r="A62" s="127"/>
      <c r="B62" s="137">
        <v>18</v>
      </c>
      <c r="C62" s="127" t="s">
        <v>293</v>
      </c>
      <c r="D62" s="128"/>
      <c r="E62" s="128"/>
      <c r="F62" s="128"/>
      <c r="G62" s="128"/>
      <c r="H62" s="128"/>
      <c r="I62" s="128"/>
      <c r="J62" s="128"/>
      <c r="K62" s="128"/>
      <c r="L62" s="128"/>
      <c r="M62" s="128"/>
      <c r="N62" s="128"/>
      <c r="O62" s="128"/>
      <c r="P62" s="128"/>
      <c r="Q62" s="128"/>
      <c r="R62" s="128"/>
      <c r="S62" s="128"/>
      <c r="T62" s="128"/>
      <c r="U62" s="128"/>
      <c r="V62" s="128"/>
      <c r="W62" s="128"/>
      <c r="X62" s="128"/>
      <c r="Y62" s="128"/>
      <c r="Z62" s="128"/>
      <c r="AA62" s="128"/>
      <c r="AB62" s="128"/>
      <c r="AC62" s="128"/>
      <c r="AD62" s="128"/>
      <c r="AE62" s="128"/>
      <c r="AF62" s="128"/>
      <c r="AG62" s="128"/>
      <c r="AH62" s="128"/>
      <c r="AI62" s="128"/>
      <c r="AJ62" s="128"/>
      <c r="AK62" s="128"/>
      <c r="AL62" s="128"/>
      <c r="AM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/>
      <c r="AX62" s="128"/>
      <c r="AY62" s="128"/>
    </row>
    <row r="63" spans="1:51" x14ac:dyDescent="0.2">
      <c r="A63" s="127"/>
      <c r="B63" s="137">
        <v>19</v>
      </c>
      <c r="C63" s="127" t="s">
        <v>293</v>
      </c>
      <c r="D63" s="128"/>
      <c r="E63" s="128"/>
      <c r="F63" s="128"/>
      <c r="G63" s="128"/>
      <c r="H63" s="128"/>
      <c r="I63" s="128"/>
      <c r="J63" s="128"/>
      <c r="K63" s="128"/>
      <c r="L63" s="128"/>
      <c r="M63" s="128"/>
      <c r="N63" s="128"/>
      <c r="O63" s="128"/>
      <c r="P63" s="128"/>
      <c r="Q63" s="128"/>
      <c r="R63" s="128"/>
      <c r="S63" s="128"/>
      <c r="T63" s="128"/>
      <c r="U63" s="128"/>
      <c r="V63" s="128"/>
      <c r="W63" s="128"/>
      <c r="X63" s="128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</row>
    <row r="64" spans="1:51" x14ac:dyDescent="0.2">
      <c r="A64" s="127"/>
      <c r="B64" s="137">
        <v>20</v>
      </c>
      <c r="C64" s="127" t="s">
        <v>293</v>
      </c>
      <c r="D64" s="128"/>
      <c r="E64" s="128"/>
      <c r="F64" s="128"/>
      <c r="G64" s="128"/>
      <c r="H64" s="128"/>
      <c r="I64" s="128"/>
      <c r="J64" s="128"/>
      <c r="K64" s="128"/>
      <c r="L64" s="128"/>
      <c r="M64" s="128"/>
      <c r="N64" s="128"/>
      <c r="O64" s="128"/>
      <c r="P64" s="128"/>
      <c r="Q64" s="128"/>
      <c r="R64" s="128"/>
      <c r="S64" s="128"/>
      <c r="T64" s="128"/>
      <c r="U64" s="128"/>
      <c r="V64" s="128"/>
      <c r="W64" s="128"/>
      <c r="X64" s="128"/>
      <c r="Y64" s="128"/>
      <c r="Z64" s="128"/>
      <c r="AA64" s="128"/>
      <c r="AB64" s="128"/>
      <c r="AC64" s="128"/>
      <c r="AD64" s="128"/>
      <c r="AE64" s="128"/>
      <c r="AF64" s="128"/>
      <c r="AG64" s="128"/>
      <c r="AH64" s="128"/>
      <c r="AI64" s="128"/>
      <c r="AJ64" s="128"/>
      <c r="AK64" s="128"/>
      <c r="AL64" s="128"/>
      <c r="AM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</row>
    <row r="65" spans="1:51" x14ac:dyDescent="0.2">
      <c r="A65" s="127"/>
      <c r="B65" s="137">
        <v>21</v>
      </c>
      <c r="C65" s="127" t="s">
        <v>293</v>
      </c>
      <c r="D65" s="128"/>
      <c r="E65" s="128"/>
      <c r="F65" s="128"/>
      <c r="G65" s="128"/>
      <c r="H65" s="128"/>
      <c r="I65" s="128"/>
      <c r="J65" s="128"/>
      <c r="K65" s="128"/>
      <c r="L65" s="128"/>
      <c r="M65" s="128"/>
      <c r="N65" s="128"/>
      <c r="O65" s="128"/>
      <c r="P65" s="128"/>
      <c r="Q65" s="128"/>
      <c r="R65" s="128"/>
      <c r="S65" s="128"/>
      <c r="T65" s="128"/>
      <c r="U65" s="128"/>
      <c r="V65" s="128"/>
      <c r="W65" s="128"/>
      <c r="X65" s="128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</row>
    <row r="66" spans="1:51" x14ac:dyDescent="0.2">
      <c r="A66" s="127"/>
      <c r="B66" s="137">
        <v>22</v>
      </c>
      <c r="C66" s="127" t="s">
        <v>293</v>
      </c>
      <c r="D66" s="128"/>
      <c r="E66" s="128"/>
      <c r="F66" s="128"/>
      <c r="G66" s="128"/>
      <c r="H66" s="128"/>
      <c r="I66" s="128"/>
      <c r="J66" s="128"/>
      <c r="K66" s="128"/>
      <c r="L66" s="128"/>
      <c r="M66" s="128"/>
      <c r="N66" s="128"/>
      <c r="O66" s="128"/>
      <c r="P66" s="128"/>
      <c r="Q66" s="128"/>
      <c r="R66" s="128"/>
      <c r="S66" s="128"/>
      <c r="T66" s="128"/>
      <c r="U66" s="128"/>
      <c r="V66" s="128"/>
      <c r="W66" s="128"/>
      <c r="X66" s="128"/>
      <c r="Y66" s="128"/>
      <c r="Z66" s="128"/>
      <c r="AA66" s="128"/>
      <c r="AB66" s="128"/>
      <c r="AC66" s="128"/>
      <c r="AD66" s="128"/>
      <c r="AE66" s="128"/>
      <c r="AF66" s="128"/>
      <c r="AG66" s="128"/>
      <c r="AH66" s="128"/>
      <c r="AI66" s="128"/>
      <c r="AJ66" s="128"/>
      <c r="AK66" s="128"/>
      <c r="AL66" s="128"/>
      <c r="AM66" s="128"/>
      <c r="AN66" s="128"/>
      <c r="AO66" s="128"/>
      <c r="AP66" s="128"/>
      <c r="AQ66" s="128"/>
      <c r="AR66" s="128"/>
      <c r="AS66" s="128"/>
      <c r="AT66" s="128"/>
      <c r="AU66" s="128"/>
      <c r="AV66" s="128"/>
      <c r="AW66" s="128"/>
      <c r="AX66" s="128"/>
      <c r="AY66" s="128"/>
    </row>
    <row r="67" spans="1:51" x14ac:dyDescent="0.2">
      <c r="A67" s="127"/>
      <c r="B67" s="137">
        <v>23</v>
      </c>
      <c r="C67" s="127" t="s">
        <v>293</v>
      </c>
      <c r="D67" s="128"/>
      <c r="E67" s="128"/>
      <c r="F67" s="128"/>
      <c r="G67" s="128"/>
      <c r="H67" s="128"/>
      <c r="I67" s="128"/>
      <c r="J67" s="128"/>
      <c r="K67" s="128"/>
      <c r="L67" s="128"/>
      <c r="M67" s="128"/>
      <c r="N67" s="128"/>
      <c r="O67" s="128"/>
      <c r="P67" s="128"/>
      <c r="Q67" s="128"/>
      <c r="R67" s="128"/>
      <c r="S67" s="128"/>
      <c r="T67" s="128"/>
      <c r="U67" s="128"/>
      <c r="V67" s="128"/>
      <c r="W67" s="128"/>
      <c r="X67" s="128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128"/>
      <c r="AO67" s="128"/>
      <c r="AP67" s="128"/>
      <c r="AQ67" s="128"/>
      <c r="AR67" s="128"/>
      <c r="AS67" s="128"/>
      <c r="AT67" s="128"/>
      <c r="AU67" s="128"/>
      <c r="AV67" s="128"/>
      <c r="AW67" s="128"/>
      <c r="AX67" s="128"/>
      <c r="AY67" s="128"/>
    </row>
    <row r="68" spans="1:51" x14ac:dyDescent="0.2">
      <c r="A68" s="127"/>
      <c r="B68" s="137">
        <v>24</v>
      </c>
      <c r="C68" s="127" t="s">
        <v>293</v>
      </c>
      <c r="D68" s="128"/>
      <c r="E68" s="128"/>
      <c r="F68" s="128"/>
      <c r="G68" s="128"/>
      <c r="H68" s="128"/>
      <c r="I68" s="128"/>
      <c r="J68" s="128"/>
      <c r="K68" s="128"/>
      <c r="L68" s="128"/>
      <c r="M68" s="128"/>
      <c r="N68" s="128"/>
      <c r="O68" s="128"/>
      <c r="P68" s="128"/>
      <c r="Q68" s="128"/>
      <c r="R68" s="128"/>
      <c r="S68" s="128"/>
      <c r="T68" s="128"/>
      <c r="U68" s="128"/>
      <c r="V68" s="128"/>
      <c r="W68" s="128"/>
      <c r="X68" s="128"/>
      <c r="Y68" s="128"/>
      <c r="Z68" s="128"/>
      <c r="AA68" s="128"/>
      <c r="AB68" s="128"/>
      <c r="AC68" s="128"/>
      <c r="AD68" s="128"/>
      <c r="AE68" s="128"/>
      <c r="AF68" s="128"/>
      <c r="AG68" s="128"/>
      <c r="AH68" s="128"/>
      <c r="AI68" s="128"/>
      <c r="AJ68" s="128"/>
      <c r="AK68" s="128"/>
      <c r="AL68" s="128"/>
      <c r="AM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</row>
    <row r="69" spans="1:51" x14ac:dyDescent="0.2">
      <c r="A69" s="127"/>
      <c r="B69" s="144">
        <v>25</v>
      </c>
      <c r="C69" s="127" t="s">
        <v>293</v>
      </c>
      <c r="D69" s="128"/>
      <c r="E69" s="128"/>
      <c r="F69" s="128"/>
      <c r="G69" s="128"/>
      <c r="H69" s="128"/>
      <c r="I69" s="128"/>
      <c r="J69" s="128"/>
      <c r="K69" s="128"/>
      <c r="L69" s="128"/>
      <c r="M69" s="128"/>
      <c r="N69" s="128"/>
      <c r="O69" s="128"/>
      <c r="P69" s="128"/>
      <c r="Q69" s="128"/>
      <c r="R69" s="128"/>
      <c r="S69" s="128"/>
      <c r="T69" s="128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</row>
    <row r="70" spans="1:51" x14ac:dyDescent="0.2">
      <c r="A70" s="127"/>
      <c r="B70" s="144">
        <v>26</v>
      </c>
      <c r="C70" s="127" t="s">
        <v>293</v>
      </c>
      <c r="D70" s="128"/>
      <c r="E70" s="128"/>
      <c r="F70" s="128"/>
      <c r="G70" s="128"/>
      <c r="H70" s="128"/>
      <c r="I70" s="128"/>
      <c r="J70" s="128"/>
      <c r="K70" s="128"/>
      <c r="L70" s="128"/>
      <c r="M70" s="128"/>
      <c r="N70" s="128"/>
      <c r="O70" s="128"/>
      <c r="P70" s="128"/>
      <c r="Q70" s="128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28"/>
      <c r="AL70" s="128"/>
      <c r="AM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</row>
    <row r="71" spans="1:51" x14ac:dyDescent="0.2">
      <c r="A71" s="127"/>
      <c r="B71" s="144">
        <v>27</v>
      </c>
      <c r="C71" s="127" t="s">
        <v>293</v>
      </c>
      <c r="D71" s="128"/>
      <c r="E71" s="128"/>
      <c r="F71" s="128"/>
      <c r="G71" s="128"/>
      <c r="H71" s="128"/>
      <c r="I71" s="128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128"/>
      <c r="V71" s="128"/>
      <c r="W71" s="128"/>
      <c r="X71" s="128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</row>
    <row r="72" spans="1:51" x14ac:dyDescent="0.2">
      <c r="A72" s="127"/>
      <c r="B72" s="144">
        <v>28</v>
      </c>
      <c r="C72" s="127" t="s">
        <v>293</v>
      </c>
      <c r="D72" s="128"/>
      <c r="E72" s="128"/>
      <c r="F72" s="128"/>
      <c r="G72" s="128"/>
      <c r="H72" s="128"/>
      <c r="I72" s="128"/>
      <c r="J72" s="128"/>
      <c r="K72" s="128"/>
      <c r="L72" s="128"/>
      <c r="M72" s="128"/>
      <c r="N72" s="128"/>
      <c r="O72" s="128"/>
      <c r="P72" s="128"/>
      <c r="Q72" s="128"/>
      <c r="R72" s="128"/>
      <c r="S72" s="128"/>
      <c r="T72" s="128"/>
      <c r="U72" s="128"/>
      <c r="V72" s="128"/>
      <c r="W72" s="128"/>
      <c r="X72" s="128"/>
      <c r="Y72" s="128"/>
      <c r="Z72" s="128"/>
      <c r="AA72" s="128"/>
      <c r="AB72" s="128"/>
      <c r="AC72" s="128"/>
      <c r="AD72" s="128"/>
      <c r="AE72" s="128"/>
      <c r="AF72" s="128"/>
      <c r="AG72" s="128"/>
      <c r="AH72" s="128"/>
      <c r="AI72" s="128"/>
      <c r="AJ72" s="128"/>
      <c r="AK72" s="128"/>
      <c r="AL72" s="128"/>
      <c r="AM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</row>
    <row r="73" spans="1:51" x14ac:dyDescent="0.2">
      <c r="A73" s="127"/>
      <c r="B73" s="144">
        <v>29</v>
      </c>
      <c r="C73" s="127" t="s">
        <v>293</v>
      </c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  <c r="V73" s="128"/>
      <c r="W73" s="128"/>
      <c r="X73" s="128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</row>
    <row r="74" spans="1:51" x14ac:dyDescent="0.2">
      <c r="A74" s="127"/>
      <c r="B74" s="144">
        <v>30</v>
      </c>
      <c r="C74" s="127" t="s">
        <v>293</v>
      </c>
      <c r="D74" s="128"/>
      <c r="E74" s="128"/>
      <c r="F74" s="128"/>
      <c r="G74" s="128"/>
      <c r="H74" s="128"/>
      <c r="I74" s="128"/>
      <c r="J74" s="128"/>
      <c r="K74" s="128"/>
      <c r="L74" s="128"/>
      <c r="M74" s="128"/>
      <c r="N74" s="128"/>
      <c r="O74" s="128"/>
      <c r="P74" s="128"/>
      <c r="Q74" s="128"/>
      <c r="R74" s="128"/>
      <c r="S74" s="128"/>
      <c r="T74" s="128"/>
      <c r="U74" s="128"/>
      <c r="V74" s="128"/>
      <c r="W74" s="128"/>
      <c r="X74" s="128"/>
      <c r="Y74" s="128"/>
      <c r="Z74" s="128"/>
      <c r="AA74" s="128"/>
      <c r="AB74" s="128"/>
      <c r="AC74" s="128"/>
      <c r="AD74" s="128"/>
      <c r="AE74" s="128"/>
      <c r="AF74" s="128"/>
      <c r="AG74" s="128"/>
      <c r="AH74" s="128"/>
      <c r="AI74" s="128"/>
      <c r="AJ74" s="128"/>
      <c r="AK74" s="128"/>
      <c r="AL74" s="128"/>
      <c r="AM74" s="128"/>
      <c r="AN74" s="128"/>
      <c r="AO74" s="128"/>
      <c r="AP74" s="128"/>
      <c r="AQ74" s="128"/>
      <c r="AR74" s="128"/>
      <c r="AS74" s="128"/>
      <c r="AT74" s="128"/>
      <c r="AU74" s="128"/>
      <c r="AV74" s="128"/>
      <c r="AW74" s="128"/>
      <c r="AX74" s="128"/>
      <c r="AY74" s="128"/>
    </row>
    <row r="75" spans="1:51" x14ac:dyDescent="0.2">
      <c r="A75" s="127"/>
      <c r="B75" s="144">
        <v>31</v>
      </c>
      <c r="C75" s="127" t="s">
        <v>293</v>
      </c>
      <c r="D75" s="128"/>
      <c r="E75" s="128"/>
      <c r="F75" s="128"/>
      <c r="G75" s="128"/>
      <c r="H75" s="128"/>
      <c r="I75" s="128"/>
      <c r="J75" s="128"/>
      <c r="K75" s="128"/>
      <c r="L75" s="128"/>
      <c r="M75" s="128"/>
      <c r="N75" s="128"/>
      <c r="O75" s="128"/>
      <c r="P75" s="128"/>
      <c r="Q75" s="128"/>
      <c r="R75" s="128"/>
      <c r="S75" s="128"/>
      <c r="T75" s="128"/>
      <c r="U75" s="128"/>
      <c r="V75" s="128"/>
      <c r="W75" s="128"/>
      <c r="X75" s="128"/>
      <c r="Y75" s="128"/>
      <c r="Z75" s="128"/>
      <c r="AA75" s="128"/>
      <c r="AB75" s="128"/>
      <c r="AC75" s="128"/>
      <c r="AD75" s="128"/>
      <c r="AE75" s="128"/>
      <c r="AF75" s="128"/>
      <c r="AG75" s="128"/>
      <c r="AH75" s="128"/>
      <c r="AI75" s="128"/>
      <c r="AJ75" s="128"/>
      <c r="AK75" s="128"/>
      <c r="AL75" s="128"/>
      <c r="AM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</row>
    <row r="76" spans="1:51" x14ac:dyDescent="0.2">
      <c r="A76" s="127"/>
      <c r="B76" s="144">
        <v>32</v>
      </c>
      <c r="C76" s="127" t="s">
        <v>293</v>
      </c>
      <c r="D76" s="128"/>
      <c r="E76" s="128"/>
      <c r="F76" s="128"/>
      <c r="G76" s="128"/>
      <c r="H76" s="128"/>
      <c r="I76" s="128"/>
      <c r="J76" s="128"/>
      <c r="K76" s="128"/>
      <c r="L76" s="128"/>
      <c r="M76" s="128"/>
      <c r="N76" s="128"/>
      <c r="O76" s="128"/>
      <c r="P76" s="128"/>
      <c r="Q76" s="128"/>
      <c r="R76" s="128"/>
      <c r="S76" s="128"/>
      <c r="T76" s="128"/>
      <c r="U76" s="128"/>
      <c r="V76" s="128"/>
      <c r="W76" s="128"/>
      <c r="X76" s="128"/>
      <c r="Y76" s="128"/>
      <c r="Z76" s="128"/>
      <c r="AA76" s="128"/>
      <c r="AB76" s="128"/>
      <c r="AC76" s="128"/>
      <c r="AD76" s="128"/>
      <c r="AE76" s="128"/>
      <c r="AF76" s="128"/>
      <c r="AG76" s="128"/>
      <c r="AH76" s="128"/>
      <c r="AI76" s="128"/>
      <c r="AJ76" s="128"/>
      <c r="AK76" s="128"/>
      <c r="AL76" s="128"/>
      <c r="AM76" s="128"/>
      <c r="AN76" s="128"/>
      <c r="AO76" s="128"/>
      <c r="AP76" s="128"/>
      <c r="AQ76" s="128"/>
      <c r="AR76" s="128"/>
      <c r="AS76" s="128"/>
      <c r="AT76" s="128"/>
      <c r="AU76" s="128"/>
      <c r="AV76" s="128"/>
      <c r="AW76" s="128"/>
      <c r="AX76" s="128"/>
      <c r="AY76" s="128"/>
    </row>
    <row r="77" spans="1:51" x14ac:dyDescent="0.2">
      <c r="A77" s="127"/>
      <c r="B77" s="144">
        <v>33</v>
      </c>
      <c r="C77" s="127" t="s">
        <v>293</v>
      </c>
      <c r="D77" s="128"/>
      <c r="E77" s="128"/>
      <c r="F77" s="128"/>
      <c r="G77" s="128"/>
      <c r="H77" s="128"/>
      <c r="I77" s="128"/>
      <c r="J77" s="128"/>
      <c r="K77" s="128"/>
      <c r="L77" s="128"/>
      <c r="M77" s="128"/>
      <c r="N77" s="128"/>
      <c r="O77" s="128"/>
      <c r="P77" s="128"/>
      <c r="Q77" s="128"/>
      <c r="R77" s="128"/>
      <c r="S77" s="128"/>
      <c r="T77" s="128"/>
      <c r="U77" s="128"/>
      <c r="V77" s="128"/>
      <c r="W77" s="128"/>
      <c r="X77" s="128"/>
      <c r="Y77" s="128"/>
      <c r="Z77" s="128"/>
      <c r="AA77" s="128"/>
      <c r="AB77" s="128"/>
      <c r="AC77" s="128"/>
      <c r="AD77" s="128"/>
      <c r="AE77" s="128"/>
      <c r="AF77" s="128"/>
      <c r="AG77" s="128"/>
      <c r="AH77" s="128"/>
      <c r="AI77" s="128"/>
      <c r="AJ77" s="128"/>
      <c r="AK77" s="128"/>
      <c r="AL77" s="128"/>
      <c r="AM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</row>
    <row r="78" spans="1:51" x14ac:dyDescent="0.2">
      <c r="A78" s="127"/>
      <c r="B78" s="144">
        <v>34</v>
      </c>
      <c r="C78" s="127" t="s">
        <v>293</v>
      </c>
      <c r="D78" s="128"/>
      <c r="E78" s="128"/>
      <c r="F78" s="128"/>
      <c r="G78" s="128"/>
      <c r="H78" s="128"/>
      <c r="I78" s="128"/>
      <c r="J78" s="128"/>
      <c r="K78" s="128"/>
      <c r="L78" s="128"/>
      <c r="M78" s="128"/>
      <c r="N78" s="128"/>
      <c r="O78" s="128"/>
      <c r="P78" s="128"/>
      <c r="Q78" s="128"/>
      <c r="R78" s="128"/>
      <c r="S78" s="128"/>
      <c r="T78" s="128"/>
      <c r="U78" s="128"/>
      <c r="V78" s="128"/>
      <c r="W78" s="128"/>
      <c r="X78" s="128"/>
      <c r="Y78" s="128"/>
      <c r="Z78" s="128"/>
      <c r="AA78" s="128"/>
      <c r="AB78" s="128"/>
      <c r="AC78" s="128"/>
      <c r="AD78" s="128"/>
      <c r="AE78" s="128"/>
      <c r="AF78" s="128"/>
      <c r="AG78" s="128"/>
      <c r="AH78" s="128"/>
      <c r="AI78" s="128"/>
      <c r="AJ78" s="128"/>
      <c r="AK78" s="128"/>
      <c r="AL78" s="128"/>
      <c r="AM78" s="128"/>
      <c r="AN78" s="128"/>
      <c r="AO78" s="128"/>
      <c r="AP78" s="128"/>
      <c r="AQ78" s="128"/>
      <c r="AR78" s="128"/>
      <c r="AS78" s="128"/>
      <c r="AT78" s="128"/>
      <c r="AU78" s="128"/>
      <c r="AV78" s="128"/>
      <c r="AW78" s="128"/>
      <c r="AX78" s="128"/>
      <c r="AY78" s="128"/>
    </row>
    <row r="79" spans="1:51" x14ac:dyDescent="0.2">
      <c r="A79" s="127"/>
      <c r="B79" s="144">
        <v>35</v>
      </c>
      <c r="C79" s="127" t="s">
        <v>293</v>
      </c>
      <c r="D79" s="128"/>
      <c r="E79" s="128"/>
      <c r="F79" s="128"/>
      <c r="G79" s="128"/>
      <c r="H79" s="128"/>
      <c r="I79" s="128"/>
      <c r="J79" s="128"/>
      <c r="K79" s="128"/>
      <c r="L79" s="128"/>
      <c r="M79" s="128"/>
      <c r="N79" s="128"/>
      <c r="O79" s="128"/>
      <c r="P79" s="128"/>
      <c r="Q79" s="128"/>
      <c r="R79" s="128"/>
      <c r="S79" s="128"/>
      <c r="T79" s="128"/>
      <c r="U79" s="128"/>
      <c r="V79" s="128"/>
      <c r="W79" s="128"/>
      <c r="X79" s="128"/>
      <c r="Y79" s="128"/>
      <c r="Z79" s="128"/>
      <c r="AA79" s="128"/>
      <c r="AB79" s="128"/>
      <c r="AC79" s="128"/>
      <c r="AD79" s="128"/>
      <c r="AE79" s="128"/>
      <c r="AF79" s="128"/>
      <c r="AG79" s="128"/>
      <c r="AH79" s="128"/>
      <c r="AI79" s="128"/>
      <c r="AJ79" s="128"/>
      <c r="AK79" s="128"/>
      <c r="AL79" s="128"/>
      <c r="AM79" s="128"/>
      <c r="AN79" s="128"/>
      <c r="AO79" s="128"/>
      <c r="AP79" s="128"/>
      <c r="AQ79" s="128"/>
      <c r="AR79" s="128"/>
      <c r="AS79" s="128"/>
      <c r="AT79" s="128"/>
      <c r="AU79" s="128"/>
      <c r="AV79" s="128"/>
      <c r="AW79" s="128"/>
      <c r="AX79" s="128"/>
      <c r="AY79" s="128"/>
    </row>
    <row r="80" spans="1:51" x14ac:dyDescent="0.2">
      <c r="A80" s="127"/>
      <c r="B80" s="144">
        <v>36</v>
      </c>
      <c r="C80" s="127" t="s">
        <v>293</v>
      </c>
      <c r="D80" s="128"/>
      <c r="E80" s="128"/>
      <c r="F80" s="128"/>
      <c r="G80" s="128"/>
      <c r="H80" s="128"/>
      <c r="I80" s="128"/>
      <c r="J80" s="128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  <c r="V80" s="128"/>
      <c r="W80" s="128"/>
      <c r="X80" s="128"/>
      <c r="Y80" s="128"/>
      <c r="Z80" s="128"/>
      <c r="AA80" s="128"/>
      <c r="AB80" s="128"/>
      <c r="AC80" s="128"/>
      <c r="AD80" s="128"/>
      <c r="AE80" s="128"/>
      <c r="AF80" s="128"/>
      <c r="AG80" s="128"/>
      <c r="AH80" s="128"/>
      <c r="AI80" s="128"/>
      <c r="AJ80" s="128"/>
      <c r="AK80" s="128"/>
      <c r="AL80" s="128"/>
      <c r="AM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</row>
    <row r="81" spans="1:52" x14ac:dyDescent="0.2">
      <c r="A81" s="127"/>
      <c r="B81" s="147">
        <v>37</v>
      </c>
      <c r="C81" s="127" t="s">
        <v>293</v>
      </c>
      <c r="D81" s="128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128"/>
      <c r="U81" s="128"/>
      <c r="V81" s="128"/>
      <c r="W81" s="128"/>
      <c r="X81" s="128"/>
      <c r="Y81" s="128"/>
      <c r="Z81" s="128"/>
      <c r="AA81" s="128"/>
      <c r="AB81" s="128"/>
      <c r="AC81" s="128"/>
      <c r="AD81" s="128"/>
      <c r="AE81" s="128"/>
      <c r="AF81" s="128"/>
      <c r="AG81" s="128"/>
      <c r="AH81" s="128"/>
      <c r="AI81" s="128"/>
      <c r="AJ81" s="128"/>
      <c r="AK81" s="128"/>
      <c r="AL81" s="128"/>
      <c r="AM81" s="128"/>
      <c r="AN81" s="128"/>
      <c r="AO81" s="128"/>
      <c r="AP81" s="128"/>
      <c r="AQ81" s="128"/>
      <c r="AR81" s="128"/>
      <c r="AS81" s="128"/>
      <c r="AT81" s="128"/>
      <c r="AU81" s="128"/>
      <c r="AV81" s="128"/>
      <c r="AW81" s="128"/>
      <c r="AX81" s="128"/>
      <c r="AY81" s="128"/>
    </row>
    <row r="82" spans="1:52" x14ac:dyDescent="0.2">
      <c r="A82" s="127"/>
      <c r="B82" s="147">
        <v>38</v>
      </c>
      <c r="C82" s="127" t="s">
        <v>293</v>
      </c>
      <c r="D82" s="128"/>
      <c r="E82" s="128"/>
      <c r="F82" s="128"/>
      <c r="G82" s="128"/>
      <c r="H82" s="128"/>
      <c r="I82" s="128"/>
      <c r="J82" s="128"/>
      <c r="K82" s="128"/>
      <c r="L82" s="128"/>
      <c r="M82" s="128"/>
      <c r="N82" s="128"/>
      <c r="O82" s="128"/>
      <c r="P82" s="128"/>
      <c r="Q82" s="128"/>
      <c r="R82" s="128"/>
      <c r="S82" s="128"/>
      <c r="T82" s="128"/>
      <c r="U82" s="128"/>
      <c r="V82" s="128"/>
      <c r="W82" s="128"/>
      <c r="X82" s="128"/>
      <c r="Y82" s="128"/>
      <c r="Z82" s="128"/>
      <c r="AA82" s="128"/>
      <c r="AB82" s="128"/>
      <c r="AC82" s="128"/>
      <c r="AD82" s="128"/>
      <c r="AE82" s="128"/>
      <c r="AF82" s="128"/>
      <c r="AG82" s="128"/>
      <c r="AH82" s="128"/>
      <c r="AI82" s="128"/>
      <c r="AJ82" s="128"/>
      <c r="AK82" s="128"/>
      <c r="AL82" s="128"/>
      <c r="AM82" s="128"/>
      <c r="AN82" s="128"/>
      <c r="AO82" s="128"/>
      <c r="AP82" s="128"/>
      <c r="AQ82" s="128"/>
      <c r="AR82" s="128"/>
      <c r="AS82" s="128"/>
      <c r="AT82" s="128"/>
      <c r="AU82" s="128"/>
      <c r="AV82" s="128"/>
      <c r="AW82" s="128"/>
      <c r="AX82" s="128"/>
      <c r="AY82" s="128"/>
    </row>
    <row r="83" spans="1:52" x14ac:dyDescent="0.2">
      <c r="A83" s="127"/>
      <c r="B83" s="147">
        <v>39</v>
      </c>
      <c r="C83" s="127" t="s">
        <v>293</v>
      </c>
      <c r="D83" s="128"/>
      <c r="E83" s="128"/>
      <c r="F83" s="128"/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8"/>
      <c r="U83" s="128"/>
      <c r="V83" s="128"/>
      <c r="W83" s="128"/>
      <c r="X83" s="128"/>
      <c r="Y83" s="128"/>
      <c r="Z83" s="128"/>
      <c r="AA83" s="128"/>
      <c r="AB83" s="128"/>
      <c r="AC83" s="128"/>
      <c r="AD83" s="128"/>
      <c r="AE83" s="128"/>
      <c r="AF83" s="128"/>
      <c r="AG83" s="128"/>
      <c r="AH83" s="128"/>
      <c r="AI83" s="128"/>
      <c r="AJ83" s="128"/>
      <c r="AK83" s="128"/>
      <c r="AL83" s="128"/>
      <c r="AM83" s="128"/>
      <c r="AN83" s="128"/>
      <c r="AO83" s="128"/>
      <c r="AP83" s="128"/>
      <c r="AQ83" s="128"/>
      <c r="AR83" s="128"/>
      <c r="AS83" s="128"/>
      <c r="AT83" s="128"/>
      <c r="AU83" s="128"/>
      <c r="AV83" s="128"/>
      <c r="AW83" s="128"/>
      <c r="AX83" s="128"/>
      <c r="AY83" s="128"/>
    </row>
    <row r="84" spans="1:52" x14ac:dyDescent="0.2">
      <c r="A84" s="127"/>
      <c r="B84" s="147">
        <v>40</v>
      </c>
      <c r="C84" s="127" t="s">
        <v>293</v>
      </c>
      <c r="D84" s="128"/>
      <c r="E84" s="128"/>
      <c r="F84" s="128"/>
      <c r="G84" s="128"/>
      <c r="H84" s="128"/>
      <c r="I84" s="128"/>
      <c r="J84" s="128"/>
      <c r="K84" s="128"/>
      <c r="L84" s="128"/>
      <c r="M84" s="128"/>
      <c r="N84" s="128"/>
      <c r="O84" s="128"/>
      <c r="P84" s="128"/>
      <c r="Q84" s="128"/>
      <c r="R84" s="128"/>
      <c r="S84" s="128"/>
      <c r="T84" s="128"/>
      <c r="U84" s="128"/>
      <c r="V84" s="128"/>
      <c r="W84" s="128"/>
      <c r="X84" s="128"/>
      <c r="Y84" s="128"/>
      <c r="Z84" s="128"/>
      <c r="AA84" s="128"/>
      <c r="AB84" s="128"/>
      <c r="AC84" s="128"/>
      <c r="AD84" s="128"/>
      <c r="AE84" s="128"/>
      <c r="AF84" s="128"/>
      <c r="AG84" s="128"/>
      <c r="AH84" s="128"/>
      <c r="AI84" s="128"/>
      <c r="AJ84" s="128"/>
      <c r="AK84" s="128"/>
      <c r="AL84" s="128"/>
      <c r="AM84" s="128"/>
      <c r="AN84" s="128"/>
      <c r="AO84" s="128"/>
      <c r="AP84" s="128"/>
      <c r="AQ84" s="128"/>
      <c r="AR84" s="128"/>
      <c r="AS84" s="128"/>
      <c r="AT84" s="128"/>
      <c r="AU84" s="128"/>
      <c r="AV84" s="128"/>
      <c r="AW84" s="128"/>
      <c r="AX84" s="128"/>
      <c r="AY84" s="128"/>
    </row>
    <row r="85" spans="1:52" x14ac:dyDescent="0.2">
      <c r="A85" s="127"/>
      <c r="B85" s="147">
        <v>41</v>
      </c>
      <c r="C85" s="127" t="s">
        <v>293</v>
      </c>
      <c r="D85" s="128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128"/>
      <c r="U85" s="128"/>
      <c r="V85" s="128"/>
      <c r="W85" s="128"/>
      <c r="X85" s="128"/>
      <c r="Y85" s="128"/>
      <c r="Z85" s="128"/>
      <c r="AA85" s="128"/>
      <c r="AB85" s="128"/>
      <c r="AC85" s="128"/>
      <c r="AD85" s="128"/>
      <c r="AE85" s="128"/>
      <c r="AF85" s="128"/>
      <c r="AG85" s="128"/>
      <c r="AH85" s="128"/>
      <c r="AI85" s="128"/>
      <c r="AJ85" s="128"/>
      <c r="AK85" s="128"/>
      <c r="AL85" s="128"/>
      <c r="AM85" s="128"/>
      <c r="AN85" s="128"/>
      <c r="AO85" s="128"/>
      <c r="AP85" s="128"/>
      <c r="AQ85" s="128"/>
      <c r="AR85" s="128"/>
      <c r="AS85" s="128"/>
      <c r="AT85" s="128"/>
      <c r="AU85" s="128"/>
      <c r="AV85" s="128"/>
      <c r="AW85" s="128"/>
      <c r="AX85" s="128"/>
      <c r="AY85" s="128"/>
    </row>
    <row r="86" spans="1:52" x14ac:dyDescent="0.2">
      <c r="A86" s="127"/>
      <c r="B86" s="147">
        <v>42</v>
      </c>
      <c r="C86" s="127" t="s">
        <v>293</v>
      </c>
      <c r="D86" s="128"/>
      <c r="E86" s="128"/>
      <c r="F86" s="128"/>
      <c r="G86" s="128"/>
      <c r="H86" s="128"/>
      <c r="I86" s="128"/>
      <c r="J86" s="128"/>
      <c r="K86" s="128"/>
      <c r="L86" s="128">
        <v>0</v>
      </c>
      <c r="M86" s="128">
        <v>0</v>
      </c>
      <c r="N86" s="128">
        <v>0</v>
      </c>
      <c r="O86" s="128">
        <v>0</v>
      </c>
      <c r="P86" s="128">
        <v>0</v>
      </c>
      <c r="Q86" s="128">
        <v>0</v>
      </c>
      <c r="R86" s="128">
        <v>0</v>
      </c>
      <c r="S86" s="128">
        <v>0</v>
      </c>
      <c r="T86" s="128">
        <v>0</v>
      </c>
      <c r="U86" s="128">
        <v>0</v>
      </c>
      <c r="V86" s="128">
        <v>0</v>
      </c>
      <c r="W86" s="128">
        <v>0</v>
      </c>
      <c r="X86" s="128">
        <v>0</v>
      </c>
      <c r="Y86" s="128">
        <v>0</v>
      </c>
      <c r="Z86" s="128">
        <v>0</v>
      </c>
      <c r="AA86" s="128">
        <v>0</v>
      </c>
      <c r="AB86" s="128">
        <v>0</v>
      </c>
      <c r="AC86" s="128">
        <v>0</v>
      </c>
      <c r="AD86" s="128">
        <v>0</v>
      </c>
      <c r="AE86" s="128">
        <v>0</v>
      </c>
      <c r="AF86" s="128">
        <v>0</v>
      </c>
      <c r="AG86" s="128">
        <v>0</v>
      </c>
      <c r="AH86" s="128">
        <v>0</v>
      </c>
      <c r="AI86" s="128">
        <v>0</v>
      </c>
      <c r="AJ86" s="128">
        <v>0</v>
      </c>
      <c r="AK86" s="128">
        <v>0</v>
      </c>
      <c r="AL86" s="128">
        <v>0</v>
      </c>
      <c r="AM86" s="128">
        <v>0</v>
      </c>
      <c r="AN86" s="128">
        <v>0</v>
      </c>
      <c r="AO86" s="128">
        <v>0</v>
      </c>
      <c r="AP86" s="128">
        <v>0</v>
      </c>
      <c r="AQ86" s="128">
        <v>0</v>
      </c>
      <c r="AR86" s="128">
        <v>0</v>
      </c>
      <c r="AS86" s="128">
        <v>0</v>
      </c>
      <c r="AT86" s="128">
        <v>0</v>
      </c>
      <c r="AU86" s="128">
        <v>0</v>
      </c>
      <c r="AV86" s="128">
        <v>0</v>
      </c>
      <c r="AW86" s="128">
        <v>0</v>
      </c>
      <c r="AX86" s="128">
        <v>0</v>
      </c>
      <c r="AY86" s="128">
        <v>0</v>
      </c>
    </row>
    <row r="87" spans="1:52" x14ac:dyDescent="0.2">
      <c r="A87" s="127"/>
      <c r="B87" s="147">
        <v>43</v>
      </c>
      <c r="C87" s="127" t="s">
        <v>293</v>
      </c>
      <c r="D87" s="128"/>
      <c r="E87" s="128"/>
      <c r="F87" s="128"/>
      <c r="G87" s="128"/>
      <c r="H87" s="128"/>
      <c r="I87" s="128"/>
      <c r="J87" s="128"/>
      <c r="K87" s="128"/>
      <c r="L87" s="128">
        <v>0</v>
      </c>
      <c r="M87" s="128">
        <v>0</v>
      </c>
      <c r="N87" s="128">
        <v>0</v>
      </c>
      <c r="O87" s="128">
        <v>0</v>
      </c>
      <c r="P87" s="128">
        <v>0</v>
      </c>
      <c r="Q87" s="128">
        <v>0</v>
      </c>
      <c r="R87" s="128">
        <v>0</v>
      </c>
      <c r="S87" s="128">
        <v>0</v>
      </c>
      <c r="T87" s="128">
        <v>0</v>
      </c>
      <c r="U87" s="128">
        <v>0</v>
      </c>
      <c r="V87" s="128">
        <v>0</v>
      </c>
      <c r="W87" s="128">
        <v>0</v>
      </c>
      <c r="X87" s="128">
        <v>0</v>
      </c>
      <c r="Y87" s="128">
        <v>0</v>
      </c>
      <c r="Z87" s="128">
        <v>0</v>
      </c>
      <c r="AA87" s="128">
        <v>0</v>
      </c>
      <c r="AB87" s="128">
        <v>0</v>
      </c>
      <c r="AC87" s="128">
        <v>0</v>
      </c>
      <c r="AD87" s="128">
        <v>0</v>
      </c>
      <c r="AE87" s="128">
        <v>0</v>
      </c>
      <c r="AF87" s="128">
        <v>0</v>
      </c>
      <c r="AG87" s="128">
        <v>0</v>
      </c>
      <c r="AH87" s="128">
        <v>0</v>
      </c>
      <c r="AI87" s="128">
        <v>0</v>
      </c>
      <c r="AJ87" s="128">
        <v>0</v>
      </c>
      <c r="AK87" s="128">
        <v>0</v>
      </c>
      <c r="AL87" s="128">
        <v>0</v>
      </c>
      <c r="AM87" s="128">
        <v>0</v>
      </c>
      <c r="AN87" s="128">
        <v>0</v>
      </c>
      <c r="AO87" s="128">
        <v>0</v>
      </c>
      <c r="AP87" s="128">
        <v>0</v>
      </c>
      <c r="AQ87" s="128">
        <v>0</v>
      </c>
      <c r="AR87" s="128">
        <v>0</v>
      </c>
      <c r="AS87" s="128">
        <v>0</v>
      </c>
      <c r="AT87" s="128">
        <v>0</v>
      </c>
      <c r="AU87" s="128">
        <v>0</v>
      </c>
      <c r="AV87" s="128">
        <v>0</v>
      </c>
      <c r="AW87" s="128">
        <v>0</v>
      </c>
      <c r="AX87" s="128">
        <v>0</v>
      </c>
      <c r="AY87" s="128">
        <v>0</v>
      </c>
    </row>
    <row r="88" spans="1:52" x14ac:dyDescent="0.2">
      <c r="A88" s="127"/>
      <c r="B88" s="147">
        <v>44</v>
      </c>
      <c r="C88" s="127" t="s">
        <v>293</v>
      </c>
      <c r="D88" s="128"/>
      <c r="E88" s="128"/>
      <c r="F88" s="128"/>
      <c r="G88" s="128"/>
      <c r="H88" s="128"/>
      <c r="I88" s="128"/>
      <c r="J88" s="128"/>
      <c r="K88" s="128">
        <v>0</v>
      </c>
      <c r="L88" s="128">
        <v>0</v>
      </c>
      <c r="M88" s="128">
        <v>0</v>
      </c>
      <c r="N88" s="128">
        <v>0</v>
      </c>
      <c r="O88" s="128">
        <v>0</v>
      </c>
      <c r="P88" s="128">
        <v>0</v>
      </c>
      <c r="Q88" s="128">
        <v>0</v>
      </c>
      <c r="R88" s="128">
        <v>0</v>
      </c>
      <c r="S88" s="128">
        <v>0</v>
      </c>
      <c r="T88" s="128">
        <v>0</v>
      </c>
      <c r="U88" s="128">
        <v>0</v>
      </c>
      <c r="V88" s="128">
        <v>0</v>
      </c>
      <c r="W88" s="128">
        <v>0</v>
      </c>
      <c r="X88" s="128">
        <v>0</v>
      </c>
      <c r="Y88" s="128">
        <v>0</v>
      </c>
      <c r="Z88" s="128">
        <v>0</v>
      </c>
      <c r="AA88" s="128">
        <v>0</v>
      </c>
      <c r="AB88" s="128">
        <v>0</v>
      </c>
      <c r="AC88" s="128">
        <v>0</v>
      </c>
      <c r="AD88" s="128">
        <v>0</v>
      </c>
      <c r="AE88" s="128">
        <v>0</v>
      </c>
      <c r="AF88" s="128">
        <v>0</v>
      </c>
      <c r="AG88" s="128">
        <v>0</v>
      </c>
      <c r="AH88" s="128">
        <v>0</v>
      </c>
      <c r="AI88" s="128">
        <v>0</v>
      </c>
      <c r="AJ88" s="128">
        <v>0</v>
      </c>
      <c r="AK88" s="128">
        <v>0</v>
      </c>
      <c r="AL88" s="128">
        <v>0</v>
      </c>
      <c r="AM88" s="128">
        <v>0</v>
      </c>
      <c r="AN88" s="128">
        <v>0</v>
      </c>
      <c r="AO88" s="128">
        <v>0</v>
      </c>
      <c r="AP88" s="128">
        <v>0</v>
      </c>
      <c r="AQ88" s="128">
        <v>0</v>
      </c>
      <c r="AR88" s="128">
        <v>0</v>
      </c>
      <c r="AS88" s="128">
        <v>0</v>
      </c>
      <c r="AT88" s="128">
        <v>0</v>
      </c>
      <c r="AU88" s="128">
        <v>0</v>
      </c>
      <c r="AV88" s="128">
        <v>0</v>
      </c>
      <c r="AW88" s="128">
        <v>0</v>
      </c>
      <c r="AX88" s="128">
        <v>0</v>
      </c>
      <c r="AY88" s="128">
        <v>0</v>
      </c>
    </row>
    <row r="89" spans="1:52" x14ac:dyDescent="0.2">
      <c r="A89" s="127"/>
      <c r="B89" s="147">
        <v>45</v>
      </c>
      <c r="C89" s="127" t="s">
        <v>293</v>
      </c>
      <c r="D89" s="128"/>
      <c r="E89" s="128"/>
      <c r="F89" s="128"/>
      <c r="G89" s="128"/>
      <c r="H89" s="128"/>
      <c r="I89" s="128"/>
      <c r="J89" s="128"/>
      <c r="K89" s="128">
        <v>0</v>
      </c>
      <c r="L89" s="128">
        <v>0</v>
      </c>
      <c r="M89" s="128">
        <v>0</v>
      </c>
      <c r="N89" s="128">
        <v>0</v>
      </c>
      <c r="O89" s="128">
        <v>0</v>
      </c>
      <c r="P89" s="128">
        <v>0</v>
      </c>
      <c r="Q89" s="128">
        <v>0</v>
      </c>
      <c r="R89" s="128">
        <v>0</v>
      </c>
      <c r="S89" s="128">
        <v>0</v>
      </c>
      <c r="T89" s="128">
        <v>0</v>
      </c>
      <c r="U89" s="128">
        <v>0</v>
      </c>
      <c r="V89" s="128">
        <v>0</v>
      </c>
      <c r="W89" s="128">
        <v>0</v>
      </c>
      <c r="X89" s="128">
        <v>0</v>
      </c>
      <c r="Y89" s="128">
        <v>0</v>
      </c>
      <c r="Z89" s="128">
        <v>0</v>
      </c>
      <c r="AA89" s="128">
        <v>0</v>
      </c>
      <c r="AB89" s="128">
        <v>0</v>
      </c>
      <c r="AC89" s="128">
        <v>0</v>
      </c>
      <c r="AD89" s="128">
        <v>0</v>
      </c>
      <c r="AE89" s="128">
        <v>0</v>
      </c>
      <c r="AF89" s="128">
        <v>0</v>
      </c>
      <c r="AG89" s="128">
        <v>0</v>
      </c>
      <c r="AH89" s="128">
        <v>0</v>
      </c>
      <c r="AI89" s="128">
        <v>0</v>
      </c>
      <c r="AJ89" s="128">
        <v>0</v>
      </c>
      <c r="AK89" s="128">
        <v>0</v>
      </c>
      <c r="AL89" s="128">
        <v>0</v>
      </c>
      <c r="AM89" s="128">
        <v>0</v>
      </c>
      <c r="AN89" s="128">
        <v>0</v>
      </c>
      <c r="AO89" s="128">
        <v>0</v>
      </c>
      <c r="AP89" s="128">
        <v>0</v>
      </c>
      <c r="AQ89" s="128">
        <v>0</v>
      </c>
      <c r="AR89" s="128">
        <v>0</v>
      </c>
      <c r="AS89" s="128">
        <v>0</v>
      </c>
      <c r="AT89" s="128">
        <v>0</v>
      </c>
      <c r="AU89" s="128">
        <v>0</v>
      </c>
      <c r="AV89" s="128">
        <v>0</v>
      </c>
      <c r="AW89" s="128">
        <v>0</v>
      </c>
      <c r="AX89" s="128">
        <v>0</v>
      </c>
      <c r="AY89" s="128">
        <v>0</v>
      </c>
    </row>
    <row r="90" spans="1:52" x14ac:dyDescent="0.2">
      <c r="A90" s="127"/>
      <c r="B90" s="147">
        <v>46</v>
      </c>
      <c r="C90" s="127" t="s">
        <v>293</v>
      </c>
      <c r="D90" s="128"/>
      <c r="E90" s="128"/>
      <c r="F90" s="128"/>
      <c r="G90" s="128"/>
      <c r="H90" s="128"/>
      <c r="I90" s="128"/>
      <c r="J90" s="128">
        <v>0</v>
      </c>
      <c r="K90" s="128">
        <v>0</v>
      </c>
      <c r="L90" s="128">
        <v>0</v>
      </c>
      <c r="M90" s="128">
        <v>0</v>
      </c>
      <c r="N90" s="128">
        <v>0</v>
      </c>
      <c r="O90" s="128">
        <v>0</v>
      </c>
      <c r="P90" s="128">
        <v>0</v>
      </c>
      <c r="Q90" s="128">
        <v>0</v>
      </c>
      <c r="R90" s="128">
        <v>0</v>
      </c>
      <c r="S90" s="128">
        <v>0</v>
      </c>
      <c r="T90" s="128">
        <v>0</v>
      </c>
      <c r="U90" s="128">
        <v>0</v>
      </c>
      <c r="V90" s="128">
        <v>0</v>
      </c>
      <c r="W90" s="128">
        <v>0</v>
      </c>
      <c r="X90" s="128">
        <v>0</v>
      </c>
      <c r="Y90" s="128">
        <v>0</v>
      </c>
      <c r="Z90" s="128">
        <v>0</v>
      </c>
      <c r="AA90" s="128">
        <v>0</v>
      </c>
      <c r="AB90" s="128">
        <v>0</v>
      </c>
      <c r="AC90" s="128">
        <v>0</v>
      </c>
      <c r="AD90" s="128">
        <v>0</v>
      </c>
      <c r="AE90" s="128">
        <v>0</v>
      </c>
      <c r="AF90" s="128">
        <v>0</v>
      </c>
      <c r="AG90" s="128">
        <v>0</v>
      </c>
      <c r="AH90" s="128">
        <v>0</v>
      </c>
      <c r="AI90" s="128">
        <v>0</v>
      </c>
      <c r="AJ90" s="128">
        <v>0</v>
      </c>
      <c r="AK90" s="128">
        <v>0</v>
      </c>
      <c r="AL90" s="128">
        <v>0</v>
      </c>
      <c r="AM90" s="128">
        <v>0</v>
      </c>
      <c r="AN90" s="128">
        <v>0</v>
      </c>
      <c r="AO90" s="128">
        <v>0</v>
      </c>
      <c r="AP90" s="128">
        <v>0</v>
      </c>
      <c r="AQ90" s="128">
        <v>0</v>
      </c>
      <c r="AR90" s="128">
        <v>0</v>
      </c>
      <c r="AS90" s="128">
        <v>0</v>
      </c>
      <c r="AT90" s="128">
        <v>0</v>
      </c>
      <c r="AU90" s="128">
        <v>0</v>
      </c>
      <c r="AV90" s="128">
        <v>0</v>
      </c>
      <c r="AW90" s="128">
        <v>0</v>
      </c>
      <c r="AX90" s="128">
        <v>0</v>
      </c>
      <c r="AY90" s="128">
        <v>0</v>
      </c>
    </row>
    <row r="91" spans="1:52" x14ac:dyDescent="0.2">
      <c r="A91" s="127"/>
      <c r="B91" s="147">
        <v>47</v>
      </c>
      <c r="C91" s="127" t="s">
        <v>293</v>
      </c>
      <c r="D91" s="128"/>
      <c r="E91" s="128"/>
      <c r="F91" s="128"/>
      <c r="G91" s="128"/>
      <c r="H91" s="128"/>
      <c r="I91" s="128"/>
      <c r="J91" s="128">
        <v>0</v>
      </c>
      <c r="K91" s="128">
        <v>0</v>
      </c>
      <c r="L91" s="128">
        <v>0</v>
      </c>
      <c r="M91" s="128">
        <v>0</v>
      </c>
      <c r="N91" s="128">
        <v>0</v>
      </c>
      <c r="O91" s="128">
        <v>0</v>
      </c>
      <c r="P91" s="128">
        <v>0</v>
      </c>
      <c r="Q91" s="128">
        <v>0</v>
      </c>
      <c r="R91" s="128">
        <v>0</v>
      </c>
      <c r="S91" s="128">
        <v>0</v>
      </c>
      <c r="T91" s="128">
        <v>0</v>
      </c>
      <c r="U91" s="128">
        <v>0</v>
      </c>
      <c r="V91" s="128">
        <v>0</v>
      </c>
      <c r="W91" s="128">
        <v>0</v>
      </c>
      <c r="X91" s="128">
        <v>0</v>
      </c>
      <c r="Y91" s="128">
        <v>0</v>
      </c>
      <c r="Z91" s="128">
        <v>0</v>
      </c>
      <c r="AA91" s="128">
        <v>0</v>
      </c>
      <c r="AB91" s="128">
        <v>0</v>
      </c>
      <c r="AC91" s="128">
        <v>0</v>
      </c>
      <c r="AD91" s="128">
        <v>0</v>
      </c>
      <c r="AE91" s="128">
        <v>0</v>
      </c>
      <c r="AF91" s="128">
        <v>0</v>
      </c>
      <c r="AG91" s="128">
        <v>0</v>
      </c>
      <c r="AH91" s="128">
        <v>0</v>
      </c>
      <c r="AI91" s="128">
        <v>0</v>
      </c>
      <c r="AJ91" s="128">
        <v>0</v>
      </c>
      <c r="AK91" s="128">
        <v>0</v>
      </c>
      <c r="AL91" s="128">
        <v>0</v>
      </c>
      <c r="AM91" s="128">
        <v>0</v>
      </c>
      <c r="AN91" s="128">
        <v>0</v>
      </c>
      <c r="AO91" s="128">
        <v>0</v>
      </c>
      <c r="AP91" s="128">
        <v>0</v>
      </c>
      <c r="AQ91" s="128">
        <v>0</v>
      </c>
      <c r="AR91" s="128">
        <v>0</v>
      </c>
      <c r="AS91" s="128">
        <v>0</v>
      </c>
      <c r="AT91" s="128">
        <v>0</v>
      </c>
      <c r="AU91" s="128">
        <v>0</v>
      </c>
      <c r="AV91" s="128">
        <v>0</v>
      </c>
      <c r="AW91" s="128">
        <v>0</v>
      </c>
      <c r="AX91" s="128">
        <v>0</v>
      </c>
      <c r="AY91" s="128">
        <v>0</v>
      </c>
    </row>
    <row r="92" spans="1:52" x14ac:dyDescent="0.2">
      <c r="A92" s="145"/>
      <c r="B92" s="146">
        <v>48</v>
      </c>
      <c r="C92" s="145" t="s">
        <v>293</v>
      </c>
      <c r="D92" s="142">
        <v>0</v>
      </c>
      <c r="E92" s="142">
        <v>0</v>
      </c>
      <c r="F92" s="142">
        <v>0</v>
      </c>
      <c r="G92" s="142">
        <v>0</v>
      </c>
      <c r="H92" s="142">
        <v>0</v>
      </c>
      <c r="I92" s="142">
        <v>0</v>
      </c>
      <c r="J92" s="142">
        <v>0</v>
      </c>
      <c r="K92" s="142">
        <v>0</v>
      </c>
      <c r="L92" s="142">
        <v>0</v>
      </c>
      <c r="M92" s="142">
        <v>0</v>
      </c>
      <c r="N92" s="142">
        <v>0</v>
      </c>
      <c r="O92" s="142">
        <v>0</v>
      </c>
      <c r="P92" s="142">
        <v>0</v>
      </c>
      <c r="Q92" s="142">
        <v>0</v>
      </c>
      <c r="R92" s="142">
        <v>0</v>
      </c>
      <c r="S92" s="142">
        <v>0</v>
      </c>
      <c r="T92" s="142">
        <v>0</v>
      </c>
      <c r="U92" s="142">
        <v>0</v>
      </c>
      <c r="V92" s="142">
        <v>0</v>
      </c>
      <c r="W92" s="142">
        <v>0</v>
      </c>
      <c r="X92" s="142">
        <v>0</v>
      </c>
      <c r="Y92" s="142">
        <v>0</v>
      </c>
      <c r="Z92" s="142">
        <v>0</v>
      </c>
      <c r="AA92" s="142">
        <v>0</v>
      </c>
      <c r="AB92" s="142">
        <v>0</v>
      </c>
      <c r="AC92" s="142">
        <v>0</v>
      </c>
      <c r="AD92" s="142">
        <v>0</v>
      </c>
      <c r="AE92" s="142">
        <v>0</v>
      </c>
      <c r="AF92" s="142">
        <v>0</v>
      </c>
      <c r="AG92" s="142">
        <v>0</v>
      </c>
      <c r="AH92" s="142">
        <v>0</v>
      </c>
      <c r="AI92" s="142">
        <v>0</v>
      </c>
      <c r="AJ92" s="142">
        <v>0</v>
      </c>
      <c r="AK92" s="142">
        <v>0</v>
      </c>
      <c r="AL92" s="142">
        <v>0</v>
      </c>
      <c r="AM92" s="142">
        <v>0</v>
      </c>
      <c r="AN92" s="142">
        <v>0</v>
      </c>
      <c r="AO92" s="142">
        <v>0</v>
      </c>
      <c r="AP92" s="142">
        <v>0</v>
      </c>
      <c r="AQ92" s="142">
        <v>0</v>
      </c>
      <c r="AR92" s="142">
        <v>0</v>
      </c>
      <c r="AS92" s="142">
        <v>0</v>
      </c>
      <c r="AT92" s="142">
        <v>0</v>
      </c>
      <c r="AU92" s="142">
        <v>0</v>
      </c>
      <c r="AV92" s="142">
        <v>0</v>
      </c>
      <c r="AW92" s="142">
        <v>0</v>
      </c>
      <c r="AX92" s="142">
        <v>0</v>
      </c>
      <c r="AY92" s="142">
        <v>0</v>
      </c>
      <c r="AZ92" s="125">
        <f>SUM(D21:AY92)</f>
        <v>284458.51462442952</v>
      </c>
    </row>
    <row r="94" spans="1:52" x14ac:dyDescent="0.2">
      <c r="A94" s="1" t="s">
        <v>295</v>
      </c>
      <c r="B94" s="124"/>
      <c r="C94" s="124"/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  <c r="V94" s="131"/>
      <c r="W94" s="131"/>
      <c r="X94" s="131"/>
      <c r="Y94" s="131"/>
      <c r="Z94" s="131"/>
      <c r="AA94" s="131"/>
      <c r="AB94" s="131"/>
      <c r="AC94" s="131"/>
      <c r="AD94" s="131"/>
      <c r="AE94" s="131"/>
      <c r="AF94" s="131"/>
      <c r="AG94" s="131"/>
      <c r="AH94" s="131"/>
      <c r="AI94" s="131"/>
      <c r="AJ94" s="131"/>
      <c r="AK94" s="131"/>
      <c r="AL94" s="131"/>
      <c r="AM94" s="131"/>
      <c r="AN94" s="131"/>
      <c r="AO94" s="131"/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</row>
    <row r="95" spans="1:52" x14ac:dyDescent="0.2">
      <c r="A95" s="143" t="s">
        <v>125</v>
      </c>
      <c r="B95" s="140">
        <v>1</v>
      </c>
      <c r="C95" s="141">
        <v>1909.9482098398264</v>
      </c>
      <c r="D95" s="128">
        <v>1721.3370918795613</v>
      </c>
      <c r="E95" s="128">
        <v>1721.3370918795613</v>
      </c>
      <c r="F95" s="128">
        <v>1721.3370918795613</v>
      </c>
      <c r="G95" s="128">
        <v>1721.3370918795613</v>
      </c>
      <c r="H95" s="128">
        <v>1721.3370918795613</v>
      </c>
      <c r="I95" s="128">
        <v>1721.3370918795613</v>
      </c>
      <c r="J95" s="128">
        <v>1721.3370918795613</v>
      </c>
      <c r="K95" s="128">
        <v>0</v>
      </c>
      <c r="L95" s="128">
        <v>0</v>
      </c>
      <c r="M95" s="128">
        <v>0</v>
      </c>
      <c r="N95" s="128">
        <v>0</v>
      </c>
      <c r="O95" s="128">
        <v>0</v>
      </c>
      <c r="P95" s="128">
        <v>0</v>
      </c>
      <c r="Q95" s="128">
        <v>0</v>
      </c>
      <c r="R95" s="128">
        <v>0</v>
      </c>
      <c r="S95" s="128">
        <v>0</v>
      </c>
      <c r="T95" s="128">
        <v>0</v>
      </c>
      <c r="U95" s="128">
        <v>0</v>
      </c>
      <c r="V95" s="128">
        <v>0</v>
      </c>
      <c r="W95" s="128">
        <v>0</v>
      </c>
      <c r="X95" s="128">
        <v>0</v>
      </c>
      <c r="Y95" s="128">
        <v>0</v>
      </c>
      <c r="Z95" s="128">
        <v>0</v>
      </c>
      <c r="AA95" s="128">
        <v>0</v>
      </c>
      <c r="AB95" s="128">
        <v>0</v>
      </c>
      <c r="AC95" s="128">
        <v>0</v>
      </c>
      <c r="AD95" s="128">
        <v>0</v>
      </c>
      <c r="AE95" s="128">
        <v>0</v>
      </c>
      <c r="AF95" s="128">
        <v>0</v>
      </c>
      <c r="AG95" s="128">
        <v>0</v>
      </c>
      <c r="AH95" s="128">
        <v>0</v>
      </c>
      <c r="AI95" s="128">
        <v>0</v>
      </c>
      <c r="AJ95" s="128">
        <v>0</v>
      </c>
      <c r="AK95" s="128">
        <v>0</v>
      </c>
      <c r="AL95" s="128">
        <v>0</v>
      </c>
      <c r="AM95" s="128">
        <v>0</v>
      </c>
      <c r="AN95" s="128">
        <v>0</v>
      </c>
      <c r="AO95" s="128">
        <v>0</v>
      </c>
      <c r="AP95" s="128">
        <v>0</v>
      </c>
      <c r="AQ95" s="128">
        <v>0</v>
      </c>
      <c r="AR95" s="128">
        <v>0</v>
      </c>
      <c r="AS95" s="128">
        <v>0</v>
      </c>
      <c r="AT95" s="128">
        <v>0</v>
      </c>
      <c r="AU95" s="128">
        <v>0</v>
      </c>
      <c r="AV95" s="128">
        <v>0</v>
      </c>
      <c r="AW95" s="128">
        <v>0</v>
      </c>
      <c r="AX95" s="128">
        <v>0</v>
      </c>
      <c r="AY95" s="128">
        <v>0</v>
      </c>
    </row>
    <row r="96" spans="1:52" x14ac:dyDescent="0.2">
      <c r="A96" s="127"/>
      <c r="B96" s="137">
        <v>2</v>
      </c>
      <c r="C96" s="128">
        <v>1909.9482098398264</v>
      </c>
      <c r="D96" s="128">
        <v>1909.9482098398264</v>
      </c>
      <c r="E96" s="128">
        <v>1721.3370918795613</v>
      </c>
      <c r="F96" s="128">
        <v>1721.3370918795613</v>
      </c>
      <c r="G96" s="128">
        <v>1721.3370918795613</v>
      </c>
      <c r="H96" s="128">
        <v>1721.3370918795613</v>
      </c>
      <c r="I96" s="128">
        <v>1721.3370918795613</v>
      </c>
      <c r="J96" s="128">
        <v>1046.8731859612267</v>
      </c>
      <c r="K96" s="128">
        <v>0</v>
      </c>
      <c r="L96" s="128">
        <v>0</v>
      </c>
      <c r="M96" s="128">
        <v>0</v>
      </c>
      <c r="N96" s="128">
        <v>0</v>
      </c>
      <c r="O96" s="128">
        <v>0</v>
      </c>
      <c r="P96" s="128">
        <v>0</v>
      </c>
      <c r="Q96" s="128">
        <v>0</v>
      </c>
      <c r="R96" s="128">
        <v>0</v>
      </c>
      <c r="S96" s="128">
        <v>0</v>
      </c>
      <c r="T96" s="128">
        <v>0</v>
      </c>
      <c r="U96" s="128">
        <v>0</v>
      </c>
      <c r="V96" s="128">
        <v>0</v>
      </c>
      <c r="W96" s="128">
        <v>0</v>
      </c>
      <c r="X96" s="128">
        <v>0</v>
      </c>
      <c r="Y96" s="128">
        <v>0</v>
      </c>
      <c r="Z96" s="128">
        <v>0</v>
      </c>
      <c r="AA96" s="128">
        <v>0</v>
      </c>
      <c r="AB96" s="128">
        <v>0</v>
      </c>
      <c r="AC96" s="128">
        <v>0</v>
      </c>
      <c r="AD96" s="128">
        <v>0</v>
      </c>
      <c r="AE96" s="128">
        <v>0</v>
      </c>
      <c r="AF96" s="128">
        <v>0</v>
      </c>
      <c r="AG96" s="128">
        <v>0</v>
      </c>
      <c r="AH96" s="128">
        <v>0</v>
      </c>
      <c r="AI96" s="128">
        <v>0</v>
      </c>
      <c r="AJ96" s="128">
        <v>0</v>
      </c>
      <c r="AK96" s="128">
        <v>0</v>
      </c>
      <c r="AL96" s="128">
        <v>0</v>
      </c>
      <c r="AM96" s="128">
        <v>0</v>
      </c>
      <c r="AN96" s="128">
        <v>0</v>
      </c>
      <c r="AO96" s="128">
        <v>0</v>
      </c>
      <c r="AP96" s="128">
        <v>0</v>
      </c>
      <c r="AQ96" s="128">
        <v>0</v>
      </c>
      <c r="AR96" s="128">
        <v>0</v>
      </c>
      <c r="AS96" s="128">
        <v>0</v>
      </c>
      <c r="AT96" s="128">
        <v>0</v>
      </c>
      <c r="AU96" s="128">
        <v>0</v>
      </c>
      <c r="AV96" s="128">
        <v>0</v>
      </c>
      <c r="AW96" s="128">
        <v>0</v>
      </c>
      <c r="AX96" s="128">
        <v>0</v>
      </c>
      <c r="AY96" s="128">
        <v>0</v>
      </c>
    </row>
    <row r="97" spans="1:52" x14ac:dyDescent="0.2">
      <c r="A97" s="127"/>
      <c r="B97" s="144">
        <v>3</v>
      </c>
      <c r="C97" s="128">
        <v>1661.9591540515826</v>
      </c>
      <c r="D97" s="128">
        <v>1909.9482098398264</v>
      </c>
      <c r="E97" s="128">
        <v>1909.9482098398264</v>
      </c>
      <c r="F97" s="128">
        <v>1721.3370918795613</v>
      </c>
      <c r="G97" s="128">
        <v>1721.3370918795613</v>
      </c>
      <c r="H97" s="128">
        <v>1721.3370918795613</v>
      </c>
      <c r="I97" s="128">
        <v>1721.3370918795613</v>
      </c>
      <c r="J97" s="128">
        <v>0</v>
      </c>
      <c r="K97" s="128">
        <v>0</v>
      </c>
      <c r="L97" s="128">
        <v>0</v>
      </c>
      <c r="M97" s="128">
        <v>0</v>
      </c>
      <c r="N97" s="128">
        <v>0</v>
      </c>
      <c r="O97" s="128">
        <v>0</v>
      </c>
      <c r="P97" s="128">
        <v>0</v>
      </c>
      <c r="Q97" s="128">
        <v>0</v>
      </c>
      <c r="R97" s="128">
        <v>0</v>
      </c>
      <c r="S97" s="128">
        <v>0</v>
      </c>
      <c r="T97" s="128">
        <v>0</v>
      </c>
      <c r="U97" s="128">
        <v>0</v>
      </c>
      <c r="V97" s="128">
        <v>0</v>
      </c>
      <c r="W97" s="128">
        <v>0</v>
      </c>
      <c r="X97" s="128">
        <v>0</v>
      </c>
      <c r="Y97" s="128">
        <v>0</v>
      </c>
      <c r="Z97" s="128">
        <v>0</v>
      </c>
      <c r="AA97" s="128">
        <v>0</v>
      </c>
      <c r="AB97" s="128">
        <v>0</v>
      </c>
      <c r="AC97" s="128">
        <v>0</v>
      </c>
      <c r="AD97" s="128">
        <v>0</v>
      </c>
      <c r="AE97" s="128">
        <v>0</v>
      </c>
      <c r="AF97" s="128">
        <v>0</v>
      </c>
      <c r="AG97" s="128">
        <v>0</v>
      </c>
      <c r="AH97" s="128">
        <v>0</v>
      </c>
      <c r="AI97" s="128">
        <v>0</v>
      </c>
      <c r="AJ97" s="128">
        <v>0</v>
      </c>
      <c r="AK97" s="128">
        <v>0</v>
      </c>
      <c r="AL97" s="128">
        <v>0</v>
      </c>
      <c r="AM97" s="128">
        <v>0</v>
      </c>
      <c r="AN97" s="128">
        <v>0</v>
      </c>
      <c r="AO97" s="128">
        <v>0</v>
      </c>
      <c r="AP97" s="128">
        <v>0</v>
      </c>
      <c r="AQ97" s="128">
        <v>0</v>
      </c>
      <c r="AR97" s="128">
        <v>0</v>
      </c>
      <c r="AS97" s="128">
        <v>0</v>
      </c>
      <c r="AT97" s="128">
        <v>0</v>
      </c>
      <c r="AU97" s="128">
        <v>0</v>
      </c>
      <c r="AV97" s="128">
        <v>0</v>
      </c>
      <c r="AW97" s="128">
        <v>0</v>
      </c>
      <c r="AX97" s="128">
        <v>0</v>
      </c>
      <c r="AY97" s="128">
        <v>0</v>
      </c>
    </row>
    <row r="98" spans="1:52" x14ac:dyDescent="0.2">
      <c r="A98" s="127"/>
      <c r="B98" s="147">
        <v>4</v>
      </c>
      <c r="C98" s="124">
        <v>1660.9115722382035</v>
      </c>
      <c r="D98" s="128">
        <v>1661.9591540515826</v>
      </c>
      <c r="E98" s="128">
        <v>1909.9482098398264</v>
      </c>
      <c r="F98" s="128">
        <v>1909.9482098398264</v>
      </c>
      <c r="G98" s="128">
        <v>1721.3370918795613</v>
      </c>
      <c r="H98" s="128">
        <v>1721.3370918795613</v>
      </c>
      <c r="I98" s="128">
        <v>1721.3370918795613</v>
      </c>
      <c r="J98" s="128">
        <v>0</v>
      </c>
      <c r="K98" s="128">
        <v>0</v>
      </c>
      <c r="L98" s="128">
        <v>0</v>
      </c>
      <c r="M98" s="128">
        <v>0</v>
      </c>
      <c r="N98" s="128">
        <v>0</v>
      </c>
      <c r="O98" s="128">
        <v>0</v>
      </c>
      <c r="P98" s="128">
        <v>0</v>
      </c>
      <c r="Q98" s="128">
        <v>0</v>
      </c>
      <c r="R98" s="128">
        <v>0</v>
      </c>
      <c r="S98" s="128">
        <v>0</v>
      </c>
      <c r="T98" s="128">
        <v>0</v>
      </c>
      <c r="U98" s="128">
        <v>0</v>
      </c>
      <c r="V98" s="128">
        <v>0</v>
      </c>
      <c r="W98" s="128">
        <v>0</v>
      </c>
      <c r="X98" s="128">
        <v>0</v>
      </c>
      <c r="Y98" s="128">
        <v>0</v>
      </c>
      <c r="Z98" s="128">
        <v>0</v>
      </c>
      <c r="AA98" s="128">
        <v>0</v>
      </c>
      <c r="AB98" s="128">
        <v>0</v>
      </c>
      <c r="AC98" s="128">
        <v>0</v>
      </c>
      <c r="AD98" s="128">
        <v>0</v>
      </c>
      <c r="AE98" s="128">
        <v>0</v>
      </c>
      <c r="AF98" s="128">
        <v>0</v>
      </c>
      <c r="AG98" s="128">
        <v>0</v>
      </c>
      <c r="AH98" s="128">
        <v>0</v>
      </c>
      <c r="AI98" s="128">
        <v>0</v>
      </c>
      <c r="AJ98" s="128">
        <v>0</v>
      </c>
      <c r="AK98" s="128">
        <v>0</v>
      </c>
      <c r="AL98" s="128">
        <v>0</v>
      </c>
      <c r="AM98" s="128">
        <v>0</v>
      </c>
      <c r="AN98" s="128">
        <v>0</v>
      </c>
      <c r="AO98" s="128">
        <v>0</v>
      </c>
      <c r="AP98" s="128">
        <v>0</v>
      </c>
      <c r="AQ98" s="128">
        <v>0</v>
      </c>
      <c r="AR98" s="128">
        <v>0</v>
      </c>
      <c r="AS98" s="128">
        <v>0</v>
      </c>
      <c r="AT98" s="128">
        <v>0</v>
      </c>
      <c r="AU98" s="128">
        <v>0</v>
      </c>
      <c r="AV98" s="128">
        <v>0</v>
      </c>
      <c r="AW98" s="128">
        <v>0</v>
      </c>
      <c r="AX98" s="128">
        <v>0</v>
      </c>
      <c r="AY98" s="128">
        <v>0</v>
      </c>
    </row>
    <row r="99" spans="1:52" x14ac:dyDescent="0.2">
      <c r="A99" s="145"/>
      <c r="B99" s="149" t="s">
        <v>296</v>
      </c>
      <c r="C99" s="142">
        <v>1317.9482098398264</v>
      </c>
      <c r="D99" s="142">
        <v>1003.9115722382035</v>
      </c>
      <c r="E99" s="142">
        <v>1219.9591540515826</v>
      </c>
      <c r="F99" s="142">
        <v>1440.9482098398264</v>
      </c>
      <c r="G99" s="142">
        <v>1310.9482098398264</v>
      </c>
      <c r="H99" s="142">
        <v>1176.3370918795613</v>
      </c>
      <c r="I99" s="142">
        <v>1220.3370918795613</v>
      </c>
      <c r="J99" s="142">
        <v>1158.3370918795613</v>
      </c>
      <c r="K99" s="142">
        <v>0</v>
      </c>
      <c r="L99" s="142">
        <v>0</v>
      </c>
      <c r="M99" s="142">
        <v>0</v>
      </c>
      <c r="N99" s="142">
        <v>0</v>
      </c>
      <c r="O99" s="142">
        <v>0</v>
      </c>
      <c r="P99" s="142">
        <v>0</v>
      </c>
      <c r="Q99" s="142">
        <v>0</v>
      </c>
      <c r="R99" s="142">
        <v>0</v>
      </c>
      <c r="S99" s="142">
        <v>0</v>
      </c>
      <c r="T99" s="142">
        <v>0</v>
      </c>
      <c r="U99" s="142">
        <v>0</v>
      </c>
      <c r="V99" s="142">
        <v>0</v>
      </c>
      <c r="W99" s="142">
        <v>0</v>
      </c>
      <c r="X99" s="142">
        <v>0</v>
      </c>
      <c r="Y99" s="142">
        <v>0</v>
      </c>
      <c r="Z99" s="142">
        <v>0</v>
      </c>
      <c r="AA99" s="142">
        <v>0</v>
      </c>
      <c r="AB99" s="142">
        <v>0</v>
      </c>
      <c r="AC99" s="142">
        <v>0</v>
      </c>
      <c r="AD99" s="142">
        <v>0</v>
      </c>
      <c r="AE99" s="142">
        <v>0</v>
      </c>
      <c r="AF99" s="142">
        <v>0</v>
      </c>
      <c r="AG99" s="142">
        <v>0</v>
      </c>
      <c r="AH99" s="142">
        <v>0</v>
      </c>
      <c r="AI99" s="142">
        <v>0</v>
      </c>
      <c r="AJ99" s="142">
        <v>0</v>
      </c>
      <c r="AK99" s="142">
        <v>0</v>
      </c>
      <c r="AL99" s="142">
        <v>0</v>
      </c>
      <c r="AM99" s="142">
        <v>0</v>
      </c>
      <c r="AN99" s="142">
        <v>0</v>
      </c>
      <c r="AO99" s="142">
        <v>0</v>
      </c>
      <c r="AP99" s="142">
        <v>0</v>
      </c>
      <c r="AQ99" s="142">
        <v>0</v>
      </c>
      <c r="AR99" s="142">
        <v>0</v>
      </c>
      <c r="AS99" s="142">
        <v>0</v>
      </c>
      <c r="AT99" s="142">
        <v>0</v>
      </c>
      <c r="AU99" s="142">
        <v>0</v>
      </c>
      <c r="AV99" s="142">
        <v>0</v>
      </c>
      <c r="AW99" s="142">
        <v>0</v>
      </c>
      <c r="AX99" s="142">
        <v>0</v>
      </c>
      <c r="AY99" s="142">
        <v>0</v>
      </c>
      <c r="AZ99" s="125">
        <f>SUM($D99:$AY99)</f>
        <v>8530.7784216081218</v>
      </c>
    </row>
    <row r="100" spans="1:52" x14ac:dyDescent="0.2">
      <c r="A100" s="148" t="s">
        <v>133</v>
      </c>
      <c r="B100" s="136">
        <v>1</v>
      </c>
      <c r="C100" s="124">
        <v>122.39332949241017</v>
      </c>
      <c r="D100" s="124">
        <v>122.39332949241017</v>
      </c>
      <c r="E100" s="124">
        <v>1532.430490505006</v>
      </c>
      <c r="F100" s="124">
        <v>1877.5489045897211</v>
      </c>
      <c r="G100" s="124">
        <v>1182</v>
      </c>
      <c r="H100" s="124">
        <v>1877.5489045897211</v>
      </c>
      <c r="I100" s="124">
        <v>630</v>
      </c>
      <c r="J100" s="124">
        <v>1775.5489045897211</v>
      </c>
      <c r="K100" s="124">
        <v>1877.5489045897211</v>
      </c>
      <c r="L100" s="124">
        <v>1775.5489045897211</v>
      </c>
      <c r="M100" s="124">
        <v>1182</v>
      </c>
      <c r="N100" s="124">
        <v>1775.5489045897211</v>
      </c>
      <c r="O100" s="124">
        <v>1182</v>
      </c>
      <c r="P100" s="124">
        <v>1877.5489045897211</v>
      </c>
      <c r="Q100" s="124">
        <v>1325.5489045897211</v>
      </c>
      <c r="R100" s="124">
        <v>1877.5489045897211</v>
      </c>
      <c r="S100" s="124">
        <v>1877.5489045897211</v>
      </c>
      <c r="T100" s="124">
        <v>1877.5489045897211</v>
      </c>
      <c r="U100" s="124">
        <v>1877.5489045897211</v>
      </c>
      <c r="V100" s="124">
        <v>1877.5489045897211</v>
      </c>
      <c r="W100" s="124">
        <v>1325.5489045897211</v>
      </c>
      <c r="X100" s="124">
        <v>1325.5489045897211</v>
      </c>
      <c r="Y100" s="124">
        <v>1877.5489045897211</v>
      </c>
      <c r="Z100" s="124">
        <v>552</v>
      </c>
      <c r="AA100" s="124">
        <v>2430</v>
      </c>
      <c r="AB100" s="124">
        <v>1877.5489045897211</v>
      </c>
      <c r="AC100" s="124">
        <v>1877.5489045897211</v>
      </c>
      <c r="AD100" s="124">
        <v>1877.5489045897211</v>
      </c>
      <c r="AE100" s="124">
        <v>1877.5489045897211</v>
      </c>
      <c r="AF100" s="124">
        <v>1325.5489045897211</v>
      </c>
      <c r="AG100" s="124">
        <v>1877.5489045897211</v>
      </c>
      <c r="AH100" s="124">
        <v>1325.5489045897211</v>
      </c>
      <c r="AI100" s="124">
        <v>1775.5489045897211</v>
      </c>
      <c r="AJ100" s="124">
        <v>1877.5489045897211</v>
      </c>
      <c r="AK100" s="124">
        <v>1775.5489045897211</v>
      </c>
      <c r="AL100" s="124">
        <v>1877.5489045897211</v>
      </c>
      <c r="AM100" s="124">
        <v>1877.5489045897211</v>
      </c>
      <c r="AN100" s="124">
        <v>1182</v>
      </c>
      <c r="AO100" s="124">
        <v>1877.5489045897211</v>
      </c>
      <c r="AP100" s="124">
        <v>1325.5489045897211</v>
      </c>
      <c r="AQ100" s="124">
        <v>1775.5489045897211</v>
      </c>
      <c r="AR100" s="124">
        <v>1325.5489045897211</v>
      </c>
      <c r="AS100" s="124">
        <v>1775.5489045897211</v>
      </c>
      <c r="AT100" s="124">
        <v>1877.5489045897211</v>
      </c>
      <c r="AU100" s="124">
        <v>1877.5489045897211</v>
      </c>
      <c r="AV100" s="124">
        <v>630</v>
      </c>
      <c r="AW100" s="124">
        <v>1775.5489045897211</v>
      </c>
      <c r="AX100" s="124">
        <v>1877.5489045897211</v>
      </c>
      <c r="AY100" s="124">
        <v>450</v>
      </c>
    </row>
    <row r="101" spans="1:52" x14ac:dyDescent="0.2">
      <c r="A101" s="127"/>
      <c r="B101" s="136">
        <v>2</v>
      </c>
      <c r="C101" s="124">
        <v>0</v>
      </c>
      <c r="D101" s="124">
        <v>0</v>
      </c>
      <c r="E101" s="124">
        <v>0</v>
      </c>
      <c r="F101" s="124">
        <v>718.43049050500599</v>
      </c>
      <c r="G101" s="124">
        <v>1877.5489045897211</v>
      </c>
      <c r="H101" s="124">
        <v>1877.5489045897211</v>
      </c>
      <c r="I101" s="124">
        <v>1877.5489045897211</v>
      </c>
      <c r="J101" s="124">
        <v>1325.5489045897211</v>
      </c>
      <c r="K101" s="124">
        <v>1877.5489045897211</v>
      </c>
      <c r="L101" s="124">
        <v>1467.2992153355924</v>
      </c>
      <c r="M101" s="124">
        <v>1304.6746874300297</v>
      </c>
      <c r="N101" s="124">
        <v>859.27877116404716</v>
      </c>
      <c r="O101" s="124">
        <v>896.29523618282519</v>
      </c>
      <c r="P101" s="124">
        <v>616.78988163204781</v>
      </c>
      <c r="Q101" s="124">
        <v>697.62846930686533</v>
      </c>
      <c r="R101" s="124">
        <v>513.74107381496515</v>
      </c>
      <c r="S101" s="124">
        <v>422.89885904943094</v>
      </c>
      <c r="T101" s="124">
        <v>409.07726217653021</v>
      </c>
      <c r="U101" s="124">
        <v>445.08170894378486</v>
      </c>
      <c r="V101" s="124">
        <v>452.52585087683974</v>
      </c>
      <c r="W101" s="124">
        <v>546.04959856924131</v>
      </c>
      <c r="X101" s="124">
        <v>389.15037228689494</v>
      </c>
      <c r="Y101" s="124">
        <v>274.39929020021009</v>
      </c>
      <c r="Z101" s="124">
        <v>721.19710356884366</v>
      </c>
      <c r="AA101" s="124">
        <v>91.619056637630592</v>
      </c>
      <c r="AB101" s="124">
        <v>520.86329978489971</v>
      </c>
      <c r="AC101" s="124">
        <v>398.8375340262121</v>
      </c>
      <c r="AD101" s="124">
        <v>383.77381887837419</v>
      </c>
      <c r="AE101" s="124">
        <v>388.15264557076648</v>
      </c>
      <c r="AF101" s="124">
        <v>536.02116599752253</v>
      </c>
      <c r="AG101" s="124">
        <v>434.98490704639812</v>
      </c>
      <c r="AH101" s="124">
        <v>561.3303643749224</v>
      </c>
      <c r="AI101" s="124">
        <v>453.32422961072234</v>
      </c>
      <c r="AJ101" s="124">
        <v>417.9319918148999</v>
      </c>
      <c r="AK101" s="124">
        <v>419.56796090223656</v>
      </c>
      <c r="AL101" s="124">
        <v>366.35793214380374</v>
      </c>
      <c r="AM101" s="124">
        <v>360.46115245013743</v>
      </c>
      <c r="AN101" s="124">
        <v>498.00700405693738</v>
      </c>
      <c r="AO101" s="124">
        <v>222.79938148309714</v>
      </c>
      <c r="AP101" s="124">
        <v>430.40623767744376</v>
      </c>
      <c r="AQ101" s="124">
        <v>270.87069581847504</v>
      </c>
      <c r="AR101" s="124">
        <v>462.22211465530438</v>
      </c>
      <c r="AS101" s="124">
        <v>281.21204671920066</v>
      </c>
      <c r="AT101" s="124">
        <v>354.7817593420009</v>
      </c>
      <c r="AU101" s="124">
        <v>407.94467598256415</v>
      </c>
      <c r="AV101" s="124">
        <v>756.18417296894722</v>
      </c>
      <c r="AW101" s="124">
        <v>396.9890890931689</v>
      </c>
      <c r="AX101" s="124">
        <v>466.33435456831489</v>
      </c>
      <c r="AY101" s="124">
        <v>780.95342049474073</v>
      </c>
    </row>
    <row r="102" spans="1:52" x14ac:dyDescent="0.2">
      <c r="A102" s="127"/>
      <c r="B102" s="137">
        <v>3</v>
      </c>
      <c r="C102" s="124">
        <v>0</v>
      </c>
      <c r="D102" s="124">
        <v>0</v>
      </c>
      <c r="E102" s="124">
        <v>0</v>
      </c>
      <c r="F102" s="124">
        <v>0</v>
      </c>
      <c r="G102" s="124">
        <v>27.430490505005992</v>
      </c>
      <c r="H102" s="124">
        <v>1316.9793950947271</v>
      </c>
      <c r="I102" s="124">
        <v>1877.5489045897211</v>
      </c>
      <c r="J102" s="124">
        <v>1877.5489045897211</v>
      </c>
      <c r="K102" s="124">
        <v>1325.5489045897211</v>
      </c>
      <c r="L102" s="124">
        <v>0</v>
      </c>
      <c r="M102" s="124">
        <v>0</v>
      </c>
      <c r="N102" s="124">
        <v>0</v>
      </c>
      <c r="O102" s="124">
        <v>0</v>
      </c>
      <c r="P102" s="124">
        <v>0</v>
      </c>
      <c r="Q102" s="124">
        <v>0</v>
      </c>
      <c r="R102" s="124">
        <v>0</v>
      </c>
      <c r="S102" s="124">
        <v>0</v>
      </c>
      <c r="T102" s="124">
        <v>0</v>
      </c>
      <c r="U102" s="124">
        <v>0</v>
      </c>
      <c r="V102" s="124">
        <v>0</v>
      </c>
      <c r="W102" s="124">
        <v>0</v>
      </c>
      <c r="X102" s="124">
        <v>0</v>
      </c>
      <c r="Y102" s="124">
        <v>0</v>
      </c>
      <c r="Z102" s="124">
        <v>0</v>
      </c>
      <c r="AA102" s="124">
        <v>0</v>
      </c>
      <c r="AB102" s="124">
        <v>0</v>
      </c>
      <c r="AC102" s="124">
        <v>0</v>
      </c>
      <c r="AD102" s="124">
        <v>0</v>
      </c>
      <c r="AE102" s="124">
        <v>0</v>
      </c>
      <c r="AF102" s="124">
        <v>0</v>
      </c>
      <c r="AG102" s="124">
        <v>0</v>
      </c>
      <c r="AH102" s="124">
        <v>0</v>
      </c>
      <c r="AI102" s="124">
        <v>0</v>
      </c>
      <c r="AJ102" s="124">
        <v>0</v>
      </c>
      <c r="AK102" s="124">
        <v>0</v>
      </c>
      <c r="AL102" s="124">
        <v>0</v>
      </c>
      <c r="AM102" s="124">
        <v>0</v>
      </c>
      <c r="AN102" s="124">
        <v>0</v>
      </c>
      <c r="AO102" s="124">
        <v>0</v>
      </c>
      <c r="AP102" s="124">
        <v>0</v>
      </c>
      <c r="AQ102" s="124">
        <v>0</v>
      </c>
      <c r="AR102" s="124">
        <v>0</v>
      </c>
      <c r="AS102" s="124">
        <v>0</v>
      </c>
      <c r="AT102" s="124">
        <v>0</v>
      </c>
      <c r="AU102" s="124">
        <v>0</v>
      </c>
      <c r="AV102" s="124">
        <v>0</v>
      </c>
      <c r="AW102" s="124">
        <v>0</v>
      </c>
      <c r="AX102" s="124">
        <v>0</v>
      </c>
      <c r="AY102" s="124">
        <v>0</v>
      </c>
    </row>
    <row r="103" spans="1:52" x14ac:dyDescent="0.2">
      <c r="A103" s="127"/>
      <c r="B103" s="137">
        <v>4</v>
      </c>
      <c r="C103" s="124">
        <v>0</v>
      </c>
      <c r="D103" s="124">
        <v>0</v>
      </c>
      <c r="E103" s="124">
        <v>0</v>
      </c>
      <c r="F103" s="124">
        <v>0</v>
      </c>
      <c r="G103" s="124">
        <v>0</v>
      </c>
      <c r="H103" s="124">
        <v>0</v>
      </c>
      <c r="I103" s="124">
        <v>646.97939509472712</v>
      </c>
      <c r="J103" s="124">
        <v>1877.5489045897211</v>
      </c>
      <c r="K103" s="124">
        <v>607.08980718130965</v>
      </c>
      <c r="L103" s="124">
        <v>0</v>
      </c>
      <c r="M103" s="124">
        <v>0</v>
      </c>
      <c r="N103" s="124">
        <v>0</v>
      </c>
      <c r="O103" s="124">
        <v>0</v>
      </c>
      <c r="P103" s="124">
        <v>0</v>
      </c>
      <c r="Q103" s="124">
        <v>0</v>
      </c>
      <c r="R103" s="124">
        <v>0</v>
      </c>
      <c r="S103" s="124">
        <v>0</v>
      </c>
      <c r="T103" s="124">
        <v>0</v>
      </c>
      <c r="U103" s="124">
        <v>0</v>
      </c>
      <c r="V103" s="124">
        <v>0</v>
      </c>
      <c r="W103" s="124">
        <v>0</v>
      </c>
      <c r="X103" s="124">
        <v>0</v>
      </c>
      <c r="Y103" s="124">
        <v>0</v>
      </c>
      <c r="Z103" s="124">
        <v>0</v>
      </c>
      <c r="AA103" s="124">
        <v>0</v>
      </c>
      <c r="AB103" s="124">
        <v>0</v>
      </c>
      <c r="AC103" s="124">
        <v>0</v>
      </c>
      <c r="AD103" s="124">
        <v>0</v>
      </c>
      <c r="AE103" s="124">
        <v>0</v>
      </c>
      <c r="AF103" s="124">
        <v>0</v>
      </c>
      <c r="AG103" s="124">
        <v>0</v>
      </c>
      <c r="AH103" s="124">
        <v>0</v>
      </c>
      <c r="AI103" s="124">
        <v>0</v>
      </c>
      <c r="AJ103" s="124">
        <v>0</v>
      </c>
      <c r="AK103" s="124">
        <v>0</v>
      </c>
      <c r="AL103" s="124">
        <v>0</v>
      </c>
      <c r="AM103" s="124">
        <v>0</v>
      </c>
      <c r="AN103" s="124">
        <v>0</v>
      </c>
      <c r="AO103" s="124">
        <v>0</v>
      </c>
      <c r="AP103" s="124">
        <v>0</v>
      </c>
      <c r="AQ103" s="124">
        <v>0</v>
      </c>
      <c r="AR103" s="124">
        <v>0</v>
      </c>
      <c r="AS103" s="124">
        <v>0</v>
      </c>
      <c r="AT103" s="124">
        <v>0</v>
      </c>
      <c r="AU103" s="124">
        <v>0</v>
      </c>
      <c r="AV103" s="124">
        <v>0</v>
      </c>
      <c r="AW103" s="124">
        <v>0</v>
      </c>
      <c r="AX103" s="124">
        <v>0</v>
      </c>
      <c r="AY103" s="124">
        <v>0</v>
      </c>
    </row>
    <row r="104" spans="1:52" x14ac:dyDescent="0.2">
      <c r="A104" s="127"/>
      <c r="B104" s="144">
        <v>5</v>
      </c>
      <c r="C104" s="124">
        <v>0</v>
      </c>
      <c r="D104" s="124">
        <v>0</v>
      </c>
      <c r="E104" s="124">
        <v>0</v>
      </c>
      <c r="F104" s="124">
        <v>0</v>
      </c>
      <c r="G104" s="124">
        <v>0</v>
      </c>
      <c r="H104" s="124">
        <v>0</v>
      </c>
      <c r="I104" s="124">
        <v>0</v>
      </c>
      <c r="J104" s="124">
        <v>10.979395094727124</v>
      </c>
      <c r="K104" s="124">
        <v>0</v>
      </c>
      <c r="L104" s="124">
        <v>0</v>
      </c>
      <c r="M104" s="124">
        <v>0</v>
      </c>
      <c r="N104" s="124">
        <v>0</v>
      </c>
      <c r="O104" s="124">
        <v>0</v>
      </c>
      <c r="P104" s="124">
        <v>0</v>
      </c>
      <c r="Q104" s="124">
        <v>0</v>
      </c>
      <c r="R104" s="124">
        <v>0</v>
      </c>
      <c r="S104" s="124">
        <v>0</v>
      </c>
      <c r="T104" s="124">
        <v>0</v>
      </c>
      <c r="U104" s="124">
        <v>0</v>
      </c>
      <c r="V104" s="124">
        <v>0</v>
      </c>
      <c r="W104" s="124">
        <v>0</v>
      </c>
      <c r="X104" s="124">
        <v>0</v>
      </c>
      <c r="Y104" s="124">
        <v>0</v>
      </c>
      <c r="Z104" s="124">
        <v>0</v>
      </c>
      <c r="AA104" s="124">
        <v>0</v>
      </c>
      <c r="AB104" s="124">
        <v>0</v>
      </c>
      <c r="AC104" s="124">
        <v>0</v>
      </c>
      <c r="AD104" s="124">
        <v>0</v>
      </c>
      <c r="AE104" s="124">
        <v>0</v>
      </c>
      <c r="AF104" s="124">
        <v>0</v>
      </c>
      <c r="AG104" s="124">
        <v>0</v>
      </c>
      <c r="AH104" s="124">
        <v>0</v>
      </c>
      <c r="AI104" s="124">
        <v>0</v>
      </c>
      <c r="AJ104" s="124">
        <v>0</v>
      </c>
      <c r="AK104" s="124">
        <v>0</v>
      </c>
      <c r="AL104" s="124">
        <v>0</v>
      </c>
      <c r="AM104" s="124">
        <v>0</v>
      </c>
      <c r="AN104" s="124">
        <v>0</v>
      </c>
      <c r="AO104" s="124">
        <v>0</v>
      </c>
      <c r="AP104" s="124">
        <v>0</v>
      </c>
      <c r="AQ104" s="124">
        <v>0</v>
      </c>
      <c r="AR104" s="124">
        <v>0</v>
      </c>
      <c r="AS104" s="124">
        <v>0</v>
      </c>
      <c r="AT104" s="124">
        <v>0</v>
      </c>
      <c r="AU104" s="124">
        <v>0</v>
      </c>
      <c r="AV104" s="124">
        <v>0</v>
      </c>
      <c r="AW104" s="124">
        <v>0</v>
      </c>
      <c r="AX104" s="124">
        <v>0</v>
      </c>
      <c r="AY104" s="124">
        <v>0</v>
      </c>
    </row>
    <row r="105" spans="1:52" x14ac:dyDescent="0.2">
      <c r="A105" s="127"/>
      <c r="B105" s="144">
        <v>6</v>
      </c>
      <c r="C105" s="124">
        <v>0</v>
      </c>
      <c r="D105" s="124">
        <v>0</v>
      </c>
      <c r="E105" s="124">
        <v>0</v>
      </c>
      <c r="F105" s="124">
        <v>0</v>
      </c>
      <c r="G105" s="124">
        <v>0</v>
      </c>
      <c r="H105" s="124">
        <v>0</v>
      </c>
      <c r="I105" s="124">
        <v>0</v>
      </c>
      <c r="J105" s="124">
        <v>0</v>
      </c>
      <c r="K105" s="124">
        <v>0</v>
      </c>
      <c r="L105" s="124">
        <v>0</v>
      </c>
      <c r="M105" s="124">
        <v>0</v>
      </c>
      <c r="N105" s="124">
        <v>0</v>
      </c>
      <c r="O105" s="124">
        <v>0</v>
      </c>
      <c r="P105" s="124">
        <v>0</v>
      </c>
      <c r="Q105" s="124">
        <v>0</v>
      </c>
      <c r="R105" s="124">
        <v>0</v>
      </c>
      <c r="S105" s="124">
        <v>0</v>
      </c>
      <c r="T105" s="124">
        <v>0</v>
      </c>
      <c r="U105" s="124">
        <v>0</v>
      </c>
      <c r="V105" s="124">
        <v>0</v>
      </c>
      <c r="W105" s="124">
        <v>0</v>
      </c>
      <c r="X105" s="124">
        <v>0</v>
      </c>
      <c r="Y105" s="124">
        <v>0</v>
      </c>
      <c r="Z105" s="124">
        <v>0</v>
      </c>
      <c r="AA105" s="124">
        <v>0</v>
      </c>
      <c r="AB105" s="124">
        <v>0</v>
      </c>
      <c r="AC105" s="124">
        <v>0</v>
      </c>
      <c r="AD105" s="124">
        <v>0</v>
      </c>
      <c r="AE105" s="124">
        <v>0</v>
      </c>
      <c r="AF105" s="124">
        <v>0</v>
      </c>
      <c r="AG105" s="124">
        <v>0</v>
      </c>
      <c r="AH105" s="124">
        <v>0</v>
      </c>
      <c r="AI105" s="124">
        <v>0</v>
      </c>
      <c r="AJ105" s="124">
        <v>0</v>
      </c>
      <c r="AK105" s="124">
        <v>0</v>
      </c>
      <c r="AL105" s="124">
        <v>0</v>
      </c>
      <c r="AM105" s="124">
        <v>0</v>
      </c>
      <c r="AN105" s="124">
        <v>0</v>
      </c>
      <c r="AO105" s="124">
        <v>0</v>
      </c>
      <c r="AP105" s="124">
        <v>0</v>
      </c>
      <c r="AQ105" s="124">
        <v>0</v>
      </c>
      <c r="AR105" s="124">
        <v>0</v>
      </c>
      <c r="AS105" s="124">
        <v>0</v>
      </c>
      <c r="AT105" s="124">
        <v>0</v>
      </c>
      <c r="AU105" s="124">
        <v>0</v>
      </c>
      <c r="AV105" s="124">
        <v>0</v>
      </c>
      <c r="AW105" s="124">
        <v>0</v>
      </c>
      <c r="AX105" s="124">
        <v>0</v>
      </c>
      <c r="AY105" s="124">
        <v>0</v>
      </c>
    </row>
    <row r="106" spans="1:52" x14ac:dyDescent="0.2">
      <c r="A106" s="127"/>
      <c r="B106" s="147">
        <v>7</v>
      </c>
      <c r="C106" s="124">
        <v>0</v>
      </c>
      <c r="D106" s="124">
        <v>0</v>
      </c>
      <c r="E106" s="124">
        <v>0</v>
      </c>
      <c r="F106" s="124">
        <v>0</v>
      </c>
      <c r="G106" s="124">
        <v>0</v>
      </c>
      <c r="H106" s="124">
        <v>0</v>
      </c>
      <c r="I106" s="124">
        <v>0</v>
      </c>
      <c r="J106" s="124">
        <v>0</v>
      </c>
      <c r="K106" s="124">
        <v>0</v>
      </c>
      <c r="L106" s="124">
        <v>0</v>
      </c>
      <c r="M106" s="124">
        <v>0</v>
      </c>
      <c r="N106" s="124">
        <v>0</v>
      </c>
      <c r="O106" s="124">
        <v>0</v>
      </c>
      <c r="P106" s="124">
        <v>0</v>
      </c>
      <c r="Q106" s="124">
        <v>0</v>
      </c>
      <c r="R106" s="124">
        <v>0</v>
      </c>
      <c r="S106" s="124">
        <v>0</v>
      </c>
      <c r="T106" s="124">
        <v>0</v>
      </c>
      <c r="U106" s="124">
        <v>0</v>
      </c>
      <c r="V106" s="124">
        <v>0</v>
      </c>
      <c r="W106" s="124">
        <v>0</v>
      </c>
      <c r="X106" s="124">
        <v>0</v>
      </c>
      <c r="Y106" s="124">
        <v>0</v>
      </c>
      <c r="Z106" s="124">
        <v>0</v>
      </c>
      <c r="AA106" s="124">
        <v>0</v>
      </c>
      <c r="AB106" s="124">
        <v>0</v>
      </c>
      <c r="AC106" s="124">
        <v>0</v>
      </c>
      <c r="AD106" s="124">
        <v>0</v>
      </c>
      <c r="AE106" s="124">
        <v>0</v>
      </c>
      <c r="AF106" s="124">
        <v>0</v>
      </c>
      <c r="AG106" s="124">
        <v>0</v>
      </c>
      <c r="AH106" s="124">
        <v>0</v>
      </c>
      <c r="AI106" s="124">
        <v>0</v>
      </c>
      <c r="AJ106" s="124">
        <v>0</v>
      </c>
      <c r="AK106" s="124">
        <v>0</v>
      </c>
      <c r="AL106" s="124">
        <v>0</v>
      </c>
      <c r="AM106" s="124">
        <v>0</v>
      </c>
      <c r="AN106" s="124">
        <v>0</v>
      </c>
      <c r="AO106" s="124">
        <v>0</v>
      </c>
      <c r="AP106" s="124">
        <v>0</v>
      </c>
      <c r="AQ106" s="124">
        <v>0</v>
      </c>
      <c r="AR106" s="124">
        <v>0</v>
      </c>
      <c r="AS106" s="124">
        <v>0</v>
      </c>
      <c r="AT106" s="124">
        <v>0</v>
      </c>
      <c r="AU106" s="124">
        <v>0</v>
      </c>
      <c r="AV106" s="124">
        <v>0</v>
      </c>
      <c r="AW106" s="124">
        <v>0</v>
      </c>
      <c r="AX106" s="124">
        <v>0</v>
      </c>
      <c r="AY106" s="124">
        <v>0</v>
      </c>
    </row>
    <row r="107" spans="1:52" x14ac:dyDescent="0.2">
      <c r="A107" s="127"/>
      <c r="B107" s="147">
        <v>8</v>
      </c>
      <c r="C107" s="124">
        <v>0</v>
      </c>
      <c r="D107" s="124">
        <v>0</v>
      </c>
      <c r="E107" s="124">
        <v>0</v>
      </c>
      <c r="F107" s="124">
        <v>0</v>
      </c>
      <c r="G107" s="124">
        <v>0</v>
      </c>
      <c r="H107" s="124">
        <v>0</v>
      </c>
      <c r="I107" s="124">
        <v>0</v>
      </c>
      <c r="J107" s="124">
        <v>0</v>
      </c>
      <c r="K107" s="124">
        <v>0</v>
      </c>
      <c r="L107" s="124">
        <v>0</v>
      </c>
      <c r="M107" s="124">
        <v>0</v>
      </c>
      <c r="N107" s="124">
        <v>0</v>
      </c>
      <c r="O107" s="124">
        <v>0</v>
      </c>
      <c r="P107" s="124">
        <v>0</v>
      </c>
      <c r="Q107" s="124">
        <v>0</v>
      </c>
      <c r="R107" s="124">
        <v>0</v>
      </c>
      <c r="S107" s="124">
        <v>0</v>
      </c>
      <c r="T107" s="124">
        <v>0</v>
      </c>
      <c r="U107" s="124">
        <v>0</v>
      </c>
      <c r="V107" s="124">
        <v>0</v>
      </c>
      <c r="W107" s="124">
        <v>0</v>
      </c>
      <c r="X107" s="124">
        <v>0</v>
      </c>
      <c r="Y107" s="124">
        <v>0</v>
      </c>
      <c r="Z107" s="124">
        <v>0</v>
      </c>
      <c r="AA107" s="124">
        <v>0</v>
      </c>
      <c r="AB107" s="124">
        <v>0</v>
      </c>
      <c r="AC107" s="124">
        <v>0</v>
      </c>
      <c r="AD107" s="124">
        <v>0</v>
      </c>
      <c r="AE107" s="124">
        <v>0</v>
      </c>
      <c r="AF107" s="124">
        <v>0</v>
      </c>
      <c r="AG107" s="124">
        <v>0</v>
      </c>
      <c r="AH107" s="124">
        <v>0</v>
      </c>
      <c r="AI107" s="124">
        <v>0</v>
      </c>
      <c r="AJ107" s="124">
        <v>0</v>
      </c>
      <c r="AK107" s="124">
        <v>0</v>
      </c>
      <c r="AL107" s="124">
        <v>0</v>
      </c>
      <c r="AM107" s="124">
        <v>0</v>
      </c>
      <c r="AN107" s="124">
        <v>0</v>
      </c>
      <c r="AO107" s="124">
        <v>0</v>
      </c>
      <c r="AP107" s="124">
        <v>0</v>
      </c>
      <c r="AQ107" s="124">
        <v>0</v>
      </c>
      <c r="AR107" s="124">
        <v>0</v>
      </c>
      <c r="AS107" s="124">
        <v>0</v>
      </c>
      <c r="AT107" s="124">
        <v>0</v>
      </c>
      <c r="AU107" s="124">
        <v>0</v>
      </c>
      <c r="AV107" s="124">
        <v>0</v>
      </c>
      <c r="AW107" s="124">
        <v>0</v>
      </c>
      <c r="AX107" s="124">
        <v>0</v>
      </c>
      <c r="AY107" s="124">
        <v>0</v>
      </c>
    </row>
    <row r="108" spans="1:52" x14ac:dyDescent="0.2">
      <c r="A108" s="145"/>
      <c r="B108" s="149" t="s">
        <v>296</v>
      </c>
      <c r="C108" s="131">
        <v>0</v>
      </c>
      <c r="D108" s="142">
        <v>0</v>
      </c>
      <c r="E108" s="142">
        <v>0</v>
      </c>
      <c r="F108" s="142">
        <v>0</v>
      </c>
      <c r="G108" s="142">
        <v>0</v>
      </c>
      <c r="H108" s="142">
        <v>0</v>
      </c>
      <c r="I108" s="142">
        <v>0</v>
      </c>
      <c r="J108" s="142">
        <v>0</v>
      </c>
      <c r="K108" s="142">
        <v>0</v>
      </c>
      <c r="L108" s="142">
        <v>0</v>
      </c>
      <c r="M108" s="142">
        <v>0</v>
      </c>
      <c r="N108" s="142">
        <v>0</v>
      </c>
      <c r="O108" s="142">
        <v>0</v>
      </c>
      <c r="P108" s="142">
        <v>0</v>
      </c>
      <c r="Q108" s="142">
        <v>0</v>
      </c>
      <c r="R108" s="142">
        <v>0</v>
      </c>
      <c r="S108" s="142">
        <v>0</v>
      </c>
      <c r="T108" s="142">
        <v>0</v>
      </c>
      <c r="U108" s="142">
        <v>0</v>
      </c>
      <c r="V108" s="142">
        <v>0</v>
      </c>
      <c r="W108" s="142">
        <v>0</v>
      </c>
      <c r="X108" s="142">
        <v>0</v>
      </c>
      <c r="Y108" s="142">
        <v>0</v>
      </c>
      <c r="Z108" s="142">
        <v>0</v>
      </c>
      <c r="AA108" s="142">
        <v>0</v>
      </c>
      <c r="AB108" s="142">
        <v>0</v>
      </c>
      <c r="AC108" s="142">
        <v>0</v>
      </c>
      <c r="AD108" s="142">
        <v>0</v>
      </c>
      <c r="AE108" s="142">
        <v>0</v>
      </c>
      <c r="AF108" s="142">
        <v>0</v>
      </c>
      <c r="AG108" s="142">
        <v>0</v>
      </c>
      <c r="AH108" s="142">
        <v>0</v>
      </c>
      <c r="AI108" s="142">
        <v>0</v>
      </c>
      <c r="AJ108" s="142">
        <v>0</v>
      </c>
      <c r="AK108" s="142">
        <v>0</v>
      </c>
      <c r="AL108" s="142">
        <v>0</v>
      </c>
      <c r="AM108" s="142">
        <v>0</v>
      </c>
      <c r="AN108" s="142">
        <v>0</v>
      </c>
      <c r="AO108" s="142">
        <v>0</v>
      </c>
      <c r="AP108" s="142">
        <v>0</v>
      </c>
      <c r="AQ108" s="142">
        <v>0</v>
      </c>
      <c r="AR108" s="142">
        <v>0</v>
      </c>
      <c r="AS108" s="142">
        <v>0</v>
      </c>
      <c r="AT108" s="142">
        <v>0</v>
      </c>
      <c r="AU108" s="142">
        <v>0</v>
      </c>
      <c r="AV108" s="142">
        <v>0</v>
      </c>
      <c r="AW108" s="142">
        <v>0</v>
      </c>
      <c r="AX108" s="142">
        <v>0</v>
      </c>
      <c r="AY108" s="142">
        <v>0</v>
      </c>
      <c r="AZ108" s="125">
        <f>SUM($D108:$AY108)</f>
        <v>0</v>
      </c>
    </row>
    <row r="109" spans="1:52" x14ac:dyDescent="0.2">
      <c r="A109" s="148" t="s">
        <v>134</v>
      </c>
      <c r="B109" s="136">
        <v>1</v>
      </c>
      <c r="C109" s="124">
        <v>386.12338372921795</v>
      </c>
      <c r="D109" s="124">
        <v>382.02125413264991</v>
      </c>
      <c r="E109" s="124">
        <v>1798.0462250536789</v>
      </c>
      <c r="F109" s="124">
        <v>2768.3286818357337</v>
      </c>
      <c r="G109" s="124">
        <v>3374.7186250445156</v>
      </c>
      <c r="H109" s="124">
        <v>3798.9947115506534</v>
      </c>
      <c r="I109" s="124">
        <v>4030.5872019494927</v>
      </c>
      <c r="J109" s="124">
        <v>4189.3883429182733</v>
      </c>
      <c r="K109" s="124">
        <v>4315.4385079165877</v>
      </c>
      <c r="L109" s="124">
        <v>4412.6329549127622</v>
      </c>
      <c r="M109" s="124">
        <v>4432.8587082331196</v>
      </c>
      <c r="N109" s="124">
        <v>4472.5671711842851</v>
      </c>
      <c r="O109" s="124">
        <v>4540.5483954920537</v>
      </c>
      <c r="P109" s="124">
        <v>4557.1558572763615</v>
      </c>
      <c r="Q109" s="124">
        <v>4532.1264824586615</v>
      </c>
      <c r="R109" s="124">
        <v>4540.9181907799912</v>
      </c>
      <c r="S109" s="124">
        <v>4517.2935336834908</v>
      </c>
      <c r="T109" s="124">
        <v>4604.2600400146957</v>
      </c>
      <c r="U109" s="124">
        <v>4563.9478762919753</v>
      </c>
      <c r="V109" s="124">
        <v>4539.9818951466877</v>
      </c>
      <c r="W109" s="124">
        <v>4542.8548237236319</v>
      </c>
      <c r="X109" s="124">
        <v>4544.7754230676765</v>
      </c>
      <c r="Y109" s="124">
        <v>4572.909561296462</v>
      </c>
      <c r="Z109" s="124">
        <v>4550.945183648676</v>
      </c>
      <c r="AA109" s="124">
        <v>4604.5473002868603</v>
      </c>
      <c r="AB109" s="124">
        <v>4610.5476440587654</v>
      </c>
      <c r="AC109" s="124">
        <v>4566.8253064297796</v>
      </c>
      <c r="AD109" s="124">
        <v>4565.4408524483142</v>
      </c>
      <c r="AE109" s="124">
        <v>4569.8190630375602</v>
      </c>
      <c r="AF109" s="124">
        <v>4538.2716543887445</v>
      </c>
      <c r="AG109" s="124">
        <v>4533.424405467581</v>
      </c>
      <c r="AH109" s="124">
        <v>4533.167295002585</v>
      </c>
      <c r="AI109" s="124">
        <v>4555.8677935123642</v>
      </c>
      <c r="AJ109" s="124">
        <v>4569.3860259858611</v>
      </c>
      <c r="AK109" s="124">
        <v>4576.7657647050528</v>
      </c>
      <c r="AL109" s="124">
        <v>4594.2956234692556</v>
      </c>
      <c r="AM109" s="124">
        <v>4615.2961642585715</v>
      </c>
      <c r="AN109" s="124">
        <v>4578.9498313305194</v>
      </c>
      <c r="AO109" s="124">
        <v>4566.5851345257452</v>
      </c>
      <c r="AP109" s="124">
        <v>4551.0264909677171</v>
      </c>
      <c r="AQ109" s="124">
        <v>4567.8069556381033</v>
      </c>
      <c r="AR109" s="124">
        <v>4588.3065143227595</v>
      </c>
      <c r="AS109" s="124">
        <v>4582.1217747668979</v>
      </c>
      <c r="AT109" s="124">
        <v>4601.8540084498409</v>
      </c>
      <c r="AU109" s="124">
        <v>4559.3560511254273</v>
      </c>
      <c r="AV109" s="124">
        <v>4516.0287072297488</v>
      </c>
      <c r="AW109" s="124">
        <v>4553.6919155725664</v>
      </c>
      <c r="AX109" s="124">
        <v>4521.5236866804953</v>
      </c>
      <c r="AY109" s="124">
        <v>4506.9798634355875</v>
      </c>
    </row>
    <row r="110" spans="1:52" x14ac:dyDescent="0.2">
      <c r="A110" s="127"/>
      <c r="B110" s="136">
        <v>2</v>
      </c>
      <c r="C110" s="124">
        <v>0</v>
      </c>
      <c r="D110" s="124">
        <v>0</v>
      </c>
      <c r="E110" s="124">
        <v>0</v>
      </c>
      <c r="F110" s="124">
        <v>1378.0462250536789</v>
      </c>
      <c r="G110" s="124">
        <v>2768.3286818357337</v>
      </c>
      <c r="H110" s="124">
        <v>3374.7186250445156</v>
      </c>
      <c r="I110" s="124">
        <v>3798.9947115506534</v>
      </c>
      <c r="J110" s="124">
        <v>4030.5872019494927</v>
      </c>
      <c r="K110" s="124">
        <v>4189.3883429182733</v>
      </c>
      <c r="L110" s="124">
        <v>4315.4385079165877</v>
      </c>
      <c r="M110" s="124">
        <v>4412.6329549127622</v>
      </c>
      <c r="N110" s="124">
        <v>4432.8587082331196</v>
      </c>
      <c r="O110" s="124">
        <v>4472.5671711842851</v>
      </c>
      <c r="P110" s="124">
        <v>4540.5483954920537</v>
      </c>
      <c r="Q110" s="124">
        <v>4557.1558572763615</v>
      </c>
      <c r="R110" s="124">
        <v>4532.1264824586615</v>
      </c>
      <c r="S110" s="124">
        <v>4540.9181907799912</v>
      </c>
      <c r="T110" s="124">
        <v>4517.2935336834908</v>
      </c>
      <c r="U110" s="124">
        <v>4604.2600400146957</v>
      </c>
      <c r="V110" s="124">
        <v>4563.9478762919753</v>
      </c>
      <c r="W110" s="124">
        <v>4539.9818951466877</v>
      </c>
      <c r="X110" s="124">
        <v>4542.8548237236319</v>
      </c>
      <c r="Y110" s="124">
        <v>4544.7754230676765</v>
      </c>
      <c r="Z110" s="124">
        <v>4572.909561296462</v>
      </c>
      <c r="AA110" s="124">
        <v>4550.945183648676</v>
      </c>
      <c r="AB110" s="124">
        <v>4604.5473002868603</v>
      </c>
      <c r="AC110" s="124">
        <v>4610.5476440587654</v>
      </c>
      <c r="AD110" s="124">
        <v>4566.8253064297796</v>
      </c>
      <c r="AE110" s="124">
        <v>4565.4408524483142</v>
      </c>
      <c r="AF110" s="124">
        <v>4569.8190630375602</v>
      </c>
      <c r="AG110" s="124">
        <v>4538.2716543887445</v>
      </c>
      <c r="AH110" s="124">
        <v>4533.424405467581</v>
      </c>
      <c r="AI110" s="124">
        <v>4533.167295002585</v>
      </c>
      <c r="AJ110" s="124">
        <v>4555.8677935123642</v>
      </c>
      <c r="AK110" s="124">
        <v>4569.3860259858611</v>
      </c>
      <c r="AL110" s="124">
        <v>4576.7657647050528</v>
      </c>
      <c r="AM110" s="124">
        <v>4594.2956234692556</v>
      </c>
      <c r="AN110" s="124">
        <v>4615.2961642585715</v>
      </c>
      <c r="AO110" s="124">
        <v>4578.9498313305194</v>
      </c>
      <c r="AP110" s="124">
        <v>4566.5851345257452</v>
      </c>
      <c r="AQ110" s="124">
        <v>4551.0264909677171</v>
      </c>
      <c r="AR110" s="124">
        <v>4567.8069556381033</v>
      </c>
      <c r="AS110" s="124">
        <v>4588.3065143227595</v>
      </c>
      <c r="AT110" s="124">
        <v>4582.1217747668979</v>
      </c>
      <c r="AU110" s="124">
        <v>4601.8540084498409</v>
      </c>
      <c r="AV110" s="124">
        <v>4559.3560511254273</v>
      </c>
      <c r="AW110" s="124">
        <v>4516.0287072297488</v>
      </c>
      <c r="AX110" s="124">
        <v>4553.6919155725664</v>
      </c>
      <c r="AY110" s="124">
        <v>4521.5236866804953</v>
      </c>
    </row>
    <row r="111" spans="1:52" x14ac:dyDescent="0.2">
      <c r="A111" s="127"/>
      <c r="B111" s="136">
        <v>3</v>
      </c>
      <c r="C111" s="124">
        <v>0</v>
      </c>
      <c r="D111" s="124">
        <v>0</v>
      </c>
      <c r="E111" s="124">
        <v>0</v>
      </c>
      <c r="F111" s="124">
        <v>0</v>
      </c>
      <c r="G111" s="124">
        <v>918.04622505367888</v>
      </c>
      <c r="H111" s="124">
        <v>2768.3286818357337</v>
      </c>
      <c r="I111" s="124">
        <v>3374.7186250445156</v>
      </c>
      <c r="J111" s="124">
        <v>3798.9947115506534</v>
      </c>
      <c r="K111" s="124">
        <v>4030.5872019494927</v>
      </c>
      <c r="L111" s="124">
        <v>4189.3883429182733</v>
      </c>
      <c r="M111" s="124">
        <v>4315.4385079165877</v>
      </c>
      <c r="N111" s="124">
        <v>4412.6329549127622</v>
      </c>
      <c r="O111" s="124">
        <v>4432.8587082331196</v>
      </c>
      <c r="P111" s="124">
        <v>4472.5671711842851</v>
      </c>
      <c r="Q111" s="124">
        <v>4540.5483954920537</v>
      </c>
      <c r="R111" s="124">
        <v>4557.1558572763615</v>
      </c>
      <c r="S111" s="124">
        <v>4532.1264824586615</v>
      </c>
      <c r="T111" s="124">
        <v>4540.9181907799912</v>
      </c>
      <c r="U111" s="124">
        <v>4517.2935336834908</v>
      </c>
      <c r="V111" s="124">
        <v>4604.2600400146957</v>
      </c>
      <c r="W111" s="124">
        <v>4563.9478762919753</v>
      </c>
      <c r="X111" s="124">
        <v>4539.9818951466877</v>
      </c>
      <c r="Y111" s="124">
        <v>4542.8548237236319</v>
      </c>
      <c r="Z111" s="124">
        <v>4544.7754230676765</v>
      </c>
      <c r="AA111" s="124">
        <v>4572.909561296462</v>
      </c>
      <c r="AB111" s="124">
        <v>4550.945183648676</v>
      </c>
      <c r="AC111" s="124">
        <v>4604.5473002868603</v>
      </c>
      <c r="AD111" s="124">
        <v>4610.5476440587654</v>
      </c>
      <c r="AE111" s="124">
        <v>4566.8253064297796</v>
      </c>
      <c r="AF111" s="124">
        <v>4565.4408524483142</v>
      </c>
      <c r="AG111" s="124">
        <v>4569.8190630375602</v>
      </c>
      <c r="AH111" s="124">
        <v>4538.2716543887445</v>
      </c>
      <c r="AI111" s="124">
        <v>4533.424405467581</v>
      </c>
      <c r="AJ111" s="124">
        <v>4533.167295002585</v>
      </c>
      <c r="AK111" s="124">
        <v>4555.8677935123642</v>
      </c>
      <c r="AL111" s="124">
        <v>4569.3860259858611</v>
      </c>
      <c r="AM111" s="124">
        <v>4576.7657647050528</v>
      </c>
      <c r="AN111" s="124">
        <v>4594.2956234692556</v>
      </c>
      <c r="AO111" s="124">
        <v>4615.2961642585715</v>
      </c>
      <c r="AP111" s="124">
        <v>4578.9498313305194</v>
      </c>
      <c r="AQ111" s="124">
        <v>4566.5851345257452</v>
      </c>
      <c r="AR111" s="124">
        <v>4551.0264909677171</v>
      </c>
      <c r="AS111" s="124">
        <v>4567.8069556381033</v>
      </c>
      <c r="AT111" s="124">
        <v>4588.3065143227595</v>
      </c>
      <c r="AU111" s="124">
        <v>4582.1217747668979</v>
      </c>
      <c r="AV111" s="124">
        <v>4601.8540084498409</v>
      </c>
      <c r="AW111" s="124">
        <v>4559.3560511254273</v>
      </c>
      <c r="AX111" s="124">
        <v>4516.0287072297488</v>
      </c>
      <c r="AY111" s="124">
        <v>4553.6919155725664</v>
      </c>
    </row>
    <row r="112" spans="1:52" x14ac:dyDescent="0.2">
      <c r="A112" s="127"/>
      <c r="B112" s="137">
        <v>4</v>
      </c>
      <c r="C112" s="124">
        <v>0</v>
      </c>
      <c r="D112" s="124">
        <v>0</v>
      </c>
      <c r="E112" s="124">
        <v>0</v>
      </c>
      <c r="F112" s="124">
        <v>0</v>
      </c>
      <c r="G112" s="124">
        <v>0</v>
      </c>
      <c r="H112" s="124">
        <v>429.04622505367888</v>
      </c>
      <c r="I112" s="124">
        <v>2635.3749068894126</v>
      </c>
      <c r="J112" s="124">
        <v>3374.7186250445156</v>
      </c>
      <c r="K112" s="124">
        <v>3798.9947115506534</v>
      </c>
      <c r="L112" s="124">
        <v>4030.5872019494927</v>
      </c>
      <c r="M112" s="124">
        <v>4189.3883429182733</v>
      </c>
      <c r="N112" s="124">
        <v>4315.4385079165877</v>
      </c>
      <c r="O112" s="124">
        <v>4412.6329549127622</v>
      </c>
      <c r="P112" s="124">
        <v>4432.8587082331196</v>
      </c>
      <c r="Q112" s="124">
        <v>4472.5671711842851</v>
      </c>
      <c r="R112" s="124">
        <v>4540.5483954920537</v>
      </c>
      <c r="S112" s="124">
        <v>4557.1558572763615</v>
      </c>
      <c r="T112" s="124">
        <v>4532.1264824586615</v>
      </c>
      <c r="U112" s="124">
        <v>4540.9181907799912</v>
      </c>
      <c r="V112" s="124">
        <v>4517.2935336834908</v>
      </c>
      <c r="W112" s="124">
        <v>4604.2600400146957</v>
      </c>
      <c r="X112" s="124">
        <v>4563.9478762919753</v>
      </c>
      <c r="Y112" s="124">
        <v>4539.9818951466877</v>
      </c>
      <c r="Z112" s="124">
        <v>4542.8548237236319</v>
      </c>
      <c r="AA112" s="124">
        <v>4544.7754230676765</v>
      </c>
      <c r="AB112" s="124">
        <v>4572.909561296462</v>
      </c>
      <c r="AC112" s="124">
        <v>4550.945183648676</v>
      </c>
      <c r="AD112" s="124">
        <v>4604.5473002868603</v>
      </c>
      <c r="AE112" s="124">
        <v>4610.5476440587654</v>
      </c>
      <c r="AF112" s="124">
        <v>4566.8253064297796</v>
      </c>
      <c r="AG112" s="124">
        <v>4565.4408524483142</v>
      </c>
      <c r="AH112" s="124">
        <v>4569.8190630375602</v>
      </c>
      <c r="AI112" s="124">
        <v>4538.2716543887445</v>
      </c>
      <c r="AJ112" s="124">
        <v>4533.424405467581</v>
      </c>
      <c r="AK112" s="124">
        <v>4533.167295002585</v>
      </c>
      <c r="AL112" s="124">
        <v>4555.8677935123642</v>
      </c>
      <c r="AM112" s="124">
        <v>4569.3860259858611</v>
      </c>
      <c r="AN112" s="124">
        <v>4576.7657647050528</v>
      </c>
      <c r="AO112" s="124">
        <v>4594.2956234692556</v>
      </c>
      <c r="AP112" s="124">
        <v>4615.2961642585715</v>
      </c>
      <c r="AQ112" s="124">
        <v>4578.9498313305194</v>
      </c>
      <c r="AR112" s="124">
        <v>4566.5851345257452</v>
      </c>
      <c r="AS112" s="124">
        <v>4551.0264909677171</v>
      </c>
      <c r="AT112" s="124">
        <v>4567.8069556381033</v>
      </c>
      <c r="AU112" s="124">
        <v>4588.3065143227595</v>
      </c>
      <c r="AV112" s="124">
        <v>4582.1217747668979</v>
      </c>
      <c r="AW112" s="124">
        <v>4601.8540084498409</v>
      </c>
      <c r="AX112" s="124">
        <v>4559.3560511254273</v>
      </c>
      <c r="AY112" s="124">
        <v>4516.0287072297488</v>
      </c>
    </row>
    <row r="113" spans="1:52" x14ac:dyDescent="0.2">
      <c r="A113" s="127"/>
      <c r="B113" s="137">
        <v>5</v>
      </c>
      <c r="C113" s="124">
        <v>0</v>
      </c>
      <c r="D113" s="124">
        <v>0</v>
      </c>
      <c r="E113" s="124">
        <v>0</v>
      </c>
      <c r="F113" s="124">
        <v>0</v>
      </c>
      <c r="G113" s="124">
        <v>0</v>
      </c>
      <c r="H113" s="124">
        <v>0</v>
      </c>
      <c r="I113" s="124">
        <v>0</v>
      </c>
      <c r="J113" s="124">
        <v>1952.3749068894126</v>
      </c>
      <c r="K113" s="124">
        <v>3374.7186250445156</v>
      </c>
      <c r="L113" s="124">
        <v>3798.9947115506534</v>
      </c>
      <c r="M113" s="124">
        <v>4030.5872019494927</v>
      </c>
      <c r="N113" s="124">
        <v>4189.3883429182733</v>
      </c>
      <c r="O113" s="124">
        <v>4315.4385079165877</v>
      </c>
      <c r="P113" s="124">
        <v>4412.6329549127622</v>
      </c>
      <c r="Q113" s="124">
        <v>4432.8587082331196</v>
      </c>
      <c r="R113" s="124">
        <v>4472.5671711842851</v>
      </c>
      <c r="S113" s="124">
        <v>4540.5483954920537</v>
      </c>
      <c r="T113" s="124">
        <v>4557.1558572763615</v>
      </c>
      <c r="U113" s="124">
        <v>4532.1264824586615</v>
      </c>
      <c r="V113" s="124">
        <v>4540.9181907799912</v>
      </c>
      <c r="W113" s="124">
        <v>4517.2935336834908</v>
      </c>
      <c r="X113" s="124">
        <v>4604.2600400146957</v>
      </c>
      <c r="Y113" s="124">
        <v>4563.9478762919753</v>
      </c>
      <c r="Z113" s="124">
        <v>4539.9818951466877</v>
      </c>
      <c r="AA113" s="124">
        <v>4542.8548237236319</v>
      </c>
      <c r="AB113" s="124">
        <v>4544.7754230676765</v>
      </c>
      <c r="AC113" s="124">
        <v>4572.909561296462</v>
      </c>
      <c r="AD113" s="124">
        <v>4550.945183648676</v>
      </c>
      <c r="AE113" s="124">
        <v>4604.5473002868603</v>
      </c>
      <c r="AF113" s="124">
        <v>4610.5476440587654</v>
      </c>
      <c r="AG113" s="124">
        <v>4566.8253064297796</v>
      </c>
      <c r="AH113" s="124">
        <v>4565.4408524483142</v>
      </c>
      <c r="AI113" s="124">
        <v>4569.8190630375602</v>
      </c>
      <c r="AJ113" s="124">
        <v>4538.2716543887445</v>
      </c>
      <c r="AK113" s="124">
        <v>4533.424405467581</v>
      </c>
      <c r="AL113" s="124">
        <v>4533.167295002585</v>
      </c>
      <c r="AM113" s="124">
        <v>4555.8677935123642</v>
      </c>
      <c r="AN113" s="124">
        <v>4569.3860259858611</v>
      </c>
      <c r="AO113" s="124">
        <v>4576.7657647050528</v>
      </c>
      <c r="AP113" s="124">
        <v>4594.2956234692556</v>
      </c>
      <c r="AQ113" s="124">
        <v>4615.2961642585715</v>
      </c>
      <c r="AR113" s="124">
        <v>4578.9498313305194</v>
      </c>
      <c r="AS113" s="124">
        <v>4566.5851345257452</v>
      </c>
      <c r="AT113" s="124">
        <v>4551.0264909677171</v>
      </c>
      <c r="AU113" s="124">
        <v>4567.8069556381033</v>
      </c>
      <c r="AV113" s="124">
        <v>4588.3065143227595</v>
      </c>
      <c r="AW113" s="124">
        <v>4582.1217747668979</v>
      </c>
      <c r="AX113" s="124">
        <v>4601.8540084498409</v>
      </c>
      <c r="AY113" s="124">
        <v>4559.3560511254273</v>
      </c>
    </row>
    <row r="114" spans="1:52" x14ac:dyDescent="0.2">
      <c r="A114" s="127"/>
      <c r="B114" s="137">
        <v>6</v>
      </c>
      <c r="C114" s="124">
        <v>0</v>
      </c>
      <c r="D114" s="124">
        <v>0</v>
      </c>
      <c r="E114" s="124">
        <v>0</v>
      </c>
      <c r="F114" s="124">
        <v>0</v>
      </c>
      <c r="G114" s="124">
        <v>0</v>
      </c>
      <c r="H114" s="124">
        <v>0</v>
      </c>
      <c r="I114" s="124">
        <v>0</v>
      </c>
      <c r="J114" s="124">
        <v>0</v>
      </c>
      <c r="K114" s="124">
        <v>1291.3749068894126</v>
      </c>
      <c r="L114" s="124">
        <v>2637.3331626151539</v>
      </c>
      <c r="M114" s="124">
        <v>2639.852536317162</v>
      </c>
      <c r="N114" s="124">
        <v>1844.6379795989983</v>
      </c>
      <c r="O114" s="124">
        <v>1999.9099917442786</v>
      </c>
      <c r="P114" s="124">
        <v>1417.6561792779976</v>
      </c>
      <c r="Q114" s="124">
        <v>1742.8017761720153</v>
      </c>
      <c r="R114" s="124">
        <v>1337.8991095531146</v>
      </c>
      <c r="S114" s="124">
        <v>1121.6597251589997</v>
      </c>
      <c r="T114" s="124">
        <v>1193.3809471800269</v>
      </c>
      <c r="U114" s="124">
        <v>1222.8835873452067</v>
      </c>
      <c r="V114" s="124">
        <v>1198.9171575268861</v>
      </c>
      <c r="W114" s="124">
        <v>1649.6628302705485</v>
      </c>
      <c r="X114" s="124">
        <v>1694.2068198924517</v>
      </c>
      <c r="Y114" s="124">
        <v>1354.569171649905</v>
      </c>
      <c r="Z114" s="124">
        <v>2084.6193688190392</v>
      </c>
      <c r="AA114" s="124">
        <v>753.53054055301072</v>
      </c>
      <c r="AB114" s="124">
        <v>940.94344619572939</v>
      </c>
      <c r="AC114" s="124">
        <v>1045.0958646781596</v>
      </c>
      <c r="AD114" s="124">
        <v>1054.4203707785332</v>
      </c>
      <c r="AE114" s="124">
        <v>1126.3379573908892</v>
      </c>
      <c r="AF114" s="124">
        <v>1611.3679669070661</v>
      </c>
      <c r="AG114" s="124">
        <v>1238.3030995730287</v>
      </c>
      <c r="AH114" s="124">
        <v>1629.1341783303574</v>
      </c>
      <c r="AI114" s="124">
        <v>1255.9323951989454</v>
      </c>
      <c r="AJ114" s="124">
        <v>1167.4949256883938</v>
      </c>
      <c r="AK114" s="124">
        <v>1176.4818406458821</v>
      </c>
      <c r="AL114" s="124">
        <v>1003.4675045279614</v>
      </c>
      <c r="AM114" s="124">
        <v>1036.8828088802866</v>
      </c>
      <c r="AN114" s="124">
        <v>1609.1048850316429</v>
      </c>
      <c r="AO114" s="124">
        <v>1238.5008586576964</v>
      </c>
      <c r="AP114" s="124">
        <v>1558.0109968244774</v>
      </c>
      <c r="AQ114" s="124">
        <v>1232.1933918087752</v>
      </c>
      <c r="AR114" s="124">
        <v>1536.489366886583</v>
      </c>
      <c r="AS114" s="124">
        <v>1204.8004958092783</v>
      </c>
      <c r="AT114" s="124">
        <v>1122.1671473682973</v>
      </c>
      <c r="AU114" s="124">
        <v>1191.3819513515241</v>
      </c>
      <c r="AV114" s="124">
        <v>2028.8495442490439</v>
      </c>
      <c r="AW114" s="124">
        <v>1374.153467513921</v>
      </c>
      <c r="AX114" s="124">
        <v>1307.2812064617533</v>
      </c>
      <c r="AY114" s="124">
        <v>2480.4162832309612</v>
      </c>
    </row>
    <row r="115" spans="1:52" x14ac:dyDescent="0.2">
      <c r="A115" s="127"/>
      <c r="B115" s="144">
        <v>7</v>
      </c>
      <c r="C115" s="124">
        <v>0</v>
      </c>
      <c r="D115" s="124">
        <v>0</v>
      </c>
      <c r="E115" s="124">
        <v>0</v>
      </c>
      <c r="F115" s="124">
        <v>0</v>
      </c>
      <c r="G115" s="124">
        <v>0</v>
      </c>
      <c r="H115" s="124">
        <v>0</v>
      </c>
      <c r="I115" s="124">
        <v>0</v>
      </c>
      <c r="J115" s="124">
        <v>0</v>
      </c>
      <c r="K115" s="124">
        <v>0</v>
      </c>
      <c r="L115" s="124">
        <v>0</v>
      </c>
      <c r="M115" s="124">
        <v>0</v>
      </c>
      <c r="N115" s="124">
        <v>0</v>
      </c>
      <c r="O115" s="124">
        <v>0</v>
      </c>
      <c r="P115" s="124">
        <v>0</v>
      </c>
      <c r="Q115" s="124">
        <v>0</v>
      </c>
      <c r="R115" s="124">
        <v>0</v>
      </c>
      <c r="S115" s="124">
        <v>0</v>
      </c>
      <c r="T115" s="124">
        <v>0</v>
      </c>
      <c r="U115" s="124">
        <v>0</v>
      </c>
      <c r="V115" s="124">
        <v>0</v>
      </c>
      <c r="W115" s="124">
        <v>0</v>
      </c>
      <c r="X115" s="124">
        <v>0</v>
      </c>
      <c r="Y115" s="124">
        <v>0</v>
      </c>
      <c r="Z115" s="124">
        <v>0</v>
      </c>
      <c r="AA115" s="124">
        <v>0</v>
      </c>
      <c r="AB115" s="124">
        <v>0</v>
      </c>
      <c r="AC115" s="124">
        <v>0</v>
      </c>
      <c r="AD115" s="124">
        <v>0</v>
      </c>
      <c r="AE115" s="124">
        <v>0</v>
      </c>
      <c r="AF115" s="124">
        <v>0</v>
      </c>
      <c r="AG115" s="124">
        <v>0</v>
      </c>
      <c r="AH115" s="124">
        <v>0</v>
      </c>
      <c r="AI115" s="124">
        <v>0</v>
      </c>
      <c r="AJ115" s="124">
        <v>0</v>
      </c>
      <c r="AK115" s="124">
        <v>0</v>
      </c>
      <c r="AL115" s="124">
        <v>0</v>
      </c>
      <c r="AM115" s="124">
        <v>0</v>
      </c>
      <c r="AN115" s="124">
        <v>0</v>
      </c>
      <c r="AO115" s="124">
        <v>0</v>
      </c>
      <c r="AP115" s="124">
        <v>0</v>
      </c>
      <c r="AQ115" s="124">
        <v>0</v>
      </c>
      <c r="AR115" s="124">
        <v>0</v>
      </c>
      <c r="AS115" s="124">
        <v>0</v>
      </c>
      <c r="AT115" s="124">
        <v>0</v>
      </c>
      <c r="AU115" s="124">
        <v>0</v>
      </c>
      <c r="AV115" s="124">
        <v>0</v>
      </c>
      <c r="AW115" s="124">
        <v>0</v>
      </c>
      <c r="AX115" s="124">
        <v>0</v>
      </c>
      <c r="AY115" s="124">
        <v>0</v>
      </c>
    </row>
    <row r="116" spans="1:52" x14ac:dyDescent="0.2">
      <c r="A116" s="127"/>
      <c r="B116" s="144">
        <v>8</v>
      </c>
      <c r="C116" s="124">
        <v>0</v>
      </c>
      <c r="D116" s="124">
        <v>0</v>
      </c>
      <c r="E116" s="124">
        <v>0</v>
      </c>
      <c r="F116" s="124">
        <v>0</v>
      </c>
      <c r="G116" s="124">
        <v>0</v>
      </c>
      <c r="H116" s="124">
        <v>0</v>
      </c>
      <c r="I116" s="124">
        <v>0</v>
      </c>
      <c r="J116" s="124">
        <v>0</v>
      </c>
      <c r="K116" s="124">
        <v>0</v>
      </c>
      <c r="L116" s="124">
        <v>0</v>
      </c>
      <c r="M116" s="124">
        <v>0</v>
      </c>
      <c r="N116" s="124">
        <v>0</v>
      </c>
      <c r="O116" s="124">
        <v>0</v>
      </c>
      <c r="P116" s="124">
        <v>0</v>
      </c>
      <c r="Q116" s="124">
        <v>0</v>
      </c>
      <c r="R116" s="124">
        <v>0</v>
      </c>
      <c r="S116" s="124">
        <v>0</v>
      </c>
      <c r="T116" s="124">
        <v>0</v>
      </c>
      <c r="U116" s="124">
        <v>0</v>
      </c>
      <c r="V116" s="124">
        <v>0</v>
      </c>
      <c r="W116" s="124">
        <v>0</v>
      </c>
      <c r="X116" s="124">
        <v>0</v>
      </c>
      <c r="Y116" s="124">
        <v>0</v>
      </c>
      <c r="Z116" s="124">
        <v>0</v>
      </c>
      <c r="AA116" s="124">
        <v>0</v>
      </c>
      <c r="AB116" s="124">
        <v>0</v>
      </c>
      <c r="AC116" s="124">
        <v>0</v>
      </c>
      <c r="AD116" s="124">
        <v>0</v>
      </c>
      <c r="AE116" s="124">
        <v>0</v>
      </c>
      <c r="AF116" s="124">
        <v>0</v>
      </c>
      <c r="AG116" s="124">
        <v>0</v>
      </c>
      <c r="AH116" s="124">
        <v>0</v>
      </c>
      <c r="AI116" s="124">
        <v>0</v>
      </c>
      <c r="AJ116" s="124">
        <v>0</v>
      </c>
      <c r="AK116" s="124">
        <v>0</v>
      </c>
      <c r="AL116" s="124">
        <v>0</v>
      </c>
      <c r="AM116" s="124">
        <v>0</v>
      </c>
      <c r="AN116" s="124">
        <v>0</v>
      </c>
      <c r="AO116" s="124">
        <v>0</v>
      </c>
      <c r="AP116" s="124">
        <v>0</v>
      </c>
      <c r="AQ116" s="124">
        <v>0</v>
      </c>
      <c r="AR116" s="124">
        <v>0</v>
      </c>
      <c r="AS116" s="124">
        <v>0</v>
      </c>
      <c r="AT116" s="124">
        <v>0</v>
      </c>
      <c r="AU116" s="124">
        <v>0</v>
      </c>
      <c r="AV116" s="124">
        <v>0</v>
      </c>
      <c r="AW116" s="124">
        <v>0</v>
      </c>
      <c r="AX116" s="124">
        <v>0</v>
      </c>
      <c r="AY116" s="124">
        <v>0</v>
      </c>
    </row>
    <row r="117" spans="1:52" x14ac:dyDescent="0.2">
      <c r="A117" s="127"/>
      <c r="B117" s="144">
        <v>9</v>
      </c>
      <c r="C117" s="124">
        <v>0</v>
      </c>
      <c r="D117" s="124">
        <v>0</v>
      </c>
      <c r="E117" s="124">
        <v>0</v>
      </c>
      <c r="F117" s="124">
        <v>0</v>
      </c>
      <c r="G117" s="124">
        <v>0</v>
      </c>
      <c r="H117" s="124">
        <v>0</v>
      </c>
      <c r="I117" s="124">
        <v>0</v>
      </c>
      <c r="J117" s="124">
        <v>0</v>
      </c>
      <c r="K117" s="124">
        <v>0</v>
      </c>
      <c r="L117" s="124">
        <v>0</v>
      </c>
      <c r="M117" s="124">
        <v>0</v>
      </c>
      <c r="N117" s="124">
        <v>0</v>
      </c>
      <c r="O117" s="124">
        <v>0</v>
      </c>
      <c r="P117" s="124">
        <v>0</v>
      </c>
      <c r="Q117" s="124">
        <v>0</v>
      </c>
      <c r="R117" s="124">
        <v>0</v>
      </c>
      <c r="S117" s="124">
        <v>0</v>
      </c>
      <c r="T117" s="124">
        <v>0</v>
      </c>
      <c r="U117" s="124">
        <v>0</v>
      </c>
      <c r="V117" s="124">
        <v>0</v>
      </c>
      <c r="W117" s="124">
        <v>0</v>
      </c>
      <c r="X117" s="124">
        <v>0</v>
      </c>
      <c r="Y117" s="124">
        <v>0</v>
      </c>
      <c r="Z117" s="124">
        <v>0</v>
      </c>
      <c r="AA117" s="124">
        <v>0</v>
      </c>
      <c r="AB117" s="124">
        <v>0</v>
      </c>
      <c r="AC117" s="124">
        <v>0</v>
      </c>
      <c r="AD117" s="124">
        <v>0</v>
      </c>
      <c r="AE117" s="124">
        <v>0</v>
      </c>
      <c r="AF117" s="124">
        <v>0</v>
      </c>
      <c r="AG117" s="124">
        <v>0</v>
      </c>
      <c r="AH117" s="124">
        <v>0</v>
      </c>
      <c r="AI117" s="124">
        <v>0</v>
      </c>
      <c r="AJ117" s="124">
        <v>0</v>
      </c>
      <c r="AK117" s="124">
        <v>0</v>
      </c>
      <c r="AL117" s="124">
        <v>0</v>
      </c>
      <c r="AM117" s="124">
        <v>0</v>
      </c>
      <c r="AN117" s="124">
        <v>0</v>
      </c>
      <c r="AO117" s="124">
        <v>0</v>
      </c>
      <c r="AP117" s="124">
        <v>0</v>
      </c>
      <c r="AQ117" s="124">
        <v>0</v>
      </c>
      <c r="AR117" s="124">
        <v>0</v>
      </c>
      <c r="AS117" s="124">
        <v>0</v>
      </c>
      <c r="AT117" s="124">
        <v>0</v>
      </c>
      <c r="AU117" s="124">
        <v>0</v>
      </c>
      <c r="AV117" s="124">
        <v>0</v>
      </c>
      <c r="AW117" s="124">
        <v>0</v>
      </c>
      <c r="AX117" s="124">
        <v>0</v>
      </c>
      <c r="AY117" s="124">
        <v>0</v>
      </c>
    </row>
    <row r="118" spans="1:52" x14ac:dyDescent="0.2">
      <c r="A118" s="127"/>
      <c r="B118" s="147">
        <v>10</v>
      </c>
      <c r="C118" s="124">
        <v>0</v>
      </c>
      <c r="D118" s="124">
        <v>0</v>
      </c>
      <c r="E118" s="124">
        <v>0</v>
      </c>
      <c r="F118" s="124">
        <v>0</v>
      </c>
      <c r="G118" s="124">
        <v>0</v>
      </c>
      <c r="H118" s="124">
        <v>0</v>
      </c>
      <c r="I118" s="124">
        <v>0</v>
      </c>
      <c r="J118" s="124">
        <v>0</v>
      </c>
      <c r="K118" s="124">
        <v>0</v>
      </c>
      <c r="L118" s="124">
        <v>0</v>
      </c>
      <c r="M118" s="124">
        <v>0</v>
      </c>
      <c r="N118" s="124">
        <v>0</v>
      </c>
      <c r="O118" s="124">
        <v>0</v>
      </c>
      <c r="P118" s="124">
        <v>0</v>
      </c>
      <c r="Q118" s="124">
        <v>0</v>
      </c>
      <c r="R118" s="124">
        <v>0</v>
      </c>
      <c r="S118" s="124">
        <v>0</v>
      </c>
      <c r="T118" s="124">
        <v>0</v>
      </c>
      <c r="U118" s="124">
        <v>0</v>
      </c>
      <c r="V118" s="124">
        <v>0</v>
      </c>
      <c r="W118" s="124">
        <v>0</v>
      </c>
      <c r="X118" s="124">
        <v>0</v>
      </c>
      <c r="Y118" s="124">
        <v>0</v>
      </c>
      <c r="Z118" s="124">
        <v>0</v>
      </c>
      <c r="AA118" s="124">
        <v>0</v>
      </c>
      <c r="AB118" s="124">
        <v>0</v>
      </c>
      <c r="AC118" s="124">
        <v>0</v>
      </c>
      <c r="AD118" s="124">
        <v>0</v>
      </c>
      <c r="AE118" s="124">
        <v>0</v>
      </c>
      <c r="AF118" s="124">
        <v>0</v>
      </c>
      <c r="AG118" s="124">
        <v>0</v>
      </c>
      <c r="AH118" s="124">
        <v>0</v>
      </c>
      <c r="AI118" s="124">
        <v>0</v>
      </c>
      <c r="AJ118" s="124">
        <v>0</v>
      </c>
      <c r="AK118" s="124">
        <v>0</v>
      </c>
      <c r="AL118" s="124">
        <v>0</v>
      </c>
      <c r="AM118" s="124">
        <v>0</v>
      </c>
      <c r="AN118" s="124">
        <v>0</v>
      </c>
      <c r="AO118" s="124">
        <v>0</v>
      </c>
      <c r="AP118" s="124">
        <v>0</v>
      </c>
      <c r="AQ118" s="124">
        <v>0</v>
      </c>
      <c r="AR118" s="124">
        <v>0</v>
      </c>
      <c r="AS118" s="124">
        <v>0</v>
      </c>
      <c r="AT118" s="124">
        <v>0</v>
      </c>
      <c r="AU118" s="124">
        <v>0</v>
      </c>
      <c r="AV118" s="124">
        <v>0</v>
      </c>
      <c r="AW118" s="124">
        <v>0</v>
      </c>
      <c r="AX118" s="124">
        <v>0</v>
      </c>
      <c r="AY118" s="124">
        <v>0</v>
      </c>
    </row>
    <row r="119" spans="1:52" x14ac:dyDescent="0.2">
      <c r="A119" s="127"/>
      <c r="B119" s="147">
        <v>11</v>
      </c>
      <c r="C119" s="124">
        <v>0</v>
      </c>
      <c r="D119" s="124">
        <v>0</v>
      </c>
      <c r="E119" s="124">
        <v>0</v>
      </c>
      <c r="F119" s="124">
        <v>0</v>
      </c>
      <c r="G119" s="124">
        <v>0</v>
      </c>
      <c r="H119" s="124">
        <v>0</v>
      </c>
      <c r="I119" s="124">
        <v>0</v>
      </c>
      <c r="J119" s="124">
        <v>0</v>
      </c>
      <c r="K119" s="124">
        <v>0</v>
      </c>
      <c r="L119" s="124">
        <v>0</v>
      </c>
      <c r="M119" s="124">
        <v>0</v>
      </c>
      <c r="N119" s="124">
        <v>0</v>
      </c>
      <c r="O119" s="124">
        <v>0</v>
      </c>
      <c r="P119" s="124">
        <v>0</v>
      </c>
      <c r="Q119" s="124">
        <v>0</v>
      </c>
      <c r="R119" s="124">
        <v>0</v>
      </c>
      <c r="S119" s="124">
        <v>0</v>
      </c>
      <c r="T119" s="124">
        <v>0</v>
      </c>
      <c r="U119" s="124">
        <v>0</v>
      </c>
      <c r="V119" s="124">
        <v>0</v>
      </c>
      <c r="W119" s="124">
        <v>0</v>
      </c>
      <c r="X119" s="124">
        <v>0</v>
      </c>
      <c r="Y119" s="124">
        <v>0</v>
      </c>
      <c r="Z119" s="124">
        <v>0</v>
      </c>
      <c r="AA119" s="124">
        <v>0</v>
      </c>
      <c r="AB119" s="124">
        <v>0</v>
      </c>
      <c r="AC119" s="124">
        <v>0</v>
      </c>
      <c r="AD119" s="124">
        <v>0</v>
      </c>
      <c r="AE119" s="124">
        <v>0</v>
      </c>
      <c r="AF119" s="124">
        <v>0</v>
      </c>
      <c r="AG119" s="124">
        <v>0</v>
      </c>
      <c r="AH119" s="124">
        <v>0</v>
      </c>
      <c r="AI119" s="124">
        <v>0</v>
      </c>
      <c r="AJ119" s="124">
        <v>0</v>
      </c>
      <c r="AK119" s="124">
        <v>0</v>
      </c>
      <c r="AL119" s="124">
        <v>0</v>
      </c>
      <c r="AM119" s="124">
        <v>0</v>
      </c>
      <c r="AN119" s="124">
        <v>0</v>
      </c>
      <c r="AO119" s="124">
        <v>0</v>
      </c>
      <c r="AP119" s="124">
        <v>0</v>
      </c>
      <c r="AQ119" s="124">
        <v>0</v>
      </c>
      <c r="AR119" s="124">
        <v>0</v>
      </c>
      <c r="AS119" s="124">
        <v>0</v>
      </c>
      <c r="AT119" s="124">
        <v>0</v>
      </c>
      <c r="AU119" s="124">
        <v>0</v>
      </c>
      <c r="AV119" s="124">
        <v>0</v>
      </c>
      <c r="AW119" s="124">
        <v>0</v>
      </c>
      <c r="AX119" s="124">
        <v>0</v>
      </c>
      <c r="AY119" s="124">
        <v>0</v>
      </c>
    </row>
    <row r="120" spans="1:52" x14ac:dyDescent="0.2">
      <c r="A120" s="127"/>
      <c r="B120" s="147">
        <v>12</v>
      </c>
      <c r="C120" s="124">
        <v>0</v>
      </c>
      <c r="D120" s="124">
        <v>0</v>
      </c>
      <c r="E120" s="124">
        <v>0</v>
      </c>
      <c r="F120" s="124">
        <v>0</v>
      </c>
      <c r="G120" s="124">
        <v>0</v>
      </c>
      <c r="H120" s="124">
        <v>0</v>
      </c>
      <c r="I120" s="124">
        <v>0</v>
      </c>
      <c r="J120" s="124">
        <v>0</v>
      </c>
      <c r="K120" s="124">
        <v>0</v>
      </c>
      <c r="L120" s="124">
        <v>0</v>
      </c>
      <c r="M120" s="124">
        <v>0</v>
      </c>
      <c r="N120" s="124">
        <v>0</v>
      </c>
      <c r="O120" s="124">
        <v>0</v>
      </c>
      <c r="P120" s="124">
        <v>0</v>
      </c>
      <c r="Q120" s="124">
        <v>0</v>
      </c>
      <c r="R120" s="124">
        <v>0</v>
      </c>
      <c r="S120" s="124">
        <v>0</v>
      </c>
      <c r="T120" s="124">
        <v>0</v>
      </c>
      <c r="U120" s="124">
        <v>0</v>
      </c>
      <c r="V120" s="124">
        <v>0</v>
      </c>
      <c r="W120" s="124">
        <v>0</v>
      </c>
      <c r="X120" s="124">
        <v>0</v>
      </c>
      <c r="Y120" s="124">
        <v>0</v>
      </c>
      <c r="Z120" s="124">
        <v>0</v>
      </c>
      <c r="AA120" s="124">
        <v>0</v>
      </c>
      <c r="AB120" s="124">
        <v>0</v>
      </c>
      <c r="AC120" s="124">
        <v>0</v>
      </c>
      <c r="AD120" s="124">
        <v>0</v>
      </c>
      <c r="AE120" s="124">
        <v>0</v>
      </c>
      <c r="AF120" s="124">
        <v>0</v>
      </c>
      <c r="AG120" s="124">
        <v>0</v>
      </c>
      <c r="AH120" s="124">
        <v>0</v>
      </c>
      <c r="AI120" s="124">
        <v>0</v>
      </c>
      <c r="AJ120" s="124">
        <v>0</v>
      </c>
      <c r="AK120" s="124">
        <v>0</v>
      </c>
      <c r="AL120" s="124">
        <v>0</v>
      </c>
      <c r="AM120" s="124">
        <v>0</v>
      </c>
      <c r="AN120" s="124">
        <v>0</v>
      </c>
      <c r="AO120" s="124">
        <v>0</v>
      </c>
      <c r="AP120" s="124">
        <v>0</v>
      </c>
      <c r="AQ120" s="124">
        <v>0</v>
      </c>
      <c r="AR120" s="124">
        <v>0</v>
      </c>
      <c r="AS120" s="124">
        <v>0</v>
      </c>
      <c r="AT120" s="124">
        <v>0</v>
      </c>
      <c r="AU120" s="124">
        <v>0</v>
      </c>
      <c r="AV120" s="124">
        <v>0</v>
      </c>
      <c r="AW120" s="124">
        <v>0</v>
      </c>
      <c r="AX120" s="124">
        <v>0</v>
      </c>
      <c r="AY120" s="124">
        <v>0</v>
      </c>
    </row>
    <row r="121" spans="1:52" x14ac:dyDescent="0.2">
      <c r="A121" s="145"/>
      <c r="B121" s="149" t="s">
        <v>296</v>
      </c>
      <c r="C121" s="131">
        <v>0</v>
      </c>
      <c r="D121" s="142">
        <v>0</v>
      </c>
      <c r="E121" s="142">
        <v>0</v>
      </c>
      <c r="F121" s="142">
        <v>0</v>
      </c>
      <c r="G121" s="142">
        <v>0</v>
      </c>
      <c r="H121" s="142">
        <v>0</v>
      </c>
      <c r="I121" s="142">
        <v>0</v>
      </c>
      <c r="J121" s="142">
        <v>0</v>
      </c>
      <c r="K121" s="142">
        <v>0</v>
      </c>
      <c r="L121" s="142">
        <v>0</v>
      </c>
      <c r="M121" s="142">
        <v>0</v>
      </c>
      <c r="N121" s="142">
        <v>0</v>
      </c>
      <c r="O121" s="142">
        <v>0</v>
      </c>
      <c r="P121" s="142">
        <v>0</v>
      </c>
      <c r="Q121" s="142">
        <v>0</v>
      </c>
      <c r="R121" s="142">
        <v>0</v>
      </c>
      <c r="S121" s="142">
        <v>0</v>
      </c>
      <c r="T121" s="142">
        <v>0</v>
      </c>
      <c r="U121" s="142">
        <v>0</v>
      </c>
      <c r="V121" s="142">
        <v>0</v>
      </c>
      <c r="W121" s="142">
        <v>0</v>
      </c>
      <c r="X121" s="142">
        <v>0</v>
      </c>
      <c r="Y121" s="142">
        <v>0</v>
      </c>
      <c r="Z121" s="142">
        <v>0</v>
      </c>
      <c r="AA121" s="142">
        <v>0</v>
      </c>
      <c r="AB121" s="142">
        <v>0</v>
      </c>
      <c r="AC121" s="142">
        <v>0</v>
      </c>
      <c r="AD121" s="142">
        <v>0</v>
      </c>
      <c r="AE121" s="142">
        <v>0</v>
      </c>
      <c r="AF121" s="142">
        <v>0</v>
      </c>
      <c r="AG121" s="142">
        <v>0</v>
      </c>
      <c r="AH121" s="142">
        <v>0</v>
      </c>
      <c r="AI121" s="142">
        <v>0</v>
      </c>
      <c r="AJ121" s="142">
        <v>0</v>
      </c>
      <c r="AK121" s="142">
        <v>0</v>
      </c>
      <c r="AL121" s="142">
        <v>0</v>
      </c>
      <c r="AM121" s="142">
        <v>0</v>
      </c>
      <c r="AN121" s="142">
        <v>0</v>
      </c>
      <c r="AO121" s="142">
        <v>0</v>
      </c>
      <c r="AP121" s="142">
        <v>0</v>
      </c>
      <c r="AQ121" s="142">
        <v>0</v>
      </c>
      <c r="AR121" s="142">
        <v>0</v>
      </c>
      <c r="AS121" s="142">
        <v>0</v>
      </c>
      <c r="AT121" s="142">
        <v>0</v>
      </c>
      <c r="AU121" s="142">
        <v>0</v>
      </c>
      <c r="AV121" s="142">
        <v>0</v>
      </c>
      <c r="AW121" s="142">
        <v>0</v>
      </c>
      <c r="AX121" s="142">
        <v>0</v>
      </c>
      <c r="AY121" s="142">
        <v>0</v>
      </c>
      <c r="AZ121" s="125">
        <f>SUM($D121:$AY121)</f>
        <v>0</v>
      </c>
    </row>
    <row r="122" spans="1:52" x14ac:dyDescent="0.2">
      <c r="A122" s="148" t="s">
        <v>123</v>
      </c>
      <c r="B122" s="136">
        <v>1</v>
      </c>
      <c r="C122" s="124">
        <v>1089.363774146517</v>
      </c>
      <c r="D122" s="124">
        <v>5242.6487703439288</v>
      </c>
      <c r="E122" s="124">
        <v>5428.3758488486765</v>
      </c>
      <c r="F122" s="124">
        <v>5242.6487703439288</v>
      </c>
      <c r="G122" s="124">
        <v>5242.6487703439288</v>
      </c>
      <c r="H122" s="124">
        <v>5242.6487703439288</v>
      </c>
      <c r="I122" s="124">
        <v>5242.6487703439288</v>
      </c>
      <c r="J122" s="124">
        <v>5242.6487703439288</v>
      </c>
      <c r="K122" s="124">
        <v>5242.6487703439288</v>
      </c>
      <c r="L122" s="124">
        <v>5242.6487703439288</v>
      </c>
      <c r="M122" s="124">
        <v>5242.6487703439288</v>
      </c>
      <c r="N122" s="124">
        <v>5242.6487703439288</v>
      </c>
      <c r="O122" s="124">
        <v>5242.6487703439288</v>
      </c>
      <c r="P122" s="124">
        <v>5242.6487703439288</v>
      </c>
      <c r="Q122" s="124">
        <v>5242.6487703439288</v>
      </c>
      <c r="R122" s="124">
        <v>5242.6487703439288</v>
      </c>
      <c r="S122" s="124">
        <v>5242.6487703439288</v>
      </c>
      <c r="T122" s="124">
        <v>5242.6487703439288</v>
      </c>
      <c r="U122" s="124">
        <v>5242.6487703439288</v>
      </c>
      <c r="V122" s="124">
        <v>5242.6487703439288</v>
      </c>
      <c r="W122" s="124">
        <v>5242.6487703439288</v>
      </c>
      <c r="X122" s="124">
        <v>5242.6487703439288</v>
      </c>
      <c r="Y122" s="124">
        <v>5242.6487703439288</v>
      </c>
      <c r="Z122" s="124">
        <v>5242.6487703439288</v>
      </c>
      <c r="AA122" s="124">
        <v>5242.6487703439288</v>
      </c>
      <c r="AB122" s="124">
        <v>5242.6487703439288</v>
      </c>
      <c r="AC122" s="124">
        <v>5242.6487703439288</v>
      </c>
      <c r="AD122" s="124">
        <v>5242.6487703439288</v>
      </c>
      <c r="AE122" s="124">
        <v>5242.6487703439288</v>
      </c>
      <c r="AF122" s="124">
        <v>5242.6487703439288</v>
      </c>
      <c r="AG122" s="124">
        <v>5242.6487703439288</v>
      </c>
      <c r="AH122" s="124">
        <v>5242.6487703439288</v>
      </c>
      <c r="AI122" s="124">
        <v>5242.6487703439288</v>
      </c>
      <c r="AJ122" s="124">
        <v>5242.6487703439288</v>
      </c>
      <c r="AK122" s="124">
        <v>5242.6487703439288</v>
      </c>
      <c r="AL122" s="124">
        <v>5242.6487703439288</v>
      </c>
      <c r="AM122" s="124">
        <v>5242.6487703439288</v>
      </c>
      <c r="AN122" s="124">
        <v>5242.6487703439288</v>
      </c>
      <c r="AO122" s="124">
        <v>5242.6487703439288</v>
      </c>
      <c r="AP122" s="124">
        <v>5242.6487703439288</v>
      </c>
      <c r="AQ122" s="124">
        <v>5242.6487703439288</v>
      </c>
      <c r="AR122" s="124">
        <v>5242.6487703439288</v>
      </c>
      <c r="AS122" s="124">
        <v>5242.6487703439288</v>
      </c>
      <c r="AT122" s="124">
        <v>5242.6487703439288</v>
      </c>
      <c r="AU122" s="124">
        <v>5242.6487703439288</v>
      </c>
      <c r="AV122" s="124">
        <v>5242.6487703439288</v>
      </c>
      <c r="AW122" s="124">
        <v>5242.6487703439288</v>
      </c>
      <c r="AX122" s="124">
        <v>5242.6487703439288</v>
      </c>
      <c r="AY122" s="124">
        <v>5242.6487703439288</v>
      </c>
    </row>
    <row r="123" spans="1:52" x14ac:dyDescent="0.2">
      <c r="A123" s="127"/>
      <c r="B123" s="136">
        <v>2</v>
      </c>
      <c r="C123" s="124">
        <v>173.22729724805356</v>
      </c>
      <c r="D123" s="124">
        <v>181.58709701203543</v>
      </c>
      <c r="E123" s="124">
        <v>2922.9487830836065</v>
      </c>
      <c r="F123" s="124">
        <v>3628.9572870683514</v>
      </c>
      <c r="G123" s="124">
        <v>3504.7957231470414</v>
      </c>
      <c r="H123" s="124">
        <v>3504.7957231470414</v>
      </c>
      <c r="I123" s="124">
        <v>3504.7957231470414</v>
      </c>
      <c r="J123" s="124">
        <v>3504.7957231470414</v>
      </c>
      <c r="K123" s="124">
        <v>3504.7957231470414</v>
      </c>
      <c r="L123" s="124">
        <v>3504.7957231470414</v>
      </c>
      <c r="M123" s="124">
        <v>3504.7957231470414</v>
      </c>
      <c r="N123" s="124">
        <v>3504.7957231470414</v>
      </c>
      <c r="O123" s="124">
        <v>3504.7957231470414</v>
      </c>
      <c r="P123" s="124">
        <v>3504.7957231470414</v>
      </c>
      <c r="Q123" s="124">
        <v>3504.7957231470414</v>
      </c>
      <c r="R123" s="124">
        <v>3504.7957231470414</v>
      </c>
      <c r="S123" s="124">
        <v>3504.7957231470414</v>
      </c>
      <c r="T123" s="124">
        <v>3504.7957231470414</v>
      </c>
      <c r="U123" s="124">
        <v>3504.7957231470414</v>
      </c>
      <c r="V123" s="124">
        <v>3504.7957231470414</v>
      </c>
      <c r="W123" s="124">
        <v>3504.7957231470414</v>
      </c>
      <c r="X123" s="124">
        <v>3504.7957231470414</v>
      </c>
      <c r="Y123" s="124">
        <v>3504.7957231470414</v>
      </c>
      <c r="Z123" s="124">
        <v>3504.7957231470414</v>
      </c>
      <c r="AA123" s="124">
        <v>3504.7957231470414</v>
      </c>
      <c r="AB123" s="124">
        <v>3504.7957231470414</v>
      </c>
      <c r="AC123" s="124">
        <v>3504.7957231470414</v>
      </c>
      <c r="AD123" s="124">
        <v>3504.7957231470414</v>
      </c>
      <c r="AE123" s="124">
        <v>3504.7957231470414</v>
      </c>
      <c r="AF123" s="124">
        <v>3504.7957231470414</v>
      </c>
      <c r="AG123" s="124">
        <v>3504.7957231470414</v>
      </c>
      <c r="AH123" s="124">
        <v>3504.7957231470414</v>
      </c>
      <c r="AI123" s="124">
        <v>3504.7957231470414</v>
      </c>
      <c r="AJ123" s="124">
        <v>3504.7957231470414</v>
      </c>
      <c r="AK123" s="124">
        <v>3504.7957231470414</v>
      </c>
      <c r="AL123" s="124">
        <v>3504.7957231470414</v>
      </c>
      <c r="AM123" s="124">
        <v>3504.7957231470414</v>
      </c>
      <c r="AN123" s="124">
        <v>3504.7957231470414</v>
      </c>
      <c r="AO123" s="124">
        <v>3504.7957231470414</v>
      </c>
      <c r="AP123" s="124">
        <v>3504.7957231470414</v>
      </c>
      <c r="AQ123" s="124">
        <v>3504.7957231470414</v>
      </c>
      <c r="AR123" s="124">
        <v>3504.7957231470414</v>
      </c>
      <c r="AS123" s="124">
        <v>3504.7957231470414</v>
      </c>
      <c r="AT123" s="124">
        <v>3504.7957231470414</v>
      </c>
      <c r="AU123" s="124">
        <v>3504.7957231470414</v>
      </c>
      <c r="AV123" s="124">
        <v>3504.7957231470414</v>
      </c>
      <c r="AW123" s="124">
        <v>3504.7957231470414</v>
      </c>
      <c r="AX123" s="124">
        <v>3504.7957231470414</v>
      </c>
      <c r="AY123" s="124">
        <v>3504.7957231470414</v>
      </c>
    </row>
    <row r="124" spans="1:52" x14ac:dyDescent="0.2">
      <c r="A124" s="127"/>
      <c r="B124" s="136">
        <v>3</v>
      </c>
      <c r="C124" s="124">
        <v>0</v>
      </c>
      <c r="D124" s="124">
        <v>0</v>
      </c>
      <c r="E124" s="124">
        <v>0</v>
      </c>
      <c r="F124" s="124">
        <v>1309.0386630281973</v>
      </c>
      <c r="G124" s="124">
        <v>2426.0167973003599</v>
      </c>
      <c r="H124" s="124">
        <v>2343.012778287637</v>
      </c>
      <c r="I124" s="124">
        <v>2343.012778287637</v>
      </c>
      <c r="J124" s="124">
        <v>2343.012778287637</v>
      </c>
      <c r="K124" s="124">
        <v>2343.012778287637</v>
      </c>
      <c r="L124" s="124">
        <v>2343.012778287637</v>
      </c>
      <c r="M124" s="124">
        <v>2343.012778287637</v>
      </c>
      <c r="N124" s="124">
        <v>2343.012778287637</v>
      </c>
      <c r="O124" s="124">
        <v>2343.012778287637</v>
      </c>
      <c r="P124" s="124">
        <v>2343.012778287637</v>
      </c>
      <c r="Q124" s="124">
        <v>2343.012778287637</v>
      </c>
      <c r="R124" s="124">
        <v>2343.012778287637</v>
      </c>
      <c r="S124" s="124">
        <v>2343.012778287637</v>
      </c>
      <c r="T124" s="124">
        <v>2343.012778287637</v>
      </c>
      <c r="U124" s="124">
        <v>2343.012778287637</v>
      </c>
      <c r="V124" s="124">
        <v>2343.012778287637</v>
      </c>
      <c r="W124" s="124">
        <v>2343.012778287637</v>
      </c>
      <c r="X124" s="124">
        <v>2343.012778287637</v>
      </c>
      <c r="Y124" s="124">
        <v>2343.012778287637</v>
      </c>
      <c r="Z124" s="124">
        <v>2343.012778287637</v>
      </c>
      <c r="AA124" s="124">
        <v>2343.012778287637</v>
      </c>
      <c r="AB124" s="124">
        <v>2343.012778287637</v>
      </c>
      <c r="AC124" s="124">
        <v>2343.012778287637</v>
      </c>
      <c r="AD124" s="124">
        <v>2343.012778287637</v>
      </c>
      <c r="AE124" s="124">
        <v>2343.012778287637</v>
      </c>
      <c r="AF124" s="124">
        <v>2343.012778287637</v>
      </c>
      <c r="AG124" s="124">
        <v>2343.012778287637</v>
      </c>
      <c r="AH124" s="124">
        <v>2343.012778287637</v>
      </c>
      <c r="AI124" s="124">
        <v>2343.012778287637</v>
      </c>
      <c r="AJ124" s="124">
        <v>2343.012778287637</v>
      </c>
      <c r="AK124" s="124">
        <v>2343.012778287637</v>
      </c>
      <c r="AL124" s="124">
        <v>2343.012778287637</v>
      </c>
      <c r="AM124" s="124">
        <v>2343.012778287637</v>
      </c>
      <c r="AN124" s="124">
        <v>2343.012778287637</v>
      </c>
      <c r="AO124" s="124">
        <v>2343.012778287637</v>
      </c>
      <c r="AP124" s="124">
        <v>2343.012778287637</v>
      </c>
      <c r="AQ124" s="124">
        <v>2343.012778287637</v>
      </c>
      <c r="AR124" s="124">
        <v>2343.012778287637</v>
      </c>
      <c r="AS124" s="124">
        <v>2343.012778287637</v>
      </c>
      <c r="AT124" s="124">
        <v>2343.012778287637</v>
      </c>
      <c r="AU124" s="124">
        <v>2343.012778287637</v>
      </c>
      <c r="AV124" s="124">
        <v>2343.012778287637</v>
      </c>
      <c r="AW124" s="124">
        <v>2343.012778287637</v>
      </c>
      <c r="AX124" s="124">
        <v>2343.012778287637</v>
      </c>
      <c r="AY124" s="124">
        <v>2343.012778287637</v>
      </c>
    </row>
    <row r="125" spans="1:52" x14ac:dyDescent="0.2">
      <c r="A125" s="127"/>
      <c r="B125" s="136">
        <v>4</v>
      </c>
      <c r="C125" s="124">
        <v>0</v>
      </c>
      <c r="D125" s="124">
        <v>0</v>
      </c>
      <c r="E125" s="124">
        <v>0</v>
      </c>
      <c r="F125" s="124">
        <v>0</v>
      </c>
      <c r="G125" s="124">
        <v>287.11357494855986</v>
      </c>
      <c r="H125" s="124">
        <v>1068.7716527545572</v>
      </c>
      <c r="I125" s="124">
        <v>1547.8332211489919</v>
      </c>
      <c r="J125" s="124">
        <v>1566.3420389847454</v>
      </c>
      <c r="K125" s="124">
        <v>1566.3420389847454</v>
      </c>
      <c r="L125" s="124">
        <v>1566.3420389847454</v>
      </c>
      <c r="M125" s="124">
        <v>1566.3420389847454</v>
      </c>
      <c r="N125" s="124">
        <v>1566.3420389847454</v>
      </c>
      <c r="O125" s="124">
        <v>1566.3420389847454</v>
      </c>
      <c r="P125" s="124">
        <v>1566.3420389847454</v>
      </c>
      <c r="Q125" s="124">
        <v>1566.3420389847454</v>
      </c>
      <c r="R125" s="124">
        <v>1566.3420389847454</v>
      </c>
      <c r="S125" s="124">
        <v>1566.3420389847454</v>
      </c>
      <c r="T125" s="124">
        <v>1566.3420389847454</v>
      </c>
      <c r="U125" s="124">
        <v>1566.3420389847454</v>
      </c>
      <c r="V125" s="124">
        <v>1566.3420389847454</v>
      </c>
      <c r="W125" s="124">
        <v>1566.3420389847454</v>
      </c>
      <c r="X125" s="124">
        <v>1566.3420389847454</v>
      </c>
      <c r="Y125" s="124">
        <v>1566.3420389847454</v>
      </c>
      <c r="Z125" s="124">
        <v>1566.3420389847454</v>
      </c>
      <c r="AA125" s="124">
        <v>1566.3420389847454</v>
      </c>
      <c r="AB125" s="124">
        <v>1566.3420389847454</v>
      </c>
      <c r="AC125" s="124">
        <v>1566.3420389847454</v>
      </c>
      <c r="AD125" s="124">
        <v>1566.3420389847454</v>
      </c>
      <c r="AE125" s="124">
        <v>1566.3420389847454</v>
      </c>
      <c r="AF125" s="124">
        <v>1566.3420389847454</v>
      </c>
      <c r="AG125" s="124">
        <v>1566.3420389847454</v>
      </c>
      <c r="AH125" s="124">
        <v>1566.3420389847454</v>
      </c>
      <c r="AI125" s="124">
        <v>1566.3420389847454</v>
      </c>
      <c r="AJ125" s="124">
        <v>1566.3420389847454</v>
      </c>
      <c r="AK125" s="124">
        <v>1566.3420389847454</v>
      </c>
      <c r="AL125" s="124">
        <v>1566.3420389847454</v>
      </c>
      <c r="AM125" s="124">
        <v>1566.3420389847454</v>
      </c>
      <c r="AN125" s="124">
        <v>1566.3420389847454</v>
      </c>
      <c r="AO125" s="124">
        <v>1566.3420389847454</v>
      </c>
      <c r="AP125" s="124">
        <v>1566.3420389847454</v>
      </c>
      <c r="AQ125" s="124">
        <v>1566.3420389847454</v>
      </c>
      <c r="AR125" s="124">
        <v>1566.3420389847454</v>
      </c>
      <c r="AS125" s="124">
        <v>1566.3420389847454</v>
      </c>
      <c r="AT125" s="124">
        <v>1566.3420389847454</v>
      </c>
      <c r="AU125" s="124">
        <v>1566.3420389847454</v>
      </c>
      <c r="AV125" s="124">
        <v>1566.3420389847454</v>
      </c>
      <c r="AW125" s="124">
        <v>1566.3420389847454</v>
      </c>
      <c r="AX125" s="124">
        <v>1566.3420389847454</v>
      </c>
      <c r="AY125" s="124">
        <v>1566.3420389847454</v>
      </c>
    </row>
    <row r="126" spans="1:52" x14ac:dyDescent="0.2">
      <c r="A126" s="127"/>
      <c r="B126" s="136">
        <v>5</v>
      </c>
      <c r="C126" s="124">
        <v>0</v>
      </c>
      <c r="D126" s="124">
        <v>0</v>
      </c>
      <c r="E126" s="124">
        <v>0</v>
      </c>
      <c r="F126" s="124">
        <v>0</v>
      </c>
      <c r="G126" s="124">
        <v>0</v>
      </c>
      <c r="H126" s="124">
        <v>0</v>
      </c>
      <c r="I126" s="124">
        <v>0</v>
      </c>
      <c r="J126" s="124">
        <v>361.75160958990091</v>
      </c>
      <c r="K126" s="124">
        <v>654.96187201724047</v>
      </c>
      <c r="L126" s="124">
        <v>715.97768744840585</v>
      </c>
      <c r="M126" s="124">
        <v>835.76774955921337</v>
      </c>
      <c r="N126" s="124">
        <v>1040.8493487188562</v>
      </c>
      <c r="O126" s="124">
        <v>1047.1250544710847</v>
      </c>
      <c r="P126" s="124">
        <v>1015.4426366382972</v>
      </c>
      <c r="Q126" s="124">
        <v>1041.9649245235632</v>
      </c>
      <c r="R126" s="124">
        <v>970.69550408749944</v>
      </c>
      <c r="S126" s="124">
        <v>1047.1250544710847</v>
      </c>
      <c r="T126" s="124">
        <v>1047.1250544710847</v>
      </c>
      <c r="U126" s="124">
        <v>1039.1403651291221</v>
      </c>
      <c r="V126" s="124">
        <v>1047.1250544710847</v>
      </c>
      <c r="W126" s="124">
        <v>1047.1250544710847</v>
      </c>
      <c r="X126" s="124">
        <v>1047.1250544710847</v>
      </c>
      <c r="Y126" s="124">
        <v>1047.1250544710847</v>
      </c>
      <c r="Z126" s="124">
        <v>1047.1250544710847</v>
      </c>
      <c r="AA126" s="124">
        <v>1047.1250544710847</v>
      </c>
      <c r="AB126" s="124">
        <v>1047.1250544710847</v>
      </c>
      <c r="AC126" s="124">
        <v>1047.1250544710847</v>
      </c>
      <c r="AD126" s="124">
        <v>1047.1250544710847</v>
      </c>
      <c r="AE126" s="124">
        <v>1033.9810154239881</v>
      </c>
      <c r="AF126" s="124">
        <v>1019.3581313791709</v>
      </c>
      <c r="AG126" s="124">
        <v>1018.5824962555179</v>
      </c>
      <c r="AH126" s="124">
        <v>1047.1250544710847</v>
      </c>
      <c r="AI126" s="124">
        <v>1047.1250544710847</v>
      </c>
      <c r="AJ126" s="124">
        <v>1047.1250544710847</v>
      </c>
      <c r="AK126" s="124">
        <v>1047.1250544710847</v>
      </c>
      <c r="AL126" s="124">
        <v>1047.1250544710847</v>
      </c>
      <c r="AM126" s="124">
        <v>1047.1250544710847</v>
      </c>
      <c r="AN126" s="124">
        <v>1047.1250544710847</v>
      </c>
      <c r="AO126" s="124">
        <v>1047.1250544710847</v>
      </c>
      <c r="AP126" s="124">
        <v>1047.1250544710847</v>
      </c>
      <c r="AQ126" s="124">
        <v>1047.1250544710847</v>
      </c>
      <c r="AR126" s="124">
        <v>1047.1250544710847</v>
      </c>
      <c r="AS126" s="124">
        <v>1047.1250544710847</v>
      </c>
      <c r="AT126" s="124">
        <v>1047.1250544710847</v>
      </c>
      <c r="AU126" s="124">
        <v>966.87985300980779</v>
      </c>
      <c r="AV126" s="124">
        <v>1047.1250544710847</v>
      </c>
      <c r="AW126" s="124">
        <v>983.45677089534854</v>
      </c>
      <c r="AX126" s="124">
        <v>939.5818545587814</v>
      </c>
      <c r="AY126" s="124">
        <v>974.25076146712138</v>
      </c>
    </row>
    <row r="127" spans="1:52" x14ac:dyDescent="0.2">
      <c r="A127" s="127"/>
      <c r="B127" s="136">
        <v>6</v>
      </c>
      <c r="C127" s="124">
        <v>0</v>
      </c>
      <c r="D127" s="124">
        <v>0</v>
      </c>
      <c r="E127" s="124">
        <v>0</v>
      </c>
      <c r="F127" s="124">
        <v>0</v>
      </c>
      <c r="G127" s="124">
        <v>0</v>
      </c>
      <c r="H127" s="124">
        <v>0</v>
      </c>
      <c r="I127" s="124">
        <v>0</v>
      </c>
      <c r="J127" s="124">
        <v>0</v>
      </c>
      <c r="K127" s="124">
        <v>0</v>
      </c>
      <c r="L127" s="124">
        <v>0</v>
      </c>
      <c r="M127" s="124">
        <v>0</v>
      </c>
      <c r="N127" s="124">
        <v>0</v>
      </c>
      <c r="O127" s="124">
        <v>43.82466909964603</v>
      </c>
      <c r="P127" s="124">
        <v>0</v>
      </c>
      <c r="Q127" s="124">
        <v>0</v>
      </c>
      <c r="R127" s="124">
        <v>0</v>
      </c>
      <c r="S127" s="124">
        <v>185.92568627685228</v>
      </c>
      <c r="T127" s="124">
        <v>64.314416606084365</v>
      </c>
      <c r="U127" s="124">
        <v>0</v>
      </c>
      <c r="V127" s="124">
        <v>0.68218585527733921</v>
      </c>
      <c r="W127" s="124">
        <v>6.4761324755737633</v>
      </c>
      <c r="X127" s="124">
        <v>91.349479751825697</v>
      </c>
      <c r="Y127" s="124">
        <v>25.088688799291049</v>
      </c>
      <c r="Z127" s="124">
        <v>186.79227549454311</v>
      </c>
      <c r="AA127" s="124">
        <v>204.89374555161066</v>
      </c>
      <c r="AB127" s="124">
        <v>72.994871836773314</v>
      </c>
      <c r="AC127" s="124">
        <v>68.818335750922301</v>
      </c>
      <c r="AD127" s="124">
        <v>82.02625364653602</v>
      </c>
      <c r="AE127" s="124">
        <v>0</v>
      </c>
      <c r="AF127" s="124">
        <v>0</v>
      </c>
      <c r="AG127" s="124">
        <v>0</v>
      </c>
      <c r="AH127" s="124">
        <v>39.938917125776129</v>
      </c>
      <c r="AI127" s="124">
        <v>80.719893957339195</v>
      </c>
      <c r="AJ127" s="124">
        <v>102.98263831540623</v>
      </c>
      <c r="AK127" s="124">
        <v>155.86564395428115</v>
      </c>
      <c r="AL127" s="124">
        <v>219.21879082895356</v>
      </c>
      <c r="AM127" s="124">
        <v>109.57139691431064</v>
      </c>
      <c r="AN127" s="124">
        <v>72.270335927719088</v>
      </c>
      <c r="AO127" s="124">
        <v>25.333971745901749</v>
      </c>
      <c r="AP127" s="124">
        <v>75.956251122112349</v>
      </c>
      <c r="AQ127" s="124">
        <v>137.79806582793674</v>
      </c>
      <c r="AR127" s="124">
        <v>119.1403218491057</v>
      </c>
      <c r="AS127" s="124">
        <v>178.66731742613536</v>
      </c>
      <c r="AT127" s="124">
        <v>50.462079320222756</v>
      </c>
      <c r="AU127" s="124">
        <v>0</v>
      </c>
      <c r="AV127" s="124">
        <v>33.374861652902155</v>
      </c>
      <c r="AW127" s="124">
        <v>0</v>
      </c>
      <c r="AX127" s="124">
        <v>0</v>
      </c>
      <c r="AY127" s="124">
        <v>0</v>
      </c>
    </row>
    <row r="128" spans="1:52" x14ac:dyDescent="0.2">
      <c r="A128" s="127"/>
      <c r="B128" s="136">
        <v>7</v>
      </c>
      <c r="C128" s="124">
        <v>0</v>
      </c>
      <c r="D128" s="124">
        <v>0</v>
      </c>
      <c r="E128" s="124">
        <v>0</v>
      </c>
      <c r="F128" s="124">
        <v>0</v>
      </c>
      <c r="G128" s="124">
        <v>0</v>
      </c>
      <c r="H128" s="124">
        <v>0</v>
      </c>
      <c r="I128" s="124">
        <v>0</v>
      </c>
      <c r="J128" s="124">
        <v>0</v>
      </c>
      <c r="K128" s="124">
        <v>0</v>
      </c>
      <c r="L128" s="124">
        <v>0</v>
      </c>
      <c r="M128" s="124">
        <v>0</v>
      </c>
      <c r="N128" s="124">
        <v>0</v>
      </c>
      <c r="O128" s="124">
        <v>0</v>
      </c>
      <c r="P128" s="124">
        <v>0</v>
      </c>
      <c r="Q128" s="124">
        <v>0</v>
      </c>
      <c r="R128" s="124">
        <v>0</v>
      </c>
      <c r="S128" s="124">
        <v>0</v>
      </c>
      <c r="T128" s="124">
        <v>0</v>
      </c>
      <c r="U128" s="124">
        <v>0</v>
      </c>
      <c r="V128" s="124">
        <v>0</v>
      </c>
      <c r="W128" s="124">
        <v>0</v>
      </c>
      <c r="X128" s="124">
        <v>0</v>
      </c>
      <c r="Y128" s="124">
        <v>0</v>
      </c>
      <c r="Z128" s="124">
        <v>0</v>
      </c>
      <c r="AA128" s="124">
        <v>0</v>
      </c>
      <c r="AB128" s="124">
        <v>0</v>
      </c>
      <c r="AC128" s="124">
        <v>0</v>
      </c>
      <c r="AD128" s="124">
        <v>0</v>
      </c>
      <c r="AE128" s="124">
        <v>0</v>
      </c>
      <c r="AF128" s="124">
        <v>0</v>
      </c>
      <c r="AG128" s="124">
        <v>0</v>
      </c>
      <c r="AH128" s="124">
        <v>0</v>
      </c>
      <c r="AI128" s="124">
        <v>0</v>
      </c>
      <c r="AJ128" s="124">
        <v>0</v>
      </c>
      <c r="AK128" s="124">
        <v>0</v>
      </c>
      <c r="AL128" s="124">
        <v>0</v>
      </c>
      <c r="AM128" s="124">
        <v>0</v>
      </c>
      <c r="AN128" s="124">
        <v>0</v>
      </c>
      <c r="AO128" s="124">
        <v>0</v>
      </c>
      <c r="AP128" s="124">
        <v>0</v>
      </c>
      <c r="AQ128" s="124">
        <v>0</v>
      </c>
      <c r="AR128" s="124">
        <v>0</v>
      </c>
      <c r="AS128" s="124">
        <v>0</v>
      </c>
      <c r="AT128" s="124">
        <v>0</v>
      </c>
      <c r="AU128" s="124">
        <v>0</v>
      </c>
      <c r="AV128" s="124">
        <v>0</v>
      </c>
      <c r="AW128" s="124">
        <v>0</v>
      </c>
      <c r="AX128" s="124">
        <v>0</v>
      </c>
      <c r="AY128" s="124">
        <v>0</v>
      </c>
    </row>
    <row r="129" spans="1:51" x14ac:dyDescent="0.2">
      <c r="A129" s="127"/>
      <c r="B129" s="136">
        <v>8</v>
      </c>
      <c r="C129" s="124">
        <v>0</v>
      </c>
      <c r="D129" s="124">
        <v>0</v>
      </c>
      <c r="E129" s="124">
        <v>0</v>
      </c>
      <c r="F129" s="124">
        <v>0</v>
      </c>
      <c r="G129" s="124">
        <v>0</v>
      </c>
      <c r="H129" s="124">
        <v>0</v>
      </c>
      <c r="I129" s="124">
        <v>0</v>
      </c>
      <c r="J129" s="124">
        <v>0</v>
      </c>
      <c r="K129" s="124">
        <v>0</v>
      </c>
      <c r="L129" s="124">
        <v>0</v>
      </c>
      <c r="M129" s="124">
        <v>0</v>
      </c>
      <c r="N129" s="124">
        <v>0</v>
      </c>
      <c r="O129" s="124">
        <v>0</v>
      </c>
      <c r="P129" s="124">
        <v>0</v>
      </c>
      <c r="Q129" s="124">
        <v>0</v>
      </c>
      <c r="R129" s="124">
        <v>0</v>
      </c>
      <c r="S129" s="124">
        <v>0</v>
      </c>
      <c r="T129" s="124">
        <v>0</v>
      </c>
      <c r="U129" s="124">
        <v>0</v>
      </c>
      <c r="V129" s="124">
        <v>0</v>
      </c>
      <c r="W129" s="124">
        <v>0</v>
      </c>
      <c r="X129" s="124">
        <v>0</v>
      </c>
      <c r="Y129" s="124">
        <v>0</v>
      </c>
      <c r="Z129" s="124">
        <v>0</v>
      </c>
      <c r="AA129" s="124">
        <v>0</v>
      </c>
      <c r="AB129" s="124">
        <v>0</v>
      </c>
      <c r="AC129" s="124">
        <v>0</v>
      </c>
      <c r="AD129" s="124">
        <v>0</v>
      </c>
      <c r="AE129" s="124">
        <v>0</v>
      </c>
      <c r="AF129" s="124">
        <v>0</v>
      </c>
      <c r="AG129" s="124">
        <v>0</v>
      </c>
      <c r="AH129" s="124">
        <v>0</v>
      </c>
      <c r="AI129" s="124">
        <v>0</v>
      </c>
      <c r="AJ129" s="124">
        <v>0</v>
      </c>
      <c r="AK129" s="124">
        <v>0</v>
      </c>
      <c r="AL129" s="124">
        <v>0</v>
      </c>
      <c r="AM129" s="124">
        <v>0</v>
      </c>
      <c r="AN129" s="124">
        <v>0</v>
      </c>
      <c r="AO129" s="124">
        <v>0</v>
      </c>
      <c r="AP129" s="124">
        <v>0</v>
      </c>
      <c r="AQ129" s="124">
        <v>0</v>
      </c>
      <c r="AR129" s="124">
        <v>0</v>
      </c>
      <c r="AS129" s="124">
        <v>0</v>
      </c>
      <c r="AT129" s="124">
        <v>0</v>
      </c>
      <c r="AU129" s="124">
        <v>0</v>
      </c>
      <c r="AV129" s="124">
        <v>0</v>
      </c>
      <c r="AW129" s="124">
        <v>0</v>
      </c>
      <c r="AX129" s="124">
        <v>0</v>
      </c>
      <c r="AY129" s="124">
        <v>0</v>
      </c>
    </row>
    <row r="130" spans="1:51" x14ac:dyDescent="0.2">
      <c r="A130" s="127"/>
      <c r="B130" s="136">
        <v>9</v>
      </c>
      <c r="C130" s="124">
        <v>0</v>
      </c>
      <c r="D130" s="124">
        <v>0</v>
      </c>
      <c r="E130" s="124">
        <v>0</v>
      </c>
      <c r="F130" s="124">
        <v>0</v>
      </c>
      <c r="G130" s="124">
        <v>0</v>
      </c>
      <c r="H130" s="124">
        <v>0</v>
      </c>
      <c r="I130" s="124">
        <v>0</v>
      </c>
      <c r="J130" s="124">
        <v>0</v>
      </c>
      <c r="K130" s="124">
        <v>0</v>
      </c>
      <c r="L130" s="124">
        <v>0</v>
      </c>
      <c r="M130" s="124">
        <v>0</v>
      </c>
      <c r="N130" s="124">
        <v>0</v>
      </c>
      <c r="O130" s="124">
        <v>0</v>
      </c>
      <c r="P130" s="124">
        <v>0</v>
      </c>
      <c r="Q130" s="124">
        <v>0</v>
      </c>
      <c r="R130" s="124">
        <v>0</v>
      </c>
      <c r="S130" s="124">
        <v>0</v>
      </c>
      <c r="T130" s="124">
        <v>0</v>
      </c>
      <c r="U130" s="124">
        <v>0</v>
      </c>
      <c r="V130" s="124">
        <v>0</v>
      </c>
      <c r="W130" s="124">
        <v>0</v>
      </c>
      <c r="X130" s="124">
        <v>0</v>
      </c>
      <c r="Y130" s="124">
        <v>0</v>
      </c>
      <c r="Z130" s="124">
        <v>0</v>
      </c>
      <c r="AA130" s="124">
        <v>0</v>
      </c>
      <c r="AB130" s="124">
        <v>0</v>
      </c>
      <c r="AC130" s="124">
        <v>0</v>
      </c>
      <c r="AD130" s="124">
        <v>0</v>
      </c>
      <c r="AE130" s="124">
        <v>0</v>
      </c>
      <c r="AF130" s="124">
        <v>0</v>
      </c>
      <c r="AG130" s="124">
        <v>0</v>
      </c>
      <c r="AH130" s="124">
        <v>0</v>
      </c>
      <c r="AI130" s="124">
        <v>0</v>
      </c>
      <c r="AJ130" s="124">
        <v>0</v>
      </c>
      <c r="AK130" s="124">
        <v>0</v>
      </c>
      <c r="AL130" s="124">
        <v>0</v>
      </c>
      <c r="AM130" s="124">
        <v>0</v>
      </c>
      <c r="AN130" s="124">
        <v>0</v>
      </c>
      <c r="AO130" s="124">
        <v>0</v>
      </c>
      <c r="AP130" s="124">
        <v>0</v>
      </c>
      <c r="AQ130" s="124">
        <v>0</v>
      </c>
      <c r="AR130" s="124">
        <v>0</v>
      </c>
      <c r="AS130" s="124">
        <v>0</v>
      </c>
      <c r="AT130" s="124">
        <v>0</v>
      </c>
      <c r="AU130" s="124">
        <v>0</v>
      </c>
      <c r="AV130" s="124">
        <v>0</v>
      </c>
      <c r="AW130" s="124">
        <v>0</v>
      </c>
      <c r="AX130" s="124">
        <v>0</v>
      </c>
      <c r="AY130" s="124">
        <v>0</v>
      </c>
    </row>
    <row r="131" spans="1:51" x14ac:dyDescent="0.2">
      <c r="A131" s="127"/>
      <c r="B131" s="136">
        <v>10</v>
      </c>
      <c r="C131" s="124">
        <v>0</v>
      </c>
      <c r="D131" s="124">
        <v>0</v>
      </c>
      <c r="E131" s="124">
        <v>0</v>
      </c>
      <c r="F131" s="124">
        <v>0</v>
      </c>
      <c r="G131" s="124">
        <v>0</v>
      </c>
      <c r="H131" s="124">
        <v>0</v>
      </c>
      <c r="I131" s="124">
        <v>0</v>
      </c>
      <c r="J131" s="124">
        <v>0</v>
      </c>
      <c r="K131" s="124">
        <v>0</v>
      </c>
      <c r="L131" s="124">
        <v>0</v>
      </c>
      <c r="M131" s="124">
        <v>0</v>
      </c>
      <c r="N131" s="124">
        <v>0</v>
      </c>
      <c r="O131" s="124">
        <v>0</v>
      </c>
      <c r="P131" s="124">
        <v>0</v>
      </c>
      <c r="Q131" s="124">
        <v>0</v>
      </c>
      <c r="R131" s="124">
        <v>0</v>
      </c>
      <c r="S131" s="124">
        <v>0</v>
      </c>
      <c r="T131" s="124">
        <v>0</v>
      </c>
      <c r="U131" s="124">
        <v>0</v>
      </c>
      <c r="V131" s="124">
        <v>0</v>
      </c>
      <c r="W131" s="124">
        <v>0</v>
      </c>
      <c r="X131" s="124">
        <v>0</v>
      </c>
      <c r="Y131" s="124">
        <v>0</v>
      </c>
      <c r="Z131" s="124">
        <v>0</v>
      </c>
      <c r="AA131" s="124">
        <v>0</v>
      </c>
      <c r="AB131" s="124">
        <v>0</v>
      </c>
      <c r="AC131" s="124">
        <v>0</v>
      </c>
      <c r="AD131" s="124">
        <v>0</v>
      </c>
      <c r="AE131" s="124">
        <v>0</v>
      </c>
      <c r="AF131" s="124">
        <v>0</v>
      </c>
      <c r="AG131" s="124">
        <v>0</v>
      </c>
      <c r="AH131" s="124">
        <v>0</v>
      </c>
      <c r="AI131" s="124">
        <v>0</v>
      </c>
      <c r="AJ131" s="124">
        <v>0</v>
      </c>
      <c r="AK131" s="124">
        <v>0</v>
      </c>
      <c r="AL131" s="124">
        <v>0</v>
      </c>
      <c r="AM131" s="124">
        <v>0</v>
      </c>
      <c r="AN131" s="124">
        <v>0</v>
      </c>
      <c r="AO131" s="124">
        <v>0</v>
      </c>
      <c r="AP131" s="124">
        <v>0</v>
      </c>
      <c r="AQ131" s="124">
        <v>0</v>
      </c>
      <c r="AR131" s="124">
        <v>0</v>
      </c>
      <c r="AS131" s="124">
        <v>0</v>
      </c>
      <c r="AT131" s="124">
        <v>0</v>
      </c>
      <c r="AU131" s="124">
        <v>0</v>
      </c>
      <c r="AV131" s="124">
        <v>0</v>
      </c>
      <c r="AW131" s="124">
        <v>0</v>
      </c>
      <c r="AX131" s="124">
        <v>0</v>
      </c>
      <c r="AY131" s="124">
        <v>0</v>
      </c>
    </row>
    <row r="132" spans="1:51" x14ac:dyDescent="0.2">
      <c r="A132" s="127"/>
      <c r="B132" s="136">
        <v>11</v>
      </c>
      <c r="C132" s="124">
        <v>0</v>
      </c>
      <c r="D132" s="124">
        <v>0</v>
      </c>
      <c r="E132" s="124">
        <v>0</v>
      </c>
      <c r="F132" s="124">
        <v>0</v>
      </c>
      <c r="G132" s="124">
        <v>0</v>
      </c>
      <c r="H132" s="124">
        <v>0</v>
      </c>
      <c r="I132" s="124">
        <v>0</v>
      </c>
      <c r="J132" s="124">
        <v>0</v>
      </c>
      <c r="K132" s="124">
        <v>0</v>
      </c>
      <c r="L132" s="124">
        <v>0</v>
      </c>
      <c r="M132" s="124">
        <v>0</v>
      </c>
      <c r="N132" s="124">
        <v>0</v>
      </c>
      <c r="O132" s="124">
        <v>0</v>
      </c>
      <c r="P132" s="124">
        <v>0</v>
      </c>
      <c r="Q132" s="124">
        <v>0</v>
      </c>
      <c r="R132" s="124">
        <v>0</v>
      </c>
      <c r="S132" s="124">
        <v>0</v>
      </c>
      <c r="T132" s="124">
        <v>0</v>
      </c>
      <c r="U132" s="124">
        <v>0</v>
      </c>
      <c r="V132" s="124">
        <v>0</v>
      </c>
      <c r="W132" s="124">
        <v>0</v>
      </c>
      <c r="X132" s="124">
        <v>0</v>
      </c>
      <c r="Y132" s="124">
        <v>0</v>
      </c>
      <c r="Z132" s="124">
        <v>0</v>
      </c>
      <c r="AA132" s="124">
        <v>0</v>
      </c>
      <c r="AB132" s="124">
        <v>0</v>
      </c>
      <c r="AC132" s="124">
        <v>0</v>
      </c>
      <c r="AD132" s="124">
        <v>0</v>
      </c>
      <c r="AE132" s="124">
        <v>0</v>
      </c>
      <c r="AF132" s="124">
        <v>0</v>
      </c>
      <c r="AG132" s="124">
        <v>0</v>
      </c>
      <c r="AH132" s="124">
        <v>0</v>
      </c>
      <c r="AI132" s="124">
        <v>0</v>
      </c>
      <c r="AJ132" s="124">
        <v>0</v>
      </c>
      <c r="AK132" s="124">
        <v>0</v>
      </c>
      <c r="AL132" s="124">
        <v>0</v>
      </c>
      <c r="AM132" s="124">
        <v>0</v>
      </c>
      <c r="AN132" s="124">
        <v>0</v>
      </c>
      <c r="AO132" s="124">
        <v>0</v>
      </c>
      <c r="AP132" s="124">
        <v>0</v>
      </c>
      <c r="AQ132" s="124">
        <v>0</v>
      </c>
      <c r="AR132" s="124">
        <v>0</v>
      </c>
      <c r="AS132" s="124">
        <v>0</v>
      </c>
      <c r="AT132" s="124">
        <v>0</v>
      </c>
      <c r="AU132" s="124">
        <v>0</v>
      </c>
      <c r="AV132" s="124">
        <v>0</v>
      </c>
      <c r="AW132" s="124">
        <v>0</v>
      </c>
      <c r="AX132" s="124">
        <v>0</v>
      </c>
      <c r="AY132" s="124">
        <v>0</v>
      </c>
    </row>
    <row r="133" spans="1:51" x14ac:dyDescent="0.2">
      <c r="A133" s="127"/>
      <c r="B133" s="136">
        <v>12</v>
      </c>
      <c r="C133" s="124">
        <v>0</v>
      </c>
      <c r="D133" s="124">
        <v>0</v>
      </c>
      <c r="E133" s="124">
        <v>0</v>
      </c>
      <c r="F133" s="124">
        <v>0</v>
      </c>
      <c r="G133" s="124">
        <v>0</v>
      </c>
      <c r="H133" s="124">
        <v>0</v>
      </c>
      <c r="I133" s="124">
        <v>0</v>
      </c>
      <c r="J133" s="124">
        <v>0</v>
      </c>
      <c r="K133" s="124">
        <v>0</v>
      </c>
      <c r="L133" s="124">
        <v>0</v>
      </c>
      <c r="M133" s="124">
        <v>0</v>
      </c>
      <c r="N133" s="124">
        <v>0</v>
      </c>
      <c r="O133" s="124">
        <v>0</v>
      </c>
      <c r="P133" s="124">
        <v>0</v>
      </c>
      <c r="Q133" s="124">
        <v>0</v>
      </c>
      <c r="R133" s="124">
        <v>0</v>
      </c>
      <c r="S133" s="124">
        <v>0</v>
      </c>
      <c r="T133" s="124">
        <v>0</v>
      </c>
      <c r="U133" s="124">
        <v>0</v>
      </c>
      <c r="V133" s="124">
        <v>0</v>
      </c>
      <c r="W133" s="124">
        <v>0</v>
      </c>
      <c r="X133" s="124">
        <v>0</v>
      </c>
      <c r="Y133" s="124">
        <v>0</v>
      </c>
      <c r="Z133" s="124">
        <v>0</v>
      </c>
      <c r="AA133" s="124">
        <v>0</v>
      </c>
      <c r="AB133" s="124">
        <v>0</v>
      </c>
      <c r="AC133" s="124">
        <v>0</v>
      </c>
      <c r="AD133" s="124">
        <v>0</v>
      </c>
      <c r="AE133" s="124">
        <v>0</v>
      </c>
      <c r="AF133" s="124">
        <v>0</v>
      </c>
      <c r="AG133" s="124">
        <v>0</v>
      </c>
      <c r="AH133" s="124">
        <v>0</v>
      </c>
      <c r="AI133" s="124">
        <v>0</v>
      </c>
      <c r="AJ133" s="124">
        <v>0</v>
      </c>
      <c r="AK133" s="124">
        <v>0</v>
      </c>
      <c r="AL133" s="124">
        <v>0</v>
      </c>
      <c r="AM133" s="124">
        <v>0</v>
      </c>
      <c r="AN133" s="124">
        <v>0</v>
      </c>
      <c r="AO133" s="124">
        <v>0</v>
      </c>
      <c r="AP133" s="124">
        <v>0</v>
      </c>
      <c r="AQ133" s="124">
        <v>0</v>
      </c>
      <c r="AR133" s="124">
        <v>0</v>
      </c>
      <c r="AS133" s="124">
        <v>0</v>
      </c>
      <c r="AT133" s="124">
        <v>0</v>
      </c>
      <c r="AU133" s="124">
        <v>0</v>
      </c>
      <c r="AV133" s="124">
        <v>0</v>
      </c>
      <c r="AW133" s="124">
        <v>0</v>
      </c>
      <c r="AX133" s="124">
        <v>0</v>
      </c>
      <c r="AY133" s="124">
        <v>0</v>
      </c>
    </row>
    <row r="134" spans="1:51" x14ac:dyDescent="0.2">
      <c r="A134" s="127"/>
      <c r="B134" s="137">
        <v>13</v>
      </c>
      <c r="C134" s="124">
        <v>0</v>
      </c>
      <c r="D134" s="124">
        <v>0</v>
      </c>
      <c r="E134" s="124">
        <v>0</v>
      </c>
      <c r="F134" s="124">
        <v>0</v>
      </c>
      <c r="G134" s="124">
        <v>0</v>
      </c>
      <c r="H134" s="124">
        <v>0</v>
      </c>
      <c r="I134" s="124">
        <v>0</v>
      </c>
      <c r="J134" s="124">
        <v>0</v>
      </c>
      <c r="K134" s="124">
        <v>0</v>
      </c>
      <c r="L134" s="124">
        <v>0</v>
      </c>
      <c r="M134" s="124">
        <v>0</v>
      </c>
      <c r="N134" s="124">
        <v>0</v>
      </c>
      <c r="O134" s="124">
        <v>0</v>
      </c>
      <c r="P134" s="124">
        <v>0</v>
      </c>
      <c r="Q134" s="124">
        <v>0</v>
      </c>
      <c r="R134" s="124">
        <v>0</v>
      </c>
      <c r="S134" s="124">
        <v>0</v>
      </c>
      <c r="T134" s="124">
        <v>0</v>
      </c>
      <c r="U134" s="124">
        <v>0</v>
      </c>
      <c r="V134" s="124">
        <v>0</v>
      </c>
      <c r="W134" s="124">
        <v>0</v>
      </c>
      <c r="X134" s="124">
        <v>0</v>
      </c>
      <c r="Y134" s="124">
        <v>0</v>
      </c>
      <c r="Z134" s="124">
        <v>0</v>
      </c>
      <c r="AA134" s="124">
        <v>0</v>
      </c>
      <c r="AB134" s="124">
        <v>0</v>
      </c>
      <c r="AC134" s="124">
        <v>0</v>
      </c>
      <c r="AD134" s="124">
        <v>0</v>
      </c>
      <c r="AE134" s="124">
        <v>0</v>
      </c>
      <c r="AF134" s="124">
        <v>0</v>
      </c>
      <c r="AG134" s="124">
        <v>0</v>
      </c>
      <c r="AH134" s="124">
        <v>0</v>
      </c>
      <c r="AI134" s="124">
        <v>0</v>
      </c>
      <c r="AJ134" s="124">
        <v>0</v>
      </c>
      <c r="AK134" s="124">
        <v>0</v>
      </c>
      <c r="AL134" s="124">
        <v>0</v>
      </c>
      <c r="AM134" s="124">
        <v>0</v>
      </c>
      <c r="AN134" s="124">
        <v>0</v>
      </c>
      <c r="AO134" s="124">
        <v>0</v>
      </c>
      <c r="AP134" s="124">
        <v>0</v>
      </c>
      <c r="AQ134" s="124">
        <v>0</v>
      </c>
      <c r="AR134" s="124">
        <v>0</v>
      </c>
      <c r="AS134" s="124">
        <v>0</v>
      </c>
      <c r="AT134" s="124">
        <v>0</v>
      </c>
      <c r="AU134" s="124">
        <v>0</v>
      </c>
      <c r="AV134" s="124">
        <v>0</v>
      </c>
      <c r="AW134" s="124">
        <v>0</v>
      </c>
      <c r="AX134" s="124">
        <v>0</v>
      </c>
      <c r="AY134" s="124">
        <v>0</v>
      </c>
    </row>
    <row r="135" spans="1:51" x14ac:dyDescent="0.2">
      <c r="A135" s="127"/>
      <c r="B135" s="137">
        <v>14</v>
      </c>
      <c r="C135" s="124">
        <v>0</v>
      </c>
      <c r="D135" s="124">
        <v>0</v>
      </c>
      <c r="E135" s="124">
        <v>0</v>
      </c>
      <c r="F135" s="124">
        <v>0</v>
      </c>
      <c r="G135" s="124">
        <v>0</v>
      </c>
      <c r="H135" s="124">
        <v>0</v>
      </c>
      <c r="I135" s="124">
        <v>0</v>
      </c>
      <c r="J135" s="124">
        <v>0</v>
      </c>
      <c r="K135" s="124">
        <v>0</v>
      </c>
      <c r="L135" s="124">
        <v>0</v>
      </c>
      <c r="M135" s="124">
        <v>0</v>
      </c>
      <c r="N135" s="124">
        <v>0</v>
      </c>
      <c r="O135" s="124">
        <v>0</v>
      </c>
      <c r="P135" s="124">
        <v>0</v>
      </c>
      <c r="Q135" s="124">
        <v>0</v>
      </c>
      <c r="R135" s="124">
        <v>0</v>
      </c>
      <c r="S135" s="124">
        <v>0</v>
      </c>
      <c r="T135" s="124">
        <v>0</v>
      </c>
      <c r="U135" s="124">
        <v>0</v>
      </c>
      <c r="V135" s="124">
        <v>0</v>
      </c>
      <c r="W135" s="124">
        <v>0</v>
      </c>
      <c r="X135" s="124">
        <v>0</v>
      </c>
      <c r="Y135" s="124">
        <v>0</v>
      </c>
      <c r="Z135" s="124">
        <v>0</v>
      </c>
      <c r="AA135" s="124">
        <v>0</v>
      </c>
      <c r="AB135" s="124">
        <v>0</v>
      </c>
      <c r="AC135" s="124">
        <v>0</v>
      </c>
      <c r="AD135" s="124">
        <v>0</v>
      </c>
      <c r="AE135" s="124">
        <v>0</v>
      </c>
      <c r="AF135" s="124">
        <v>0</v>
      </c>
      <c r="AG135" s="124">
        <v>0</v>
      </c>
      <c r="AH135" s="124">
        <v>0</v>
      </c>
      <c r="AI135" s="124">
        <v>0</v>
      </c>
      <c r="AJ135" s="124">
        <v>0</v>
      </c>
      <c r="AK135" s="124">
        <v>0</v>
      </c>
      <c r="AL135" s="124">
        <v>0</v>
      </c>
      <c r="AM135" s="124">
        <v>0</v>
      </c>
      <c r="AN135" s="124">
        <v>0</v>
      </c>
      <c r="AO135" s="124">
        <v>0</v>
      </c>
      <c r="AP135" s="124">
        <v>0</v>
      </c>
      <c r="AQ135" s="124">
        <v>0</v>
      </c>
      <c r="AR135" s="124">
        <v>0</v>
      </c>
      <c r="AS135" s="124">
        <v>0</v>
      </c>
      <c r="AT135" s="124">
        <v>0</v>
      </c>
      <c r="AU135" s="124">
        <v>0</v>
      </c>
      <c r="AV135" s="124">
        <v>0</v>
      </c>
      <c r="AW135" s="124">
        <v>0</v>
      </c>
      <c r="AX135" s="124">
        <v>0</v>
      </c>
      <c r="AY135" s="124">
        <v>0</v>
      </c>
    </row>
    <row r="136" spans="1:51" x14ac:dyDescent="0.2">
      <c r="A136" s="127"/>
      <c r="B136" s="137">
        <v>15</v>
      </c>
      <c r="C136" s="124">
        <v>0</v>
      </c>
      <c r="D136" s="124">
        <v>0</v>
      </c>
      <c r="E136" s="124">
        <v>0</v>
      </c>
      <c r="F136" s="124">
        <v>0</v>
      </c>
      <c r="G136" s="124">
        <v>0</v>
      </c>
      <c r="H136" s="124">
        <v>0</v>
      </c>
      <c r="I136" s="124">
        <v>0</v>
      </c>
      <c r="J136" s="124">
        <v>0</v>
      </c>
      <c r="K136" s="124">
        <v>0</v>
      </c>
      <c r="L136" s="124">
        <v>0</v>
      </c>
      <c r="M136" s="124">
        <v>0</v>
      </c>
      <c r="N136" s="124">
        <v>0</v>
      </c>
      <c r="O136" s="124">
        <v>0</v>
      </c>
      <c r="P136" s="124">
        <v>0</v>
      </c>
      <c r="Q136" s="124">
        <v>0</v>
      </c>
      <c r="R136" s="124">
        <v>0</v>
      </c>
      <c r="S136" s="124">
        <v>0</v>
      </c>
      <c r="T136" s="124">
        <v>0</v>
      </c>
      <c r="U136" s="124">
        <v>0</v>
      </c>
      <c r="V136" s="124">
        <v>0</v>
      </c>
      <c r="W136" s="124">
        <v>0</v>
      </c>
      <c r="X136" s="124">
        <v>0</v>
      </c>
      <c r="Y136" s="124">
        <v>0</v>
      </c>
      <c r="Z136" s="124">
        <v>0</v>
      </c>
      <c r="AA136" s="124">
        <v>0</v>
      </c>
      <c r="AB136" s="124">
        <v>0</v>
      </c>
      <c r="AC136" s="124">
        <v>0</v>
      </c>
      <c r="AD136" s="124">
        <v>0</v>
      </c>
      <c r="AE136" s="124">
        <v>0</v>
      </c>
      <c r="AF136" s="124">
        <v>0</v>
      </c>
      <c r="AG136" s="124">
        <v>0</v>
      </c>
      <c r="AH136" s="124">
        <v>0</v>
      </c>
      <c r="AI136" s="124">
        <v>0</v>
      </c>
      <c r="AJ136" s="124">
        <v>0</v>
      </c>
      <c r="AK136" s="124">
        <v>0</v>
      </c>
      <c r="AL136" s="124">
        <v>0</v>
      </c>
      <c r="AM136" s="124">
        <v>0</v>
      </c>
      <c r="AN136" s="124">
        <v>0</v>
      </c>
      <c r="AO136" s="124">
        <v>0</v>
      </c>
      <c r="AP136" s="124">
        <v>0</v>
      </c>
      <c r="AQ136" s="124">
        <v>0</v>
      </c>
      <c r="AR136" s="124">
        <v>0</v>
      </c>
      <c r="AS136" s="124">
        <v>0</v>
      </c>
      <c r="AT136" s="124">
        <v>0</v>
      </c>
      <c r="AU136" s="124">
        <v>0</v>
      </c>
      <c r="AV136" s="124">
        <v>0</v>
      </c>
      <c r="AW136" s="124">
        <v>0</v>
      </c>
      <c r="AX136" s="124">
        <v>0</v>
      </c>
      <c r="AY136" s="124">
        <v>0</v>
      </c>
    </row>
    <row r="137" spans="1:51" x14ac:dyDescent="0.2">
      <c r="A137" s="127"/>
      <c r="B137" s="137">
        <v>16</v>
      </c>
      <c r="C137" s="124">
        <v>0</v>
      </c>
      <c r="D137" s="124">
        <v>0</v>
      </c>
      <c r="E137" s="124">
        <v>0</v>
      </c>
      <c r="F137" s="124">
        <v>0</v>
      </c>
      <c r="G137" s="124">
        <v>0</v>
      </c>
      <c r="H137" s="124">
        <v>0</v>
      </c>
      <c r="I137" s="124">
        <v>0</v>
      </c>
      <c r="J137" s="124">
        <v>0</v>
      </c>
      <c r="K137" s="124">
        <v>0</v>
      </c>
      <c r="L137" s="124">
        <v>0</v>
      </c>
      <c r="M137" s="124">
        <v>0</v>
      </c>
      <c r="N137" s="124">
        <v>0</v>
      </c>
      <c r="O137" s="124">
        <v>0</v>
      </c>
      <c r="P137" s="124">
        <v>0</v>
      </c>
      <c r="Q137" s="124">
        <v>0</v>
      </c>
      <c r="R137" s="124">
        <v>0</v>
      </c>
      <c r="S137" s="124">
        <v>0</v>
      </c>
      <c r="T137" s="124">
        <v>0</v>
      </c>
      <c r="U137" s="124">
        <v>0</v>
      </c>
      <c r="V137" s="124">
        <v>0</v>
      </c>
      <c r="W137" s="124">
        <v>0</v>
      </c>
      <c r="X137" s="124">
        <v>0</v>
      </c>
      <c r="Y137" s="124">
        <v>0</v>
      </c>
      <c r="Z137" s="124">
        <v>0</v>
      </c>
      <c r="AA137" s="124">
        <v>0</v>
      </c>
      <c r="AB137" s="124">
        <v>0</v>
      </c>
      <c r="AC137" s="124">
        <v>0</v>
      </c>
      <c r="AD137" s="124">
        <v>0</v>
      </c>
      <c r="AE137" s="124">
        <v>0</v>
      </c>
      <c r="AF137" s="124">
        <v>0</v>
      </c>
      <c r="AG137" s="124">
        <v>0</v>
      </c>
      <c r="AH137" s="124">
        <v>0</v>
      </c>
      <c r="AI137" s="124">
        <v>0</v>
      </c>
      <c r="AJ137" s="124">
        <v>0</v>
      </c>
      <c r="AK137" s="124">
        <v>0</v>
      </c>
      <c r="AL137" s="124">
        <v>0</v>
      </c>
      <c r="AM137" s="124">
        <v>0</v>
      </c>
      <c r="AN137" s="124">
        <v>0</v>
      </c>
      <c r="AO137" s="124">
        <v>0</v>
      </c>
      <c r="AP137" s="124">
        <v>0</v>
      </c>
      <c r="AQ137" s="124">
        <v>0</v>
      </c>
      <c r="AR137" s="124">
        <v>0</v>
      </c>
      <c r="AS137" s="124">
        <v>0</v>
      </c>
      <c r="AT137" s="124">
        <v>0</v>
      </c>
      <c r="AU137" s="124">
        <v>0</v>
      </c>
      <c r="AV137" s="124">
        <v>0</v>
      </c>
      <c r="AW137" s="124">
        <v>0</v>
      </c>
      <c r="AX137" s="124">
        <v>0</v>
      </c>
      <c r="AY137" s="124">
        <v>0</v>
      </c>
    </row>
    <row r="138" spans="1:51" x14ac:dyDescent="0.2">
      <c r="A138" s="127"/>
      <c r="B138" s="137">
        <v>17</v>
      </c>
      <c r="C138" s="124">
        <v>0</v>
      </c>
      <c r="D138" s="124">
        <v>0</v>
      </c>
      <c r="E138" s="124">
        <v>0</v>
      </c>
      <c r="F138" s="124">
        <v>0</v>
      </c>
      <c r="G138" s="124">
        <v>0</v>
      </c>
      <c r="H138" s="124">
        <v>0</v>
      </c>
      <c r="I138" s="124">
        <v>0</v>
      </c>
      <c r="J138" s="124">
        <v>0</v>
      </c>
      <c r="K138" s="124">
        <v>0</v>
      </c>
      <c r="L138" s="124">
        <v>0</v>
      </c>
      <c r="M138" s="124">
        <v>0</v>
      </c>
      <c r="N138" s="124">
        <v>0</v>
      </c>
      <c r="O138" s="124">
        <v>0</v>
      </c>
      <c r="P138" s="124">
        <v>0</v>
      </c>
      <c r="Q138" s="124">
        <v>0</v>
      </c>
      <c r="R138" s="124">
        <v>0</v>
      </c>
      <c r="S138" s="124">
        <v>0</v>
      </c>
      <c r="T138" s="124">
        <v>0</v>
      </c>
      <c r="U138" s="124">
        <v>0</v>
      </c>
      <c r="V138" s="124">
        <v>0</v>
      </c>
      <c r="W138" s="124">
        <v>0</v>
      </c>
      <c r="X138" s="124">
        <v>0</v>
      </c>
      <c r="Y138" s="124">
        <v>0</v>
      </c>
      <c r="Z138" s="124">
        <v>0</v>
      </c>
      <c r="AA138" s="124">
        <v>0</v>
      </c>
      <c r="AB138" s="124">
        <v>0</v>
      </c>
      <c r="AC138" s="124">
        <v>0</v>
      </c>
      <c r="AD138" s="124">
        <v>0</v>
      </c>
      <c r="AE138" s="124">
        <v>0</v>
      </c>
      <c r="AF138" s="124">
        <v>0</v>
      </c>
      <c r="AG138" s="124">
        <v>0</v>
      </c>
      <c r="AH138" s="124">
        <v>0</v>
      </c>
      <c r="AI138" s="124">
        <v>0</v>
      </c>
      <c r="AJ138" s="124">
        <v>0</v>
      </c>
      <c r="AK138" s="124">
        <v>0</v>
      </c>
      <c r="AL138" s="124">
        <v>0</v>
      </c>
      <c r="AM138" s="124">
        <v>0</v>
      </c>
      <c r="AN138" s="124">
        <v>0</v>
      </c>
      <c r="AO138" s="124">
        <v>0</v>
      </c>
      <c r="AP138" s="124">
        <v>0</v>
      </c>
      <c r="AQ138" s="124">
        <v>0</v>
      </c>
      <c r="AR138" s="124">
        <v>0</v>
      </c>
      <c r="AS138" s="124">
        <v>0</v>
      </c>
      <c r="AT138" s="124">
        <v>0</v>
      </c>
      <c r="AU138" s="124">
        <v>0</v>
      </c>
      <c r="AV138" s="124">
        <v>0</v>
      </c>
      <c r="AW138" s="124">
        <v>0</v>
      </c>
      <c r="AX138" s="124">
        <v>0</v>
      </c>
      <c r="AY138" s="124">
        <v>0</v>
      </c>
    </row>
    <row r="139" spans="1:51" x14ac:dyDescent="0.2">
      <c r="A139" s="127"/>
      <c r="B139" s="137">
        <v>18</v>
      </c>
      <c r="C139" s="124">
        <v>0</v>
      </c>
      <c r="D139" s="124">
        <v>0</v>
      </c>
      <c r="E139" s="124">
        <v>0</v>
      </c>
      <c r="F139" s="124">
        <v>0</v>
      </c>
      <c r="G139" s="124">
        <v>0</v>
      </c>
      <c r="H139" s="124">
        <v>0</v>
      </c>
      <c r="I139" s="124">
        <v>0</v>
      </c>
      <c r="J139" s="124">
        <v>0</v>
      </c>
      <c r="K139" s="124">
        <v>0</v>
      </c>
      <c r="L139" s="124">
        <v>0</v>
      </c>
      <c r="M139" s="124">
        <v>0</v>
      </c>
      <c r="N139" s="124">
        <v>0</v>
      </c>
      <c r="O139" s="124">
        <v>0</v>
      </c>
      <c r="P139" s="124">
        <v>0</v>
      </c>
      <c r="Q139" s="124">
        <v>0</v>
      </c>
      <c r="R139" s="124">
        <v>0</v>
      </c>
      <c r="S139" s="124">
        <v>0</v>
      </c>
      <c r="T139" s="124">
        <v>0</v>
      </c>
      <c r="U139" s="124">
        <v>0</v>
      </c>
      <c r="V139" s="124">
        <v>0</v>
      </c>
      <c r="W139" s="124">
        <v>0</v>
      </c>
      <c r="X139" s="124">
        <v>0</v>
      </c>
      <c r="Y139" s="124">
        <v>0</v>
      </c>
      <c r="Z139" s="124">
        <v>0</v>
      </c>
      <c r="AA139" s="124">
        <v>0</v>
      </c>
      <c r="AB139" s="124">
        <v>0</v>
      </c>
      <c r="AC139" s="124">
        <v>0</v>
      </c>
      <c r="AD139" s="124">
        <v>0</v>
      </c>
      <c r="AE139" s="124">
        <v>0</v>
      </c>
      <c r="AF139" s="124">
        <v>0</v>
      </c>
      <c r="AG139" s="124">
        <v>0</v>
      </c>
      <c r="AH139" s="124">
        <v>0</v>
      </c>
      <c r="AI139" s="124">
        <v>0</v>
      </c>
      <c r="AJ139" s="124">
        <v>0</v>
      </c>
      <c r="AK139" s="124">
        <v>0</v>
      </c>
      <c r="AL139" s="124">
        <v>0</v>
      </c>
      <c r="AM139" s="124">
        <v>0</v>
      </c>
      <c r="AN139" s="124">
        <v>0</v>
      </c>
      <c r="AO139" s="124">
        <v>0</v>
      </c>
      <c r="AP139" s="124">
        <v>0</v>
      </c>
      <c r="AQ139" s="124">
        <v>0</v>
      </c>
      <c r="AR139" s="124">
        <v>0</v>
      </c>
      <c r="AS139" s="124">
        <v>0</v>
      </c>
      <c r="AT139" s="124">
        <v>0</v>
      </c>
      <c r="AU139" s="124">
        <v>0</v>
      </c>
      <c r="AV139" s="124">
        <v>0</v>
      </c>
      <c r="AW139" s="124">
        <v>0</v>
      </c>
      <c r="AX139" s="124">
        <v>0</v>
      </c>
      <c r="AY139" s="124">
        <v>0</v>
      </c>
    </row>
    <row r="140" spans="1:51" x14ac:dyDescent="0.2">
      <c r="A140" s="127"/>
      <c r="B140" s="137">
        <v>19</v>
      </c>
      <c r="C140" s="124">
        <v>0</v>
      </c>
      <c r="D140" s="124">
        <v>0</v>
      </c>
      <c r="E140" s="124">
        <v>0</v>
      </c>
      <c r="F140" s="124">
        <v>0</v>
      </c>
      <c r="G140" s="124">
        <v>0</v>
      </c>
      <c r="H140" s="124">
        <v>0</v>
      </c>
      <c r="I140" s="124">
        <v>0</v>
      </c>
      <c r="J140" s="124">
        <v>0</v>
      </c>
      <c r="K140" s="124">
        <v>0</v>
      </c>
      <c r="L140" s="124">
        <v>0</v>
      </c>
      <c r="M140" s="124">
        <v>0</v>
      </c>
      <c r="N140" s="124">
        <v>0</v>
      </c>
      <c r="O140" s="124">
        <v>0</v>
      </c>
      <c r="P140" s="124">
        <v>0</v>
      </c>
      <c r="Q140" s="124">
        <v>0</v>
      </c>
      <c r="R140" s="124">
        <v>0</v>
      </c>
      <c r="S140" s="124">
        <v>0</v>
      </c>
      <c r="T140" s="124">
        <v>0</v>
      </c>
      <c r="U140" s="124">
        <v>0</v>
      </c>
      <c r="V140" s="124">
        <v>0</v>
      </c>
      <c r="W140" s="124">
        <v>0</v>
      </c>
      <c r="X140" s="124">
        <v>0</v>
      </c>
      <c r="Y140" s="124">
        <v>0</v>
      </c>
      <c r="Z140" s="124">
        <v>0</v>
      </c>
      <c r="AA140" s="124">
        <v>0</v>
      </c>
      <c r="AB140" s="124">
        <v>0</v>
      </c>
      <c r="AC140" s="124">
        <v>0</v>
      </c>
      <c r="AD140" s="124">
        <v>0</v>
      </c>
      <c r="AE140" s="124">
        <v>0</v>
      </c>
      <c r="AF140" s="124">
        <v>0</v>
      </c>
      <c r="AG140" s="124">
        <v>0</v>
      </c>
      <c r="AH140" s="124">
        <v>0</v>
      </c>
      <c r="AI140" s="124">
        <v>0</v>
      </c>
      <c r="AJ140" s="124">
        <v>0</v>
      </c>
      <c r="AK140" s="124">
        <v>0</v>
      </c>
      <c r="AL140" s="124">
        <v>0</v>
      </c>
      <c r="AM140" s="124">
        <v>0</v>
      </c>
      <c r="AN140" s="124">
        <v>0</v>
      </c>
      <c r="AO140" s="124">
        <v>0</v>
      </c>
      <c r="AP140" s="124">
        <v>0</v>
      </c>
      <c r="AQ140" s="124">
        <v>0</v>
      </c>
      <c r="AR140" s="124">
        <v>0</v>
      </c>
      <c r="AS140" s="124">
        <v>0</v>
      </c>
      <c r="AT140" s="124">
        <v>0</v>
      </c>
      <c r="AU140" s="124">
        <v>0</v>
      </c>
      <c r="AV140" s="124">
        <v>0</v>
      </c>
      <c r="AW140" s="124">
        <v>0</v>
      </c>
      <c r="AX140" s="124">
        <v>0</v>
      </c>
      <c r="AY140" s="124">
        <v>0</v>
      </c>
    </row>
    <row r="141" spans="1:51" x14ac:dyDescent="0.2">
      <c r="A141" s="127"/>
      <c r="B141" s="137">
        <v>20</v>
      </c>
      <c r="C141" s="124">
        <v>0</v>
      </c>
      <c r="D141" s="124">
        <v>0</v>
      </c>
      <c r="E141" s="124">
        <v>0</v>
      </c>
      <c r="F141" s="124">
        <v>0</v>
      </c>
      <c r="G141" s="124">
        <v>0</v>
      </c>
      <c r="H141" s="124">
        <v>0</v>
      </c>
      <c r="I141" s="124">
        <v>0</v>
      </c>
      <c r="J141" s="124">
        <v>0</v>
      </c>
      <c r="K141" s="124">
        <v>0</v>
      </c>
      <c r="L141" s="124">
        <v>0</v>
      </c>
      <c r="M141" s="124">
        <v>0</v>
      </c>
      <c r="N141" s="124">
        <v>0</v>
      </c>
      <c r="O141" s="124">
        <v>0</v>
      </c>
      <c r="P141" s="124">
        <v>0</v>
      </c>
      <c r="Q141" s="124">
        <v>0</v>
      </c>
      <c r="R141" s="124">
        <v>0</v>
      </c>
      <c r="S141" s="124">
        <v>0</v>
      </c>
      <c r="T141" s="124">
        <v>0</v>
      </c>
      <c r="U141" s="124">
        <v>0</v>
      </c>
      <c r="V141" s="124">
        <v>0</v>
      </c>
      <c r="W141" s="124">
        <v>0</v>
      </c>
      <c r="X141" s="124">
        <v>0</v>
      </c>
      <c r="Y141" s="124">
        <v>0</v>
      </c>
      <c r="Z141" s="124">
        <v>0</v>
      </c>
      <c r="AA141" s="124">
        <v>0</v>
      </c>
      <c r="AB141" s="124">
        <v>0</v>
      </c>
      <c r="AC141" s="124">
        <v>0</v>
      </c>
      <c r="AD141" s="124">
        <v>0</v>
      </c>
      <c r="AE141" s="124">
        <v>0</v>
      </c>
      <c r="AF141" s="124">
        <v>0</v>
      </c>
      <c r="AG141" s="124">
        <v>0</v>
      </c>
      <c r="AH141" s="124">
        <v>0</v>
      </c>
      <c r="AI141" s="124">
        <v>0</v>
      </c>
      <c r="AJ141" s="124">
        <v>0</v>
      </c>
      <c r="AK141" s="124">
        <v>0</v>
      </c>
      <c r="AL141" s="124">
        <v>0</v>
      </c>
      <c r="AM141" s="124">
        <v>0</v>
      </c>
      <c r="AN141" s="124">
        <v>0</v>
      </c>
      <c r="AO141" s="124">
        <v>0</v>
      </c>
      <c r="AP141" s="124">
        <v>0</v>
      </c>
      <c r="AQ141" s="124">
        <v>0</v>
      </c>
      <c r="AR141" s="124">
        <v>0</v>
      </c>
      <c r="AS141" s="124">
        <v>0</v>
      </c>
      <c r="AT141" s="124">
        <v>0</v>
      </c>
      <c r="AU141" s="124">
        <v>0</v>
      </c>
      <c r="AV141" s="124">
        <v>0</v>
      </c>
      <c r="AW141" s="124">
        <v>0</v>
      </c>
      <c r="AX141" s="124">
        <v>0</v>
      </c>
      <c r="AY141" s="124">
        <v>0</v>
      </c>
    </row>
    <row r="142" spans="1:51" x14ac:dyDescent="0.2">
      <c r="A142" s="127"/>
      <c r="B142" s="137">
        <v>21</v>
      </c>
      <c r="C142" s="124">
        <v>0</v>
      </c>
      <c r="D142" s="124">
        <v>0</v>
      </c>
      <c r="E142" s="124">
        <v>0</v>
      </c>
      <c r="F142" s="124">
        <v>0</v>
      </c>
      <c r="G142" s="124">
        <v>0</v>
      </c>
      <c r="H142" s="124">
        <v>0</v>
      </c>
      <c r="I142" s="124">
        <v>0</v>
      </c>
      <c r="J142" s="124">
        <v>0</v>
      </c>
      <c r="K142" s="124">
        <v>0</v>
      </c>
      <c r="L142" s="124">
        <v>0</v>
      </c>
      <c r="M142" s="124">
        <v>0</v>
      </c>
      <c r="N142" s="124">
        <v>0</v>
      </c>
      <c r="O142" s="124">
        <v>0</v>
      </c>
      <c r="P142" s="124">
        <v>0</v>
      </c>
      <c r="Q142" s="124">
        <v>0</v>
      </c>
      <c r="R142" s="124">
        <v>0</v>
      </c>
      <c r="S142" s="124">
        <v>0</v>
      </c>
      <c r="T142" s="124">
        <v>0</v>
      </c>
      <c r="U142" s="124">
        <v>0</v>
      </c>
      <c r="V142" s="124">
        <v>0</v>
      </c>
      <c r="W142" s="124">
        <v>0</v>
      </c>
      <c r="X142" s="124">
        <v>0</v>
      </c>
      <c r="Y142" s="124">
        <v>0</v>
      </c>
      <c r="Z142" s="124">
        <v>0</v>
      </c>
      <c r="AA142" s="124">
        <v>0</v>
      </c>
      <c r="AB142" s="124">
        <v>0</v>
      </c>
      <c r="AC142" s="124">
        <v>0</v>
      </c>
      <c r="AD142" s="124">
        <v>0</v>
      </c>
      <c r="AE142" s="124">
        <v>0</v>
      </c>
      <c r="AF142" s="124">
        <v>0</v>
      </c>
      <c r="AG142" s="124">
        <v>0</v>
      </c>
      <c r="AH142" s="124">
        <v>0</v>
      </c>
      <c r="AI142" s="124">
        <v>0</v>
      </c>
      <c r="AJ142" s="124">
        <v>0</v>
      </c>
      <c r="AK142" s="124">
        <v>0</v>
      </c>
      <c r="AL142" s="124">
        <v>0</v>
      </c>
      <c r="AM142" s="124">
        <v>0</v>
      </c>
      <c r="AN142" s="124">
        <v>0</v>
      </c>
      <c r="AO142" s="124">
        <v>0</v>
      </c>
      <c r="AP142" s="124">
        <v>0</v>
      </c>
      <c r="AQ142" s="124">
        <v>0</v>
      </c>
      <c r="AR142" s="124">
        <v>0</v>
      </c>
      <c r="AS142" s="124">
        <v>0</v>
      </c>
      <c r="AT142" s="124">
        <v>0</v>
      </c>
      <c r="AU142" s="124">
        <v>0</v>
      </c>
      <c r="AV142" s="124">
        <v>0</v>
      </c>
      <c r="AW142" s="124">
        <v>0</v>
      </c>
      <c r="AX142" s="124">
        <v>0</v>
      </c>
      <c r="AY142" s="124">
        <v>0</v>
      </c>
    </row>
    <row r="143" spans="1:51" x14ac:dyDescent="0.2">
      <c r="A143" s="127"/>
      <c r="B143" s="137">
        <v>22</v>
      </c>
      <c r="C143" s="124">
        <v>0</v>
      </c>
      <c r="D143" s="124">
        <v>0</v>
      </c>
      <c r="E143" s="124">
        <v>0</v>
      </c>
      <c r="F143" s="124">
        <v>0</v>
      </c>
      <c r="G143" s="124">
        <v>0</v>
      </c>
      <c r="H143" s="124">
        <v>0</v>
      </c>
      <c r="I143" s="124">
        <v>0</v>
      </c>
      <c r="J143" s="124">
        <v>0</v>
      </c>
      <c r="K143" s="124">
        <v>0</v>
      </c>
      <c r="L143" s="124">
        <v>0</v>
      </c>
      <c r="M143" s="124">
        <v>0</v>
      </c>
      <c r="N143" s="124">
        <v>0</v>
      </c>
      <c r="O143" s="124">
        <v>0</v>
      </c>
      <c r="P143" s="124">
        <v>0</v>
      </c>
      <c r="Q143" s="124">
        <v>0</v>
      </c>
      <c r="R143" s="124">
        <v>0</v>
      </c>
      <c r="S143" s="124">
        <v>0</v>
      </c>
      <c r="T143" s="124">
        <v>0</v>
      </c>
      <c r="U143" s="124">
        <v>0</v>
      </c>
      <c r="V143" s="124">
        <v>0</v>
      </c>
      <c r="W143" s="124">
        <v>0</v>
      </c>
      <c r="X143" s="124">
        <v>0</v>
      </c>
      <c r="Y143" s="124">
        <v>0</v>
      </c>
      <c r="Z143" s="124">
        <v>0</v>
      </c>
      <c r="AA143" s="124">
        <v>0</v>
      </c>
      <c r="AB143" s="124">
        <v>0</v>
      </c>
      <c r="AC143" s="124">
        <v>0</v>
      </c>
      <c r="AD143" s="124">
        <v>0</v>
      </c>
      <c r="AE143" s="124">
        <v>0</v>
      </c>
      <c r="AF143" s="124">
        <v>0</v>
      </c>
      <c r="AG143" s="124">
        <v>0</v>
      </c>
      <c r="AH143" s="124">
        <v>0</v>
      </c>
      <c r="AI143" s="124">
        <v>0</v>
      </c>
      <c r="AJ143" s="124">
        <v>0</v>
      </c>
      <c r="AK143" s="124">
        <v>0</v>
      </c>
      <c r="AL143" s="124">
        <v>0</v>
      </c>
      <c r="AM143" s="124">
        <v>0</v>
      </c>
      <c r="AN143" s="124">
        <v>0</v>
      </c>
      <c r="AO143" s="124">
        <v>0</v>
      </c>
      <c r="AP143" s="124">
        <v>0</v>
      </c>
      <c r="AQ143" s="124">
        <v>0</v>
      </c>
      <c r="AR143" s="124">
        <v>0</v>
      </c>
      <c r="AS143" s="124">
        <v>0</v>
      </c>
      <c r="AT143" s="124">
        <v>0</v>
      </c>
      <c r="AU143" s="124">
        <v>0</v>
      </c>
      <c r="AV143" s="124">
        <v>0</v>
      </c>
      <c r="AW143" s="124">
        <v>0</v>
      </c>
      <c r="AX143" s="124">
        <v>0</v>
      </c>
      <c r="AY143" s="124">
        <v>0</v>
      </c>
    </row>
    <row r="144" spans="1:51" x14ac:dyDescent="0.2">
      <c r="A144" s="127"/>
      <c r="B144" s="137">
        <v>23</v>
      </c>
      <c r="C144" s="124">
        <v>0</v>
      </c>
      <c r="D144" s="124">
        <v>0</v>
      </c>
      <c r="E144" s="124">
        <v>0</v>
      </c>
      <c r="F144" s="124">
        <v>0</v>
      </c>
      <c r="G144" s="124">
        <v>0</v>
      </c>
      <c r="H144" s="124">
        <v>0</v>
      </c>
      <c r="I144" s="124">
        <v>0</v>
      </c>
      <c r="J144" s="124">
        <v>0</v>
      </c>
      <c r="K144" s="124">
        <v>0</v>
      </c>
      <c r="L144" s="124">
        <v>0</v>
      </c>
      <c r="M144" s="124">
        <v>0</v>
      </c>
      <c r="N144" s="124">
        <v>0</v>
      </c>
      <c r="O144" s="124">
        <v>0</v>
      </c>
      <c r="P144" s="124">
        <v>0</v>
      </c>
      <c r="Q144" s="124">
        <v>0</v>
      </c>
      <c r="R144" s="124">
        <v>0</v>
      </c>
      <c r="S144" s="124">
        <v>0</v>
      </c>
      <c r="T144" s="124">
        <v>0</v>
      </c>
      <c r="U144" s="124">
        <v>0</v>
      </c>
      <c r="V144" s="124">
        <v>0</v>
      </c>
      <c r="W144" s="124">
        <v>0</v>
      </c>
      <c r="X144" s="124">
        <v>0</v>
      </c>
      <c r="Y144" s="124">
        <v>0</v>
      </c>
      <c r="Z144" s="124">
        <v>0</v>
      </c>
      <c r="AA144" s="124">
        <v>0</v>
      </c>
      <c r="AB144" s="124">
        <v>0</v>
      </c>
      <c r="AC144" s="124">
        <v>0</v>
      </c>
      <c r="AD144" s="124">
        <v>0</v>
      </c>
      <c r="AE144" s="124">
        <v>0</v>
      </c>
      <c r="AF144" s="124">
        <v>0</v>
      </c>
      <c r="AG144" s="124">
        <v>0</v>
      </c>
      <c r="AH144" s="124">
        <v>0</v>
      </c>
      <c r="AI144" s="124">
        <v>0</v>
      </c>
      <c r="AJ144" s="124">
        <v>0</v>
      </c>
      <c r="AK144" s="124">
        <v>0</v>
      </c>
      <c r="AL144" s="124">
        <v>0</v>
      </c>
      <c r="AM144" s="124">
        <v>0</v>
      </c>
      <c r="AN144" s="124">
        <v>0</v>
      </c>
      <c r="AO144" s="124">
        <v>0</v>
      </c>
      <c r="AP144" s="124">
        <v>0</v>
      </c>
      <c r="AQ144" s="124">
        <v>0</v>
      </c>
      <c r="AR144" s="124">
        <v>0</v>
      </c>
      <c r="AS144" s="124">
        <v>0</v>
      </c>
      <c r="AT144" s="124">
        <v>0</v>
      </c>
      <c r="AU144" s="124">
        <v>0</v>
      </c>
      <c r="AV144" s="124">
        <v>0</v>
      </c>
      <c r="AW144" s="124">
        <v>0</v>
      </c>
      <c r="AX144" s="124">
        <v>0</v>
      </c>
      <c r="AY144" s="124">
        <v>0</v>
      </c>
    </row>
    <row r="145" spans="1:51" x14ac:dyDescent="0.2">
      <c r="A145" s="127"/>
      <c r="B145" s="137">
        <v>24</v>
      </c>
      <c r="C145" s="124">
        <v>0</v>
      </c>
      <c r="D145" s="124">
        <v>0</v>
      </c>
      <c r="E145" s="124">
        <v>0</v>
      </c>
      <c r="F145" s="124">
        <v>0</v>
      </c>
      <c r="G145" s="124">
        <v>0</v>
      </c>
      <c r="H145" s="124">
        <v>0</v>
      </c>
      <c r="I145" s="124">
        <v>0</v>
      </c>
      <c r="J145" s="124">
        <v>0</v>
      </c>
      <c r="K145" s="124">
        <v>0</v>
      </c>
      <c r="L145" s="124">
        <v>0</v>
      </c>
      <c r="M145" s="124">
        <v>0</v>
      </c>
      <c r="N145" s="124">
        <v>0</v>
      </c>
      <c r="O145" s="124">
        <v>0</v>
      </c>
      <c r="P145" s="124">
        <v>0</v>
      </c>
      <c r="Q145" s="124">
        <v>0</v>
      </c>
      <c r="R145" s="124">
        <v>0</v>
      </c>
      <c r="S145" s="124">
        <v>0</v>
      </c>
      <c r="T145" s="124">
        <v>0</v>
      </c>
      <c r="U145" s="124">
        <v>0</v>
      </c>
      <c r="V145" s="124">
        <v>0</v>
      </c>
      <c r="W145" s="124">
        <v>0</v>
      </c>
      <c r="X145" s="124">
        <v>0</v>
      </c>
      <c r="Y145" s="124">
        <v>0</v>
      </c>
      <c r="Z145" s="124">
        <v>0</v>
      </c>
      <c r="AA145" s="124">
        <v>0</v>
      </c>
      <c r="AB145" s="124">
        <v>0</v>
      </c>
      <c r="AC145" s="124">
        <v>0</v>
      </c>
      <c r="AD145" s="124">
        <v>0</v>
      </c>
      <c r="AE145" s="124">
        <v>0</v>
      </c>
      <c r="AF145" s="124">
        <v>0</v>
      </c>
      <c r="AG145" s="124">
        <v>0</v>
      </c>
      <c r="AH145" s="124">
        <v>0</v>
      </c>
      <c r="AI145" s="124">
        <v>0</v>
      </c>
      <c r="AJ145" s="124">
        <v>0</v>
      </c>
      <c r="AK145" s="124">
        <v>0</v>
      </c>
      <c r="AL145" s="124">
        <v>0</v>
      </c>
      <c r="AM145" s="124">
        <v>0</v>
      </c>
      <c r="AN145" s="124">
        <v>0</v>
      </c>
      <c r="AO145" s="124">
        <v>0</v>
      </c>
      <c r="AP145" s="124">
        <v>0</v>
      </c>
      <c r="AQ145" s="124">
        <v>0</v>
      </c>
      <c r="AR145" s="124">
        <v>0</v>
      </c>
      <c r="AS145" s="124">
        <v>0</v>
      </c>
      <c r="AT145" s="124">
        <v>0</v>
      </c>
      <c r="AU145" s="124">
        <v>0</v>
      </c>
      <c r="AV145" s="124">
        <v>0</v>
      </c>
      <c r="AW145" s="124">
        <v>0</v>
      </c>
      <c r="AX145" s="124">
        <v>0</v>
      </c>
      <c r="AY145" s="124">
        <v>0</v>
      </c>
    </row>
    <row r="146" spans="1:51" x14ac:dyDescent="0.2">
      <c r="A146" s="127"/>
      <c r="B146" s="144">
        <v>25</v>
      </c>
      <c r="C146" s="124">
        <v>0</v>
      </c>
      <c r="D146" s="124">
        <v>0</v>
      </c>
      <c r="E146" s="124">
        <v>0</v>
      </c>
      <c r="F146" s="124">
        <v>0</v>
      </c>
      <c r="G146" s="124">
        <v>0</v>
      </c>
      <c r="H146" s="124">
        <v>0</v>
      </c>
      <c r="I146" s="124">
        <v>0</v>
      </c>
      <c r="J146" s="124">
        <v>0</v>
      </c>
      <c r="K146" s="124">
        <v>0</v>
      </c>
      <c r="L146" s="124">
        <v>0</v>
      </c>
      <c r="M146" s="124">
        <v>0</v>
      </c>
      <c r="N146" s="124">
        <v>0</v>
      </c>
      <c r="O146" s="124">
        <v>0</v>
      </c>
      <c r="P146" s="124">
        <v>0</v>
      </c>
      <c r="Q146" s="124">
        <v>0</v>
      </c>
      <c r="R146" s="124">
        <v>0</v>
      </c>
      <c r="S146" s="124">
        <v>0</v>
      </c>
      <c r="T146" s="124">
        <v>0</v>
      </c>
      <c r="U146" s="124">
        <v>0</v>
      </c>
      <c r="V146" s="124">
        <v>0</v>
      </c>
      <c r="W146" s="124">
        <v>0</v>
      </c>
      <c r="X146" s="124">
        <v>0</v>
      </c>
      <c r="Y146" s="124">
        <v>0</v>
      </c>
      <c r="Z146" s="124">
        <v>0</v>
      </c>
      <c r="AA146" s="124">
        <v>0</v>
      </c>
      <c r="AB146" s="124">
        <v>0</v>
      </c>
      <c r="AC146" s="124">
        <v>0</v>
      </c>
      <c r="AD146" s="124">
        <v>0</v>
      </c>
      <c r="AE146" s="124">
        <v>0</v>
      </c>
      <c r="AF146" s="124">
        <v>0</v>
      </c>
      <c r="AG146" s="124">
        <v>0</v>
      </c>
      <c r="AH146" s="124">
        <v>0</v>
      </c>
      <c r="AI146" s="124">
        <v>0</v>
      </c>
      <c r="AJ146" s="124">
        <v>0</v>
      </c>
      <c r="AK146" s="124">
        <v>0</v>
      </c>
      <c r="AL146" s="124">
        <v>0</v>
      </c>
      <c r="AM146" s="124">
        <v>0</v>
      </c>
      <c r="AN146" s="124">
        <v>0</v>
      </c>
      <c r="AO146" s="124">
        <v>0</v>
      </c>
      <c r="AP146" s="124">
        <v>0</v>
      </c>
      <c r="AQ146" s="124">
        <v>0</v>
      </c>
      <c r="AR146" s="124">
        <v>0</v>
      </c>
      <c r="AS146" s="124">
        <v>0</v>
      </c>
      <c r="AT146" s="124">
        <v>0</v>
      </c>
      <c r="AU146" s="124">
        <v>0</v>
      </c>
      <c r="AV146" s="124">
        <v>0</v>
      </c>
      <c r="AW146" s="124">
        <v>0</v>
      </c>
      <c r="AX146" s="124">
        <v>0</v>
      </c>
      <c r="AY146" s="124">
        <v>0</v>
      </c>
    </row>
    <row r="147" spans="1:51" x14ac:dyDescent="0.2">
      <c r="A147" s="127"/>
      <c r="B147" s="144">
        <v>26</v>
      </c>
      <c r="C147" s="124">
        <v>0</v>
      </c>
      <c r="D147" s="124">
        <v>0</v>
      </c>
      <c r="E147" s="124">
        <v>0</v>
      </c>
      <c r="F147" s="124">
        <v>0</v>
      </c>
      <c r="G147" s="124">
        <v>0</v>
      </c>
      <c r="H147" s="124">
        <v>0</v>
      </c>
      <c r="I147" s="124">
        <v>0</v>
      </c>
      <c r="J147" s="124">
        <v>0</v>
      </c>
      <c r="K147" s="124">
        <v>0</v>
      </c>
      <c r="L147" s="124">
        <v>0</v>
      </c>
      <c r="M147" s="124">
        <v>0</v>
      </c>
      <c r="N147" s="124">
        <v>0</v>
      </c>
      <c r="O147" s="124">
        <v>0</v>
      </c>
      <c r="P147" s="124">
        <v>0</v>
      </c>
      <c r="Q147" s="124">
        <v>0</v>
      </c>
      <c r="R147" s="124">
        <v>0</v>
      </c>
      <c r="S147" s="124">
        <v>0</v>
      </c>
      <c r="T147" s="124">
        <v>0</v>
      </c>
      <c r="U147" s="124">
        <v>0</v>
      </c>
      <c r="V147" s="124">
        <v>0</v>
      </c>
      <c r="W147" s="124">
        <v>0</v>
      </c>
      <c r="X147" s="124">
        <v>0</v>
      </c>
      <c r="Y147" s="124">
        <v>0</v>
      </c>
      <c r="Z147" s="124">
        <v>0</v>
      </c>
      <c r="AA147" s="124">
        <v>0</v>
      </c>
      <c r="AB147" s="124">
        <v>0</v>
      </c>
      <c r="AC147" s="124">
        <v>0</v>
      </c>
      <c r="AD147" s="124">
        <v>0</v>
      </c>
      <c r="AE147" s="124">
        <v>0</v>
      </c>
      <c r="AF147" s="124">
        <v>0</v>
      </c>
      <c r="AG147" s="124">
        <v>0</v>
      </c>
      <c r="AH147" s="124">
        <v>0</v>
      </c>
      <c r="AI147" s="124">
        <v>0</v>
      </c>
      <c r="AJ147" s="124">
        <v>0</v>
      </c>
      <c r="AK147" s="124">
        <v>0</v>
      </c>
      <c r="AL147" s="124">
        <v>0</v>
      </c>
      <c r="AM147" s="124">
        <v>0</v>
      </c>
      <c r="AN147" s="124">
        <v>0</v>
      </c>
      <c r="AO147" s="124">
        <v>0</v>
      </c>
      <c r="AP147" s="124">
        <v>0</v>
      </c>
      <c r="AQ147" s="124">
        <v>0</v>
      </c>
      <c r="AR147" s="124">
        <v>0</v>
      </c>
      <c r="AS147" s="124">
        <v>0</v>
      </c>
      <c r="AT147" s="124">
        <v>0</v>
      </c>
      <c r="AU147" s="124">
        <v>0</v>
      </c>
      <c r="AV147" s="124">
        <v>0</v>
      </c>
      <c r="AW147" s="124">
        <v>0</v>
      </c>
      <c r="AX147" s="124">
        <v>0</v>
      </c>
      <c r="AY147" s="124">
        <v>0</v>
      </c>
    </row>
    <row r="148" spans="1:51" x14ac:dyDescent="0.2">
      <c r="A148" s="127"/>
      <c r="B148" s="144">
        <v>27</v>
      </c>
      <c r="C148" s="124">
        <v>0</v>
      </c>
      <c r="D148" s="124">
        <v>0</v>
      </c>
      <c r="E148" s="124">
        <v>0</v>
      </c>
      <c r="F148" s="124">
        <v>0</v>
      </c>
      <c r="G148" s="124">
        <v>0</v>
      </c>
      <c r="H148" s="124">
        <v>0</v>
      </c>
      <c r="I148" s="124">
        <v>0</v>
      </c>
      <c r="J148" s="124">
        <v>0</v>
      </c>
      <c r="K148" s="124">
        <v>0</v>
      </c>
      <c r="L148" s="124">
        <v>0</v>
      </c>
      <c r="M148" s="124">
        <v>0</v>
      </c>
      <c r="N148" s="124">
        <v>0</v>
      </c>
      <c r="O148" s="124">
        <v>0</v>
      </c>
      <c r="P148" s="124">
        <v>0</v>
      </c>
      <c r="Q148" s="124">
        <v>0</v>
      </c>
      <c r="R148" s="124">
        <v>0</v>
      </c>
      <c r="S148" s="124">
        <v>0</v>
      </c>
      <c r="T148" s="124">
        <v>0</v>
      </c>
      <c r="U148" s="124">
        <v>0</v>
      </c>
      <c r="V148" s="124">
        <v>0</v>
      </c>
      <c r="W148" s="124">
        <v>0</v>
      </c>
      <c r="X148" s="124">
        <v>0</v>
      </c>
      <c r="Y148" s="124">
        <v>0</v>
      </c>
      <c r="Z148" s="124">
        <v>0</v>
      </c>
      <c r="AA148" s="124">
        <v>0</v>
      </c>
      <c r="AB148" s="124">
        <v>0</v>
      </c>
      <c r="AC148" s="124">
        <v>0</v>
      </c>
      <c r="AD148" s="124">
        <v>0</v>
      </c>
      <c r="AE148" s="124">
        <v>0</v>
      </c>
      <c r="AF148" s="124">
        <v>0</v>
      </c>
      <c r="AG148" s="124">
        <v>0</v>
      </c>
      <c r="AH148" s="124">
        <v>0</v>
      </c>
      <c r="AI148" s="124">
        <v>0</v>
      </c>
      <c r="AJ148" s="124">
        <v>0</v>
      </c>
      <c r="AK148" s="124">
        <v>0</v>
      </c>
      <c r="AL148" s="124">
        <v>0</v>
      </c>
      <c r="AM148" s="124">
        <v>0</v>
      </c>
      <c r="AN148" s="124">
        <v>0</v>
      </c>
      <c r="AO148" s="124">
        <v>0</v>
      </c>
      <c r="AP148" s="124">
        <v>0</v>
      </c>
      <c r="AQ148" s="124">
        <v>0</v>
      </c>
      <c r="AR148" s="124">
        <v>0</v>
      </c>
      <c r="AS148" s="124">
        <v>0</v>
      </c>
      <c r="AT148" s="124">
        <v>0</v>
      </c>
      <c r="AU148" s="124">
        <v>0</v>
      </c>
      <c r="AV148" s="124">
        <v>0</v>
      </c>
      <c r="AW148" s="124">
        <v>0</v>
      </c>
      <c r="AX148" s="124">
        <v>0</v>
      </c>
      <c r="AY148" s="124">
        <v>0</v>
      </c>
    </row>
    <row r="149" spans="1:51" x14ac:dyDescent="0.2">
      <c r="A149" s="127"/>
      <c r="B149" s="144">
        <v>28</v>
      </c>
      <c r="C149" s="124">
        <v>0</v>
      </c>
      <c r="D149" s="124">
        <v>0</v>
      </c>
      <c r="E149" s="124">
        <v>0</v>
      </c>
      <c r="F149" s="124">
        <v>0</v>
      </c>
      <c r="G149" s="124">
        <v>0</v>
      </c>
      <c r="H149" s="124">
        <v>0</v>
      </c>
      <c r="I149" s="124">
        <v>0</v>
      </c>
      <c r="J149" s="124">
        <v>0</v>
      </c>
      <c r="K149" s="124">
        <v>0</v>
      </c>
      <c r="L149" s="124">
        <v>0</v>
      </c>
      <c r="M149" s="124">
        <v>0</v>
      </c>
      <c r="N149" s="124">
        <v>0</v>
      </c>
      <c r="O149" s="124">
        <v>0</v>
      </c>
      <c r="P149" s="124">
        <v>0</v>
      </c>
      <c r="Q149" s="124">
        <v>0</v>
      </c>
      <c r="R149" s="124">
        <v>0</v>
      </c>
      <c r="S149" s="124">
        <v>0</v>
      </c>
      <c r="T149" s="124">
        <v>0</v>
      </c>
      <c r="U149" s="124">
        <v>0</v>
      </c>
      <c r="V149" s="124">
        <v>0</v>
      </c>
      <c r="W149" s="124">
        <v>0</v>
      </c>
      <c r="X149" s="124">
        <v>0</v>
      </c>
      <c r="Y149" s="124">
        <v>0</v>
      </c>
      <c r="Z149" s="124">
        <v>0</v>
      </c>
      <c r="AA149" s="124">
        <v>0</v>
      </c>
      <c r="AB149" s="124">
        <v>0</v>
      </c>
      <c r="AC149" s="124">
        <v>0</v>
      </c>
      <c r="AD149" s="124">
        <v>0</v>
      </c>
      <c r="AE149" s="124">
        <v>0</v>
      </c>
      <c r="AF149" s="124">
        <v>0</v>
      </c>
      <c r="AG149" s="124">
        <v>0</v>
      </c>
      <c r="AH149" s="124">
        <v>0</v>
      </c>
      <c r="AI149" s="124">
        <v>0</v>
      </c>
      <c r="AJ149" s="124">
        <v>0</v>
      </c>
      <c r="AK149" s="124">
        <v>0</v>
      </c>
      <c r="AL149" s="124">
        <v>0</v>
      </c>
      <c r="AM149" s="124">
        <v>0</v>
      </c>
      <c r="AN149" s="124">
        <v>0</v>
      </c>
      <c r="AO149" s="124">
        <v>0</v>
      </c>
      <c r="AP149" s="124">
        <v>0</v>
      </c>
      <c r="AQ149" s="124">
        <v>0</v>
      </c>
      <c r="AR149" s="124">
        <v>0</v>
      </c>
      <c r="AS149" s="124">
        <v>0</v>
      </c>
      <c r="AT149" s="124">
        <v>0</v>
      </c>
      <c r="AU149" s="124">
        <v>0</v>
      </c>
      <c r="AV149" s="124">
        <v>0</v>
      </c>
      <c r="AW149" s="124">
        <v>0</v>
      </c>
      <c r="AX149" s="124">
        <v>0</v>
      </c>
      <c r="AY149" s="124">
        <v>0</v>
      </c>
    </row>
    <row r="150" spans="1:51" x14ac:dyDescent="0.2">
      <c r="A150" s="127"/>
      <c r="B150" s="144">
        <v>29</v>
      </c>
      <c r="C150" s="124">
        <v>0</v>
      </c>
      <c r="D150" s="124">
        <v>0</v>
      </c>
      <c r="E150" s="124">
        <v>0</v>
      </c>
      <c r="F150" s="124">
        <v>0</v>
      </c>
      <c r="G150" s="124">
        <v>0</v>
      </c>
      <c r="H150" s="124">
        <v>0</v>
      </c>
      <c r="I150" s="124">
        <v>0</v>
      </c>
      <c r="J150" s="124">
        <v>0</v>
      </c>
      <c r="K150" s="124">
        <v>0</v>
      </c>
      <c r="L150" s="124">
        <v>0</v>
      </c>
      <c r="M150" s="124">
        <v>0</v>
      </c>
      <c r="N150" s="124">
        <v>0</v>
      </c>
      <c r="O150" s="124">
        <v>0</v>
      </c>
      <c r="P150" s="124">
        <v>0</v>
      </c>
      <c r="Q150" s="124">
        <v>0</v>
      </c>
      <c r="R150" s="124">
        <v>0</v>
      </c>
      <c r="S150" s="124">
        <v>0</v>
      </c>
      <c r="T150" s="124">
        <v>0</v>
      </c>
      <c r="U150" s="124">
        <v>0</v>
      </c>
      <c r="V150" s="124">
        <v>0</v>
      </c>
      <c r="W150" s="124">
        <v>0</v>
      </c>
      <c r="X150" s="124">
        <v>0</v>
      </c>
      <c r="Y150" s="124">
        <v>0</v>
      </c>
      <c r="Z150" s="124">
        <v>0</v>
      </c>
      <c r="AA150" s="124">
        <v>0</v>
      </c>
      <c r="AB150" s="124">
        <v>0</v>
      </c>
      <c r="AC150" s="124">
        <v>0</v>
      </c>
      <c r="AD150" s="124">
        <v>0</v>
      </c>
      <c r="AE150" s="124">
        <v>0</v>
      </c>
      <c r="AF150" s="124">
        <v>0</v>
      </c>
      <c r="AG150" s="124">
        <v>0</v>
      </c>
      <c r="AH150" s="124">
        <v>0</v>
      </c>
      <c r="AI150" s="124">
        <v>0</v>
      </c>
      <c r="AJ150" s="124">
        <v>0</v>
      </c>
      <c r="AK150" s="124">
        <v>0</v>
      </c>
      <c r="AL150" s="124">
        <v>0</v>
      </c>
      <c r="AM150" s="124">
        <v>0</v>
      </c>
      <c r="AN150" s="124">
        <v>0</v>
      </c>
      <c r="AO150" s="124">
        <v>0</v>
      </c>
      <c r="AP150" s="124">
        <v>0</v>
      </c>
      <c r="AQ150" s="124">
        <v>0</v>
      </c>
      <c r="AR150" s="124">
        <v>0</v>
      </c>
      <c r="AS150" s="124">
        <v>0</v>
      </c>
      <c r="AT150" s="124">
        <v>0</v>
      </c>
      <c r="AU150" s="124">
        <v>0</v>
      </c>
      <c r="AV150" s="124">
        <v>0</v>
      </c>
      <c r="AW150" s="124">
        <v>0</v>
      </c>
      <c r="AX150" s="124">
        <v>0</v>
      </c>
      <c r="AY150" s="124">
        <v>0</v>
      </c>
    </row>
    <row r="151" spans="1:51" x14ac:dyDescent="0.2">
      <c r="A151" s="127"/>
      <c r="B151" s="144">
        <v>30</v>
      </c>
      <c r="C151" s="124">
        <v>0</v>
      </c>
      <c r="D151" s="124">
        <v>0</v>
      </c>
      <c r="E151" s="124">
        <v>0</v>
      </c>
      <c r="F151" s="124">
        <v>0</v>
      </c>
      <c r="G151" s="124">
        <v>0</v>
      </c>
      <c r="H151" s="124">
        <v>0</v>
      </c>
      <c r="I151" s="124">
        <v>0</v>
      </c>
      <c r="J151" s="124">
        <v>0</v>
      </c>
      <c r="K151" s="124">
        <v>0</v>
      </c>
      <c r="L151" s="124">
        <v>0</v>
      </c>
      <c r="M151" s="124">
        <v>0</v>
      </c>
      <c r="N151" s="124">
        <v>0</v>
      </c>
      <c r="O151" s="124">
        <v>0</v>
      </c>
      <c r="P151" s="124">
        <v>0</v>
      </c>
      <c r="Q151" s="124">
        <v>0</v>
      </c>
      <c r="R151" s="124">
        <v>0</v>
      </c>
      <c r="S151" s="124">
        <v>0</v>
      </c>
      <c r="T151" s="124">
        <v>0</v>
      </c>
      <c r="U151" s="124">
        <v>0</v>
      </c>
      <c r="V151" s="124">
        <v>0</v>
      </c>
      <c r="W151" s="124">
        <v>0</v>
      </c>
      <c r="X151" s="124">
        <v>0</v>
      </c>
      <c r="Y151" s="124">
        <v>0</v>
      </c>
      <c r="Z151" s="124">
        <v>0</v>
      </c>
      <c r="AA151" s="124">
        <v>0</v>
      </c>
      <c r="AB151" s="124">
        <v>0</v>
      </c>
      <c r="AC151" s="124">
        <v>0</v>
      </c>
      <c r="AD151" s="124">
        <v>0</v>
      </c>
      <c r="AE151" s="124">
        <v>0</v>
      </c>
      <c r="AF151" s="124">
        <v>0</v>
      </c>
      <c r="AG151" s="124">
        <v>0</v>
      </c>
      <c r="AH151" s="124">
        <v>0</v>
      </c>
      <c r="AI151" s="124">
        <v>0</v>
      </c>
      <c r="AJ151" s="124">
        <v>0</v>
      </c>
      <c r="AK151" s="124">
        <v>0</v>
      </c>
      <c r="AL151" s="124">
        <v>0</v>
      </c>
      <c r="AM151" s="124">
        <v>0</v>
      </c>
      <c r="AN151" s="124">
        <v>0</v>
      </c>
      <c r="AO151" s="124">
        <v>0</v>
      </c>
      <c r="AP151" s="124">
        <v>0</v>
      </c>
      <c r="AQ151" s="124">
        <v>0</v>
      </c>
      <c r="AR151" s="124">
        <v>0</v>
      </c>
      <c r="AS151" s="124">
        <v>0</v>
      </c>
      <c r="AT151" s="124">
        <v>0</v>
      </c>
      <c r="AU151" s="124">
        <v>0</v>
      </c>
      <c r="AV151" s="124">
        <v>0</v>
      </c>
      <c r="AW151" s="124">
        <v>0</v>
      </c>
      <c r="AX151" s="124">
        <v>0</v>
      </c>
      <c r="AY151" s="124">
        <v>0</v>
      </c>
    </row>
    <row r="152" spans="1:51" x14ac:dyDescent="0.2">
      <c r="A152" s="127"/>
      <c r="B152" s="144">
        <v>31</v>
      </c>
      <c r="C152" s="124">
        <v>0</v>
      </c>
      <c r="D152" s="124">
        <v>0</v>
      </c>
      <c r="E152" s="124">
        <v>0</v>
      </c>
      <c r="F152" s="124">
        <v>0</v>
      </c>
      <c r="G152" s="124">
        <v>0</v>
      </c>
      <c r="H152" s="124">
        <v>0</v>
      </c>
      <c r="I152" s="124">
        <v>0</v>
      </c>
      <c r="J152" s="124">
        <v>0</v>
      </c>
      <c r="K152" s="124">
        <v>0</v>
      </c>
      <c r="L152" s="124">
        <v>0</v>
      </c>
      <c r="M152" s="124">
        <v>0</v>
      </c>
      <c r="N152" s="124">
        <v>0</v>
      </c>
      <c r="O152" s="124">
        <v>0</v>
      </c>
      <c r="P152" s="124">
        <v>0</v>
      </c>
      <c r="Q152" s="124">
        <v>0</v>
      </c>
      <c r="R152" s="124">
        <v>0</v>
      </c>
      <c r="S152" s="124">
        <v>0</v>
      </c>
      <c r="T152" s="124">
        <v>0</v>
      </c>
      <c r="U152" s="124">
        <v>0</v>
      </c>
      <c r="V152" s="124">
        <v>0</v>
      </c>
      <c r="W152" s="124">
        <v>0</v>
      </c>
      <c r="X152" s="124">
        <v>0</v>
      </c>
      <c r="Y152" s="124">
        <v>0</v>
      </c>
      <c r="Z152" s="124">
        <v>0</v>
      </c>
      <c r="AA152" s="124">
        <v>0</v>
      </c>
      <c r="AB152" s="124">
        <v>0</v>
      </c>
      <c r="AC152" s="124">
        <v>0</v>
      </c>
      <c r="AD152" s="124">
        <v>0</v>
      </c>
      <c r="AE152" s="124">
        <v>0</v>
      </c>
      <c r="AF152" s="124">
        <v>0</v>
      </c>
      <c r="AG152" s="124">
        <v>0</v>
      </c>
      <c r="AH152" s="124">
        <v>0</v>
      </c>
      <c r="AI152" s="124">
        <v>0</v>
      </c>
      <c r="AJ152" s="124">
        <v>0</v>
      </c>
      <c r="AK152" s="124">
        <v>0</v>
      </c>
      <c r="AL152" s="124">
        <v>0</v>
      </c>
      <c r="AM152" s="124">
        <v>0</v>
      </c>
      <c r="AN152" s="124">
        <v>0</v>
      </c>
      <c r="AO152" s="124">
        <v>0</v>
      </c>
      <c r="AP152" s="124">
        <v>0</v>
      </c>
      <c r="AQ152" s="124">
        <v>0</v>
      </c>
      <c r="AR152" s="124">
        <v>0</v>
      </c>
      <c r="AS152" s="124">
        <v>0</v>
      </c>
      <c r="AT152" s="124">
        <v>0</v>
      </c>
      <c r="AU152" s="124">
        <v>0</v>
      </c>
      <c r="AV152" s="124">
        <v>0</v>
      </c>
      <c r="AW152" s="124">
        <v>0</v>
      </c>
      <c r="AX152" s="124">
        <v>0</v>
      </c>
      <c r="AY152" s="124">
        <v>0</v>
      </c>
    </row>
    <row r="153" spans="1:51" x14ac:dyDescent="0.2">
      <c r="A153" s="127"/>
      <c r="B153" s="144">
        <v>32</v>
      </c>
      <c r="C153" s="124">
        <v>0</v>
      </c>
      <c r="D153" s="124">
        <v>0</v>
      </c>
      <c r="E153" s="124">
        <v>0</v>
      </c>
      <c r="F153" s="124">
        <v>0</v>
      </c>
      <c r="G153" s="124">
        <v>0</v>
      </c>
      <c r="H153" s="124">
        <v>0</v>
      </c>
      <c r="I153" s="124">
        <v>0</v>
      </c>
      <c r="J153" s="124">
        <v>0</v>
      </c>
      <c r="K153" s="124">
        <v>0</v>
      </c>
      <c r="L153" s="124">
        <v>0</v>
      </c>
      <c r="M153" s="124">
        <v>0</v>
      </c>
      <c r="N153" s="124">
        <v>0</v>
      </c>
      <c r="O153" s="124">
        <v>0</v>
      </c>
      <c r="P153" s="124">
        <v>0</v>
      </c>
      <c r="Q153" s="124">
        <v>0</v>
      </c>
      <c r="R153" s="124">
        <v>0</v>
      </c>
      <c r="S153" s="124">
        <v>0</v>
      </c>
      <c r="T153" s="124">
        <v>0</v>
      </c>
      <c r="U153" s="124">
        <v>0</v>
      </c>
      <c r="V153" s="124">
        <v>0</v>
      </c>
      <c r="W153" s="124">
        <v>0</v>
      </c>
      <c r="X153" s="124">
        <v>0</v>
      </c>
      <c r="Y153" s="124">
        <v>0</v>
      </c>
      <c r="Z153" s="124">
        <v>0</v>
      </c>
      <c r="AA153" s="124">
        <v>0</v>
      </c>
      <c r="AB153" s="124">
        <v>0</v>
      </c>
      <c r="AC153" s="124">
        <v>0</v>
      </c>
      <c r="AD153" s="124">
        <v>0</v>
      </c>
      <c r="AE153" s="124">
        <v>0</v>
      </c>
      <c r="AF153" s="124">
        <v>0</v>
      </c>
      <c r="AG153" s="124">
        <v>0</v>
      </c>
      <c r="AH153" s="124">
        <v>0</v>
      </c>
      <c r="AI153" s="124">
        <v>0</v>
      </c>
      <c r="AJ153" s="124">
        <v>0</v>
      </c>
      <c r="AK153" s="124">
        <v>0</v>
      </c>
      <c r="AL153" s="124">
        <v>0</v>
      </c>
      <c r="AM153" s="124">
        <v>0</v>
      </c>
      <c r="AN153" s="124">
        <v>0</v>
      </c>
      <c r="AO153" s="124">
        <v>0</v>
      </c>
      <c r="AP153" s="124">
        <v>0</v>
      </c>
      <c r="AQ153" s="124">
        <v>0</v>
      </c>
      <c r="AR153" s="124">
        <v>0</v>
      </c>
      <c r="AS153" s="124">
        <v>0</v>
      </c>
      <c r="AT153" s="124">
        <v>0</v>
      </c>
      <c r="AU153" s="124">
        <v>0</v>
      </c>
      <c r="AV153" s="124">
        <v>0</v>
      </c>
      <c r="AW153" s="124">
        <v>0</v>
      </c>
      <c r="AX153" s="124">
        <v>0</v>
      </c>
      <c r="AY153" s="124">
        <v>0</v>
      </c>
    </row>
    <row r="154" spans="1:51" x14ac:dyDescent="0.2">
      <c r="A154" s="127"/>
      <c r="B154" s="144">
        <v>33</v>
      </c>
      <c r="C154" s="124">
        <v>0</v>
      </c>
      <c r="D154" s="124">
        <v>0</v>
      </c>
      <c r="E154" s="124">
        <v>0</v>
      </c>
      <c r="F154" s="124">
        <v>0</v>
      </c>
      <c r="G154" s="124">
        <v>0</v>
      </c>
      <c r="H154" s="124">
        <v>0</v>
      </c>
      <c r="I154" s="124">
        <v>0</v>
      </c>
      <c r="J154" s="124">
        <v>0</v>
      </c>
      <c r="K154" s="124">
        <v>0</v>
      </c>
      <c r="L154" s="124">
        <v>0</v>
      </c>
      <c r="M154" s="124">
        <v>0</v>
      </c>
      <c r="N154" s="124">
        <v>0</v>
      </c>
      <c r="O154" s="124">
        <v>0</v>
      </c>
      <c r="P154" s="124">
        <v>0</v>
      </c>
      <c r="Q154" s="124">
        <v>0</v>
      </c>
      <c r="R154" s="124">
        <v>0</v>
      </c>
      <c r="S154" s="124">
        <v>0</v>
      </c>
      <c r="T154" s="124">
        <v>0</v>
      </c>
      <c r="U154" s="124">
        <v>0</v>
      </c>
      <c r="V154" s="124">
        <v>0</v>
      </c>
      <c r="W154" s="124">
        <v>0</v>
      </c>
      <c r="X154" s="124">
        <v>0</v>
      </c>
      <c r="Y154" s="124">
        <v>0</v>
      </c>
      <c r="Z154" s="124">
        <v>0</v>
      </c>
      <c r="AA154" s="124">
        <v>0</v>
      </c>
      <c r="AB154" s="124">
        <v>0</v>
      </c>
      <c r="AC154" s="124">
        <v>0</v>
      </c>
      <c r="AD154" s="124">
        <v>0</v>
      </c>
      <c r="AE154" s="124">
        <v>0</v>
      </c>
      <c r="AF154" s="124">
        <v>0</v>
      </c>
      <c r="AG154" s="124">
        <v>0</v>
      </c>
      <c r="AH154" s="124">
        <v>0</v>
      </c>
      <c r="AI154" s="124">
        <v>0</v>
      </c>
      <c r="AJ154" s="124">
        <v>0</v>
      </c>
      <c r="AK154" s="124">
        <v>0</v>
      </c>
      <c r="AL154" s="124">
        <v>0</v>
      </c>
      <c r="AM154" s="124">
        <v>0</v>
      </c>
      <c r="AN154" s="124">
        <v>0</v>
      </c>
      <c r="AO154" s="124">
        <v>0</v>
      </c>
      <c r="AP154" s="124">
        <v>0</v>
      </c>
      <c r="AQ154" s="124">
        <v>0</v>
      </c>
      <c r="AR154" s="124">
        <v>0</v>
      </c>
      <c r="AS154" s="124">
        <v>0</v>
      </c>
      <c r="AT154" s="124">
        <v>0</v>
      </c>
      <c r="AU154" s="124">
        <v>0</v>
      </c>
      <c r="AV154" s="124">
        <v>0</v>
      </c>
      <c r="AW154" s="124">
        <v>0</v>
      </c>
      <c r="AX154" s="124">
        <v>0</v>
      </c>
      <c r="AY154" s="124">
        <v>0</v>
      </c>
    </row>
    <row r="155" spans="1:51" x14ac:dyDescent="0.2">
      <c r="A155" s="127"/>
      <c r="B155" s="144">
        <v>34</v>
      </c>
      <c r="C155" s="124">
        <v>0</v>
      </c>
      <c r="D155" s="124">
        <v>0</v>
      </c>
      <c r="E155" s="124">
        <v>0</v>
      </c>
      <c r="F155" s="124">
        <v>0</v>
      </c>
      <c r="G155" s="124">
        <v>0</v>
      </c>
      <c r="H155" s="124">
        <v>0</v>
      </c>
      <c r="I155" s="124">
        <v>0</v>
      </c>
      <c r="J155" s="124">
        <v>0</v>
      </c>
      <c r="K155" s="124">
        <v>0</v>
      </c>
      <c r="L155" s="124">
        <v>0</v>
      </c>
      <c r="M155" s="124">
        <v>0</v>
      </c>
      <c r="N155" s="124">
        <v>0</v>
      </c>
      <c r="O155" s="124">
        <v>0</v>
      </c>
      <c r="P155" s="124">
        <v>0</v>
      </c>
      <c r="Q155" s="124">
        <v>0</v>
      </c>
      <c r="R155" s="124">
        <v>0</v>
      </c>
      <c r="S155" s="124">
        <v>0</v>
      </c>
      <c r="T155" s="124">
        <v>0</v>
      </c>
      <c r="U155" s="124">
        <v>0</v>
      </c>
      <c r="V155" s="124">
        <v>0</v>
      </c>
      <c r="W155" s="124">
        <v>0</v>
      </c>
      <c r="X155" s="124">
        <v>0</v>
      </c>
      <c r="Y155" s="124">
        <v>0</v>
      </c>
      <c r="Z155" s="124">
        <v>0</v>
      </c>
      <c r="AA155" s="124">
        <v>0</v>
      </c>
      <c r="AB155" s="124">
        <v>0</v>
      </c>
      <c r="AC155" s="124">
        <v>0</v>
      </c>
      <c r="AD155" s="124">
        <v>0</v>
      </c>
      <c r="AE155" s="124">
        <v>0</v>
      </c>
      <c r="AF155" s="124">
        <v>0</v>
      </c>
      <c r="AG155" s="124">
        <v>0</v>
      </c>
      <c r="AH155" s="124">
        <v>0</v>
      </c>
      <c r="AI155" s="124">
        <v>0</v>
      </c>
      <c r="AJ155" s="124">
        <v>0</v>
      </c>
      <c r="AK155" s="124">
        <v>0</v>
      </c>
      <c r="AL155" s="124">
        <v>0</v>
      </c>
      <c r="AM155" s="124">
        <v>0</v>
      </c>
      <c r="AN155" s="124">
        <v>0</v>
      </c>
      <c r="AO155" s="124">
        <v>0</v>
      </c>
      <c r="AP155" s="124">
        <v>0</v>
      </c>
      <c r="AQ155" s="124">
        <v>0</v>
      </c>
      <c r="AR155" s="124">
        <v>0</v>
      </c>
      <c r="AS155" s="124">
        <v>0</v>
      </c>
      <c r="AT155" s="124">
        <v>0</v>
      </c>
      <c r="AU155" s="124">
        <v>0</v>
      </c>
      <c r="AV155" s="124">
        <v>0</v>
      </c>
      <c r="AW155" s="124">
        <v>0</v>
      </c>
      <c r="AX155" s="124">
        <v>0</v>
      </c>
      <c r="AY155" s="124">
        <v>0</v>
      </c>
    </row>
    <row r="156" spans="1:51" x14ac:dyDescent="0.2">
      <c r="A156" s="127"/>
      <c r="B156" s="144">
        <v>35</v>
      </c>
      <c r="C156" s="124">
        <v>0</v>
      </c>
      <c r="D156" s="124">
        <v>0</v>
      </c>
      <c r="E156" s="124">
        <v>0</v>
      </c>
      <c r="F156" s="124">
        <v>0</v>
      </c>
      <c r="G156" s="124">
        <v>0</v>
      </c>
      <c r="H156" s="124">
        <v>0</v>
      </c>
      <c r="I156" s="124">
        <v>0</v>
      </c>
      <c r="J156" s="124">
        <v>0</v>
      </c>
      <c r="K156" s="124">
        <v>0</v>
      </c>
      <c r="L156" s="124">
        <v>0</v>
      </c>
      <c r="M156" s="124">
        <v>0</v>
      </c>
      <c r="N156" s="124">
        <v>0</v>
      </c>
      <c r="O156" s="124">
        <v>0</v>
      </c>
      <c r="P156" s="124">
        <v>0</v>
      </c>
      <c r="Q156" s="124">
        <v>0</v>
      </c>
      <c r="R156" s="124">
        <v>0</v>
      </c>
      <c r="S156" s="124">
        <v>0</v>
      </c>
      <c r="T156" s="124">
        <v>0</v>
      </c>
      <c r="U156" s="124">
        <v>0</v>
      </c>
      <c r="V156" s="124">
        <v>0</v>
      </c>
      <c r="W156" s="124">
        <v>0</v>
      </c>
      <c r="X156" s="124">
        <v>0</v>
      </c>
      <c r="Y156" s="124">
        <v>0</v>
      </c>
      <c r="Z156" s="124">
        <v>0</v>
      </c>
      <c r="AA156" s="124">
        <v>0</v>
      </c>
      <c r="AB156" s="124">
        <v>0</v>
      </c>
      <c r="AC156" s="124">
        <v>0</v>
      </c>
      <c r="AD156" s="124">
        <v>0</v>
      </c>
      <c r="AE156" s="124">
        <v>0</v>
      </c>
      <c r="AF156" s="124">
        <v>0</v>
      </c>
      <c r="AG156" s="124">
        <v>0</v>
      </c>
      <c r="AH156" s="124">
        <v>0</v>
      </c>
      <c r="AI156" s="124">
        <v>0</v>
      </c>
      <c r="AJ156" s="124">
        <v>0</v>
      </c>
      <c r="AK156" s="124">
        <v>0</v>
      </c>
      <c r="AL156" s="124">
        <v>0</v>
      </c>
      <c r="AM156" s="124">
        <v>0</v>
      </c>
      <c r="AN156" s="124">
        <v>0</v>
      </c>
      <c r="AO156" s="124">
        <v>0</v>
      </c>
      <c r="AP156" s="124">
        <v>0</v>
      </c>
      <c r="AQ156" s="124">
        <v>0</v>
      </c>
      <c r="AR156" s="124">
        <v>0</v>
      </c>
      <c r="AS156" s="124">
        <v>0</v>
      </c>
      <c r="AT156" s="124">
        <v>0</v>
      </c>
      <c r="AU156" s="124">
        <v>0</v>
      </c>
      <c r="AV156" s="124">
        <v>0</v>
      </c>
      <c r="AW156" s="124">
        <v>0</v>
      </c>
      <c r="AX156" s="124">
        <v>0</v>
      </c>
      <c r="AY156" s="124">
        <v>0</v>
      </c>
    </row>
    <row r="157" spans="1:51" x14ac:dyDescent="0.2">
      <c r="A157" s="127"/>
      <c r="B157" s="144">
        <v>36</v>
      </c>
      <c r="C157" s="124">
        <v>0</v>
      </c>
      <c r="D157" s="124">
        <v>0</v>
      </c>
      <c r="E157" s="124">
        <v>0</v>
      </c>
      <c r="F157" s="124">
        <v>0</v>
      </c>
      <c r="G157" s="124">
        <v>0</v>
      </c>
      <c r="H157" s="124">
        <v>0</v>
      </c>
      <c r="I157" s="124">
        <v>0</v>
      </c>
      <c r="J157" s="124">
        <v>0</v>
      </c>
      <c r="K157" s="124">
        <v>0</v>
      </c>
      <c r="L157" s="124">
        <v>0</v>
      </c>
      <c r="M157" s="124">
        <v>0</v>
      </c>
      <c r="N157" s="124">
        <v>0</v>
      </c>
      <c r="O157" s="124">
        <v>0</v>
      </c>
      <c r="P157" s="124">
        <v>0</v>
      </c>
      <c r="Q157" s="124">
        <v>0</v>
      </c>
      <c r="R157" s="124">
        <v>0</v>
      </c>
      <c r="S157" s="124">
        <v>0</v>
      </c>
      <c r="T157" s="124">
        <v>0</v>
      </c>
      <c r="U157" s="124">
        <v>0</v>
      </c>
      <c r="V157" s="124">
        <v>0</v>
      </c>
      <c r="W157" s="124">
        <v>0</v>
      </c>
      <c r="X157" s="124">
        <v>0</v>
      </c>
      <c r="Y157" s="124">
        <v>0</v>
      </c>
      <c r="Z157" s="124">
        <v>0</v>
      </c>
      <c r="AA157" s="124">
        <v>0</v>
      </c>
      <c r="AB157" s="124">
        <v>0</v>
      </c>
      <c r="AC157" s="124">
        <v>0</v>
      </c>
      <c r="AD157" s="124">
        <v>0</v>
      </c>
      <c r="AE157" s="124">
        <v>0</v>
      </c>
      <c r="AF157" s="124">
        <v>0</v>
      </c>
      <c r="AG157" s="124">
        <v>0</v>
      </c>
      <c r="AH157" s="124">
        <v>0</v>
      </c>
      <c r="AI157" s="124">
        <v>0</v>
      </c>
      <c r="AJ157" s="124">
        <v>0</v>
      </c>
      <c r="AK157" s="124">
        <v>0</v>
      </c>
      <c r="AL157" s="124">
        <v>0</v>
      </c>
      <c r="AM157" s="124">
        <v>0</v>
      </c>
      <c r="AN157" s="124">
        <v>0</v>
      </c>
      <c r="AO157" s="124">
        <v>0</v>
      </c>
      <c r="AP157" s="124">
        <v>0</v>
      </c>
      <c r="AQ157" s="124">
        <v>0</v>
      </c>
      <c r="AR157" s="124">
        <v>0</v>
      </c>
      <c r="AS157" s="124">
        <v>0</v>
      </c>
      <c r="AT157" s="124">
        <v>0</v>
      </c>
      <c r="AU157" s="124">
        <v>0</v>
      </c>
      <c r="AV157" s="124">
        <v>0</v>
      </c>
      <c r="AW157" s="124">
        <v>0</v>
      </c>
      <c r="AX157" s="124">
        <v>0</v>
      </c>
      <c r="AY157" s="124">
        <v>0</v>
      </c>
    </row>
    <row r="158" spans="1:51" x14ac:dyDescent="0.2">
      <c r="A158" s="127"/>
      <c r="B158" s="147">
        <v>37</v>
      </c>
      <c r="C158" s="124">
        <v>0</v>
      </c>
      <c r="D158" s="124">
        <v>0</v>
      </c>
      <c r="E158" s="124">
        <v>0</v>
      </c>
      <c r="F158" s="124">
        <v>0</v>
      </c>
      <c r="G158" s="124">
        <v>0</v>
      </c>
      <c r="H158" s="124">
        <v>0</v>
      </c>
      <c r="I158" s="124">
        <v>0</v>
      </c>
      <c r="J158" s="124">
        <v>0</v>
      </c>
      <c r="K158" s="124">
        <v>0</v>
      </c>
      <c r="L158" s="124">
        <v>0</v>
      </c>
      <c r="M158" s="124">
        <v>0</v>
      </c>
      <c r="N158" s="124">
        <v>0</v>
      </c>
      <c r="O158" s="124">
        <v>0</v>
      </c>
      <c r="P158" s="124">
        <v>0</v>
      </c>
      <c r="Q158" s="124">
        <v>0</v>
      </c>
      <c r="R158" s="124">
        <v>0</v>
      </c>
      <c r="S158" s="124">
        <v>0</v>
      </c>
      <c r="T158" s="124">
        <v>0</v>
      </c>
      <c r="U158" s="124">
        <v>0</v>
      </c>
      <c r="V158" s="124">
        <v>0</v>
      </c>
      <c r="W158" s="124">
        <v>0</v>
      </c>
      <c r="X158" s="124">
        <v>0</v>
      </c>
      <c r="Y158" s="124">
        <v>0</v>
      </c>
      <c r="Z158" s="124">
        <v>0</v>
      </c>
      <c r="AA158" s="124">
        <v>0</v>
      </c>
      <c r="AB158" s="124">
        <v>0</v>
      </c>
      <c r="AC158" s="124">
        <v>0</v>
      </c>
      <c r="AD158" s="124">
        <v>0</v>
      </c>
      <c r="AE158" s="124">
        <v>0</v>
      </c>
      <c r="AF158" s="124">
        <v>0</v>
      </c>
      <c r="AG158" s="124">
        <v>0</v>
      </c>
      <c r="AH158" s="124">
        <v>0</v>
      </c>
      <c r="AI158" s="124">
        <v>0</v>
      </c>
      <c r="AJ158" s="124">
        <v>0</v>
      </c>
      <c r="AK158" s="124">
        <v>0</v>
      </c>
      <c r="AL158" s="124">
        <v>0</v>
      </c>
      <c r="AM158" s="124">
        <v>0</v>
      </c>
      <c r="AN158" s="124">
        <v>0</v>
      </c>
      <c r="AO158" s="124">
        <v>0</v>
      </c>
      <c r="AP158" s="124">
        <v>0</v>
      </c>
      <c r="AQ158" s="124">
        <v>0</v>
      </c>
      <c r="AR158" s="124">
        <v>0</v>
      </c>
      <c r="AS158" s="124">
        <v>0</v>
      </c>
      <c r="AT158" s="124">
        <v>0</v>
      </c>
      <c r="AU158" s="124">
        <v>0</v>
      </c>
      <c r="AV158" s="124">
        <v>0</v>
      </c>
      <c r="AW158" s="124">
        <v>0</v>
      </c>
      <c r="AX158" s="124">
        <v>0</v>
      </c>
      <c r="AY158" s="124">
        <v>0</v>
      </c>
    </row>
    <row r="159" spans="1:51" x14ac:dyDescent="0.2">
      <c r="A159" s="127"/>
      <c r="B159" s="147">
        <v>38</v>
      </c>
      <c r="C159" s="124">
        <v>0</v>
      </c>
      <c r="D159" s="124">
        <v>0</v>
      </c>
      <c r="E159" s="124">
        <v>0</v>
      </c>
      <c r="F159" s="124">
        <v>0</v>
      </c>
      <c r="G159" s="124">
        <v>0</v>
      </c>
      <c r="H159" s="124">
        <v>0</v>
      </c>
      <c r="I159" s="124">
        <v>0</v>
      </c>
      <c r="J159" s="124">
        <v>0</v>
      </c>
      <c r="K159" s="124">
        <v>0</v>
      </c>
      <c r="L159" s="124">
        <v>0</v>
      </c>
      <c r="M159" s="124">
        <v>0</v>
      </c>
      <c r="N159" s="124">
        <v>0</v>
      </c>
      <c r="O159" s="124">
        <v>0</v>
      </c>
      <c r="P159" s="124">
        <v>0</v>
      </c>
      <c r="Q159" s="124">
        <v>0</v>
      </c>
      <c r="R159" s="124">
        <v>0</v>
      </c>
      <c r="S159" s="124">
        <v>0</v>
      </c>
      <c r="T159" s="124">
        <v>0</v>
      </c>
      <c r="U159" s="124">
        <v>0</v>
      </c>
      <c r="V159" s="124">
        <v>0</v>
      </c>
      <c r="W159" s="124">
        <v>0</v>
      </c>
      <c r="X159" s="124">
        <v>0</v>
      </c>
      <c r="Y159" s="124">
        <v>0</v>
      </c>
      <c r="Z159" s="124">
        <v>0</v>
      </c>
      <c r="AA159" s="124">
        <v>0</v>
      </c>
      <c r="AB159" s="124">
        <v>0</v>
      </c>
      <c r="AC159" s="124">
        <v>0</v>
      </c>
      <c r="AD159" s="124">
        <v>0</v>
      </c>
      <c r="AE159" s="124">
        <v>0</v>
      </c>
      <c r="AF159" s="124">
        <v>0</v>
      </c>
      <c r="AG159" s="124">
        <v>0</v>
      </c>
      <c r="AH159" s="124">
        <v>0</v>
      </c>
      <c r="AI159" s="124">
        <v>0</v>
      </c>
      <c r="AJ159" s="124">
        <v>0</v>
      </c>
      <c r="AK159" s="124">
        <v>0</v>
      </c>
      <c r="AL159" s="124">
        <v>0</v>
      </c>
      <c r="AM159" s="124">
        <v>0</v>
      </c>
      <c r="AN159" s="124">
        <v>0</v>
      </c>
      <c r="AO159" s="124">
        <v>0</v>
      </c>
      <c r="AP159" s="124">
        <v>0</v>
      </c>
      <c r="AQ159" s="124">
        <v>0</v>
      </c>
      <c r="AR159" s="124">
        <v>0</v>
      </c>
      <c r="AS159" s="124">
        <v>0</v>
      </c>
      <c r="AT159" s="124">
        <v>0</v>
      </c>
      <c r="AU159" s="124">
        <v>0</v>
      </c>
      <c r="AV159" s="124">
        <v>0</v>
      </c>
      <c r="AW159" s="124">
        <v>0</v>
      </c>
      <c r="AX159" s="124">
        <v>0</v>
      </c>
      <c r="AY159" s="124">
        <v>0</v>
      </c>
    </row>
    <row r="160" spans="1:51" x14ac:dyDescent="0.2">
      <c r="A160" s="127"/>
      <c r="B160" s="147">
        <v>39</v>
      </c>
      <c r="C160" s="124">
        <v>0</v>
      </c>
      <c r="D160" s="124">
        <v>0</v>
      </c>
      <c r="E160" s="124">
        <v>0</v>
      </c>
      <c r="F160" s="124">
        <v>0</v>
      </c>
      <c r="G160" s="124">
        <v>0</v>
      </c>
      <c r="H160" s="124">
        <v>0</v>
      </c>
      <c r="I160" s="124">
        <v>0</v>
      </c>
      <c r="J160" s="124">
        <v>0</v>
      </c>
      <c r="K160" s="124">
        <v>0</v>
      </c>
      <c r="L160" s="124">
        <v>0</v>
      </c>
      <c r="M160" s="124">
        <v>0</v>
      </c>
      <c r="N160" s="124">
        <v>0</v>
      </c>
      <c r="O160" s="124">
        <v>0</v>
      </c>
      <c r="P160" s="124">
        <v>0</v>
      </c>
      <c r="Q160" s="124">
        <v>0</v>
      </c>
      <c r="R160" s="124">
        <v>0</v>
      </c>
      <c r="S160" s="124">
        <v>0</v>
      </c>
      <c r="T160" s="124">
        <v>0</v>
      </c>
      <c r="U160" s="124">
        <v>0</v>
      </c>
      <c r="V160" s="124">
        <v>0</v>
      </c>
      <c r="W160" s="124">
        <v>0</v>
      </c>
      <c r="X160" s="124">
        <v>0</v>
      </c>
      <c r="Y160" s="124">
        <v>0</v>
      </c>
      <c r="Z160" s="124">
        <v>0</v>
      </c>
      <c r="AA160" s="124">
        <v>0</v>
      </c>
      <c r="AB160" s="124">
        <v>0</v>
      </c>
      <c r="AC160" s="124">
        <v>0</v>
      </c>
      <c r="AD160" s="124">
        <v>0</v>
      </c>
      <c r="AE160" s="124">
        <v>0</v>
      </c>
      <c r="AF160" s="124">
        <v>0</v>
      </c>
      <c r="AG160" s="124">
        <v>0</v>
      </c>
      <c r="AH160" s="124">
        <v>0</v>
      </c>
      <c r="AI160" s="124">
        <v>0</v>
      </c>
      <c r="AJ160" s="124">
        <v>0</v>
      </c>
      <c r="AK160" s="124">
        <v>0</v>
      </c>
      <c r="AL160" s="124">
        <v>0</v>
      </c>
      <c r="AM160" s="124">
        <v>0</v>
      </c>
      <c r="AN160" s="124">
        <v>0</v>
      </c>
      <c r="AO160" s="124">
        <v>0</v>
      </c>
      <c r="AP160" s="124">
        <v>0</v>
      </c>
      <c r="AQ160" s="124">
        <v>0</v>
      </c>
      <c r="AR160" s="124">
        <v>0</v>
      </c>
      <c r="AS160" s="124">
        <v>0</v>
      </c>
      <c r="AT160" s="124">
        <v>0</v>
      </c>
      <c r="AU160" s="124">
        <v>0</v>
      </c>
      <c r="AV160" s="124">
        <v>0</v>
      </c>
      <c r="AW160" s="124">
        <v>0</v>
      </c>
      <c r="AX160" s="124">
        <v>0</v>
      </c>
      <c r="AY160" s="124">
        <v>0</v>
      </c>
    </row>
    <row r="161" spans="1:52" x14ac:dyDescent="0.2">
      <c r="A161" s="127"/>
      <c r="B161" s="147">
        <v>40</v>
      </c>
      <c r="C161" s="124">
        <v>0</v>
      </c>
      <c r="D161" s="124">
        <v>0</v>
      </c>
      <c r="E161" s="124">
        <v>0</v>
      </c>
      <c r="F161" s="124">
        <v>0</v>
      </c>
      <c r="G161" s="124">
        <v>0</v>
      </c>
      <c r="H161" s="124">
        <v>0</v>
      </c>
      <c r="I161" s="124">
        <v>0</v>
      </c>
      <c r="J161" s="124">
        <v>0</v>
      </c>
      <c r="K161" s="124">
        <v>0</v>
      </c>
      <c r="L161" s="124">
        <v>0</v>
      </c>
      <c r="M161" s="124">
        <v>0</v>
      </c>
      <c r="N161" s="124">
        <v>0</v>
      </c>
      <c r="O161" s="124">
        <v>0</v>
      </c>
      <c r="P161" s="124">
        <v>0</v>
      </c>
      <c r="Q161" s="124">
        <v>0</v>
      </c>
      <c r="R161" s="124">
        <v>0</v>
      </c>
      <c r="S161" s="124">
        <v>0</v>
      </c>
      <c r="T161" s="124">
        <v>0</v>
      </c>
      <c r="U161" s="124">
        <v>0</v>
      </c>
      <c r="V161" s="124">
        <v>0</v>
      </c>
      <c r="W161" s="124">
        <v>0</v>
      </c>
      <c r="X161" s="124">
        <v>0</v>
      </c>
      <c r="Y161" s="124">
        <v>0</v>
      </c>
      <c r="Z161" s="124">
        <v>0</v>
      </c>
      <c r="AA161" s="124">
        <v>0</v>
      </c>
      <c r="AB161" s="124">
        <v>0</v>
      </c>
      <c r="AC161" s="124">
        <v>0</v>
      </c>
      <c r="AD161" s="124">
        <v>0</v>
      </c>
      <c r="AE161" s="124">
        <v>0</v>
      </c>
      <c r="AF161" s="124">
        <v>0</v>
      </c>
      <c r="AG161" s="124">
        <v>0</v>
      </c>
      <c r="AH161" s="124">
        <v>0</v>
      </c>
      <c r="AI161" s="124">
        <v>0</v>
      </c>
      <c r="AJ161" s="124">
        <v>0</v>
      </c>
      <c r="AK161" s="124">
        <v>0</v>
      </c>
      <c r="AL161" s="124">
        <v>0</v>
      </c>
      <c r="AM161" s="124">
        <v>0</v>
      </c>
      <c r="AN161" s="124">
        <v>0</v>
      </c>
      <c r="AO161" s="124">
        <v>0</v>
      </c>
      <c r="AP161" s="124">
        <v>0</v>
      </c>
      <c r="AQ161" s="124">
        <v>0</v>
      </c>
      <c r="AR161" s="124">
        <v>0</v>
      </c>
      <c r="AS161" s="124">
        <v>0</v>
      </c>
      <c r="AT161" s="124">
        <v>0</v>
      </c>
      <c r="AU161" s="124">
        <v>0</v>
      </c>
      <c r="AV161" s="124">
        <v>0</v>
      </c>
      <c r="AW161" s="124">
        <v>0</v>
      </c>
      <c r="AX161" s="124">
        <v>0</v>
      </c>
      <c r="AY161" s="124">
        <v>0</v>
      </c>
    </row>
    <row r="162" spans="1:52" x14ac:dyDescent="0.2">
      <c r="A162" s="127"/>
      <c r="B162" s="147">
        <v>41</v>
      </c>
      <c r="C162" s="124">
        <v>0</v>
      </c>
      <c r="D162" s="124">
        <v>0</v>
      </c>
      <c r="E162" s="124">
        <v>0</v>
      </c>
      <c r="F162" s="124">
        <v>0</v>
      </c>
      <c r="G162" s="124">
        <v>0</v>
      </c>
      <c r="H162" s="124">
        <v>0</v>
      </c>
      <c r="I162" s="124">
        <v>0</v>
      </c>
      <c r="J162" s="124">
        <v>0</v>
      </c>
      <c r="K162" s="124">
        <v>0</v>
      </c>
      <c r="L162" s="124">
        <v>0</v>
      </c>
      <c r="M162" s="124">
        <v>0</v>
      </c>
      <c r="N162" s="124">
        <v>0</v>
      </c>
      <c r="O162" s="124">
        <v>0</v>
      </c>
      <c r="P162" s="124">
        <v>0</v>
      </c>
      <c r="Q162" s="124">
        <v>0</v>
      </c>
      <c r="R162" s="124">
        <v>0</v>
      </c>
      <c r="S162" s="124">
        <v>0</v>
      </c>
      <c r="T162" s="124">
        <v>0</v>
      </c>
      <c r="U162" s="124">
        <v>0</v>
      </c>
      <c r="V162" s="124">
        <v>0</v>
      </c>
      <c r="W162" s="124">
        <v>0</v>
      </c>
      <c r="X162" s="124">
        <v>0</v>
      </c>
      <c r="Y162" s="124">
        <v>0</v>
      </c>
      <c r="Z162" s="124">
        <v>0</v>
      </c>
      <c r="AA162" s="124">
        <v>0</v>
      </c>
      <c r="AB162" s="124">
        <v>0</v>
      </c>
      <c r="AC162" s="124">
        <v>0</v>
      </c>
      <c r="AD162" s="124">
        <v>0</v>
      </c>
      <c r="AE162" s="124">
        <v>0</v>
      </c>
      <c r="AF162" s="124">
        <v>0</v>
      </c>
      <c r="AG162" s="124">
        <v>0</v>
      </c>
      <c r="AH162" s="124">
        <v>0</v>
      </c>
      <c r="AI162" s="124">
        <v>0</v>
      </c>
      <c r="AJ162" s="124">
        <v>0</v>
      </c>
      <c r="AK162" s="124">
        <v>0</v>
      </c>
      <c r="AL162" s="124">
        <v>0</v>
      </c>
      <c r="AM162" s="124">
        <v>0</v>
      </c>
      <c r="AN162" s="124">
        <v>0</v>
      </c>
      <c r="AO162" s="124">
        <v>0</v>
      </c>
      <c r="AP162" s="124">
        <v>0</v>
      </c>
      <c r="AQ162" s="124">
        <v>0</v>
      </c>
      <c r="AR162" s="124">
        <v>0</v>
      </c>
      <c r="AS162" s="124">
        <v>0</v>
      </c>
      <c r="AT162" s="124">
        <v>0</v>
      </c>
      <c r="AU162" s="124">
        <v>0</v>
      </c>
      <c r="AV162" s="124">
        <v>0</v>
      </c>
      <c r="AW162" s="124">
        <v>0</v>
      </c>
      <c r="AX162" s="124">
        <v>0</v>
      </c>
      <c r="AY162" s="124">
        <v>0</v>
      </c>
    </row>
    <row r="163" spans="1:52" x14ac:dyDescent="0.2">
      <c r="A163" s="127"/>
      <c r="B163" s="147">
        <v>42</v>
      </c>
      <c r="C163" s="124">
        <v>0</v>
      </c>
      <c r="D163" s="124">
        <v>0</v>
      </c>
      <c r="E163" s="124">
        <v>0</v>
      </c>
      <c r="F163" s="124">
        <v>0</v>
      </c>
      <c r="G163" s="124">
        <v>0</v>
      </c>
      <c r="H163" s="124">
        <v>0</v>
      </c>
      <c r="I163" s="124">
        <v>0</v>
      </c>
      <c r="J163" s="124">
        <v>0</v>
      </c>
      <c r="K163" s="124">
        <v>0</v>
      </c>
      <c r="L163" s="124">
        <v>0</v>
      </c>
      <c r="M163" s="124">
        <v>0</v>
      </c>
      <c r="N163" s="124">
        <v>0</v>
      </c>
      <c r="O163" s="124">
        <v>0</v>
      </c>
      <c r="P163" s="124">
        <v>0</v>
      </c>
      <c r="Q163" s="124">
        <v>0</v>
      </c>
      <c r="R163" s="124">
        <v>0</v>
      </c>
      <c r="S163" s="124">
        <v>0</v>
      </c>
      <c r="T163" s="124">
        <v>0</v>
      </c>
      <c r="U163" s="124">
        <v>0</v>
      </c>
      <c r="V163" s="124">
        <v>0</v>
      </c>
      <c r="W163" s="124">
        <v>0</v>
      </c>
      <c r="X163" s="124">
        <v>0</v>
      </c>
      <c r="Y163" s="124">
        <v>0</v>
      </c>
      <c r="Z163" s="124">
        <v>0</v>
      </c>
      <c r="AA163" s="124">
        <v>0</v>
      </c>
      <c r="AB163" s="124">
        <v>0</v>
      </c>
      <c r="AC163" s="124">
        <v>0</v>
      </c>
      <c r="AD163" s="124">
        <v>0</v>
      </c>
      <c r="AE163" s="124">
        <v>0</v>
      </c>
      <c r="AF163" s="124">
        <v>0</v>
      </c>
      <c r="AG163" s="124">
        <v>0</v>
      </c>
      <c r="AH163" s="124">
        <v>0</v>
      </c>
      <c r="AI163" s="124">
        <v>0</v>
      </c>
      <c r="AJ163" s="124">
        <v>0</v>
      </c>
      <c r="AK163" s="124">
        <v>0</v>
      </c>
      <c r="AL163" s="124">
        <v>0</v>
      </c>
      <c r="AM163" s="124">
        <v>0</v>
      </c>
      <c r="AN163" s="124">
        <v>0</v>
      </c>
      <c r="AO163" s="124">
        <v>0</v>
      </c>
      <c r="AP163" s="124">
        <v>0</v>
      </c>
      <c r="AQ163" s="124">
        <v>0</v>
      </c>
      <c r="AR163" s="124">
        <v>0</v>
      </c>
      <c r="AS163" s="124">
        <v>0</v>
      </c>
      <c r="AT163" s="124">
        <v>0</v>
      </c>
      <c r="AU163" s="124">
        <v>0</v>
      </c>
      <c r="AV163" s="124">
        <v>0</v>
      </c>
      <c r="AW163" s="124">
        <v>0</v>
      </c>
      <c r="AX163" s="124">
        <v>0</v>
      </c>
      <c r="AY163" s="124">
        <v>0</v>
      </c>
    </row>
    <row r="164" spans="1:52" x14ac:dyDescent="0.2">
      <c r="A164" s="127"/>
      <c r="B164" s="147">
        <v>43</v>
      </c>
      <c r="C164" s="124">
        <v>0</v>
      </c>
      <c r="D164" s="124">
        <v>0</v>
      </c>
      <c r="E164" s="124">
        <v>0</v>
      </c>
      <c r="F164" s="124">
        <v>0</v>
      </c>
      <c r="G164" s="124">
        <v>0</v>
      </c>
      <c r="H164" s="124">
        <v>0</v>
      </c>
      <c r="I164" s="124">
        <v>0</v>
      </c>
      <c r="J164" s="124">
        <v>0</v>
      </c>
      <c r="K164" s="124">
        <v>0</v>
      </c>
      <c r="L164" s="124">
        <v>0</v>
      </c>
      <c r="M164" s="124">
        <v>0</v>
      </c>
      <c r="N164" s="124">
        <v>0</v>
      </c>
      <c r="O164" s="124">
        <v>0</v>
      </c>
      <c r="P164" s="124">
        <v>0</v>
      </c>
      <c r="Q164" s="124">
        <v>0</v>
      </c>
      <c r="R164" s="124">
        <v>0</v>
      </c>
      <c r="S164" s="124">
        <v>0</v>
      </c>
      <c r="T164" s="124">
        <v>0</v>
      </c>
      <c r="U164" s="124">
        <v>0</v>
      </c>
      <c r="V164" s="124">
        <v>0</v>
      </c>
      <c r="W164" s="124">
        <v>0</v>
      </c>
      <c r="X164" s="124">
        <v>0</v>
      </c>
      <c r="Y164" s="124">
        <v>0</v>
      </c>
      <c r="Z164" s="124">
        <v>0</v>
      </c>
      <c r="AA164" s="124">
        <v>0</v>
      </c>
      <c r="AB164" s="124">
        <v>0</v>
      </c>
      <c r="AC164" s="124">
        <v>0</v>
      </c>
      <c r="AD164" s="124">
        <v>0</v>
      </c>
      <c r="AE164" s="124">
        <v>0</v>
      </c>
      <c r="AF164" s="124">
        <v>0</v>
      </c>
      <c r="AG164" s="124">
        <v>0</v>
      </c>
      <c r="AH164" s="124">
        <v>0</v>
      </c>
      <c r="AI164" s="124">
        <v>0</v>
      </c>
      <c r="AJ164" s="124">
        <v>0</v>
      </c>
      <c r="AK164" s="124">
        <v>0</v>
      </c>
      <c r="AL164" s="124">
        <v>0</v>
      </c>
      <c r="AM164" s="124">
        <v>0</v>
      </c>
      <c r="AN164" s="124">
        <v>0</v>
      </c>
      <c r="AO164" s="124">
        <v>0</v>
      </c>
      <c r="AP164" s="124">
        <v>0</v>
      </c>
      <c r="AQ164" s="124">
        <v>0</v>
      </c>
      <c r="AR164" s="124">
        <v>0</v>
      </c>
      <c r="AS164" s="124">
        <v>0</v>
      </c>
      <c r="AT164" s="124">
        <v>0</v>
      </c>
      <c r="AU164" s="124">
        <v>0</v>
      </c>
      <c r="AV164" s="124">
        <v>0</v>
      </c>
      <c r="AW164" s="124">
        <v>0</v>
      </c>
      <c r="AX164" s="124">
        <v>0</v>
      </c>
      <c r="AY164" s="124">
        <v>0</v>
      </c>
    </row>
    <row r="165" spans="1:52" x14ac:dyDescent="0.2">
      <c r="A165" s="127"/>
      <c r="B165" s="147">
        <v>44</v>
      </c>
      <c r="C165" s="124">
        <v>0</v>
      </c>
      <c r="D165" s="124">
        <v>0</v>
      </c>
      <c r="E165" s="124">
        <v>0</v>
      </c>
      <c r="F165" s="124">
        <v>0</v>
      </c>
      <c r="G165" s="124">
        <v>0</v>
      </c>
      <c r="H165" s="124">
        <v>0</v>
      </c>
      <c r="I165" s="124">
        <v>0</v>
      </c>
      <c r="J165" s="124">
        <v>0</v>
      </c>
      <c r="K165" s="124">
        <v>0</v>
      </c>
      <c r="L165" s="124">
        <v>0</v>
      </c>
      <c r="M165" s="124">
        <v>0</v>
      </c>
      <c r="N165" s="124">
        <v>0</v>
      </c>
      <c r="O165" s="124">
        <v>0</v>
      </c>
      <c r="P165" s="124">
        <v>0</v>
      </c>
      <c r="Q165" s="124">
        <v>0</v>
      </c>
      <c r="R165" s="124">
        <v>0</v>
      </c>
      <c r="S165" s="124">
        <v>0</v>
      </c>
      <c r="T165" s="124">
        <v>0</v>
      </c>
      <c r="U165" s="124">
        <v>0</v>
      </c>
      <c r="V165" s="124">
        <v>0</v>
      </c>
      <c r="W165" s="124">
        <v>0</v>
      </c>
      <c r="X165" s="124">
        <v>0</v>
      </c>
      <c r="Y165" s="124">
        <v>0</v>
      </c>
      <c r="Z165" s="124">
        <v>0</v>
      </c>
      <c r="AA165" s="124">
        <v>0</v>
      </c>
      <c r="AB165" s="124">
        <v>0</v>
      </c>
      <c r="AC165" s="124">
        <v>0</v>
      </c>
      <c r="AD165" s="124">
        <v>0</v>
      </c>
      <c r="AE165" s="124">
        <v>0</v>
      </c>
      <c r="AF165" s="124">
        <v>0</v>
      </c>
      <c r="AG165" s="124">
        <v>0</v>
      </c>
      <c r="AH165" s="124">
        <v>0</v>
      </c>
      <c r="AI165" s="124">
        <v>0</v>
      </c>
      <c r="AJ165" s="124">
        <v>0</v>
      </c>
      <c r="AK165" s="124">
        <v>0</v>
      </c>
      <c r="AL165" s="124">
        <v>0</v>
      </c>
      <c r="AM165" s="124">
        <v>0</v>
      </c>
      <c r="AN165" s="124">
        <v>0</v>
      </c>
      <c r="AO165" s="124">
        <v>0</v>
      </c>
      <c r="AP165" s="124">
        <v>0</v>
      </c>
      <c r="AQ165" s="124">
        <v>0</v>
      </c>
      <c r="AR165" s="124">
        <v>0</v>
      </c>
      <c r="AS165" s="124">
        <v>0</v>
      </c>
      <c r="AT165" s="124">
        <v>0</v>
      </c>
      <c r="AU165" s="124">
        <v>0</v>
      </c>
      <c r="AV165" s="124">
        <v>0</v>
      </c>
      <c r="AW165" s="124">
        <v>0</v>
      </c>
      <c r="AX165" s="124">
        <v>0</v>
      </c>
      <c r="AY165" s="124">
        <v>0</v>
      </c>
    </row>
    <row r="166" spans="1:52" x14ac:dyDescent="0.2">
      <c r="A166" s="127"/>
      <c r="B166" s="147">
        <v>45</v>
      </c>
      <c r="C166" s="124">
        <v>0</v>
      </c>
      <c r="D166" s="124">
        <v>0</v>
      </c>
      <c r="E166" s="124">
        <v>0</v>
      </c>
      <c r="F166" s="124">
        <v>0</v>
      </c>
      <c r="G166" s="124">
        <v>0</v>
      </c>
      <c r="H166" s="124">
        <v>0</v>
      </c>
      <c r="I166" s="124">
        <v>0</v>
      </c>
      <c r="J166" s="124">
        <v>0</v>
      </c>
      <c r="K166" s="124">
        <v>0</v>
      </c>
      <c r="L166" s="124">
        <v>0</v>
      </c>
      <c r="M166" s="124">
        <v>0</v>
      </c>
      <c r="N166" s="124">
        <v>0</v>
      </c>
      <c r="O166" s="124">
        <v>0</v>
      </c>
      <c r="P166" s="124">
        <v>0</v>
      </c>
      <c r="Q166" s="124">
        <v>0</v>
      </c>
      <c r="R166" s="124">
        <v>0</v>
      </c>
      <c r="S166" s="124">
        <v>0</v>
      </c>
      <c r="T166" s="124">
        <v>0</v>
      </c>
      <c r="U166" s="124">
        <v>0</v>
      </c>
      <c r="V166" s="124">
        <v>0</v>
      </c>
      <c r="W166" s="124">
        <v>0</v>
      </c>
      <c r="X166" s="124">
        <v>0</v>
      </c>
      <c r="Y166" s="124">
        <v>0</v>
      </c>
      <c r="Z166" s="124">
        <v>0</v>
      </c>
      <c r="AA166" s="124">
        <v>0</v>
      </c>
      <c r="AB166" s="124">
        <v>0</v>
      </c>
      <c r="AC166" s="124">
        <v>0</v>
      </c>
      <c r="AD166" s="124">
        <v>0</v>
      </c>
      <c r="AE166" s="124">
        <v>0</v>
      </c>
      <c r="AF166" s="124">
        <v>0</v>
      </c>
      <c r="AG166" s="124">
        <v>0</v>
      </c>
      <c r="AH166" s="124">
        <v>0</v>
      </c>
      <c r="AI166" s="124">
        <v>0</v>
      </c>
      <c r="AJ166" s="124">
        <v>0</v>
      </c>
      <c r="AK166" s="124">
        <v>0</v>
      </c>
      <c r="AL166" s="124">
        <v>0</v>
      </c>
      <c r="AM166" s="124">
        <v>0</v>
      </c>
      <c r="AN166" s="124">
        <v>0</v>
      </c>
      <c r="AO166" s="124">
        <v>0</v>
      </c>
      <c r="AP166" s="124">
        <v>0</v>
      </c>
      <c r="AQ166" s="124">
        <v>0</v>
      </c>
      <c r="AR166" s="124">
        <v>0</v>
      </c>
      <c r="AS166" s="124">
        <v>0</v>
      </c>
      <c r="AT166" s="124">
        <v>0</v>
      </c>
      <c r="AU166" s="124">
        <v>0</v>
      </c>
      <c r="AV166" s="124">
        <v>0</v>
      </c>
      <c r="AW166" s="124">
        <v>0</v>
      </c>
      <c r="AX166" s="124">
        <v>0</v>
      </c>
      <c r="AY166" s="124">
        <v>0</v>
      </c>
    </row>
    <row r="167" spans="1:52" x14ac:dyDescent="0.2">
      <c r="A167" s="127"/>
      <c r="B167" s="147">
        <v>46</v>
      </c>
      <c r="C167" s="124">
        <v>0</v>
      </c>
      <c r="D167" s="124">
        <v>0</v>
      </c>
      <c r="E167" s="124">
        <v>0</v>
      </c>
      <c r="F167" s="124">
        <v>0</v>
      </c>
      <c r="G167" s="124">
        <v>0</v>
      </c>
      <c r="H167" s="124">
        <v>0</v>
      </c>
      <c r="I167" s="124">
        <v>0</v>
      </c>
      <c r="J167" s="124">
        <v>0</v>
      </c>
      <c r="K167" s="124">
        <v>0</v>
      </c>
      <c r="L167" s="124">
        <v>0</v>
      </c>
      <c r="M167" s="124">
        <v>0</v>
      </c>
      <c r="N167" s="124">
        <v>0</v>
      </c>
      <c r="O167" s="124">
        <v>0</v>
      </c>
      <c r="P167" s="124">
        <v>0</v>
      </c>
      <c r="Q167" s="124">
        <v>0</v>
      </c>
      <c r="R167" s="124">
        <v>0</v>
      </c>
      <c r="S167" s="124">
        <v>0</v>
      </c>
      <c r="T167" s="124">
        <v>0</v>
      </c>
      <c r="U167" s="124">
        <v>0</v>
      </c>
      <c r="V167" s="124">
        <v>0</v>
      </c>
      <c r="W167" s="124">
        <v>0</v>
      </c>
      <c r="X167" s="124">
        <v>0</v>
      </c>
      <c r="Y167" s="124">
        <v>0</v>
      </c>
      <c r="Z167" s="124">
        <v>0</v>
      </c>
      <c r="AA167" s="124">
        <v>0</v>
      </c>
      <c r="AB167" s="124">
        <v>0</v>
      </c>
      <c r="AC167" s="124">
        <v>0</v>
      </c>
      <c r="AD167" s="124">
        <v>0</v>
      </c>
      <c r="AE167" s="124">
        <v>0</v>
      </c>
      <c r="AF167" s="124">
        <v>0</v>
      </c>
      <c r="AG167" s="124">
        <v>0</v>
      </c>
      <c r="AH167" s="124">
        <v>0</v>
      </c>
      <c r="AI167" s="124">
        <v>0</v>
      </c>
      <c r="AJ167" s="124">
        <v>0</v>
      </c>
      <c r="AK167" s="124">
        <v>0</v>
      </c>
      <c r="AL167" s="124">
        <v>0</v>
      </c>
      <c r="AM167" s="124">
        <v>0</v>
      </c>
      <c r="AN167" s="124">
        <v>0</v>
      </c>
      <c r="AO167" s="124">
        <v>0</v>
      </c>
      <c r="AP167" s="124">
        <v>0</v>
      </c>
      <c r="AQ167" s="124">
        <v>0</v>
      </c>
      <c r="AR167" s="124">
        <v>0</v>
      </c>
      <c r="AS167" s="124">
        <v>0</v>
      </c>
      <c r="AT167" s="124">
        <v>0</v>
      </c>
      <c r="AU167" s="124">
        <v>0</v>
      </c>
      <c r="AV167" s="124">
        <v>0</v>
      </c>
      <c r="AW167" s="124">
        <v>0</v>
      </c>
      <c r="AX167" s="124">
        <v>0</v>
      </c>
      <c r="AY167" s="124">
        <v>0</v>
      </c>
    </row>
    <row r="168" spans="1:52" x14ac:dyDescent="0.2">
      <c r="A168" s="127"/>
      <c r="B168" s="147">
        <v>47</v>
      </c>
      <c r="C168" s="124">
        <v>0</v>
      </c>
      <c r="D168" s="124">
        <v>0</v>
      </c>
      <c r="E168" s="124">
        <v>0</v>
      </c>
      <c r="F168" s="124">
        <v>0</v>
      </c>
      <c r="G168" s="124">
        <v>0</v>
      </c>
      <c r="H168" s="124">
        <v>0</v>
      </c>
      <c r="I168" s="124">
        <v>0</v>
      </c>
      <c r="J168" s="124">
        <v>0</v>
      </c>
      <c r="K168" s="124">
        <v>0</v>
      </c>
      <c r="L168" s="124">
        <v>0</v>
      </c>
      <c r="M168" s="124">
        <v>0</v>
      </c>
      <c r="N168" s="124">
        <v>0</v>
      </c>
      <c r="O168" s="124">
        <v>0</v>
      </c>
      <c r="P168" s="124">
        <v>0</v>
      </c>
      <c r="Q168" s="124">
        <v>0</v>
      </c>
      <c r="R168" s="124">
        <v>0</v>
      </c>
      <c r="S168" s="124">
        <v>0</v>
      </c>
      <c r="T168" s="124">
        <v>0</v>
      </c>
      <c r="U168" s="124">
        <v>0</v>
      </c>
      <c r="V168" s="124">
        <v>0</v>
      </c>
      <c r="W168" s="124">
        <v>0</v>
      </c>
      <c r="X168" s="124">
        <v>0</v>
      </c>
      <c r="Y168" s="124">
        <v>0</v>
      </c>
      <c r="Z168" s="124">
        <v>0</v>
      </c>
      <c r="AA168" s="124">
        <v>0</v>
      </c>
      <c r="AB168" s="124">
        <v>0</v>
      </c>
      <c r="AC168" s="124">
        <v>0</v>
      </c>
      <c r="AD168" s="124">
        <v>0</v>
      </c>
      <c r="AE168" s="124">
        <v>0</v>
      </c>
      <c r="AF168" s="124">
        <v>0</v>
      </c>
      <c r="AG168" s="124">
        <v>0</v>
      </c>
      <c r="AH168" s="124">
        <v>0</v>
      </c>
      <c r="AI168" s="124">
        <v>0</v>
      </c>
      <c r="AJ168" s="124">
        <v>0</v>
      </c>
      <c r="AK168" s="124">
        <v>0</v>
      </c>
      <c r="AL168" s="124">
        <v>0</v>
      </c>
      <c r="AM168" s="124">
        <v>0</v>
      </c>
      <c r="AN168" s="124">
        <v>0</v>
      </c>
      <c r="AO168" s="124">
        <v>0</v>
      </c>
      <c r="AP168" s="124">
        <v>0</v>
      </c>
      <c r="AQ168" s="124">
        <v>0</v>
      </c>
      <c r="AR168" s="124">
        <v>0</v>
      </c>
      <c r="AS168" s="124">
        <v>0</v>
      </c>
      <c r="AT168" s="124">
        <v>0</v>
      </c>
      <c r="AU168" s="124">
        <v>0</v>
      </c>
      <c r="AV168" s="124">
        <v>0</v>
      </c>
      <c r="AW168" s="124">
        <v>0</v>
      </c>
      <c r="AX168" s="124">
        <v>0</v>
      </c>
      <c r="AY168" s="124">
        <v>0</v>
      </c>
    </row>
    <row r="169" spans="1:52" x14ac:dyDescent="0.2">
      <c r="A169" s="127"/>
      <c r="B169" s="147">
        <v>48</v>
      </c>
      <c r="C169" s="124">
        <v>0</v>
      </c>
      <c r="D169" s="124">
        <v>0</v>
      </c>
      <c r="E169" s="124">
        <v>0</v>
      </c>
      <c r="F169" s="124">
        <v>0</v>
      </c>
      <c r="G169" s="124">
        <v>0</v>
      </c>
      <c r="H169" s="124">
        <v>0</v>
      </c>
      <c r="I169" s="124">
        <v>0</v>
      </c>
      <c r="J169" s="124">
        <v>0</v>
      </c>
      <c r="K169" s="124">
        <v>0</v>
      </c>
      <c r="L169" s="124">
        <v>0</v>
      </c>
      <c r="M169" s="124">
        <v>0</v>
      </c>
      <c r="N169" s="124">
        <v>0</v>
      </c>
      <c r="O169" s="124">
        <v>0</v>
      </c>
      <c r="P169" s="124">
        <v>0</v>
      </c>
      <c r="Q169" s="124">
        <v>0</v>
      </c>
      <c r="R169" s="124">
        <v>0</v>
      </c>
      <c r="S169" s="124">
        <v>0</v>
      </c>
      <c r="T169" s="124">
        <v>0</v>
      </c>
      <c r="U169" s="124">
        <v>0</v>
      </c>
      <c r="V169" s="124">
        <v>0</v>
      </c>
      <c r="W169" s="124">
        <v>0</v>
      </c>
      <c r="X169" s="124">
        <v>0</v>
      </c>
      <c r="Y169" s="124">
        <v>0</v>
      </c>
      <c r="Z169" s="124">
        <v>0</v>
      </c>
      <c r="AA169" s="124">
        <v>0</v>
      </c>
      <c r="AB169" s="124">
        <v>0</v>
      </c>
      <c r="AC169" s="124">
        <v>0</v>
      </c>
      <c r="AD169" s="124">
        <v>0</v>
      </c>
      <c r="AE169" s="124">
        <v>0</v>
      </c>
      <c r="AF169" s="124">
        <v>0</v>
      </c>
      <c r="AG169" s="124">
        <v>0</v>
      </c>
      <c r="AH169" s="124">
        <v>0</v>
      </c>
      <c r="AI169" s="124">
        <v>0</v>
      </c>
      <c r="AJ169" s="124">
        <v>0</v>
      </c>
      <c r="AK169" s="124">
        <v>0</v>
      </c>
      <c r="AL169" s="124">
        <v>0</v>
      </c>
      <c r="AM169" s="124">
        <v>0</v>
      </c>
      <c r="AN169" s="124">
        <v>0</v>
      </c>
      <c r="AO169" s="124">
        <v>0</v>
      </c>
      <c r="AP169" s="124">
        <v>0</v>
      </c>
      <c r="AQ169" s="124">
        <v>0</v>
      </c>
      <c r="AR169" s="124">
        <v>0</v>
      </c>
      <c r="AS169" s="124">
        <v>0</v>
      </c>
      <c r="AT169" s="124">
        <v>0</v>
      </c>
      <c r="AU169" s="124">
        <v>0</v>
      </c>
      <c r="AV169" s="124">
        <v>0</v>
      </c>
      <c r="AW169" s="124">
        <v>0</v>
      </c>
      <c r="AX169" s="124">
        <v>0</v>
      </c>
      <c r="AY169" s="124">
        <v>0</v>
      </c>
    </row>
    <row r="170" spans="1:52" x14ac:dyDescent="0.2">
      <c r="A170" s="145"/>
      <c r="B170" s="149" t="s">
        <v>296</v>
      </c>
      <c r="C170" s="131">
        <v>0</v>
      </c>
      <c r="D170" s="142">
        <v>0</v>
      </c>
      <c r="E170" s="142">
        <v>0</v>
      </c>
      <c r="F170" s="142">
        <v>0</v>
      </c>
      <c r="G170" s="142">
        <v>0</v>
      </c>
      <c r="H170" s="142">
        <v>0</v>
      </c>
      <c r="I170" s="142">
        <v>0</v>
      </c>
      <c r="J170" s="142">
        <v>0</v>
      </c>
      <c r="K170" s="142">
        <v>0</v>
      </c>
      <c r="L170" s="142">
        <v>0</v>
      </c>
      <c r="M170" s="142">
        <v>0</v>
      </c>
      <c r="N170" s="142">
        <v>0</v>
      </c>
      <c r="O170" s="142">
        <v>0</v>
      </c>
      <c r="P170" s="142">
        <v>0</v>
      </c>
      <c r="Q170" s="142">
        <v>0</v>
      </c>
      <c r="R170" s="142">
        <v>0</v>
      </c>
      <c r="S170" s="142">
        <v>0</v>
      </c>
      <c r="T170" s="142">
        <v>0</v>
      </c>
      <c r="U170" s="142">
        <v>0</v>
      </c>
      <c r="V170" s="142">
        <v>0</v>
      </c>
      <c r="W170" s="142">
        <v>0</v>
      </c>
      <c r="X170" s="142">
        <v>0</v>
      </c>
      <c r="Y170" s="142">
        <v>0</v>
      </c>
      <c r="Z170" s="142">
        <v>0</v>
      </c>
      <c r="AA170" s="142">
        <v>0</v>
      </c>
      <c r="AB170" s="142">
        <v>0</v>
      </c>
      <c r="AC170" s="142">
        <v>0</v>
      </c>
      <c r="AD170" s="142">
        <v>0</v>
      </c>
      <c r="AE170" s="142">
        <v>0</v>
      </c>
      <c r="AF170" s="142">
        <v>0</v>
      </c>
      <c r="AG170" s="142">
        <v>0</v>
      </c>
      <c r="AH170" s="142">
        <v>0</v>
      </c>
      <c r="AI170" s="142">
        <v>0</v>
      </c>
      <c r="AJ170" s="142">
        <v>0</v>
      </c>
      <c r="AK170" s="142">
        <v>0</v>
      </c>
      <c r="AL170" s="142">
        <v>0</v>
      </c>
      <c r="AM170" s="142">
        <v>0</v>
      </c>
      <c r="AN170" s="142">
        <v>0</v>
      </c>
      <c r="AO170" s="142">
        <v>0</v>
      </c>
      <c r="AP170" s="142">
        <v>0</v>
      </c>
      <c r="AQ170" s="142">
        <v>0</v>
      </c>
      <c r="AR170" s="142">
        <v>0</v>
      </c>
      <c r="AS170" s="142">
        <v>0</v>
      </c>
      <c r="AT170" s="142">
        <v>0</v>
      </c>
      <c r="AU170" s="142">
        <v>0</v>
      </c>
      <c r="AV170" s="142">
        <v>0</v>
      </c>
      <c r="AW170" s="142">
        <v>0</v>
      </c>
      <c r="AX170" s="142">
        <v>0</v>
      </c>
      <c r="AY170" s="142">
        <v>0</v>
      </c>
      <c r="AZ170" s="125">
        <f>SUM($D170:$AY170)</f>
        <v>0</v>
      </c>
    </row>
    <row r="172" spans="1:52" x14ac:dyDescent="0.2">
      <c r="A172" s="1" t="s">
        <v>124</v>
      </c>
      <c r="B172" s="150" t="s">
        <v>297</v>
      </c>
      <c r="C172" s="151">
        <v>0.30256926631890069</v>
      </c>
      <c r="D172" s="151">
        <v>0.33148378297386499</v>
      </c>
      <c r="E172" s="151">
        <v>0.33148378297386499</v>
      </c>
      <c r="F172" s="151">
        <v>0.33148378297386499</v>
      </c>
      <c r="G172" s="151">
        <v>0.33148378297386499</v>
      </c>
      <c r="H172" s="151">
        <v>0.33148378297386499</v>
      </c>
      <c r="I172" s="151">
        <v>0.33148378297386499</v>
      </c>
      <c r="J172" s="151">
        <v>0.33148378297386499</v>
      </c>
      <c r="K172" s="151">
        <v>0.33148378297386499</v>
      </c>
      <c r="L172" s="151">
        <v>0.33148378297386499</v>
      </c>
      <c r="M172" s="151">
        <v>0.33148378297386499</v>
      </c>
      <c r="N172" s="151">
        <v>0.33148378297386499</v>
      </c>
      <c r="O172" s="151">
        <v>0.33148378297386499</v>
      </c>
      <c r="P172" s="151">
        <v>0.33148378297386499</v>
      </c>
      <c r="Q172" s="151">
        <v>0.33148378297386499</v>
      </c>
      <c r="R172" s="151">
        <v>0.33148378297386499</v>
      </c>
      <c r="S172" s="151">
        <v>0.33148378297386499</v>
      </c>
      <c r="T172" s="151">
        <v>0.33148378297386499</v>
      </c>
      <c r="U172" s="151">
        <v>0.33148378297386499</v>
      </c>
      <c r="V172" s="151">
        <v>0.33148378297386499</v>
      </c>
      <c r="W172" s="151">
        <v>0.33148378297386499</v>
      </c>
      <c r="X172" s="151">
        <v>0.33148378297386499</v>
      </c>
      <c r="Y172" s="151">
        <v>0.33148378297386499</v>
      </c>
      <c r="Z172" s="151">
        <v>0.33148378297386499</v>
      </c>
      <c r="AA172" s="151">
        <v>0.33148378297386499</v>
      </c>
      <c r="AB172" s="151">
        <v>0.33148378297386499</v>
      </c>
      <c r="AC172" s="151">
        <v>0.33148378297386499</v>
      </c>
      <c r="AD172" s="151">
        <v>0.33148378297386499</v>
      </c>
      <c r="AE172" s="151">
        <v>0.33148378297386499</v>
      </c>
      <c r="AF172" s="151">
        <v>0.33148378297386499</v>
      </c>
      <c r="AG172" s="151">
        <v>0.33148378297386499</v>
      </c>
      <c r="AH172" s="151">
        <v>0.33148378297386499</v>
      </c>
      <c r="AI172" s="151">
        <v>0.33148378297386499</v>
      </c>
      <c r="AJ172" s="151">
        <v>0.33148378297386499</v>
      </c>
      <c r="AK172" s="151">
        <v>0.33148378297386499</v>
      </c>
      <c r="AL172" s="151">
        <v>0.33148378297386499</v>
      </c>
      <c r="AM172" s="151">
        <v>0.33148378297386499</v>
      </c>
      <c r="AN172" s="151">
        <v>0.33148378297386499</v>
      </c>
      <c r="AO172" s="151">
        <v>0.33148378297386499</v>
      </c>
      <c r="AP172" s="151">
        <v>0.33148378297386499</v>
      </c>
      <c r="AQ172" s="151">
        <v>0.33148378297386499</v>
      </c>
      <c r="AR172" s="151">
        <v>0.33148378297386499</v>
      </c>
      <c r="AS172" s="151">
        <v>0.33148378297386499</v>
      </c>
      <c r="AT172" s="151">
        <v>0.33148378297386499</v>
      </c>
      <c r="AU172" s="151">
        <v>0.33148378297386499</v>
      </c>
      <c r="AV172" s="151">
        <v>0.33148378297386499</v>
      </c>
      <c r="AW172" s="151">
        <v>0.33148378297386499</v>
      </c>
      <c r="AX172" s="151">
        <v>0.33148378297386499</v>
      </c>
      <c r="AY172" s="151">
        <v>0.33148378297386499</v>
      </c>
    </row>
    <row r="174" spans="1:52" x14ac:dyDescent="0.2">
      <c r="A174" s="1" t="s">
        <v>272</v>
      </c>
    </row>
    <row r="175" spans="1:52" x14ac:dyDescent="0.2">
      <c r="A175" s="152" t="s">
        <v>125</v>
      </c>
      <c r="B175" s="152" t="s">
        <v>298</v>
      </c>
      <c r="C175" s="141" t="s">
        <v>293</v>
      </c>
      <c r="D175" s="141">
        <f t="shared" ref="D175:AY175" si="1">SUM(D95:D98)</f>
        <v>7203.1926656107971</v>
      </c>
      <c r="E175" s="141">
        <f t="shared" si="1"/>
        <v>7262.5706034387758</v>
      </c>
      <c r="F175" s="141">
        <f t="shared" si="1"/>
        <v>7073.9594854785109</v>
      </c>
      <c r="G175" s="141">
        <f t="shared" si="1"/>
        <v>6885.3483675182451</v>
      </c>
      <c r="H175" s="141">
        <f t="shared" si="1"/>
        <v>6885.3483675182451</v>
      </c>
      <c r="I175" s="141">
        <f t="shared" si="1"/>
        <v>6885.3483675182451</v>
      </c>
      <c r="J175" s="141">
        <f t="shared" si="1"/>
        <v>2768.210277840788</v>
      </c>
      <c r="K175" s="141">
        <f t="shared" si="1"/>
        <v>0</v>
      </c>
      <c r="L175" s="141">
        <f t="shared" si="1"/>
        <v>0</v>
      </c>
      <c r="M175" s="141">
        <f t="shared" si="1"/>
        <v>0</v>
      </c>
      <c r="N175" s="141">
        <f t="shared" si="1"/>
        <v>0</v>
      </c>
      <c r="O175" s="141">
        <f t="shared" si="1"/>
        <v>0</v>
      </c>
      <c r="P175" s="141">
        <f t="shared" si="1"/>
        <v>0</v>
      </c>
      <c r="Q175" s="141">
        <f t="shared" si="1"/>
        <v>0</v>
      </c>
      <c r="R175" s="141">
        <f t="shared" si="1"/>
        <v>0</v>
      </c>
      <c r="S175" s="141">
        <f t="shared" si="1"/>
        <v>0</v>
      </c>
      <c r="T175" s="141">
        <f t="shared" si="1"/>
        <v>0</v>
      </c>
      <c r="U175" s="141">
        <f t="shared" si="1"/>
        <v>0</v>
      </c>
      <c r="V175" s="141">
        <f t="shared" si="1"/>
        <v>0</v>
      </c>
      <c r="W175" s="141">
        <f t="shared" si="1"/>
        <v>0</v>
      </c>
      <c r="X175" s="141">
        <f t="shared" si="1"/>
        <v>0</v>
      </c>
      <c r="Y175" s="141">
        <f t="shared" si="1"/>
        <v>0</v>
      </c>
      <c r="Z175" s="141">
        <f t="shared" si="1"/>
        <v>0</v>
      </c>
      <c r="AA175" s="141">
        <f t="shared" si="1"/>
        <v>0</v>
      </c>
      <c r="AB175" s="141">
        <f t="shared" si="1"/>
        <v>0</v>
      </c>
      <c r="AC175" s="141">
        <f t="shared" si="1"/>
        <v>0</v>
      </c>
      <c r="AD175" s="141">
        <f t="shared" si="1"/>
        <v>0</v>
      </c>
      <c r="AE175" s="141">
        <f t="shared" si="1"/>
        <v>0</v>
      </c>
      <c r="AF175" s="141">
        <f t="shared" si="1"/>
        <v>0</v>
      </c>
      <c r="AG175" s="141">
        <f t="shared" si="1"/>
        <v>0</v>
      </c>
      <c r="AH175" s="141">
        <f t="shared" si="1"/>
        <v>0</v>
      </c>
      <c r="AI175" s="141">
        <f t="shared" si="1"/>
        <v>0</v>
      </c>
      <c r="AJ175" s="141">
        <f t="shared" si="1"/>
        <v>0</v>
      </c>
      <c r="AK175" s="141">
        <f t="shared" si="1"/>
        <v>0</v>
      </c>
      <c r="AL175" s="141">
        <f t="shared" si="1"/>
        <v>0</v>
      </c>
      <c r="AM175" s="141">
        <f t="shared" si="1"/>
        <v>0</v>
      </c>
      <c r="AN175" s="141">
        <f t="shared" si="1"/>
        <v>0</v>
      </c>
      <c r="AO175" s="141">
        <f t="shared" si="1"/>
        <v>0</v>
      </c>
      <c r="AP175" s="141">
        <f t="shared" si="1"/>
        <v>0</v>
      </c>
      <c r="AQ175" s="141">
        <f t="shared" si="1"/>
        <v>0</v>
      </c>
      <c r="AR175" s="141">
        <f t="shared" si="1"/>
        <v>0</v>
      </c>
      <c r="AS175" s="141">
        <f t="shared" si="1"/>
        <v>0</v>
      </c>
      <c r="AT175" s="141">
        <f t="shared" si="1"/>
        <v>0</v>
      </c>
      <c r="AU175" s="141">
        <f t="shared" si="1"/>
        <v>0</v>
      </c>
      <c r="AV175" s="141">
        <f t="shared" si="1"/>
        <v>0</v>
      </c>
      <c r="AW175" s="141">
        <f t="shared" si="1"/>
        <v>0</v>
      </c>
      <c r="AX175" s="141">
        <f t="shared" si="1"/>
        <v>0</v>
      </c>
      <c r="AY175" s="141">
        <f t="shared" si="1"/>
        <v>0</v>
      </c>
    </row>
    <row r="176" spans="1:52" x14ac:dyDescent="0.2">
      <c r="A176" s="142"/>
      <c r="B176" s="153" t="s">
        <v>299</v>
      </c>
      <c r="C176" s="142" t="s">
        <v>293</v>
      </c>
      <c r="D176" s="142">
        <v>442</v>
      </c>
      <c r="E176" s="142">
        <v>469</v>
      </c>
      <c r="F176" s="142">
        <v>599</v>
      </c>
      <c r="G176" s="142">
        <v>545</v>
      </c>
      <c r="H176" s="142">
        <v>501</v>
      </c>
      <c r="I176" s="142">
        <v>563</v>
      </c>
      <c r="J176" s="142">
        <v>466</v>
      </c>
      <c r="K176" s="142">
        <v>0</v>
      </c>
      <c r="L176" s="142">
        <v>0</v>
      </c>
      <c r="M176" s="142">
        <v>0</v>
      </c>
      <c r="N176" s="142">
        <v>0</v>
      </c>
      <c r="O176" s="142">
        <v>0</v>
      </c>
      <c r="P176" s="142">
        <v>0</v>
      </c>
      <c r="Q176" s="142">
        <v>0</v>
      </c>
      <c r="R176" s="142">
        <v>0</v>
      </c>
      <c r="S176" s="142">
        <v>0</v>
      </c>
      <c r="T176" s="142">
        <v>0</v>
      </c>
      <c r="U176" s="142">
        <v>0</v>
      </c>
      <c r="V176" s="142">
        <v>0</v>
      </c>
      <c r="W176" s="142">
        <v>0</v>
      </c>
      <c r="X176" s="142">
        <v>0</v>
      </c>
      <c r="Y176" s="142">
        <v>0</v>
      </c>
      <c r="Z176" s="142">
        <v>0</v>
      </c>
      <c r="AA176" s="142">
        <v>0</v>
      </c>
      <c r="AB176" s="142">
        <v>0</v>
      </c>
      <c r="AC176" s="142">
        <v>0</v>
      </c>
      <c r="AD176" s="142">
        <v>0</v>
      </c>
      <c r="AE176" s="142">
        <v>0</v>
      </c>
      <c r="AF176" s="142">
        <v>0</v>
      </c>
      <c r="AG176" s="142">
        <v>0</v>
      </c>
      <c r="AH176" s="142">
        <v>0</v>
      </c>
      <c r="AI176" s="142">
        <v>0</v>
      </c>
      <c r="AJ176" s="142">
        <v>0</v>
      </c>
      <c r="AK176" s="142">
        <v>0</v>
      </c>
      <c r="AL176" s="142">
        <v>0</v>
      </c>
      <c r="AM176" s="142">
        <v>0</v>
      </c>
      <c r="AN176" s="142">
        <v>0</v>
      </c>
      <c r="AO176" s="142">
        <v>0</v>
      </c>
      <c r="AP176" s="142">
        <v>0</v>
      </c>
      <c r="AQ176" s="142">
        <v>0</v>
      </c>
      <c r="AR176" s="142">
        <v>0</v>
      </c>
      <c r="AS176" s="142">
        <v>0</v>
      </c>
      <c r="AT176" s="142">
        <v>0</v>
      </c>
      <c r="AU176" s="142">
        <v>0</v>
      </c>
      <c r="AV176" s="142">
        <v>0</v>
      </c>
      <c r="AW176" s="142">
        <v>0</v>
      </c>
      <c r="AX176" s="142">
        <v>0</v>
      </c>
      <c r="AY176" s="142">
        <v>0</v>
      </c>
    </row>
    <row r="177" spans="1:51" x14ac:dyDescent="0.2">
      <c r="A177" s="152" t="s">
        <v>133</v>
      </c>
      <c r="B177" s="152" t="s">
        <v>298</v>
      </c>
      <c r="C177" s="141" t="s">
        <v>293</v>
      </c>
      <c r="D177" s="141">
        <f t="shared" ref="D177:AY177" si="2">SUM(D100:D107)</f>
        <v>122.39332949241017</v>
      </c>
      <c r="E177" s="141">
        <f t="shared" si="2"/>
        <v>1532.430490505006</v>
      </c>
      <c r="F177" s="141">
        <f t="shared" si="2"/>
        <v>2595.9793950947269</v>
      </c>
      <c r="G177" s="141">
        <f t="shared" si="2"/>
        <v>3086.9793950947269</v>
      </c>
      <c r="H177" s="141">
        <f t="shared" si="2"/>
        <v>5072.0772042741692</v>
      </c>
      <c r="I177" s="141">
        <f t="shared" si="2"/>
        <v>5032.0772042741692</v>
      </c>
      <c r="J177" s="141">
        <f t="shared" si="2"/>
        <v>6867.1750134536114</v>
      </c>
      <c r="K177" s="141">
        <f t="shared" si="2"/>
        <v>5687.7365209504733</v>
      </c>
      <c r="L177" s="141">
        <f t="shared" si="2"/>
        <v>3242.8481199253138</v>
      </c>
      <c r="M177" s="141">
        <f t="shared" si="2"/>
        <v>2486.6746874300297</v>
      </c>
      <c r="N177" s="141">
        <f t="shared" si="2"/>
        <v>2634.8276757537683</v>
      </c>
      <c r="O177" s="141">
        <f t="shared" si="2"/>
        <v>2078.2952361828252</v>
      </c>
      <c r="P177" s="141">
        <f t="shared" si="2"/>
        <v>2494.3387862217687</v>
      </c>
      <c r="Q177" s="141">
        <f t="shared" si="2"/>
        <v>2023.1773738965865</v>
      </c>
      <c r="R177" s="141">
        <f t="shared" si="2"/>
        <v>2391.2899784046863</v>
      </c>
      <c r="S177" s="141">
        <f t="shared" si="2"/>
        <v>2300.4477636391521</v>
      </c>
      <c r="T177" s="141">
        <f t="shared" si="2"/>
        <v>2286.6261667662511</v>
      </c>
      <c r="U177" s="141">
        <f t="shared" si="2"/>
        <v>2322.6306135335062</v>
      </c>
      <c r="V177" s="141">
        <f t="shared" si="2"/>
        <v>2330.0747554665609</v>
      </c>
      <c r="W177" s="141">
        <f t="shared" si="2"/>
        <v>1871.5985031589626</v>
      </c>
      <c r="X177" s="141">
        <f t="shared" si="2"/>
        <v>1714.6992768766161</v>
      </c>
      <c r="Y177" s="141">
        <f t="shared" si="2"/>
        <v>2151.9481947899312</v>
      </c>
      <c r="Z177" s="141">
        <f t="shared" si="2"/>
        <v>1273.1971035688437</v>
      </c>
      <c r="AA177" s="141">
        <f t="shared" si="2"/>
        <v>2521.6190566376308</v>
      </c>
      <c r="AB177" s="141">
        <f t="shared" si="2"/>
        <v>2398.4122043746211</v>
      </c>
      <c r="AC177" s="141">
        <f t="shared" si="2"/>
        <v>2276.386438615933</v>
      </c>
      <c r="AD177" s="141">
        <f t="shared" si="2"/>
        <v>2261.3227234680953</v>
      </c>
      <c r="AE177" s="141">
        <f t="shared" si="2"/>
        <v>2265.7015501604874</v>
      </c>
      <c r="AF177" s="141">
        <f t="shared" si="2"/>
        <v>1861.5700705872437</v>
      </c>
      <c r="AG177" s="141">
        <f t="shared" si="2"/>
        <v>2312.533811636119</v>
      </c>
      <c r="AH177" s="141">
        <f t="shared" si="2"/>
        <v>1886.8792689646434</v>
      </c>
      <c r="AI177" s="141">
        <f t="shared" si="2"/>
        <v>2228.8731342004435</v>
      </c>
      <c r="AJ177" s="141">
        <f t="shared" si="2"/>
        <v>2295.480896404621</v>
      </c>
      <c r="AK177" s="141">
        <f t="shared" si="2"/>
        <v>2195.1168654919575</v>
      </c>
      <c r="AL177" s="141">
        <f t="shared" si="2"/>
        <v>2243.9068367335249</v>
      </c>
      <c r="AM177" s="141">
        <f t="shared" si="2"/>
        <v>2238.0100570398586</v>
      </c>
      <c r="AN177" s="141">
        <f t="shared" si="2"/>
        <v>1680.0070040569374</v>
      </c>
      <c r="AO177" s="141">
        <f t="shared" si="2"/>
        <v>2100.3482860728182</v>
      </c>
      <c r="AP177" s="141">
        <f t="shared" si="2"/>
        <v>1755.9551422671648</v>
      </c>
      <c r="AQ177" s="141">
        <f t="shared" si="2"/>
        <v>2046.4196004081962</v>
      </c>
      <c r="AR177" s="141">
        <f t="shared" si="2"/>
        <v>1787.7710192450254</v>
      </c>
      <c r="AS177" s="141">
        <f t="shared" si="2"/>
        <v>2056.7609513089219</v>
      </c>
      <c r="AT177" s="141">
        <f t="shared" si="2"/>
        <v>2232.330663931722</v>
      </c>
      <c r="AU177" s="141">
        <f t="shared" si="2"/>
        <v>2285.4935805722853</v>
      </c>
      <c r="AV177" s="141">
        <f t="shared" si="2"/>
        <v>1386.1841729689472</v>
      </c>
      <c r="AW177" s="141">
        <f t="shared" si="2"/>
        <v>2172.5379936828899</v>
      </c>
      <c r="AX177" s="141">
        <f t="shared" si="2"/>
        <v>2343.8832591580358</v>
      </c>
      <c r="AY177" s="141">
        <f t="shared" si="2"/>
        <v>1230.9534204947408</v>
      </c>
    </row>
    <row r="178" spans="1:51" x14ac:dyDescent="0.2">
      <c r="A178" s="142"/>
      <c r="B178" s="153" t="s">
        <v>299</v>
      </c>
      <c r="C178" s="142" t="s">
        <v>293</v>
      </c>
      <c r="D178" s="142">
        <v>122.39332949241017</v>
      </c>
      <c r="E178" s="142">
        <v>814</v>
      </c>
      <c r="F178" s="142">
        <v>691</v>
      </c>
      <c r="G178" s="142">
        <v>588</v>
      </c>
      <c r="H178" s="142">
        <v>670</v>
      </c>
      <c r="I178" s="142">
        <v>636</v>
      </c>
      <c r="J178" s="142">
        <v>778</v>
      </c>
      <c r="K178" s="142">
        <v>628</v>
      </c>
      <c r="L178" s="142">
        <v>765</v>
      </c>
      <c r="M178" s="142">
        <v>673</v>
      </c>
      <c r="N178" s="142">
        <v>726</v>
      </c>
      <c r="O178" s="142">
        <v>813</v>
      </c>
      <c r="P178" s="142">
        <v>728</v>
      </c>
      <c r="Q178" s="142">
        <v>873</v>
      </c>
      <c r="R178" s="142">
        <v>705</v>
      </c>
      <c r="S178" s="142">
        <v>744</v>
      </c>
      <c r="T178" s="142">
        <v>628</v>
      </c>
      <c r="U178" s="142">
        <v>612</v>
      </c>
      <c r="V178" s="142">
        <v>827</v>
      </c>
      <c r="W178" s="142">
        <v>834</v>
      </c>
      <c r="X178" s="142">
        <v>782</v>
      </c>
      <c r="Y178" s="142">
        <v>573</v>
      </c>
      <c r="Z178" s="142">
        <v>695</v>
      </c>
      <c r="AA178" s="142">
        <v>780</v>
      </c>
      <c r="AB178" s="142">
        <v>664</v>
      </c>
      <c r="AC178" s="142">
        <v>612</v>
      </c>
      <c r="AD178" s="142">
        <v>693</v>
      </c>
      <c r="AE178" s="142">
        <v>734</v>
      </c>
      <c r="AF178" s="142">
        <v>794</v>
      </c>
      <c r="AG178" s="142">
        <v>739</v>
      </c>
      <c r="AH178" s="142">
        <v>791</v>
      </c>
      <c r="AI178" s="142">
        <v>695</v>
      </c>
      <c r="AJ178" s="142">
        <v>677</v>
      </c>
      <c r="AK178" s="142">
        <v>642</v>
      </c>
      <c r="AL178" s="142">
        <v>668</v>
      </c>
      <c r="AM178" s="142">
        <v>828</v>
      </c>
      <c r="AN178" s="142">
        <v>858</v>
      </c>
      <c r="AO178" s="142">
        <v>836</v>
      </c>
      <c r="AP178" s="142">
        <v>746</v>
      </c>
      <c r="AQ178" s="142">
        <v>760</v>
      </c>
      <c r="AR178" s="142">
        <v>719</v>
      </c>
      <c r="AS178" s="142">
        <v>715</v>
      </c>
      <c r="AT178" s="142">
        <v>674</v>
      </c>
      <c r="AU178" s="142">
        <v>583</v>
      </c>
      <c r="AV178" s="142">
        <v>664</v>
      </c>
      <c r="AW178" s="142">
        <v>640</v>
      </c>
      <c r="AX178" s="142">
        <v>895</v>
      </c>
      <c r="AY178" s="142">
        <v>691</v>
      </c>
    </row>
    <row r="179" spans="1:51" x14ac:dyDescent="0.2">
      <c r="A179" s="152" t="s">
        <v>134</v>
      </c>
      <c r="B179" s="152" t="s">
        <v>298</v>
      </c>
      <c r="C179" s="141" t="s">
        <v>293</v>
      </c>
      <c r="D179" s="141">
        <f t="shared" ref="D179:AY179" si="3">SUM(D109:D120)</f>
        <v>382.02125413264991</v>
      </c>
      <c r="E179" s="141">
        <f t="shared" si="3"/>
        <v>1798.0462250536789</v>
      </c>
      <c r="F179" s="141">
        <f t="shared" si="3"/>
        <v>4146.3749068894122</v>
      </c>
      <c r="G179" s="141">
        <f t="shared" si="3"/>
        <v>7061.0935319339278</v>
      </c>
      <c r="H179" s="141">
        <f t="shared" si="3"/>
        <v>10371.088243484581</v>
      </c>
      <c r="I179" s="141">
        <f t="shared" si="3"/>
        <v>13839.675445434073</v>
      </c>
      <c r="J179" s="141">
        <f t="shared" si="3"/>
        <v>17346.063788352349</v>
      </c>
      <c r="K179" s="141">
        <f t="shared" si="3"/>
        <v>21000.502296268936</v>
      </c>
      <c r="L179" s="141">
        <f t="shared" si="3"/>
        <v>23384.374881862925</v>
      </c>
      <c r="M179" s="141">
        <f t="shared" si="3"/>
        <v>24020.758252247397</v>
      </c>
      <c r="N179" s="141">
        <f t="shared" si="3"/>
        <v>23667.523664764027</v>
      </c>
      <c r="O179" s="141">
        <f t="shared" si="3"/>
        <v>24173.955729483088</v>
      </c>
      <c r="P179" s="141">
        <f t="shared" si="3"/>
        <v>23833.419266376579</v>
      </c>
      <c r="Q179" s="141">
        <f t="shared" si="3"/>
        <v>24278.058390816495</v>
      </c>
      <c r="R179" s="141">
        <f t="shared" si="3"/>
        <v>23981.215206744462</v>
      </c>
      <c r="S179" s="141">
        <f t="shared" si="3"/>
        <v>23809.702184849557</v>
      </c>
      <c r="T179" s="141">
        <f t="shared" si="3"/>
        <v>23945.135051393227</v>
      </c>
      <c r="U179" s="141">
        <f t="shared" si="3"/>
        <v>23981.429710574022</v>
      </c>
      <c r="V179" s="141">
        <f t="shared" si="3"/>
        <v>23965.318693443722</v>
      </c>
      <c r="W179" s="141">
        <f t="shared" si="3"/>
        <v>24418.000999131029</v>
      </c>
      <c r="X179" s="141">
        <f t="shared" si="3"/>
        <v>24490.02687813712</v>
      </c>
      <c r="Y179" s="141">
        <f t="shared" si="3"/>
        <v>24119.03875117634</v>
      </c>
      <c r="Z179" s="141">
        <f t="shared" si="3"/>
        <v>24836.086255702176</v>
      </c>
      <c r="AA179" s="141">
        <f t="shared" si="3"/>
        <v>23569.562832576317</v>
      </c>
      <c r="AB179" s="141">
        <f t="shared" si="3"/>
        <v>23824.668558554171</v>
      </c>
      <c r="AC179" s="141">
        <f t="shared" si="3"/>
        <v>23950.870860398703</v>
      </c>
      <c r="AD179" s="141">
        <f t="shared" si="3"/>
        <v>23952.726657650932</v>
      </c>
      <c r="AE179" s="141">
        <f t="shared" si="3"/>
        <v>24043.518123652171</v>
      </c>
      <c r="AF179" s="141">
        <f t="shared" si="3"/>
        <v>24462.272487270231</v>
      </c>
      <c r="AG179" s="141">
        <f t="shared" si="3"/>
        <v>24012.084381345008</v>
      </c>
      <c r="AH179" s="141">
        <f t="shared" si="3"/>
        <v>24369.257448675144</v>
      </c>
      <c r="AI179" s="141">
        <f t="shared" si="3"/>
        <v>23986.48260660778</v>
      </c>
      <c r="AJ179" s="141">
        <f t="shared" si="3"/>
        <v>23897.612100045531</v>
      </c>
      <c r="AK179" s="141">
        <f t="shared" si="3"/>
        <v>23945.093125319327</v>
      </c>
      <c r="AL179" s="141">
        <f t="shared" si="3"/>
        <v>23832.950007203082</v>
      </c>
      <c r="AM179" s="141">
        <f t="shared" si="3"/>
        <v>23948.494180811391</v>
      </c>
      <c r="AN179" s="141">
        <f t="shared" si="3"/>
        <v>24543.798294780907</v>
      </c>
      <c r="AO179" s="141">
        <f t="shared" si="3"/>
        <v>24170.393376946835</v>
      </c>
      <c r="AP179" s="141">
        <f t="shared" si="3"/>
        <v>24464.164241376286</v>
      </c>
      <c r="AQ179" s="141">
        <f t="shared" si="3"/>
        <v>24111.857968529432</v>
      </c>
      <c r="AR179" s="141">
        <f t="shared" si="3"/>
        <v>24389.164293671431</v>
      </c>
      <c r="AS179" s="141">
        <f t="shared" si="3"/>
        <v>24060.647366030506</v>
      </c>
      <c r="AT179" s="141">
        <f t="shared" si="3"/>
        <v>24013.282891513616</v>
      </c>
      <c r="AU179" s="141">
        <f t="shared" si="3"/>
        <v>24090.827255654553</v>
      </c>
      <c r="AV179" s="141">
        <f t="shared" si="3"/>
        <v>24876.516600143717</v>
      </c>
      <c r="AW179" s="141">
        <f t="shared" si="3"/>
        <v>24187.205924658403</v>
      </c>
      <c r="AX179" s="141">
        <f t="shared" si="3"/>
        <v>24059.735575519833</v>
      </c>
      <c r="AY179" s="141">
        <f t="shared" si="3"/>
        <v>25137.99650727478</v>
      </c>
    </row>
    <row r="180" spans="1:51" x14ac:dyDescent="0.2">
      <c r="A180" s="142"/>
      <c r="B180" s="153" t="s">
        <v>299</v>
      </c>
      <c r="C180" s="142" t="s">
        <v>293</v>
      </c>
      <c r="D180" s="142">
        <v>382.02125413264991</v>
      </c>
      <c r="E180" s="142">
        <v>420</v>
      </c>
      <c r="F180" s="142">
        <v>460</v>
      </c>
      <c r="G180" s="142">
        <v>489</v>
      </c>
      <c r="H180" s="142">
        <v>562</v>
      </c>
      <c r="I180" s="142">
        <v>683</v>
      </c>
      <c r="J180" s="142">
        <v>661</v>
      </c>
      <c r="K180" s="142">
        <v>546</v>
      </c>
      <c r="L180" s="142">
        <v>456</v>
      </c>
      <c r="M180" s="142">
        <v>451</v>
      </c>
      <c r="N180" s="142">
        <v>399</v>
      </c>
      <c r="O180" s="142">
        <v>528</v>
      </c>
      <c r="P180" s="142">
        <v>549</v>
      </c>
      <c r="Q180" s="142">
        <v>535</v>
      </c>
      <c r="R180" s="142">
        <v>422</v>
      </c>
      <c r="S180" s="142">
        <v>553</v>
      </c>
      <c r="T180" s="142">
        <v>574</v>
      </c>
      <c r="U180" s="142">
        <v>465</v>
      </c>
      <c r="V180" s="142">
        <v>559</v>
      </c>
      <c r="W180" s="142">
        <v>624</v>
      </c>
      <c r="X180" s="142">
        <v>445</v>
      </c>
      <c r="Y180" s="142">
        <v>430</v>
      </c>
      <c r="Z180" s="142">
        <v>513</v>
      </c>
      <c r="AA180" s="142">
        <v>492</v>
      </c>
      <c r="AB180" s="142">
        <v>443</v>
      </c>
      <c r="AC180" s="142">
        <v>610</v>
      </c>
      <c r="AD180" s="142">
        <v>504</v>
      </c>
      <c r="AE180" s="142">
        <v>445</v>
      </c>
      <c r="AF180" s="142">
        <v>599</v>
      </c>
      <c r="AG180" s="142">
        <v>552</v>
      </c>
      <c r="AH180" s="142">
        <v>620</v>
      </c>
      <c r="AI180" s="142">
        <v>582</v>
      </c>
      <c r="AJ180" s="142">
        <v>541</v>
      </c>
      <c r="AK180" s="142">
        <v>463</v>
      </c>
      <c r="AL180" s="142">
        <v>644</v>
      </c>
      <c r="AM180" s="142">
        <v>488</v>
      </c>
      <c r="AN180" s="142">
        <v>518</v>
      </c>
      <c r="AO180" s="142">
        <v>572</v>
      </c>
      <c r="AP180" s="142">
        <v>457</v>
      </c>
      <c r="AQ180" s="142">
        <v>511</v>
      </c>
      <c r="AR180" s="142">
        <v>517</v>
      </c>
      <c r="AS180" s="142">
        <v>577</v>
      </c>
      <c r="AT180" s="142">
        <v>623</v>
      </c>
      <c r="AU180" s="142">
        <v>444</v>
      </c>
      <c r="AV180" s="142">
        <v>547</v>
      </c>
      <c r="AW180" s="142">
        <v>529</v>
      </c>
      <c r="AX180" s="142">
        <v>520</v>
      </c>
      <c r="AY180" s="142">
        <v>580</v>
      </c>
    </row>
    <row r="181" spans="1:51" x14ac:dyDescent="0.2">
      <c r="A181" s="152" t="s">
        <v>123</v>
      </c>
      <c r="B181" s="152" t="s">
        <v>298</v>
      </c>
      <c r="C181" s="141" t="s">
        <v>293</v>
      </c>
      <c r="D181" s="141">
        <f t="shared" ref="D181:AY181" si="4">(1-D172)*SUM(D122:D169)</f>
        <v>3626.1896423022854</v>
      </c>
      <c r="E181" s="141">
        <f t="shared" si="4"/>
        <v>5582.9959500965488</v>
      </c>
      <c r="F181" s="141">
        <f t="shared" si="4"/>
        <v>6805.9260953959611</v>
      </c>
      <c r="G181" s="141">
        <f t="shared" si="4"/>
        <v>7661.5801541892351</v>
      </c>
      <c r="H181" s="141">
        <f t="shared" si="4"/>
        <v>8128.6417225836694</v>
      </c>
      <c r="I181" s="141">
        <f t="shared" si="4"/>
        <v>8448.9021500093259</v>
      </c>
      <c r="J181" s="141">
        <f t="shared" si="4"/>
        <v>8703.1124124366634</v>
      </c>
      <c r="K181" s="141">
        <f t="shared" si="4"/>
        <v>8899.12822786783</v>
      </c>
      <c r="L181" s="141">
        <f t="shared" si="4"/>
        <v>8939.9182899786356</v>
      </c>
      <c r="M181" s="141">
        <f t="shared" si="4"/>
        <v>9019.9998891382802</v>
      </c>
      <c r="N181" s="141">
        <f t="shared" si="4"/>
        <v>9157.1002639901544</v>
      </c>
      <c r="O181" s="141">
        <f t="shared" si="4"/>
        <v>9190.5931770577208</v>
      </c>
      <c r="P181" s="141">
        <f t="shared" si="4"/>
        <v>9140.1154649429864</v>
      </c>
      <c r="Q181" s="141">
        <f t="shared" si="4"/>
        <v>9157.8460445069231</v>
      </c>
      <c r="R181" s="141">
        <f t="shared" si="4"/>
        <v>9110.2012811673612</v>
      </c>
      <c r="S181" s="141">
        <f t="shared" si="4"/>
        <v>9285.5900114965934</v>
      </c>
      <c r="T181" s="141">
        <f t="shared" si="4"/>
        <v>9204.290905548547</v>
      </c>
      <c r="U181" s="141">
        <f t="shared" si="4"/>
        <v>9155.9577807457863</v>
      </c>
      <c r="V181" s="141">
        <f t="shared" si="4"/>
        <v>9161.7517273660833</v>
      </c>
      <c r="W181" s="141">
        <f t="shared" si="4"/>
        <v>9165.6250746423357</v>
      </c>
      <c r="X181" s="141">
        <f t="shared" si="4"/>
        <v>9222.3642836897998</v>
      </c>
      <c r="Y181" s="141">
        <f t="shared" si="4"/>
        <v>9178.0678703850517</v>
      </c>
      <c r="Z181" s="141">
        <f t="shared" si="4"/>
        <v>9286.1693404421203</v>
      </c>
      <c r="AA181" s="141">
        <f t="shared" si="4"/>
        <v>9298.270466727281</v>
      </c>
      <c r="AB181" s="141">
        <f t="shared" si="4"/>
        <v>9210.0939306414311</v>
      </c>
      <c r="AC181" s="141">
        <f t="shared" si="4"/>
        <v>9207.3018485370449</v>
      </c>
      <c r="AD181" s="141">
        <f t="shared" si="4"/>
        <v>9216.1315558434126</v>
      </c>
      <c r="AE181" s="141">
        <f t="shared" si="4"/>
        <v>9152.5086717985942</v>
      </c>
      <c r="AF181" s="141">
        <f t="shared" si="4"/>
        <v>9142.7330366749411</v>
      </c>
      <c r="AG181" s="141">
        <f t="shared" si="4"/>
        <v>9142.2145120162841</v>
      </c>
      <c r="AH181" s="141">
        <f t="shared" si="4"/>
        <v>9187.9954888478478</v>
      </c>
      <c r="AI181" s="141">
        <f t="shared" si="4"/>
        <v>9215.2582332059155</v>
      </c>
      <c r="AJ181" s="141">
        <f t="shared" si="4"/>
        <v>9230.1412388447898</v>
      </c>
      <c r="AK181" s="141">
        <f t="shared" si="4"/>
        <v>9265.494385719463</v>
      </c>
      <c r="AL181" s="141">
        <f t="shared" si="4"/>
        <v>9307.8469918048195</v>
      </c>
      <c r="AM181" s="141">
        <f t="shared" si="4"/>
        <v>9234.545930818229</v>
      </c>
      <c r="AN181" s="141">
        <f t="shared" si="4"/>
        <v>9209.6095666364108</v>
      </c>
      <c r="AO181" s="141">
        <f t="shared" si="4"/>
        <v>9178.2318460126207</v>
      </c>
      <c r="AP181" s="141">
        <f t="shared" si="4"/>
        <v>9212.0736607184463</v>
      </c>
      <c r="AQ181" s="141">
        <f t="shared" si="4"/>
        <v>9253.4159167396156</v>
      </c>
      <c r="AR181" s="141">
        <f t="shared" si="4"/>
        <v>9240.9429123166447</v>
      </c>
      <c r="AS181" s="141">
        <f t="shared" si="4"/>
        <v>9280.7376742107317</v>
      </c>
      <c r="AT181" s="141">
        <f t="shared" si="4"/>
        <v>9195.0303934292315</v>
      </c>
      <c r="AU181" s="141">
        <f t="shared" si="4"/>
        <v>9107.6504565434116</v>
      </c>
      <c r="AV181" s="141">
        <f t="shared" si="4"/>
        <v>9183.6073113147722</v>
      </c>
      <c r="AW181" s="141">
        <f t="shared" si="4"/>
        <v>9118.7323949782058</v>
      </c>
      <c r="AX181" s="141">
        <f t="shared" si="4"/>
        <v>9089.4013018865444</v>
      </c>
      <c r="AY181" s="141">
        <f t="shared" si="4"/>
        <v>9112.5780283813401</v>
      </c>
    </row>
    <row r="182" spans="1:51" x14ac:dyDescent="0.2">
      <c r="A182" s="142"/>
      <c r="B182" s="153" t="s">
        <v>299</v>
      </c>
      <c r="C182" s="142" t="s">
        <v>293</v>
      </c>
      <c r="D182" s="142">
        <v>703.24085921867868</v>
      </c>
      <c r="E182" s="142">
        <v>645</v>
      </c>
      <c r="F182" s="142">
        <v>588</v>
      </c>
      <c r="G182" s="142">
        <v>745</v>
      </c>
      <c r="H182" s="142">
        <v>733</v>
      </c>
      <c r="I182" s="142">
        <v>673</v>
      </c>
      <c r="J182" s="142">
        <v>634</v>
      </c>
      <c r="K182" s="142">
        <v>769</v>
      </c>
      <c r="L182" s="142">
        <v>690</v>
      </c>
      <c r="M182" s="142">
        <v>565</v>
      </c>
      <c r="N182" s="142">
        <v>652</v>
      </c>
      <c r="O182" s="142">
        <v>761</v>
      </c>
      <c r="P182" s="142">
        <v>684</v>
      </c>
      <c r="Q182" s="142">
        <v>773</v>
      </c>
      <c r="R182" s="142">
        <v>463</v>
      </c>
      <c r="S182" s="142">
        <v>760</v>
      </c>
      <c r="T182" s="142">
        <v>751</v>
      </c>
      <c r="U182" s="142">
        <v>694</v>
      </c>
      <c r="V182" s="142">
        <v>694</v>
      </c>
      <c r="W182" s="142">
        <v>613</v>
      </c>
      <c r="X182" s="142">
        <v>736</v>
      </c>
      <c r="Y182" s="142">
        <v>530</v>
      </c>
      <c r="Z182" s="142">
        <v>620</v>
      </c>
      <c r="AA182" s="142">
        <v>764</v>
      </c>
      <c r="AB182" s="142">
        <v>680</v>
      </c>
      <c r="AC182" s="142">
        <v>664</v>
      </c>
      <c r="AD182" s="142">
        <v>768</v>
      </c>
      <c r="AE182" s="142">
        <v>719</v>
      </c>
      <c r="AF182" s="142">
        <v>710</v>
      </c>
      <c r="AG182" s="142">
        <v>641</v>
      </c>
      <c r="AH182" s="142">
        <v>646</v>
      </c>
      <c r="AI182" s="142">
        <v>651</v>
      </c>
      <c r="AJ182" s="142">
        <v>613</v>
      </c>
      <c r="AK182" s="142">
        <v>585</v>
      </c>
      <c r="AL182" s="142">
        <v>737</v>
      </c>
      <c r="AM182" s="142">
        <v>701</v>
      </c>
      <c r="AN182" s="142">
        <v>723</v>
      </c>
      <c r="AO182" s="142">
        <v>641</v>
      </c>
      <c r="AP182" s="142">
        <v>613</v>
      </c>
      <c r="AQ182" s="142">
        <v>673</v>
      </c>
      <c r="AR182" s="142">
        <v>601</v>
      </c>
      <c r="AS182" s="142">
        <v>769</v>
      </c>
      <c r="AT182" s="142">
        <v>814</v>
      </c>
      <c r="AU182" s="142">
        <v>613</v>
      </c>
      <c r="AV182" s="142">
        <v>786</v>
      </c>
      <c r="AW182" s="142">
        <v>765</v>
      </c>
      <c r="AX182" s="142">
        <v>701</v>
      </c>
      <c r="AY182" s="142">
        <v>743</v>
      </c>
    </row>
    <row r="184" spans="1:51" x14ac:dyDescent="0.2">
      <c r="A184" s="1" t="s">
        <v>300</v>
      </c>
    </row>
    <row r="185" spans="1:51" x14ac:dyDescent="0.2">
      <c r="A185" s="143" t="s">
        <v>125</v>
      </c>
      <c r="B185" s="140">
        <v>1</v>
      </c>
      <c r="C185" s="141">
        <v>0</v>
      </c>
      <c r="D185" s="141">
        <v>0</v>
      </c>
      <c r="E185" s="141">
        <v>0</v>
      </c>
      <c r="F185" s="141">
        <v>0</v>
      </c>
      <c r="G185" s="141">
        <v>0</v>
      </c>
      <c r="H185" s="141">
        <v>0</v>
      </c>
      <c r="I185" s="141">
        <v>0</v>
      </c>
      <c r="J185" s="141">
        <v>0</v>
      </c>
      <c r="K185" s="141">
        <v>0</v>
      </c>
      <c r="L185" s="141">
        <v>0</v>
      </c>
      <c r="M185" s="141">
        <v>0</v>
      </c>
      <c r="N185" s="141">
        <v>0</v>
      </c>
      <c r="O185" s="141">
        <v>0</v>
      </c>
      <c r="P185" s="141">
        <v>0</v>
      </c>
      <c r="Q185" s="141">
        <v>0</v>
      </c>
      <c r="R185" s="141">
        <v>0</v>
      </c>
      <c r="S185" s="141">
        <v>0</v>
      </c>
      <c r="T185" s="141">
        <v>0</v>
      </c>
      <c r="U185" s="141">
        <v>0</v>
      </c>
      <c r="V185" s="141">
        <v>0</v>
      </c>
      <c r="W185" s="141">
        <v>0</v>
      </c>
      <c r="X185" s="141">
        <v>0</v>
      </c>
      <c r="Y185" s="141">
        <v>0</v>
      </c>
      <c r="Z185" s="141">
        <v>0</v>
      </c>
      <c r="AA185" s="141">
        <v>0</v>
      </c>
      <c r="AB185" s="141">
        <v>0</v>
      </c>
      <c r="AC185" s="141">
        <v>0</v>
      </c>
      <c r="AD185" s="141">
        <v>0</v>
      </c>
      <c r="AE185" s="141">
        <v>0</v>
      </c>
      <c r="AF185" s="141">
        <v>0</v>
      </c>
      <c r="AG185" s="141">
        <v>0</v>
      </c>
      <c r="AH185" s="141">
        <v>0</v>
      </c>
      <c r="AI185" s="141">
        <v>0</v>
      </c>
      <c r="AJ185" s="141">
        <v>0</v>
      </c>
      <c r="AK185" s="141">
        <v>0</v>
      </c>
      <c r="AL185" s="141">
        <v>0</v>
      </c>
      <c r="AM185" s="141">
        <v>0</v>
      </c>
      <c r="AN185" s="141">
        <v>0</v>
      </c>
      <c r="AO185" s="141">
        <v>0</v>
      </c>
      <c r="AP185" s="141">
        <v>0</v>
      </c>
      <c r="AQ185" s="141">
        <v>0</v>
      </c>
      <c r="AR185" s="141">
        <v>0</v>
      </c>
      <c r="AS185" s="141">
        <v>0</v>
      </c>
      <c r="AT185" s="141">
        <v>0</v>
      </c>
      <c r="AU185" s="141">
        <v>0</v>
      </c>
      <c r="AV185" s="141">
        <v>0</v>
      </c>
      <c r="AW185" s="141">
        <v>0</v>
      </c>
      <c r="AX185" s="141">
        <v>0</v>
      </c>
      <c r="AY185" s="141">
        <v>0</v>
      </c>
    </row>
    <row r="186" spans="1:51" x14ac:dyDescent="0.2">
      <c r="A186" s="127"/>
      <c r="B186" s="137">
        <v>2</v>
      </c>
      <c r="C186" s="124">
        <v>0</v>
      </c>
      <c r="D186" s="124">
        <v>0</v>
      </c>
      <c r="E186" s="124">
        <v>0</v>
      </c>
      <c r="F186" s="124">
        <v>0</v>
      </c>
      <c r="G186" s="124">
        <v>0</v>
      </c>
      <c r="H186" s="124">
        <v>0</v>
      </c>
      <c r="I186" s="124">
        <v>0</v>
      </c>
      <c r="J186" s="124">
        <v>466</v>
      </c>
      <c r="K186" s="124">
        <v>0</v>
      </c>
      <c r="L186" s="124">
        <v>0</v>
      </c>
      <c r="M186" s="124">
        <v>0</v>
      </c>
      <c r="N186" s="124">
        <v>0</v>
      </c>
      <c r="O186" s="124">
        <v>0</v>
      </c>
      <c r="P186" s="124">
        <v>0</v>
      </c>
      <c r="Q186" s="124">
        <v>0</v>
      </c>
      <c r="R186" s="124">
        <v>0</v>
      </c>
      <c r="S186" s="124">
        <v>0</v>
      </c>
      <c r="T186" s="124">
        <v>0</v>
      </c>
      <c r="U186" s="124">
        <v>0</v>
      </c>
      <c r="V186" s="124">
        <v>0</v>
      </c>
      <c r="W186" s="124">
        <v>0</v>
      </c>
      <c r="X186" s="124">
        <v>0</v>
      </c>
      <c r="Y186" s="124">
        <v>0</v>
      </c>
      <c r="Z186" s="124">
        <v>0</v>
      </c>
      <c r="AA186" s="124">
        <v>0</v>
      </c>
      <c r="AB186" s="124">
        <v>0</v>
      </c>
      <c r="AC186" s="124">
        <v>0</v>
      </c>
      <c r="AD186" s="124">
        <v>0</v>
      </c>
      <c r="AE186" s="124">
        <v>0</v>
      </c>
      <c r="AF186" s="124">
        <v>0</v>
      </c>
      <c r="AG186" s="124">
        <v>0</v>
      </c>
      <c r="AH186" s="124">
        <v>0</v>
      </c>
      <c r="AI186" s="124">
        <v>0</v>
      </c>
      <c r="AJ186" s="124">
        <v>0</v>
      </c>
      <c r="AK186" s="124">
        <v>0</v>
      </c>
      <c r="AL186" s="124">
        <v>0</v>
      </c>
      <c r="AM186" s="124">
        <v>0</v>
      </c>
      <c r="AN186" s="124">
        <v>0</v>
      </c>
      <c r="AO186" s="124">
        <v>0</v>
      </c>
      <c r="AP186" s="124">
        <v>0</v>
      </c>
      <c r="AQ186" s="124">
        <v>0</v>
      </c>
      <c r="AR186" s="124">
        <v>0</v>
      </c>
      <c r="AS186" s="124">
        <v>0</v>
      </c>
      <c r="AT186" s="124">
        <v>0</v>
      </c>
      <c r="AU186" s="124">
        <v>0</v>
      </c>
      <c r="AV186" s="124">
        <v>0</v>
      </c>
      <c r="AW186" s="124">
        <v>0</v>
      </c>
      <c r="AX186" s="124">
        <v>0</v>
      </c>
      <c r="AY186" s="124">
        <v>0</v>
      </c>
    </row>
    <row r="187" spans="1:51" x14ac:dyDescent="0.2">
      <c r="A187" s="127"/>
      <c r="B187" s="144">
        <v>3</v>
      </c>
      <c r="C187" s="124">
        <v>0</v>
      </c>
      <c r="D187" s="124">
        <v>0</v>
      </c>
      <c r="E187" s="124">
        <v>0</v>
      </c>
      <c r="F187" s="124">
        <v>0</v>
      </c>
      <c r="G187" s="124">
        <v>0</v>
      </c>
      <c r="H187" s="124">
        <v>0</v>
      </c>
      <c r="I187" s="124">
        <v>0</v>
      </c>
      <c r="J187" s="124">
        <v>0</v>
      </c>
      <c r="K187" s="124">
        <v>0</v>
      </c>
      <c r="L187" s="124">
        <v>0</v>
      </c>
      <c r="M187" s="124">
        <v>0</v>
      </c>
      <c r="N187" s="124">
        <v>0</v>
      </c>
      <c r="O187" s="124">
        <v>0</v>
      </c>
      <c r="P187" s="124">
        <v>0</v>
      </c>
      <c r="Q187" s="124">
        <v>0</v>
      </c>
      <c r="R187" s="124">
        <v>0</v>
      </c>
      <c r="S187" s="124">
        <v>0</v>
      </c>
      <c r="T187" s="124">
        <v>0</v>
      </c>
      <c r="U187" s="124">
        <v>0</v>
      </c>
      <c r="V187" s="124">
        <v>0</v>
      </c>
      <c r="W187" s="124">
        <v>0</v>
      </c>
      <c r="X187" s="124">
        <v>0</v>
      </c>
      <c r="Y187" s="124">
        <v>0</v>
      </c>
      <c r="Z187" s="124">
        <v>0</v>
      </c>
      <c r="AA187" s="124">
        <v>0</v>
      </c>
      <c r="AB187" s="124">
        <v>0</v>
      </c>
      <c r="AC187" s="124">
        <v>0</v>
      </c>
      <c r="AD187" s="124">
        <v>0</v>
      </c>
      <c r="AE187" s="124">
        <v>0</v>
      </c>
      <c r="AF187" s="124">
        <v>0</v>
      </c>
      <c r="AG187" s="124">
        <v>0</v>
      </c>
      <c r="AH187" s="124">
        <v>0</v>
      </c>
      <c r="AI187" s="124">
        <v>0</v>
      </c>
      <c r="AJ187" s="124">
        <v>0</v>
      </c>
      <c r="AK187" s="124">
        <v>0</v>
      </c>
      <c r="AL187" s="124">
        <v>0</v>
      </c>
      <c r="AM187" s="124">
        <v>0</v>
      </c>
      <c r="AN187" s="124">
        <v>0</v>
      </c>
      <c r="AO187" s="124">
        <v>0</v>
      </c>
      <c r="AP187" s="124">
        <v>0</v>
      </c>
      <c r="AQ187" s="124">
        <v>0</v>
      </c>
      <c r="AR187" s="124">
        <v>0</v>
      </c>
      <c r="AS187" s="124">
        <v>0</v>
      </c>
      <c r="AT187" s="124">
        <v>0</v>
      </c>
      <c r="AU187" s="124">
        <v>0</v>
      </c>
      <c r="AV187" s="124">
        <v>0</v>
      </c>
      <c r="AW187" s="124">
        <v>0</v>
      </c>
      <c r="AX187" s="124">
        <v>0</v>
      </c>
      <c r="AY187" s="124">
        <v>0</v>
      </c>
    </row>
    <row r="188" spans="1:51" x14ac:dyDescent="0.2">
      <c r="A188" s="145"/>
      <c r="B188" s="146">
        <v>4</v>
      </c>
      <c r="C188" s="124">
        <v>657</v>
      </c>
      <c r="D188" s="124">
        <v>442</v>
      </c>
      <c r="E188" s="124">
        <v>469</v>
      </c>
      <c r="F188" s="124">
        <v>599</v>
      </c>
      <c r="G188" s="124">
        <v>545</v>
      </c>
      <c r="H188" s="124">
        <v>501</v>
      </c>
      <c r="I188" s="124">
        <v>563</v>
      </c>
      <c r="J188" s="124">
        <v>0</v>
      </c>
      <c r="K188" s="124">
        <v>0</v>
      </c>
      <c r="L188" s="124">
        <v>0</v>
      </c>
      <c r="M188" s="124">
        <v>0</v>
      </c>
      <c r="N188" s="124">
        <v>0</v>
      </c>
      <c r="O188" s="124">
        <v>0</v>
      </c>
      <c r="P188" s="124">
        <v>0</v>
      </c>
      <c r="Q188" s="124">
        <v>0</v>
      </c>
      <c r="R188" s="124">
        <v>0</v>
      </c>
      <c r="S188" s="124">
        <v>0</v>
      </c>
      <c r="T188" s="124">
        <v>0</v>
      </c>
      <c r="U188" s="124">
        <v>0</v>
      </c>
      <c r="V188" s="124">
        <v>0</v>
      </c>
      <c r="W188" s="124">
        <v>0</v>
      </c>
      <c r="X188" s="124">
        <v>0</v>
      </c>
      <c r="Y188" s="124">
        <v>0</v>
      </c>
      <c r="Z188" s="124">
        <v>0</v>
      </c>
      <c r="AA188" s="124">
        <v>0</v>
      </c>
      <c r="AB188" s="124">
        <v>0</v>
      </c>
      <c r="AC188" s="124">
        <v>0</v>
      </c>
      <c r="AD188" s="124">
        <v>0</v>
      </c>
      <c r="AE188" s="124">
        <v>0</v>
      </c>
      <c r="AF188" s="124">
        <v>0</v>
      </c>
      <c r="AG188" s="124">
        <v>0</v>
      </c>
      <c r="AH188" s="124">
        <v>0</v>
      </c>
      <c r="AI188" s="124">
        <v>0</v>
      </c>
      <c r="AJ188" s="124">
        <v>0</v>
      </c>
      <c r="AK188" s="124">
        <v>0</v>
      </c>
      <c r="AL188" s="124">
        <v>0</v>
      </c>
      <c r="AM188" s="124">
        <v>0</v>
      </c>
      <c r="AN188" s="124">
        <v>0</v>
      </c>
      <c r="AO188" s="124">
        <v>0</v>
      </c>
      <c r="AP188" s="124">
        <v>0</v>
      </c>
      <c r="AQ188" s="124">
        <v>0</v>
      </c>
      <c r="AR188" s="124">
        <v>0</v>
      </c>
      <c r="AS188" s="124">
        <v>0</v>
      </c>
      <c r="AT188" s="124">
        <v>0</v>
      </c>
      <c r="AU188" s="124">
        <v>0</v>
      </c>
      <c r="AV188" s="124">
        <v>0</v>
      </c>
      <c r="AW188" s="124">
        <v>0</v>
      </c>
      <c r="AX188" s="124">
        <v>0</v>
      </c>
      <c r="AY188" s="124">
        <v>0</v>
      </c>
    </row>
    <row r="189" spans="1:51" x14ac:dyDescent="0.2">
      <c r="A189" s="143" t="s">
        <v>133</v>
      </c>
      <c r="B189" s="140">
        <v>1</v>
      </c>
      <c r="C189" s="141">
        <v>122.39332949241017</v>
      </c>
      <c r="D189" s="141">
        <v>122.39332949241017</v>
      </c>
      <c r="E189" s="141">
        <v>814</v>
      </c>
      <c r="F189" s="141">
        <v>0</v>
      </c>
      <c r="G189" s="141">
        <v>0</v>
      </c>
      <c r="H189" s="141">
        <v>0</v>
      </c>
      <c r="I189" s="141">
        <v>0</v>
      </c>
      <c r="J189" s="141">
        <v>0</v>
      </c>
      <c r="K189" s="141">
        <v>0</v>
      </c>
      <c r="L189" s="141">
        <v>0</v>
      </c>
      <c r="M189" s="141">
        <v>0</v>
      </c>
      <c r="N189" s="141">
        <v>0</v>
      </c>
      <c r="O189" s="141">
        <v>0</v>
      </c>
      <c r="P189" s="141">
        <v>111.21011836795219</v>
      </c>
      <c r="Q189" s="141">
        <v>175.37153069313467</v>
      </c>
      <c r="R189" s="141">
        <v>191.25892618503485</v>
      </c>
      <c r="S189" s="141">
        <v>321.10114095056906</v>
      </c>
      <c r="T189" s="141">
        <v>218.92273782346979</v>
      </c>
      <c r="U189" s="141">
        <v>166.91829105621514</v>
      </c>
      <c r="V189" s="141">
        <v>374.47414912316026</v>
      </c>
      <c r="W189" s="141">
        <v>287.95040143075869</v>
      </c>
      <c r="X189" s="141">
        <v>392.84962771310506</v>
      </c>
      <c r="Y189" s="141">
        <v>298.60070979978991</v>
      </c>
      <c r="Z189" s="141">
        <v>0</v>
      </c>
      <c r="AA189" s="141">
        <v>688.38094336236941</v>
      </c>
      <c r="AB189" s="141">
        <v>143.13670021510029</v>
      </c>
      <c r="AC189" s="141">
        <v>213.1624659737879</v>
      </c>
      <c r="AD189" s="141">
        <v>309.22618112162581</v>
      </c>
      <c r="AE189" s="141">
        <v>345.84735442923352</v>
      </c>
      <c r="AF189" s="141">
        <v>257.97883400247747</v>
      </c>
      <c r="AG189" s="141">
        <v>304.01509295360188</v>
      </c>
      <c r="AH189" s="141">
        <v>229.6696356250776</v>
      </c>
      <c r="AI189" s="141">
        <v>241.67577038927766</v>
      </c>
      <c r="AJ189" s="141">
        <v>259.0680081851001</v>
      </c>
      <c r="AK189" s="141">
        <v>222.43203909776344</v>
      </c>
      <c r="AL189" s="141">
        <v>301.64206785619626</v>
      </c>
      <c r="AM189" s="141">
        <v>467.53884754986257</v>
      </c>
      <c r="AN189" s="141">
        <v>359.99299594306262</v>
      </c>
      <c r="AO189" s="141">
        <v>613.20061851690286</v>
      </c>
      <c r="AP189" s="141">
        <v>315.59376232255624</v>
      </c>
      <c r="AQ189" s="141">
        <v>489.12930418152496</v>
      </c>
      <c r="AR189" s="141">
        <v>256.77788534469562</v>
      </c>
      <c r="AS189" s="141">
        <v>433.78795328079934</v>
      </c>
      <c r="AT189" s="141">
        <v>319.2182406579991</v>
      </c>
      <c r="AU189" s="141">
        <v>175.05532401743585</v>
      </c>
      <c r="AV189" s="141">
        <v>0</v>
      </c>
      <c r="AW189" s="141">
        <v>243.0109109068311</v>
      </c>
      <c r="AX189" s="141">
        <v>428.66564543168511</v>
      </c>
      <c r="AY189" s="141">
        <v>0</v>
      </c>
    </row>
    <row r="190" spans="1:51" x14ac:dyDescent="0.2">
      <c r="A190" s="127"/>
      <c r="B190" s="136">
        <v>2</v>
      </c>
      <c r="C190" s="124">
        <v>0</v>
      </c>
      <c r="D190" s="124">
        <v>0</v>
      </c>
      <c r="E190" s="124">
        <v>0</v>
      </c>
      <c r="F190" s="124">
        <v>691</v>
      </c>
      <c r="G190" s="124">
        <v>560.56950949499401</v>
      </c>
      <c r="H190" s="124">
        <v>0</v>
      </c>
      <c r="I190" s="124">
        <v>0</v>
      </c>
      <c r="J190" s="124">
        <v>0</v>
      </c>
      <c r="K190" s="124">
        <v>0</v>
      </c>
      <c r="L190" s="124">
        <v>765</v>
      </c>
      <c r="M190" s="124">
        <v>673</v>
      </c>
      <c r="N190" s="124">
        <v>726</v>
      </c>
      <c r="O190" s="124">
        <v>813</v>
      </c>
      <c r="P190" s="124">
        <v>616.78988163204781</v>
      </c>
      <c r="Q190" s="124">
        <v>697.62846930686533</v>
      </c>
      <c r="R190" s="124">
        <v>513.74107381496515</v>
      </c>
      <c r="S190" s="124">
        <v>422.89885904943094</v>
      </c>
      <c r="T190" s="124">
        <v>409.07726217653021</v>
      </c>
      <c r="U190" s="124">
        <v>445.08170894378486</v>
      </c>
      <c r="V190" s="124">
        <v>452.52585087683974</v>
      </c>
      <c r="W190" s="124">
        <v>546.04959856924131</v>
      </c>
      <c r="X190" s="124">
        <v>389.15037228689494</v>
      </c>
      <c r="Y190" s="124">
        <v>274.39929020021009</v>
      </c>
      <c r="Z190" s="124">
        <v>695</v>
      </c>
      <c r="AA190" s="124">
        <v>91.619056637630592</v>
      </c>
      <c r="AB190" s="124">
        <v>520.86329978489971</v>
      </c>
      <c r="AC190" s="124">
        <v>398.8375340262121</v>
      </c>
      <c r="AD190" s="124">
        <v>383.77381887837419</v>
      </c>
      <c r="AE190" s="124">
        <v>388.15264557076648</v>
      </c>
      <c r="AF190" s="124">
        <v>536.02116599752253</v>
      </c>
      <c r="AG190" s="124">
        <v>434.98490704639812</v>
      </c>
      <c r="AH190" s="124">
        <v>561.3303643749224</v>
      </c>
      <c r="AI190" s="124">
        <v>453.32422961072234</v>
      </c>
      <c r="AJ190" s="124">
        <v>417.9319918148999</v>
      </c>
      <c r="AK190" s="124">
        <v>419.56796090223656</v>
      </c>
      <c r="AL190" s="124">
        <v>366.35793214380374</v>
      </c>
      <c r="AM190" s="124">
        <v>360.46115245013743</v>
      </c>
      <c r="AN190" s="124">
        <v>498.00700405693738</v>
      </c>
      <c r="AO190" s="124">
        <v>222.79938148309714</v>
      </c>
      <c r="AP190" s="124">
        <v>430.40623767744376</v>
      </c>
      <c r="AQ190" s="124">
        <v>270.87069581847504</v>
      </c>
      <c r="AR190" s="124">
        <v>462.22211465530438</v>
      </c>
      <c r="AS190" s="124">
        <v>281.21204671920066</v>
      </c>
      <c r="AT190" s="124">
        <v>354.7817593420009</v>
      </c>
      <c r="AU190" s="124">
        <v>407.94467598256415</v>
      </c>
      <c r="AV190" s="124">
        <v>664</v>
      </c>
      <c r="AW190" s="124">
        <v>396.9890890931689</v>
      </c>
      <c r="AX190" s="124">
        <v>466.33435456831489</v>
      </c>
      <c r="AY190" s="124">
        <v>691</v>
      </c>
    </row>
    <row r="191" spans="1:51" x14ac:dyDescent="0.2">
      <c r="A191" s="127"/>
      <c r="B191" s="137">
        <v>3</v>
      </c>
      <c r="C191" s="124">
        <v>0</v>
      </c>
      <c r="D191" s="124">
        <v>0</v>
      </c>
      <c r="E191" s="124">
        <v>0</v>
      </c>
      <c r="F191" s="124">
        <v>0</v>
      </c>
      <c r="G191" s="124">
        <v>27.430490505005992</v>
      </c>
      <c r="H191" s="124">
        <v>670</v>
      </c>
      <c r="I191" s="124">
        <v>0</v>
      </c>
      <c r="J191" s="124">
        <v>0</v>
      </c>
      <c r="K191" s="124">
        <v>20.910192818690348</v>
      </c>
      <c r="L191" s="124">
        <v>0</v>
      </c>
      <c r="M191" s="124">
        <v>0</v>
      </c>
      <c r="N191" s="124">
        <v>0</v>
      </c>
      <c r="O191" s="124">
        <v>0</v>
      </c>
      <c r="P191" s="124">
        <v>0</v>
      </c>
      <c r="Q191" s="124">
        <v>0</v>
      </c>
      <c r="R191" s="124">
        <v>0</v>
      </c>
      <c r="S191" s="124">
        <v>0</v>
      </c>
      <c r="T191" s="124">
        <v>0</v>
      </c>
      <c r="U191" s="124">
        <v>0</v>
      </c>
      <c r="V191" s="124">
        <v>0</v>
      </c>
      <c r="W191" s="124">
        <v>0</v>
      </c>
      <c r="X191" s="124">
        <v>0</v>
      </c>
      <c r="Y191" s="124">
        <v>0</v>
      </c>
      <c r="Z191" s="124">
        <v>0</v>
      </c>
      <c r="AA191" s="124">
        <v>0</v>
      </c>
      <c r="AB191" s="124">
        <v>0</v>
      </c>
      <c r="AC191" s="124">
        <v>0</v>
      </c>
      <c r="AD191" s="124">
        <v>0</v>
      </c>
      <c r="AE191" s="124">
        <v>0</v>
      </c>
      <c r="AF191" s="124">
        <v>0</v>
      </c>
      <c r="AG191" s="124">
        <v>0</v>
      </c>
      <c r="AH191" s="124">
        <v>0</v>
      </c>
      <c r="AI191" s="124">
        <v>0</v>
      </c>
      <c r="AJ191" s="124">
        <v>0</v>
      </c>
      <c r="AK191" s="124">
        <v>0</v>
      </c>
      <c r="AL191" s="124">
        <v>0</v>
      </c>
      <c r="AM191" s="124">
        <v>0</v>
      </c>
      <c r="AN191" s="124">
        <v>0</v>
      </c>
      <c r="AO191" s="124">
        <v>0</v>
      </c>
      <c r="AP191" s="124">
        <v>0</v>
      </c>
      <c r="AQ191" s="124">
        <v>0</v>
      </c>
      <c r="AR191" s="124">
        <v>0</v>
      </c>
      <c r="AS191" s="124">
        <v>0</v>
      </c>
      <c r="AT191" s="124">
        <v>0</v>
      </c>
      <c r="AU191" s="124">
        <v>0</v>
      </c>
      <c r="AV191" s="124">
        <v>0</v>
      </c>
      <c r="AW191" s="124">
        <v>0</v>
      </c>
      <c r="AX191" s="124">
        <v>0</v>
      </c>
      <c r="AY191" s="124">
        <v>0</v>
      </c>
    </row>
    <row r="192" spans="1:51" x14ac:dyDescent="0.2">
      <c r="A192" s="127"/>
      <c r="B192" s="137">
        <v>4</v>
      </c>
      <c r="C192" s="124">
        <v>0</v>
      </c>
      <c r="D192" s="124">
        <v>0</v>
      </c>
      <c r="E192" s="124">
        <v>0</v>
      </c>
      <c r="F192" s="124">
        <v>0</v>
      </c>
      <c r="G192" s="124">
        <v>0</v>
      </c>
      <c r="H192" s="124">
        <v>0</v>
      </c>
      <c r="I192" s="124">
        <v>636</v>
      </c>
      <c r="J192" s="124">
        <v>767.02060490527288</v>
      </c>
      <c r="K192" s="124">
        <v>607.08980718130965</v>
      </c>
      <c r="L192" s="124">
        <v>0</v>
      </c>
      <c r="M192" s="124">
        <v>0</v>
      </c>
      <c r="N192" s="124">
        <v>0</v>
      </c>
      <c r="O192" s="124">
        <v>0</v>
      </c>
      <c r="P192" s="124">
        <v>0</v>
      </c>
      <c r="Q192" s="124">
        <v>0</v>
      </c>
      <c r="R192" s="124">
        <v>0</v>
      </c>
      <c r="S192" s="124">
        <v>0</v>
      </c>
      <c r="T192" s="124">
        <v>0</v>
      </c>
      <c r="U192" s="124">
        <v>0</v>
      </c>
      <c r="V192" s="124">
        <v>0</v>
      </c>
      <c r="W192" s="124">
        <v>0</v>
      </c>
      <c r="X192" s="124">
        <v>0</v>
      </c>
      <c r="Y192" s="124">
        <v>0</v>
      </c>
      <c r="Z192" s="124">
        <v>0</v>
      </c>
      <c r="AA192" s="124">
        <v>0</v>
      </c>
      <c r="AB192" s="124">
        <v>0</v>
      </c>
      <c r="AC192" s="124">
        <v>0</v>
      </c>
      <c r="AD192" s="124">
        <v>0</v>
      </c>
      <c r="AE192" s="124">
        <v>0</v>
      </c>
      <c r="AF192" s="124">
        <v>0</v>
      </c>
      <c r="AG192" s="124">
        <v>0</v>
      </c>
      <c r="AH192" s="124">
        <v>0</v>
      </c>
      <c r="AI192" s="124">
        <v>0</v>
      </c>
      <c r="AJ192" s="124">
        <v>0</v>
      </c>
      <c r="AK192" s="124">
        <v>0</v>
      </c>
      <c r="AL192" s="124">
        <v>0</v>
      </c>
      <c r="AM192" s="124">
        <v>0</v>
      </c>
      <c r="AN192" s="124">
        <v>0</v>
      </c>
      <c r="AO192" s="124">
        <v>0</v>
      </c>
      <c r="AP192" s="124">
        <v>0</v>
      </c>
      <c r="AQ192" s="124">
        <v>0</v>
      </c>
      <c r="AR192" s="124">
        <v>0</v>
      </c>
      <c r="AS192" s="124">
        <v>0</v>
      </c>
      <c r="AT192" s="124">
        <v>0</v>
      </c>
      <c r="AU192" s="124">
        <v>0</v>
      </c>
      <c r="AV192" s="124">
        <v>0</v>
      </c>
      <c r="AW192" s="124">
        <v>0</v>
      </c>
      <c r="AX192" s="124">
        <v>0</v>
      </c>
      <c r="AY192" s="124">
        <v>0</v>
      </c>
    </row>
    <row r="193" spans="1:51" x14ac:dyDescent="0.2">
      <c r="A193" s="127"/>
      <c r="B193" s="144">
        <v>5</v>
      </c>
      <c r="C193" s="124">
        <v>0</v>
      </c>
      <c r="D193" s="124">
        <v>0</v>
      </c>
      <c r="E193" s="124">
        <v>0</v>
      </c>
      <c r="F193" s="124">
        <v>0</v>
      </c>
      <c r="G193" s="124">
        <v>0</v>
      </c>
      <c r="H193" s="124">
        <v>0</v>
      </c>
      <c r="I193" s="124">
        <v>0</v>
      </c>
      <c r="J193" s="124">
        <v>10.979395094727124</v>
      </c>
      <c r="K193" s="124">
        <v>0</v>
      </c>
      <c r="L193" s="124">
        <v>0</v>
      </c>
      <c r="M193" s="124">
        <v>0</v>
      </c>
      <c r="N193" s="124">
        <v>0</v>
      </c>
      <c r="O193" s="124">
        <v>0</v>
      </c>
      <c r="P193" s="124">
        <v>0</v>
      </c>
      <c r="Q193" s="124">
        <v>0</v>
      </c>
      <c r="R193" s="124">
        <v>0</v>
      </c>
      <c r="S193" s="124">
        <v>0</v>
      </c>
      <c r="T193" s="124">
        <v>0</v>
      </c>
      <c r="U193" s="124">
        <v>0</v>
      </c>
      <c r="V193" s="124">
        <v>0</v>
      </c>
      <c r="W193" s="124">
        <v>0</v>
      </c>
      <c r="X193" s="124">
        <v>0</v>
      </c>
      <c r="Y193" s="124">
        <v>0</v>
      </c>
      <c r="Z193" s="124">
        <v>0</v>
      </c>
      <c r="AA193" s="124">
        <v>0</v>
      </c>
      <c r="AB193" s="124">
        <v>0</v>
      </c>
      <c r="AC193" s="124">
        <v>0</v>
      </c>
      <c r="AD193" s="124">
        <v>0</v>
      </c>
      <c r="AE193" s="124">
        <v>0</v>
      </c>
      <c r="AF193" s="124">
        <v>0</v>
      </c>
      <c r="AG193" s="124">
        <v>0</v>
      </c>
      <c r="AH193" s="124">
        <v>0</v>
      </c>
      <c r="AI193" s="124">
        <v>0</v>
      </c>
      <c r="AJ193" s="124">
        <v>0</v>
      </c>
      <c r="AK193" s="124">
        <v>0</v>
      </c>
      <c r="AL193" s="124">
        <v>0</v>
      </c>
      <c r="AM193" s="124">
        <v>0</v>
      </c>
      <c r="AN193" s="124">
        <v>0</v>
      </c>
      <c r="AO193" s="124">
        <v>0</v>
      </c>
      <c r="AP193" s="124">
        <v>0</v>
      </c>
      <c r="AQ193" s="124">
        <v>0</v>
      </c>
      <c r="AR193" s="124">
        <v>0</v>
      </c>
      <c r="AS193" s="124">
        <v>0</v>
      </c>
      <c r="AT193" s="124">
        <v>0</v>
      </c>
      <c r="AU193" s="124">
        <v>0</v>
      </c>
      <c r="AV193" s="124">
        <v>0</v>
      </c>
      <c r="AW193" s="124">
        <v>0</v>
      </c>
      <c r="AX193" s="124">
        <v>0</v>
      </c>
      <c r="AY193" s="124">
        <v>0</v>
      </c>
    </row>
    <row r="194" spans="1:51" x14ac:dyDescent="0.2">
      <c r="A194" s="127"/>
      <c r="B194" s="144">
        <v>6</v>
      </c>
      <c r="C194" s="124">
        <v>0</v>
      </c>
      <c r="D194" s="124">
        <v>0</v>
      </c>
      <c r="E194" s="124">
        <v>0</v>
      </c>
      <c r="F194" s="124">
        <v>0</v>
      </c>
      <c r="G194" s="124">
        <v>0</v>
      </c>
      <c r="H194" s="124">
        <v>0</v>
      </c>
      <c r="I194" s="124">
        <v>0</v>
      </c>
      <c r="J194" s="124">
        <v>0</v>
      </c>
      <c r="K194" s="124">
        <v>0</v>
      </c>
      <c r="L194" s="124">
        <v>0</v>
      </c>
      <c r="M194" s="124">
        <v>0</v>
      </c>
      <c r="N194" s="124">
        <v>0</v>
      </c>
      <c r="O194" s="124">
        <v>0</v>
      </c>
      <c r="P194" s="124">
        <v>0</v>
      </c>
      <c r="Q194" s="124">
        <v>0</v>
      </c>
      <c r="R194" s="124">
        <v>0</v>
      </c>
      <c r="S194" s="124">
        <v>0</v>
      </c>
      <c r="T194" s="124">
        <v>0</v>
      </c>
      <c r="U194" s="124">
        <v>0</v>
      </c>
      <c r="V194" s="124">
        <v>0</v>
      </c>
      <c r="W194" s="124">
        <v>0</v>
      </c>
      <c r="X194" s="124">
        <v>0</v>
      </c>
      <c r="Y194" s="124">
        <v>0</v>
      </c>
      <c r="Z194" s="124">
        <v>0</v>
      </c>
      <c r="AA194" s="124">
        <v>0</v>
      </c>
      <c r="AB194" s="124">
        <v>0</v>
      </c>
      <c r="AC194" s="124">
        <v>0</v>
      </c>
      <c r="AD194" s="124">
        <v>0</v>
      </c>
      <c r="AE194" s="124">
        <v>0</v>
      </c>
      <c r="AF194" s="124">
        <v>0</v>
      </c>
      <c r="AG194" s="124">
        <v>0</v>
      </c>
      <c r="AH194" s="124">
        <v>0</v>
      </c>
      <c r="AI194" s="124">
        <v>0</v>
      </c>
      <c r="AJ194" s="124">
        <v>0</v>
      </c>
      <c r="AK194" s="124">
        <v>0</v>
      </c>
      <c r="AL194" s="124">
        <v>0</v>
      </c>
      <c r="AM194" s="124">
        <v>0</v>
      </c>
      <c r="AN194" s="124">
        <v>0</v>
      </c>
      <c r="AO194" s="124">
        <v>0</v>
      </c>
      <c r="AP194" s="124">
        <v>0</v>
      </c>
      <c r="AQ194" s="124">
        <v>0</v>
      </c>
      <c r="AR194" s="124">
        <v>0</v>
      </c>
      <c r="AS194" s="124">
        <v>0</v>
      </c>
      <c r="AT194" s="124">
        <v>0</v>
      </c>
      <c r="AU194" s="124">
        <v>0</v>
      </c>
      <c r="AV194" s="124">
        <v>0</v>
      </c>
      <c r="AW194" s="124">
        <v>0</v>
      </c>
      <c r="AX194" s="124">
        <v>0</v>
      </c>
      <c r="AY194" s="124">
        <v>0</v>
      </c>
    </row>
    <row r="195" spans="1:51" x14ac:dyDescent="0.2">
      <c r="A195" s="127"/>
      <c r="B195" s="147">
        <v>7</v>
      </c>
      <c r="C195" s="124">
        <v>0</v>
      </c>
      <c r="D195" s="124">
        <v>0</v>
      </c>
      <c r="E195" s="124">
        <v>0</v>
      </c>
      <c r="F195" s="124">
        <v>0</v>
      </c>
      <c r="G195" s="124">
        <v>0</v>
      </c>
      <c r="H195" s="124">
        <v>0</v>
      </c>
      <c r="I195" s="124">
        <v>0</v>
      </c>
      <c r="J195" s="124">
        <v>0</v>
      </c>
      <c r="K195" s="124">
        <v>0</v>
      </c>
      <c r="L195" s="124">
        <v>0</v>
      </c>
      <c r="M195" s="124">
        <v>0</v>
      </c>
      <c r="N195" s="124">
        <v>0</v>
      </c>
      <c r="O195" s="124">
        <v>0</v>
      </c>
      <c r="P195" s="124">
        <v>0</v>
      </c>
      <c r="Q195" s="124">
        <v>0</v>
      </c>
      <c r="R195" s="124">
        <v>0</v>
      </c>
      <c r="S195" s="124">
        <v>0</v>
      </c>
      <c r="T195" s="124">
        <v>0</v>
      </c>
      <c r="U195" s="124">
        <v>0</v>
      </c>
      <c r="V195" s="124">
        <v>0</v>
      </c>
      <c r="W195" s="124">
        <v>0</v>
      </c>
      <c r="X195" s="124">
        <v>0</v>
      </c>
      <c r="Y195" s="124">
        <v>0</v>
      </c>
      <c r="Z195" s="124">
        <v>0</v>
      </c>
      <c r="AA195" s="124">
        <v>0</v>
      </c>
      <c r="AB195" s="124">
        <v>0</v>
      </c>
      <c r="AC195" s="124">
        <v>0</v>
      </c>
      <c r="AD195" s="124">
        <v>0</v>
      </c>
      <c r="AE195" s="124">
        <v>0</v>
      </c>
      <c r="AF195" s="124">
        <v>0</v>
      </c>
      <c r="AG195" s="124">
        <v>0</v>
      </c>
      <c r="AH195" s="124">
        <v>0</v>
      </c>
      <c r="AI195" s="124">
        <v>0</v>
      </c>
      <c r="AJ195" s="124">
        <v>0</v>
      </c>
      <c r="AK195" s="124">
        <v>0</v>
      </c>
      <c r="AL195" s="124">
        <v>0</v>
      </c>
      <c r="AM195" s="124">
        <v>0</v>
      </c>
      <c r="AN195" s="124">
        <v>0</v>
      </c>
      <c r="AO195" s="124">
        <v>0</v>
      </c>
      <c r="AP195" s="124">
        <v>0</v>
      </c>
      <c r="AQ195" s="124">
        <v>0</v>
      </c>
      <c r="AR195" s="124">
        <v>0</v>
      </c>
      <c r="AS195" s="124">
        <v>0</v>
      </c>
      <c r="AT195" s="124">
        <v>0</v>
      </c>
      <c r="AU195" s="124">
        <v>0</v>
      </c>
      <c r="AV195" s="124">
        <v>0</v>
      </c>
      <c r="AW195" s="124">
        <v>0</v>
      </c>
      <c r="AX195" s="124">
        <v>0</v>
      </c>
      <c r="AY195" s="124">
        <v>0</v>
      </c>
    </row>
    <row r="196" spans="1:51" x14ac:dyDescent="0.2">
      <c r="A196" s="145"/>
      <c r="B196" s="146">
        <v>8</v>
      </c>
      <c r="C196" s="131">
        <v>0</v>
      </c>
      <c r="D196" s="131">
        <v>0</v>
      </c>
      <c r="E196" s="131">
        <v>0</v>
      </c>
      <c r="F196" s="131">
        <v>0</v>
      </c>
      <c r="G196" s="131">
        <v>0</v>
      </c>
      <c r="H196" s="131">
        <v>0</v>
      </c>
      <c r="I196" s="131">
        <v>0</v>
      </c>
      <c r="J196" s="131">
        <v>0</v>
      </c>
      <c r="K196" s="131">
        <v>0</v>
      </c>
      <c r="L196" s="131">
        <v>0</v>
      </c>
      <c r="M196" s="131">
        <v>0</v>
      </c>
      <c r="N196" s="131">
        <v>0</v>
      </c>
      <c r="O196" s="131">
        <v>0</v>
      </c>
      <c r="P196" s="131">
        <v>0</v>
      </c>
      <c r="Q196" s="131">
        <v>0</v>
      </c>
      <c r="R196" s="131">
        <v>0</v>
      </c>
      <c r="S196" s="131">
        <v>0</v>
      </c>
      <c r="T196" s="131">
        <v>0</v>
      </c>
      <c r="U196" s="131">
        <v>0</v>
      </c>
      <c r="V196" s="131">
        <v>0</v>
      </c>
      <c r="W196" s="131">
        <v>0</v>
      </c>
      <c r="X196" s="131">
        <v>0</v>
      </c>
      <c r="Y196" s="131">
        <v>0</v>
      </c>
      <c r="Z196" s="131">
        <v>0</v>
      </c>
      <c r="AA196" s="131">
        <v>0</v>
      </c>
      <c r="AB196" s="131">
        <v>0</v>
      </c>
      <c r="AC196" s="131">
        <v>0</v>
      </c>
      <c r="AD196" s="131">
        <v>0</v>
      </c>
      <c r="AE196" s="131">
        <v>0</v>
      </c>
      <c r="AF196" s="131">
        <v>0</v>
      </c>
      <c r="AG196" s="131">
        <v>0</v>
      </c>
      <c r="AH196" s="131">
        <v>0</v>
      </c>
      <c r="AI196" s="131">
        <v>0</v>
      </c>
      <c r="AJ196" s="131">
        <v>0</v>
      </c>
      <c r="AK196" s="131">
        <v>0</v>
      </c>
      <c r="AL196" s="131">
        <v>0</v>
      </c>
      <c r="AM196" s="131">
        <v>0</v>
      </c>
      <c r="AN196" s="131">
        <v>0</v>
      </c>
      <c r="AO196" s="131">
        <v>0</v>
      </c>
      <c r="AP196" s="131">
        <v>0</v>
      </c>
      <c r="AQ196" s="131">
        <v>0</v>
      </c>
      <c r="AR196" s="131">
        <v>0</v>
      </c>
      <c r="AS196" s="131">
        <v>0</v>
      </c>
      <c r="AT196" s="131">
        <v>0</v>
      </c>
      <c r="AU196" s="131">
        <v>0</v>
      </c>
      <c r="AV196" s="131">
        <v>0</v>
      </c>
      <c r="AW196" s="131">
        <v>0</v>
      </c>
      <c r="AX196" s="131">
        <v>0</v>
      </c>
      <c r="AY196" s="131">
        <v>0</v>
      </c>
    </row>
    <row r="197" spans="1:51" x14ac:dyDescent="0.2">
      <c r="A197" s="148" t="s">
        <v>134</v>
      </c>
      <c r="B197" s="136">
        <v>1</v>
      </c>
      <c r="C197" s="124">
        <v>386.12338372921795</v>
      </c>
      <c r="D197" s="124">
        <v>382.02125413264991</v>
      </c>
      <c r="E197" s="124">
        <v>420</v>
      </c>
      <c r="F197" s="124">
        <v>0</v>
      </c>
      <c r="G197" s="124">
        <v>0</v>
      </c>
      <c r="H197" s="124">
        <v>0</v>
      </c>
      <c r="I197" s="124">
        <v>0</v>
      </c>
      <c r="J197" s="124">
        <v>0</v>
      </c>
      <c r="K197" s="124">
        <v>0</v>
      </c>
      <c r="L197" s="124">
        <v>0</v>
      </c>
      <c r="M197" s="124">
        <v>0</v>
      </c>
      <c r="N197" s="124">
        <v>0</v>
      </c>
      <c r="O197" s="124">
        <v>0</v>
      </c>
      <c r="P197" s="124">
        <v>0</v>
      </c>
      <c r="Q197" s="124">
        <v>0</v>
      </c>
      <c r="R197" s="124">
        <v>0</v>
      </c>
      <c r="S197" s="124">
        <v>0</v>
      </c>
      <c r="T197" s="124">
        <v>0</v>
      </c>
      <c r="U197" s="124">
        <v>0</v>
      </c>
      <c r="V197" s="124">
        <v>0</v>
      </c>
      <c r="W197" s="124">
        <v>0</v>
      </c>
      <c r="X197" s="124">
        <v>0</v>
      </c>
      <c r="Y197" s="124">
        <v>0</v>
      </c>
      <c r="Z197" s="124">
        <v>0</v>
      </c>
      <c r="AA197" s="124">
        <v>0</v>
      </c>
      <c r="AB197" s="124">
        <v>0</v>
      </c>
      <c r="AC197" s="124">
        <v>0</v>
      </c>
      <c r="AD197" s="124">
        <v>0</v>
      </c>
      <c r="AE197" s="124">
        <v>0</v>
      </c>
      <c r="AF197" s="124">
        <v>0</v>
      </c>
      <c r="AG197" s="124">
        <v>0</v>
      </c>
      <c r="AH197" s="124">
        <v>0</v>
      </c>
      <c r="AI197" s="124">
        <v>0</v>
      </c>
      <c r="AJ197" s="124">
        <v>0</v>
      </c>
      <c r="AK197" s="124">
        <v>0</v>
      </c>
      <c r="AL197" s="124">
        <v>0</v>
      </c>
      <c r="AM197" s="124">
        <v>0</v>
      </c>
      <c r="AN197" s="124">
        <v>0</v>
      </c>
      <c r="AO197" s="124">
        <v>0</v>
      </c>
      <c r="AP197" s="124">
        <v>0</v>
      </c>
      <c r="AQ197" s="124">
        <v>0</v>
      </c>
      <c r="AR197" s="124">
        <v>0</v>
      </c>
      <c r="AS197" s="124">
        <v>0</v>
      </c>
      <c r="AT197" s="124">
        <v>0</v>
      </c>
      <c r="AU197" s="124">
        <v>0</v>
      </c>
      <c r="AV197" s="124">
        <v>0</v>
      </c>
      <c r="AW197" s="124">
        <v>0</v>
      </c>
      <c r="AX197" s="124">
        <v>0</v>
      </c>
      <c r="AY197" s="124">
        <v>0</v>
      </c>
    </row>
    <row r="198" spans="1:51" x14ac:dyDescent="0.2">
      <c r="A198" s="127"/>
      <c r="B198" s="136">
        <v>2</v>
      </c>
      <c r="C198" s="124">
        <v>0</v>
      </c>
      <c r="D198" s="124">
        <v>0</v>
      </c>
      <c r="E198" s="124">
        <v>0</v>
      </c>
      <c r="F198" s="124">
        <v>460</v>
      </c>
      <c r="G198" s="124">
        <v>0</v>
      </c>
      <c r="H198" s="124">
        <v>0</v>
      </c>
      <c r="I198" s="124">
        <v>0</v>
      </c>
      <c r="J198" s="124">
        <v>0</v>
      </c>
      <c r="K198" s="124">
        <v>0</v>
      </c>
      <c r="L198" s="124">
        <v>0</v>
      </c>
      <c r="M198" s="124">
        <v>0</v>
      </c>
      <c r="N198" s="124">
        <v>0</v>
      </c>
      <c r="O198" s="124">
        <v>0</v>
      </c>
      <c r="P198" s="124">
        <v>0</v>
      </c>
      <c r="Q198" s="124">
        <v>0</v>
      </c>
      <c r="R198" s="124">
        <v>0</v>
      </c>
      <c r="S198" s="124">
        <v>0</v>
      </c>
      <c r="T198" s="124">
        <v>0</v>
      </c>
      <c r="U198" s="124">
        <v>0</v>
      </c>
      <c r="V198" s="124">
        <v>0</v>
      </c>
      <c r="W198" s="124">
        <v>0</v>
      </c>
      <c r="X198" s="124">
        <v>0</v>
      </c>
      <c r="Y198" s="124">
        <v>0</v>
      </c>
      <c r="Z198" s="124">
        <v>0</v>
      </c>
      <c r="AA198" s="124">
        <v>0</v>
      </c>
      <c r="AB198" s="124">
        <v>0</v>
      </c>
      <c r="AC198" s="124">
        <v>0</v>
      </c>
      <c r="AD198" s="124">
        <v>0</v>
      </c>
      <c r="AE198" s="124">
        <v>0</v>
      </c>
      <c r="AF198" s="124">
        <v>0</v>
      </c>
      <c r="AG198" s="124">
        <v>0</v>
      </c>
      <c r="AH198" s="124">
        <v>0</v>
      </c>
      <c r="AI198" s="124">
        <v>0</v>
      </c>
      <c r="AJ198" s="124">
        <v>0</v>
      </c>
      <c r="AK198" s="124">
        <v>0</v>
      </c>
      <c r="AL198" s="124">
        <v>0</v>
      </c>
      <c r="AM198" s="124">
        <v>0</v>
      </c>
      <c r="AN198" s="124">
        <v>0</v>
      </c>
      <c r="AO198" s="124">
        <v>0</v>
      </c>
      <c r="AP198" s="124">
        <v>0</v>
      </c>
      <c r="AQ198" s="124">
        <v>0</v>
      </c>
      <c r="AR198" s="124">
        <v>0</v>
      </c>
      <c r="AS198" s="124">
        <v>0</v>
      </c>
      <c r="AT198" s="124">
        <v>0</v>
      </c>
      <c r="AU198" s="124">
        <v>0</v>
      </c>
      <c r="AV198" s="124">
        <v>0</v>
      </c>
      <c r="AW198" s="124">
        <v>0</v>
      </c>
      <c r="AX198" s="124">
        <v>0</v>
      </c>
      <c r="AY198" s="124">
        <v>0</v>
      </c>
    </row>
    <row r="199" spans="1:51" x14ac:dyDescent="0.2">
      <c r="A199" s="127"/>
      <c r="B199" s="136">
        <v>3</v>
      </c>
      <c r="C199" s="124">
        <v>0</v>
      </c>
      <c r="D199" s="124">
        <v>0</v>
      </c>
      <c r="E199" s="124">
        <v>0</v>
      </c>
      <c r="F199" s="124">
        <v>0</v>
      </c>
      <c r="G199" s="124">
        <v>489</v>
      </c>
      <c r="H199" s="124">
        <v>132.95377494632112</v>
      </c>
      <c r="I199" s="124">
        <v>0</v>
      </c>
      <c r="J199" s="124">
        <v>0</v>
      </c>
      <c r="K199" s="124">
        <v>0</v>
      </c>
      <c r="L199" s="124">
        <v>0</v>
      </c>
      <c r="M199" s="124">
        <v>0</v>
      </c>
      <c r="N199" s="124">
        <v>0</v>
      </c>
      <c r="O199" s="124">
        <v>0</v>
      </c>
      <c r="P199" s="124">
        <v>0</v>
      </c>
      <c r="Q199" s="124">
        <v>0</v>
      </c>
      <c r="R199" s="124">
        <v>0</v>
      </c>
      <c r="S199" s="124">
        <v>0</v>
      </c>
      <c r="T199" s="124">
        <v>0</v>
      </c>
      <c r="U199" s="124">
        <v>0</v>
      </c>
      <c r="V199" s="124">
        <v>0</v>
      </c>
      <c r="W199" s="124">
        <v>0</v>
      </c>
      <c r="X199" s="124">
        <v>0</v>
      </c>
      <c r="Y199" s="124">
        <v>0</v>
      </c>
      <c r="Z199" s="124">
        <v>0</v>
      </c>
      <c r="AA199" s="124">
        <v>0</v>
      </c>
      <c r="AB199" s="124">
        <v>0</v>
      </c>
      <c r="AC199" s="124">
        <v>0</v>
      </c>
      <c r="AD199" s="124">
        <v>0</v>
      </c>
      <c r="AE199" s="124">
        <v>0</v>
      </c>
      <c r="AF199" s="124">
        <v>0</v>
      </c>
      <c r="AG199" s="124">
        <v>0</v>
      </c>
      <c r="AH199" s="124">
        <v>0</v>
      </c>
      <c r="AI199" s="124">
        <v>0</v>
      </c>
      <c r="AJ199" s="124">
        <v>0</v>
      </c>
      <c r="AK199" s="124">
        <v>0</v>
      </c>
      <c r="AL199" s="124">
        <v>0</v>
      </c>
      <c r="AM199" s="124">
        <v>0</v>
      </c>
      <c r="AN199" s="124">
        <v>0</v>
      </c>
      <c r="AO199" s="124">
        <v>0</v>
      </c>
      <c r="AP199" s="124">
        <v>0</v>
      </c>
      <c r="AQ199" s="124">
        <v>0</v>
      </c>
      <c r="AR199" s="124">
        <v>0</v>
      </c>
      <c r="AS199" s="124">
        <v>0</v>
      </c>
      <c r="AT199" s="124">
        <v>0</v>
      </c>
      <c r="AU199" s="124">
        <v>0</v>
      </c>
      <c r="AV199" s="124">
        <v>0</v>
      </c>
      <c r="AW199" s="124">
        <v>0</v>
      </c>
      <c r="AX199" s="124">
        <v>0</v>
      </c>
      <c r="AY199" s="124">
        <v>0</v>
      </c>
    </row>
    <row r="200" spans="1:51" x14ac:dyDescent="0.2">
      <c r="A200" s="127"/>
      <c r="B200" s="137">
        <v>4</v>
      </c>
      <c r="C200" s="124">
        <v>0</v>
      </c>
      <c r="D200" s="124">
        <v>0</v>
      </c>
      <c r="E200" s="124">
        <v>0</v>
      </c>
      <c r="F200" s="124">
        <v>0</v>
      </c>
      <c r="G200" s="124">
        <v>0</v>
      </c>
      <c r="H200" s="124">
        <v>429.04622505367888</v>
      </c>
      <c r="I200" s="124">
        <v>683</v>
      </c>
      <c r="J200" s="124">
        <v>0</v>
      </c>
      <c r="K200" s="124">
        <v>0</v>
      </c>
      <c r="L200" s="124">
        <v>0</v>
      </c>
      <c r="M200" s="124">
        <v>0</v>
      </c>
      <c r="N200" s="124">
        <v>0</v>
      </c>
      <c r="O200" s="124">
        <v>0</v>
      </c>
      <c r="P200" s="124">
        <v>0</v>
      </c>
      <c r="Q200" s="124">
        <v>0</v>
      </c>
      <c r="R200" s="124">
        <v>0</v>
      </c>
      <c r="S200" s="124">
        <v>0</v>
      </c>
      <c r="T200" s="124">
        <v>0</v>
      </c>
      <c r="U200" s="124">
        <v>0</v>
      </c>
      <c r="V200" s="124">
        <v>0</v>
      </c>
      <c r="W200" s="124">
        <v>0</v>
      </c>
      <c r="X200" s="124">
        <v>0</v>
      </c>
      <c r="Y200" s="124">
        <v>0</v>
      </c>
      <c r="Z200" s="124">
        <v>0</v>
      </c>
      <c r="AA200" s="124">
        <v>0</v>
      </c>
      <c r="AB200" s="124">
        <v>0</v>
      </c>
      <c r="AC200" s="124">
        <v>0</v>
      </c>
      <c r="AD200" s="124">
        <v>0</v>
      </c>
      <c r="AE200" s="124">
        <v>0</v>
      </c>
      <c r="AF200" s="124">
        <v>0</v>
      </c>
      <c r="AG200" s="124">
        <v>0</v>
      </c>
      <c r="AH200" s="124">
        <v>0</v>
      </c>
      <c r="AI200" s="124">
        <v>0</v>
      </c>
      <c r="AJ200" s="124">
        <v>0</v>
      </c>
      <c r="AK200" s="124">
        <v>0</v>
      </c>
      <c r="AL200" s="124">
        <v>0</v>
      </c>
      <c r="AM200" s="124">
        <v>0</v>
      </c>
      <c r="AN200" s="124">
        <v>0</v>
      </c>
      <c r="AO200" s="124">
        <v>0</v>
      </c>
      <c r="AP200" s="124">
        <v>0</v>
      </c>
      <c r="AQ200" s="124">
        <v>0</v>
      </c>
      <c r="AR200" s="124">
        <v>0</v>
      </c>
      <c r="AS200" s="124">
        <v>0</v>
      </c>
      <c r="AT200" s="124">
        <v>0</v>
      </c>
      <c r="AU200" s="124">
        <v>0</v>
      </c>
      <c r="AV200" s="124">
        <v>0</v>
      </c>
      <c r="AW200" s="124">
        <v>0</v>
      </c>
      <c r="AX200" s="124">
        <v>0</v>
      </c>
      <c r="AY200" s="124">
        <v>0</v>
      </c>
    </row>
    <row r="201" spans="1:51" x14ac:dyDescent="0.2">
      <c r="A201" s="127"/>
      <c r="B201" s="137">
        <v>5</v>
      </c>
      <c r="C201" s="124">
        <v>0</v>
      </c>
      <c r="D201" s="124">
        <v>0</v>
      </c>
      <c r="E201" s="124">
        <v>0</v>
      </c>
      <c r="F201" s="124">
        <v>0</v>
      </c>
      <c r="G201" s="124">
        <v>0</v>
      </c>
      <c r="H201" s="124">
        <v>0</v>
      </c>
      <c r="I201" s="124">
        <v>0</v>
      </c>
      <c r="J201" s="124">
        <v>661</v>
      </c>
      <c r="K201" s="124">
        <v>0</v>
      </c>
      <c r="L201" s="124">
        <v>0</v>
      </c>
      <c r="M201" s="124">
        <v>0</v>
      </c>
      <c r="N201" s="124">
        <v>0</v>
      </c>
      <c r="O201" s="124">
        <v>0</v>
      </c>
      <c r="P201" s="124">
        <v>0</v>
      </c>
      <c r="Q201" s="124">
        <v>0</v>
      </c>
      <c r="R201" s="124">
        <v>0</v>
      </c>
      <c r="S201" s="124">
        <v>0</v>
      </c>
      <c r="T201" s="124">
        <v>0</v>
      </c>
      <c r="U201" s="124">
        <v>0</v>
      </c>
      <c r="V201" s="124">
        <v>0</v>
      </c>
      <c r="W201" s="124">
        <v>0</v>
      </c>
      <c r="X201" s="124">
        <v>0</v>
      </c>
      <c r="Y201" s="124">
        <v>0</v>
      </c>
      <c r="Z201" s="124">
        <v>0</v>
      </c>
      <c r="AA201" s="124">
        <v>0</v>
      </c>
      <c r="AB201" s="124">
        <v>0</v>
      </c>
      <c r="AC201" s="124">
        <v>0</v>
      </c>
      <c r="AD201" s="124">
        <v>0</v>
      </c>
      <c r="AE201" s="124">
        <v>0</v>
      </c>
      <c r="AF201" s="124">
        <v>0</v>
      </c>
      <c r="AG201" s="124">
        <v>0</v>
      </c>
      <c r="AH201" s="124">
        <v>0</v>
      </c>
      <c r="AI201" s="124">
        <v>0</v>
      </c>
      <c r="AJ201" s="124">
        <v>0</v>
      </c>
      <c r="AK201" s="124">
        <v>0</v>
      </c>
      <c r="AL201" s="124">
        <v>0</v>
      </c>
      <c r="AM201" s="124">
        <v>0</v>
      </c>
      <c r="AN201" s="124">
        <v>0</v>
      </c>
      <c r="AO201" s="124">
        <v>0</v>
      </c>
      <c r="AP201" s="124">
        <v>0</v>
      </c>
      <c r="AQ201" s="124">
        <v>0</v>
      </c>
      <c r="AR201" s="124">
        <v>0</v>
      </c>
      <c r="AS201" s="124">
        <v>0</v>
      </c>
      <c r="AT201" s="124">
        <v>0</v>
      </c>
      <c r="AU201" s="124">
        <v>0</v>
      </c>
      <c r="AV201" s="124">
        <v>0</v>
      </c>
      <c r="AW201" s="124">
        <v>0</v>
      </c>
      <c r="AX201" s="124">
        <v>0</v>
      </c>
      <c r="AY201" s="124">
        <v>0</v>
      </c>
    </row>
    <row r="202" spans="1:51" x14ac:dyDescent="0.2">
      <c r="A202" s="127"/>
      <c r="B202" s="137">
        <v>6</v>
      </c>
      <c r="C202" s="124">
        <v>0</v>
      </c>
      <c r="D202" s="124">
        <v>0</v>
      </c>
      <c r="E202" s="124">
        <v>0</v>
      </c>
      <c r="F202" s="124">
        <v>0</v>
      </c>
      <c r="G202" s="124">
        <v>0</v>
      </c>
      <c r="H202" s="124">
        <v>0</v>
      </c>
      <c r="I202" s="124">
        <v>0</v>
      </c>
      <c r="J202" s="124">
        <v>0</v>
      </c>
      <c r="K202" s="124">
        <v>546</v>
      </c>
      <c r="L202" s="124">
        <v>456</v>
      </c>
      <c r="M202" s="124">
        <v>451</v>
      </c>
      <c r="N202" s="124">
        <v>399</v>
      </c>
      <c r="O202" s="124">
        <v>528</v>
      </c>
      <c r="P202" s="124">
        <v>549</v>
      </c>
      <c r="Q202" s="124">
        <v>535</v>
      </c>
      <c r="R202" s="124">
        <v>422</v>
      </c>
      <c r="S202" s="124">
        <v>553</v>
      </c>
      <c r="T202" s="124">
        <v>574</v>
      </c>
      <c r="U202" s="124">
        <v>465</v>
      </c>
      <c r="V202" s="124">
        <v>559</v>
      </c>
      <c r="W202" s="124">
        <v>624</v>
      </c>
      <c r="X202" s="124">
        <v>445</v>
      </c>
      <c r="Y202" s="124">
        <v>430</v>
      </c>
      <c r="Z202" s="124">
        <v>513</v>
      </c>
      <c r="AA202" s="124">
        <v>492</v>
      </c>
      <c r="AB202" s="124">
        <v>443</v>
      </c>
      <c r="AC202" s="124">
        <v>610</v>
      </c>
      <c r="AD202" s="124">
        <v>504</v>
      </c>
      <c r="AE202" s="124">
        <v>445</v>
      </c>
      <c r="AF202" s="124">
        <v>599</v>
      </c>
      <c r="AG202" s="124">
        <v>552</v>
      </c>
      <c r="AH202" s="124">
        <v>620</v>
      </c>
      <c r="AI202" s="124">
        <v>582</v>
      </c>
      <c r="AJ202" s="124">
        <v>541</v>
      </c>
      <c r="AK202" s="124">
        <v>463</v>
      </c>
      <c r="AL202" s="124">
        <v>644</v>
      </c>
      <c r="AM202" s="124">
        <v>488</v>
      </c>
      <c r="AN202" s="124">
        <v>518</v>
      </c>
      <c r="AO202" s="124">
        <v>572</v>
      </c>
      <c r="AP202" s="124">
        <v>457</v>
      </c>
      <c r="AQ202" s="124">
        <v>511</v>
      </c>
      <c r="AR202" s="124">
        <v>517</v>
      </c>
      <c r="AS202" s="124">
        <v>577</v>
      </c>
      <c r="AT202" s="124">
        <v>623</v>
      </c>
      <c r="AU202" s="124">
        <v>444</v>
      </c>
      <c r="AV202" s="124">
        <v>547</v>
      </c>
      <c r="AW202" s="124">
        <v>529</v>
      </c>
      <c r="AX202" s="124">
        <v>520</v>
      </c>
      <c r="AY202" s="124">
        <v>580</v>
      </c>
    </row>
    <row r="203" spans="1:51" x14ac:dyDescent="0.2">
      <c r="A203" s="127"/>
      <c r="B203" s="144">
        <v>7</v>
      </c>
      <c r="C203" s="124">
        <v>0</v>
      </c>
      <c r="D203" s="124">
        <v>0</v>
      </c>
      <c r="E203" s="124">
        <v>0</v>
      </c>
      <c r="F203" s="124">
        <v>0</v>
      </c>
      <c r="G203" s="124">
        <v>0</v>
      </c>
      <c r="H203" s="124">
        <v>0</v>
      </c>
      <c r="I203" s="124">
        <v>0</v>
      </c>
      <c r="J203" s="124">
        <v>0</v>
      </c>
      <c r="K203" s="124">
        <v>0</v>
      </c>
      <c r="L203" s="124">
        <v>0</v>
      </c>
      <c r="M203" s="124">
        <v>0</v>
      </c>
      <c r="N203" s="124">
        <v>0</v>
      </c>
      <c r="O203" s="124">
        <v>0</v>
      </c>
      <c r="P203" s="124">
        <v>0</v>
      </c>
      <c r="Q203" s="124">
        <v>0</v>
      </c>
      <c r="R203" s="124">
        <v>0</v>
      </c>
      <c r="S203" s="124">
        <v>0</v>
      </c>
      <c r="T203" s="124">
        <v>0</v>
      </c>
      <c r="U203" s="124">
        <v>0</v>
      </c>
      <c r="V203" s="124">
        <v>0</v>
      </c>
      <c r="W203" s="124">
        <v>0</v>
      </c>
      <c r="X203" s="124">
        <v>0</v>
      </c>
      <c r="Y203" s="124">
        <v>0</v>
      </c>
      <c r="Z203" s="124">
        <v>0</v>
      </c>
      <c r="AA203" s="124">
        <v>0</v>
      </c>
      <c r="AB203" s="124">
        <v>0</v>
      </c>
      <c r="AC203" s="124">
        <v>0</v>
      </c>
      <c r="AD203" s="124">
        <v>0</v>
      </c>
      <c r="AE203" s="124">
        <v>0</v>
      </c>
      <c r="AF203" s="124">
        <v>0</v>
      </c>
      <c r="AG203" s="124">
        <v>0</v>
      </c>
      <c r="AH203" s="124">
        <v>0</v>
      </c>
      <c r="AI203" s="124">
        <v>0</v>
      </c>
      <c r="AJ203" s="124">
        <v>0</v>
      </c>
      <c r="AK203" s="124">
        <v>0</v>
      </c>
      <c r="AL203" s="124">
        <v>0</v>
      </c>
      <c r="AM203" s="124">
        <v>0</v>
      </c>
      <c r="AN203" s="124">
        <v>0</v>
      </c>
      <c r="AO203" s="124">
        <v>0</v>
      </c>
      <c r="AP203" s="124">
        <v>0</v>
      </c>
      <c r="AQ203" s="124">
        <v>0</v>
      </c>
      <c r="AR203" s="124">
        <v>0</v>
      </c>
      <c r="AS203" s="124">
        <v>0</v>
      </c>
      <c r="AT203" s="124">
        <v>0</v>
      </c>
      <c r="AU203" s="124">
        <v>0</v>
      </c>
      <c r="AV203" s="124">
        <v>0</v>
      </c>
      <c r="AW203" s="124">
        <v>0</v>
      </c>
      <c r="AX203" s="124">
        <v>0</v>
      </c>
      <c r="AY203" s="124">
        <v>0</v>
      </c>
    </row>
    <row r="204" spans="1:51" x14ac:dyDescent="0.2">
      <c r="A204" s="127"/>
      <c r="B204" s="144">
        <v>8</v>
      </c>
      <c r="C204" s="124">
        <v>0</v>
      </c>
      <c r="D204" s="124">
        <v>0</v>
      </c>
      <c r="E204" s="124">
        <v>0</v>
      </c>
      <c r="F204" s="124">
        <v>0</v>
      </c>
      <c r="G204" s="124">
        <v>0</v>
      </c>
      <c r="H204" s="124">
        <v>0</v>
      </c>
      <c r="I204" s="124">
        <v>0</v>
      </c>
      <c r="J204" s="124">
        <v>0</v>
      </c>
      <c r="K204" s="124">
        <v>0</v>
      </c>
      <c r="L204" s="124">
        <v>0</v>
      </c>
      <c r="M204" s="124">
        <v>0</v>
      </c>
      <c r="N204" s="124">
        <v>0</v>
      </c>
      <c r="O204" s="124">
        <v>0</v>
      </c>
      <c r="P204" s="124">
        <v>0</v>
      </c>
      <c r="Q204" s="124">
        <v>0</v>
      </c>
      <c r="R204" s="124">
        <v>0</v>
      </c>
      <c r="S204" s="124">
        <v>0</v>
      </c>
      <c r="T204" s="124">
        <v>0</v>
      </c>
      <c r="U204" s="124">
        <v>0</v>
      </c>
      <c r="V204" s="124">
        <v>0</v>
      </c>
      <c r="W204" s="124">
        <v>0</v>
      </c>
      <c r="X204" s="124">
        <v>0</v>
      </c>
      <c r="Y204" s="124">
        <v>0</v>
      </c>
      <c r="Z204" s="124">
        <v>0</v>
      </c>
      <c r="AA204" s="124">
        <v>0</v>
      </c>
      <c r="AB204" s="124">
        <v>0</v>
      </c>
      <c r="AC204" s="124">
        <v>0</v>
      </c>
      <c r="AD204" s="124">
        <v>0</v>
      </c>
      <c r="AE204" s="124">
        <v>0</v>
      </c>
      <c r="AF204" s="124">
        <v>0</v>
      </c>
      <c r="AG204" s="124">
        <v>0</v>
      </c>
      <c r="AH204" s="124">
        <v>0</v>
      </c>
      <c r="AI204" s="124">
        <v>0</v>
      </c>
      <c r="AJ204" s="124">
        <v>0</v>
      </c>
      <c r="AK204" s="124">
        <v>0</v>
      </c>
      <c r="AL204" s="124">
        <v>0</v>
      </c>
      <c r="AM204" s="124">
        <v>0</v>
      </c>
      <c r="AN204" s="124">
        <v>0</v>
      </c>
      <c r="AO204" s="124">
        <v>0</v>
      </c>
      <c r="AP204" s="124">
        <v>0</v>
      </c>
      <c r="AQ204" s="124">
        <v>0</v>
      </c>
      <c r="AR204" s="124">
        <v>0</v>
      </c>
      <c r="AS204" s="124">
        <v>0</v>
      </c>
      <c r="AT204" s="124">
        <v>0</v>
      </c>
      <c r="AU204" s="124">
        <v>0</v>
      </c>
      <c r="AV204" s="124">
        <v>0</v>
      </c>
      <c r="AW204" s="124">
        <v>0</v>
      </c>
      <c r="AX204" s="124">
        <v>0</v>
      </c>
      <c r="AY204" s="124">
        <v>0</v>
      </c>
    </row>
    <row r="205" spans="1:51" x14ac:dyDescent="0.2">
      <c r="A205" s="127"/>
      <c r="B205" s="144">
        <v>9</v>
      </c>
      <c r="C205" s="124">
        <v>0</v>
      </c>
      <c r="D205" s="124">
        <v>0</v>
      </c>
      <c r="E205" s="124">
        <v>0</v>
      </c>
      <c r="F205" s="124">
        <v>0</v>
      </c>
      <c r="G205" s="124">
        <v>0</v>
      </c>
      <c r="H205" s="124">
        <v>0</v>
      </c>
      <c r="I205" s="124">
        <v>0</v>
      </c>
      <c r="J205" s="124">
        <v>0</v>
      </c>
      <c r="K205" s="124">
        <v>0</v>
      </c>
      <c r="L205" s="124">
        <v>0</v>
      </c>
      <c r="M205" s="124">
        <v>0</v>
      </c>
      <c r="N205" s="124">
        <v>0</v>
      </c>
      <c r="O205" s="124">
        <v>0</v>
      </c>
      <c r="P205" s="124">
        <v>0</v>
      </c>
      <c r="Q205" s="124">
        <v>0</v>
      </c>
      <c r="R205" s="124">
        <v>0</v>
      </c>
      <c r="S205" s="124">
        <v>0</v>
      </c>
      <c r="T205" s="124">
        <v>0</v>
      </c>
      <c r="U205" s="124">
        <v>0</v>
      </c>
      <c r="V205" s="124">
        <v>0</v>
      </c>
      <c r="W205" s="124">
        <v>0</v>
      </c>
      <c r="X205" s="124">
        <v>0</v>
      </c>
      <c r="Y205" s="124">
        <v>0</v>
      </c>
      <c r="Z205" s="124">
        <v>0</v>
      </c>
      <c r="AA205" s="124">
        <v>0</v>
      </c>
      <c r="AB205" s="124">
        <v>0</v>
      </c>
      <c r="AC205" s="124">
        <v>0</v>
      </c>
      <c r="AD205" s="124">
        <v>0</v>
      </c>
      <c r="AE205" s="124">
        <v>0</v>
      </c>
      <c r="AF205" s="124">
        <v>0</v>
      </c>
      <c r="AG205" s="124">
        <v>0</v>
      </c>
      <c r="AH205" s="124">
        <v>0</v>
      </c>
      <c r="AI205" s="124">
        <v>0</v>
      </c>
      <c r="AJ205" s="124">
        <v>0</v>
      </c>
      <c r="AK205" s="124">
        <v>0</v>
      </c>
      <c r="AL205" s="124">
        <v>0</v>
      </c>
      <c r="AM205" s="124">
        <v>0</v>
      </c>
      <c r="AN205" s="124">
        <v>0</v>
      </c>
      <c r="AO205" s="124">
        <v>0</v>
      </c>
      <c r="AP205" s="124">
        <v>0</v>
      </c>
      <c r="AQ205" s="124">
        <v>0</v>
      </c>
      <c r="AR205" s="124">
        <v>0</v>
      </c>
      <c r="AS205" s="124">
        <v>0</v>
      </c>
      <c r="AT205" s="124">
        <v>0</v>
      </c>
      <c r="AU205" s="124">
        <v>0</v>
      </c>
      <c r="AV205" s="124">
        <v>0</v>
      </c>
      <c r="AW205" s="124">
        <v>0</v>
      </c>
      <c r="AX205" s="124">
        <v>0</v>
      </c>
      <c r="AY205" s="124">
        <v>0</v>
      </c>
    </row>
    <row r="206" spans="1:51" x14ac:dyDescent="0.2">
      <c r="A206" s="127"/>
      <c r="B206" s="147">
        <v>10</v>
      </c>
      <c r="C206" s="124">
        <v>0</v>
      </c>
      <c r="D206" s="124">
        <v>0</v>
      </c>
      <c r="E206" s="124">
        <v>0</v>
      </c>
      <c r="F206" s="124">
        <v>0</v>
      </c>
      <c r="G206" s="124">
        <v>0</v>
      </c>
      <c r="H206" s="124">
        <v>0</v>
      </c>
      <c r="I206" s="124">
        <v>0</v>
      </c>
      <c r="J206" s="124">
        <v>0</v>
      </c>
      <c r="K206" s="124">
        <v>0</v>
      </c>
      <c r="L206" s="124">
        <v>0</v>
      </c>
      <c r="M206" s="124">
        <v>0</v>
      </c>
      <c r="N206" s="124">
        <v>0</v>
      </c>
      <c r="O206" s="124">
        <v>0</v>
      </c>
      <c r="P206" s="124">
        <v>0</v>
      </c>
      <c r="Q206" s="124">
        <v>0</v>
      </c>
      <c r="R206" s="124">
        <v>0</v>
      </c>
      <c r="S206" s="124">
        <v>0</v>
      </c>
      <c r="T206" s="124">
        <v>0</v>
      </c>
      <c r="U206" s="124">
        <v>0</v>
      </c>
      <c r="V206" s="124">
        <v>0</v>
      </c>
      <c r="W206" s="124">
        <v>0</v>
      </c>
      <c r="X206" s="124">
        <v>0</v>
      </c>
      <c r="Y206" s="124">
        <v>0</v>
      </c>
      <c r="Z206" s="124">
        <v>0</v>
      </c>
      <c r="AA206" s="124">
        <v>0</v>
      </c>
      <c r="AB206" s="124">
        <v>0</v>
      </c>
      <c r="AC206" s="124">
        <v>0</v>
      </c>
      <c r="AD206" s="124">
        <v>0</v>
      </c>
      <c r="AE206" s="124">
        <v>0</v>
      </c>
      <c r="AF206" s="124">
        <v>0</v>
      </c>
      <c r="AG206" s="124">
        <v>0</v>
      </c>
      <c r="AH206" s="124">
        <v>0</v>
      </c>
      <c r="AI206" s="124">
        <v>0</v>
      </c>
      <c r="AJ206" s="124">
        <v>0</v>
      </c>
      <c r="AK206" s="124">
        <v>0</v>
      </c>
      <c r="AL206" s="124">
        <v>0</v>
      </c>
      <c r="AM206" s="124">
        <v>0</v>
      </c>
      <c r="AN206" s="124">
        <v>0</v>
      </c>
      <c r="AO206" s="124">
        <v>0</v>
      </c>
      <c r="AP206" s="124">
        <v>0</v>
      </c>
      <c r="AQ206" s="124">
        <v>0</v>
      </c>
      <c r="AR206" s="124">
        <v>0</v>
      </c>
      <c r="AS206" s="124">
        <v>0</v>
      </c>
      <c r="AT206" s="124">
        <v>0</v>
      </c>
      <c r="AU206" s="124">
        <v>0</v>
      </c>
      <c r="AV206" s="124">
        <v>0</v>
      </c>
      <c r="AW206" s="124">
        <v>0</v>
      </c>
      <c r="AX206" s="124">
        <v>0</v>
      </c>
      <c r="AY206" s="124">
        <v>0</v>
      </c>
    </row>
    <row r="207" spans="1:51" x14ac:dyDescent="0.2">
      <c r="A207" s="127"/>
      <c r="B207" s="147">
        <v>11</v>
      </c>
      <c r="C207" s="124">
        <v>0</v>
      </c>
      <c r="D207" s="124">
        <v>0</v>
      </c>
      <c r="E207" s="124">
        <v>0</v>
      </c>
      <c r="F207" s="124">
        <v>0</v>
      </c>
      <c r="G207" s="124">
        <v>0</v>
      </c>
      <c r="H207" s="124">
        <v>0</v>
      </c>
      <c r="I207" s="124">
        <v>0</v>
      </c>
      <c r="J207" s="124">
        <v>0</v>
      </c>
      <c r="K207" s="124">
        <v>0</v>
      </c>
      <c r="L207" s="124">
        <v>0</v>
      </c>
      <c r="M207" s="124">
        <v>0</v>
      </c>
      <c r="N207" s="124">
        <v>0</v>
      </c>
      <c r="O207" s="124">
        <v>0</v>
      </c>
      <c r="P207" s="124">
        <v>0</v>
      </c>
      <c r="Q207" s="124">
        <v>0</v>
      </c>
      <c r="R207" s="124">
        <v>0</v>
      </c>
      <c r="S207" s="124">
        <v>0</v>
      </c>
      <c r="T207" s="124">
        <v>0</v>
      </c>
      <c r="U207" s="124">
        <v>0</v>
      </c>
      <c r="V207" s="124">
        <v>0</v>
      </c>
      <c r="W207" s="124">
        <v>0</v>
      </c>
      <c r="X207" s="124">
        <v>0</v>
      </c>
      <c r="Y207" s="124">
        <v>0</v>
      </c>
      <c r="Z207" s="124">
        <v>0</v>
      </c>
      <c r="AA207" s="124">
        <v>0</v>
      </c>
      <c r="AB207" s="124">
        <v>0</v>
      </c>
      <c r="AC207" s="124">
        <v>0</v>
      </c>
      <c r="AD207" s="124">
        <v>0</v>
      </c>
      <c r="AE207" s="124">
        <v>0</v>
      </c>
      <c r="AF207" s="124">
        <v>0</v>
      </c>
      <c r="AG207" s="124">
        <v>0</v>
      </c>
      <c r="AH207" s="124">
        <v>0</v>
      </c>
      <c r="AI207" s="124">
        <v>0</v>
      </c>
      <c r="AJ207" s="124">
        <v>0</v>
      </c>
      <c r="AK207" s="124">
        <v>0</v>
      </c>
      <c r="AL207" s="124">
        <v>0</v>
      </c>
      <c r="AM207" s="124">
        <v>0</v>
      </c>
      <c r="AN207" s="124">
        <v>0</v>
      </c>
      <c r="AO207" s="124">
        <v>0</v>
      </c>
      <c r="AP207" s="124">
        <v>0</v>
      </c>
      <c r="AQ207" s="124">
        <v>0</v>
      </c>
      <c r="AR207" s="124">
        <v>0</v>
      </c>
      <c r="AS207" s="124">
        <v>0</v>
      </c>
      <c r="AT207" s="124">
        <v>0</v>
      </c>
      <c r="AU207" s="124">
        <v>0</v>
      </c>
      <c r="AV207" s="124">
        <v>0</v>
      </c>
      <c r="AW207" s="124">
        <v>0</v>
      </c>
      <c r="AX207" s="124">
        <v>0</v>
      </c>
      <c r="AY207" s="124">
        <v>0</v>
      </c>
    </row>
    <row r="208" spans="1:51" x14ac:dyDescent="0.2">
      <c r="A208" s="127"/>
      <c r="B208" s="147">
        <v>12</v>
      </c>
      <c r="C208" s="124">
        <v>0</v>
      </c>
      <c r="D208" s="124">
        <v>0</v>
      </c>
      <c r="E208" s="124">
        <v>0</v>
      </c>
      <c r="F208" s="124">
        <v>0</v>
      </c>
      <c r="G208" s="124">
        <v>0</v>
      </c>
      <c r="H208" s="124">
        <v>0</v>
      </c>
      <c r="I208" s="124">
        <v>0</v>
      </c>
      <c r="J208" s="124">
        <v>0</v>
      </c>
      <c r="K208" s="124">
        <v>0</v>
      </c>
      <c r="L208" s="124">
        <v>0</v>
      </c>
      <c r="M208" s="124">
        <v>0</v>
      </c>
      <c r="N208" s="124">
        <v>0</v>
      </c>
      <c r="O208" s="124">
        <v>0</v>
      </c>
      <c r="P208" s="124">
        <v>0</v>
      </c>
      <c r="Q208" s="124">
        <v>0</v>
      </c>
      <c r="R208" s="124">
        <v>0</v>
      </c>
      <c r="S208" s="124">
        <v>0</v>
      </c>
      <c r="T208" s="124">
        <v>0</v>
      </c>
      <c r="U208" s="124">
        <v>0</v>
      </c>
      <c r="V208" s="124">
        <v>0</v>
      </c>
      <c r="W208" s="124">
        <v>0</v>
      </c>
      <c r="X208" s="124">
        <v>0</v>
      </c>
      <c r="Y208" s="124">
        <v>0</v>
      </c>
      <c r="Z208" s="124">
        <v>0</v>
      </c>
      <c r="AA208" s="124">
        <v>0</v>
      </c>
      <c r="AB208" s="124">
        <v>0</v>
      </c>
      <c r="AC208" s="124">
        <v>0</v>
      </c>
      <c r="AD208" s="124">
        <v>0</v>
      </c>
      <c r="AE208" s="124">
        <v>0</v>
      </c>
      <c r="AF208" s="124">
        <v>0</v>
      </c>
      <c r="AG208" s="124">
        <v>0</v>
      </c>
      <c r="AH208" s="124">
        <v>0</v>
      </c>
      <c r="AI208" s="124">
        <v>0</v>
      </c>
      <c r="AJ208" s="124">
        <v>0</v>
      </c>
      <c r="AK208" s="124">
        <v>0</v>
      </c>
      <c r="AL208" s="124">
        <v>0</v>
      </c>
      <c r="AM208" s="124">
        <v>0</v>
      </c>
      <c r="AN208" s="124">
        <v>0</v>
      </c>
      <c r="AO208" s="124">
        <v>0</v>
      </c>
      <c r="AP208" s="124">
        <v>0</v>
      </c>
      <c r="AQ208" s="124">
        <v>0</v>
      </c>
      <c r="AR208" s="124">
        <v>0</v>
      </c>
      <c r="AS208" s="124">
        <v>0</v>
      </c>
      <c r="AT208" s="124">
        <v>0</v>
      </c>
      <c r="AU208" s="124">
        <v>0</v>
      </c>
      <c r="AV208" s="124">
        <v>0</v>
      </c>
      <c r="AW208" s="124">
        <v>0</v>
      </c>
      <c r="AX208" s="124">
        <v>0</v>
      </c>
      <c r="AY208" s="124">
        <v>0</v>
      </c>
    </row>
    <row r="209" spans="1:51" x14ac:dyDescent="0.2">
      <c r="A209" s="143" t="s">
        <v>123</v>
      </c>
      <c r="B209" s="140">
        <v>1</v>
      </c>
      <c r="C209" s="141">
        <v>578.16867923658128</v>
      </c>
      <c r="D209" s="141">
        <v>581.846940063435</v>
      </c>
      <c r="E209" s="141">
        <v>0</v>
      </c>
      <c r="F209" s="141">
        <v>0</v>
      </c>
      <c r="G209" s="141">
        <v>0</v>
      </c>
      <c r="H209" s="141">
        <v>0</v>
      </c>
      <c r="I209" s="141">
        <v>0</v>
      </c>
      <c r="J209" s="141">
        <v>0</v>
      </c>
      <c r="K209" s="141">
        <v>0</v>
      </c>
      <c r="L209" s="141">
        <v>0</v>
      </c>
      <c r="M209" s="141">
        <v>0</v>
      </c>
      <c r="N209" s="141">
        <v>0</v>
      </c>
      <c r="O209" s="141">
        <v>0</v>
      </c>
      <c r="P209" s="141">
        <v>0</v>
      </c>
      <c r="Q209" s="141">
        <v>0</v>
      </c>
      <c r="R209" s="141">
        <v>0</v>
      </c>
      <c r="S209" s="141">
        <v>0</v>
      </c>
      <c r="T209" s="141">
        <v>0</v>
      </c>
      <c r="U209" s="141">
        <v>0</v>
      </c>
      <c r="V209" s="141">
        <v>0</v>
      </c>
      <c r="W209" s="141">
        <v>0</v>
      </c>
      <c r="X209" s="141">
        <v>0</v>
      </c>
      <c r="Y209" s="141">
        <v>0</v>
      </c>
      <c r="Z209" s="141">
        <v>0</v>
      </c>
      <c r="AA209" s="141">
        <v>0</v>
      </c>
      <c r="AB209" s="141">
        <v>0</v>
      </c>
      <c r="AC209" s="141">
        <v>0</v>
      </c>
      <c r="AD209" s="141">
        <v>0</v>
      </c>
      <c r="AE209" s="141">
        <v>0</v>
      </c>
      <c r="AF209" s="141">
        <v>0</v>
      </c>
      <c r="AG209" s="141">
        <v>0</v>
      </c>
      <c r="AH209" s="141">
        <v>0</v>
      </c>
      <c r="AI209" s="141">
        <v>0</v>
      </c>
      <c r="AJ209" s="141">
        <v>0</v>
      </c>
      <c r="AK209" s="141">
        <v>0</v>
      </c>
      <c r="AL209" s="141">
        <v>0</v>
      </c>
      <c r="AM209" s="141">
        <v>0</v>
      </c>
      <c r="AN209" s="141">
        <v>0</v>
      </c>
      <c r="AO209" s="141">
        <v>0</v>
      </c>
      <c r="AP209" s="141">
        <v>0</v>
      </c>
      <c r="AQ209" s="141">
        <v>0</v>
      </c>
      <c r="AR209" s="141">
        <v>0</v>
      </c>
      <c r="AS209" s="141">
        <v>0</v>
      </c>
      <c r="AT209" s="141">
        <v>0</v>
      </c>
      <c r="AU209" s="141">
        <v>0</v>
      </c>
      <c r="AV209" s="141">
        <v>0</v>
      </c>
      <c r="AW209" s="141">
        <v>0</v>
      </c>
      <c r="AX209" s="141">
        <v>0</v>
      </c>
      <c r="AY209" s="141">
        <v>0</v>
      </c>
    </row>
    <row r="210" spans="1:51" x14ac:dyDescent="0.2">
      <c r="A210" s="127"/>
      <c r="B210" s="136">
        <v>2</v>
      </c>
      <c r="C210" s="124">
        <v>120.81404101330386</v>
      </c>
      <c r="D210" s="128">
        <v>121.39391915524369</v>
      </c>
      <c r="E210" s="128">
        <v>645</v>
      </c>
      <c r="F210" s="128">
        <v>0</v>
      </c>
      <c r="G210" s="128">
        <v>0</v>
      </c>
      <c r="H210" s="128">
        <v>0</v>
      </c>
      <c r="I210" s="128">
        <v>0</v>
      </c>
      <c r="J210" s="128">
        <v>0</v>
      </c>
      <c r="K210" s="128">
        <v>0</v>
      </c>
      <c r="L210" s="128">
        <v>0</v>
      </c>
      <c r="M210" s="128">
        <v>0</v>
      </c>
      <c r="N210" s="128">
        <v>0</v>
      </c>
      <c r="O210" s="128">
        <v>0</v>
      </c>
      <c r="P210" s="128">
        <v>0</v>
      </c>
      <c r="Q210" s="128">
        <v>0</v>
      </c>
      <c r="R210" s="128">
        <v>0</v>
      </c>
      <c r="S210" s="128">
        <v>0</v>
      </c>
      <c r="T210" s="128">
        <v>0</v>
      </c>
      <c r="U210" s="128">
        <v>0</v>
      </c>
      <c r="V210" s="128">
        <v>0</v>
      </c>
      <c r="W210" s="128">
        <v>0</v>
      </c>
      <c r="X210" s="128">
        <v>0</v>
      </c>
      <c r="Y210" s="128">
        <v>0</v>
      </c>
      <c r="Z210" s="128">
        <v>0</v>
      </c>
      <c r="AA210" s="128">
        <v>0</v>
      </c>
      <c r="AB210" s="128">
        <v>0</v>
      </c>
      <c r="AC210" s="128">
        <v>0</v>
      </c>
      <c r="AD210" s="128">
        <v>0</v>
      </c>
      <c r="AE210" s="128">
        <v>0</v>
      </c>
      <c r="AF210" s="128">
        <v>0</v>
      </c>
      <c r="AG210" s="128">
        <v>0</v>
      </c>
      <c r="AH210" s="128">
        <v>0</v>
      </c>
      <c r="AI210" s="128">
        <v>0</v>
      </c>
      <c r="AJ210" s="128">
        <v>0</v>
      </c>
      <c r="AK210" s="128">
        <v>0</v>
      </c>
      <c r="AL210" s="128">
        <v>0</v>
      </c>
      <c r="AM210" s="128">
        <v>0</v>
      </c>
      <c r="AN210" s="128">
        <v>0</v>
      </c>
      <c r="AO210" s="128">
        <v>0</v>
      </c>
      <c r="AP210" s="128">
        <v>0</v>
      </c>
      <c r="AQ210" s="128">
        <v>0</v>
      </c>
      <c r="AR210" s="128">
        <v>0</v>
      </c>
      <c r="AS210" s="128">
        <v>0</v>
      </c>
      <c r="AT210" s="128">
        <v>0</v>
      </c>
      <c r="AU210" s="128">
        <v>0</v>
      </c>
      <c r="AV210" s="128">
        <v>0</v>
      </c>
      <c r="AW210" s="128">
        <v>0</v>
      </c>
      <c r="AX210" s="128">
        <v>0</v>
      </c>
      <c r="AY210" s="128">
        <v>0</v>
      </c>
    </row>
    <row r="211" spans="1:51" x14ac:dyDescent="0.2">
      <c r="A211" s="127"/>
      <c r="B211" s="136">
        <v>3</v>
      </c>
      <c r="C211" s="124">
        <v>0</v>
      </c>
      <c r="D211" s="128">
        <v>0</v>
      </c>
      <c r="E211" s="128">
        <v>0</v>
      </c>
      <c r="F211" s="128">
        <v>588</v>
      </c>
      <c r="G211" s="128">
        <v>553.05991901853906</v>
      </c>
      <c r="H211" s="128">
        <v>18.508817835753462</v>
      </c>
      <c r="I211" s="128">
        <v>0</v>
      </c>
      <c r="J211" s="128">
        <v>0</v>
      </c>
      <c r="K211" s="128">
        <v>0</v>
      </c>
      <c r="L211" s="128">
        <v>0</v>
      </c>
      <c r="M211" s="128">
        <v>0</v>
      </c>
      <c r="N211" s="128">
        <v>0</v>
      </c>
      <c r="O211" s="128">
        <v>0</v>
      </c>
      <c r="P211" s="128">
        <v>0</v>
      </c>
      <c r="Q211" s="128">
        <v>0</v>
      </c>
      <c r="R211" s="128">
        <v>0</v>
      </c>
      <c r="S211" s="128">
        <v>0</v>
      </c>
      <c r="T211" s="128">
        <v>0</v>
      </c>
      <c r="U211" s="128">
        <v>0</v>
      </c>
      <c r="V211" s="128">
        <v>0</v>
      </c>
      <c r="W211" s="128">
        <v>0</v>
      </c>
      <c r="X211" s="128">
        <v>0</v>
      </c>
      <c r="Y211" s="128">
        <v>0</v>
      </c>
      <c r="Z211" s="128">
        <v>0</v>
      </c>
      <c r="AA211" s="128">
        <v>0</v>
      </c>
      <c r="AB211" s="128">
        <v>0</v>
      </c>
      <c r="AC211" s="128">
        <v>0</v>
      </c>
      <c r="AD211" s="128">
        <v>0</v>
      </c>
      <c r="AE211" s="128">
        <v>0</v>
      </c>
      <c r="AF211" s="128">
        <v>0</v>
      </c>
      <c r="AG211" s="128">
        <v>0</v>
      </c>
      <c r="AH211" s="128">
        <v>0</v>
      </c>
      <c r="AI211" s="128">
        <v>0</v>
      </c>
      <c r="AJ211" s="128">
        <v>0</v>
      </c>
      <c r="AK211" s="128">
        <v>0</v>
      </c>
      <c r="AL211" s="128">
        <v>0</v>
      </c>
      <c r="AM211" s="128">
        <v>0</v>
      </c>
      <c r="AN211" s="128">
        <v>0</v>
      </c>
      <c r="AO211" s="128">
        <v>0</v>
      </c>
      <c r="AP211" s="128">
        <v>0</v>
      </c>
      <c r="AQ211" s="128">
        <v>0</v>
      </c>
      <c r="AR211" s="128">
        <v>0</v>
      </c>
      <c r="AS211" s="128">
        <v>0</v>
      </c>
      <c r="AT211" s="128">
        <v>0</v>
      </c>
      <c r="AU211" s="128">
        <v>0</v>
      </c>
      <c r="AV211" s="128">
        <v>0</v>
      </c>
      <c r="AW211" s="128">
        <v>0</v>
      </c>
      <c r="AX211" s="128">
        <v>0</v>
      </c>
      <c r="AY211" s="128">
        <v>0</v>
      </c>
    </row>
    <row r="212" spans="1:51" x14ac:dyDescent="0.2">
      <c r="A212" s="127"/>
      <c r="B212" s="136">
        <v>4</v>
      </c>
      <c r="C212" s="124">
        <v>0</v>
      </c>
      <c r="D212" s="128">
        <v>0</v>
      </c>
      <c r="E212" s="128">
        <v>0</v>
      </c>
      <c r="F212" s="128">
        <v>0</v>
      </c>
      <c r="G212" s="128">
        <v>191.94008098146091</v>
      </c>
      <c r="H212" s="128">
        <v>714.49118216424654</v>
      </c>
      <c r="I212" s="128">
        <v>673</v>
      </c>
      <c r="J212" s="128">
        <v>392.16318245384417</v>
      </c>
      <c r="K212" s="128">
        <v>331.14736702267885</v>
      </c>
      <c r="L212" s="128">
        <v>211.35730491187132</v>
      </c>
      <c r="M212" s="128">
        <v>6.2757057522285322</v>
      </c>
      <c r="N212" s="128">
        <v>0</v>
      </c>
      <c r="O212" s="128">
        <v>31.682417832787451</v>
      </c>
      <c r="P212" s="128">
        <v>5.1601299475213409</v>
      </c>
      <c r="Q212" s="128">
        <v>76.429550383585251</v>
      </c>
      <c r="R212" s="128">
        <v>0</v>
      </c>
      <c r="S212" s="128">
        <v>0</v>
      </c>
      <c r="T212" s="128">
        <v>7.9846893419626213</v>
      </c>
      <c r="U212" s="128">
        <v>0</v>
      </c>
      <c r="V212" s="128">
        <v>0</v>
      </c>
      <c r="W212" s="128">
        <v>0</v>
      </c>
      <c r="X212" s="128">
        <v>0</v>
      </c>
      <c r="Y212" s="128">
        <v>0</v>
      </c>
      <c r="Z212" s="128">
        <v>0</v>
      </c>
      <c r="AA212" s="128">
        <v>0</v>
      </c>
      <c r="AB212" s="128">
        <v>0</v>
      </c>
      <c r="AC212" s="128">
        <v>0</v>
      </c>
      <c r="AD212" s="128">
        <v>13.144039047096499</v>
      </c>
      <c r="AE212" s="128">
        <v>27.766923091913782</v>
      </c>
      <c r="AF212" s="128">
        <v>28.542558215566828</v>
      </c>
      <c r="AG212" s="128">
        <v>0</v>
      </c>
      <c r="AH212" s="128">
        <v>0</v>
      </c>
      <c r="AI212" s="128">
        <v>0</v>
      </c>
      <c r="AJ212" s="128">
        <v>0</v>
      </c>
      <c r="AK212" s="128">
        <v>0</v>
      </c>
      <c r="AL212" s="128">
        <v>0</v>
      </c>
      <c r="AM212" s="128">
        <v>0</v>
      </c>
      <c r="AN212" s="128">
        <v>0</v>
      </c>
      <c r="AO212" s="128">
        <v>0</v>
      </c>
      <c r="AP212" s="128">
        <v>0</v>
      </c>
      <c r="AQ212" s="128">
        <v>0</v>
      </c>
      <c r="AR212" s="128">
        <v>0</v>
      </c>
      <c r="AS212" s="128">
        <v>0</v>
      </c>
      <c r="AT212" s="128">
        <v>80.245201461276906</v>
      </c>
      <c r="AU212" s="128">
        <v>0</v>
      </c>
      <c r="AV212" s="128">
        <v>63.668283575736154</v>
      </c>
      <c r="AW212" s="128">
        <v>107.54319991230329</v>
      </c>
      <c r="AX212" s="128">
        <v>72.874293003963317</v>
      </c>
      <c r="AY212" s="128">
        <v>91.69756650916861</v>
      </c>
    </row>
    <row r="213" spans="1:51" x14ac:dyDescent="0.2">
      <c r="A213" s="127"/>
      <c r="B213" s="136">
        <v>5</v>
      </c>
      <c r="C213" s="124">
        <v>0</v>
      </c>
      <c r="D213" s="128">
        <v>0</v>
      </c>
      <c r="E213" s="128">
        <v>0</v>
      </c>
      <c r="F213" s="128">
        <v>0</v>
      </c>
      <c r="G213" s="128">
        <v>0</v>
      </c>
      <c r="H213" s="128">
        <v>0</v>
      </c>
      <c r="I213" s="128">
        <v>0</v>
      </c>
      <c r="J213" s="128">
        <v>241.83681754615583</v>
      </c>
      <c r="K213" s="128">
        <v>437.85263297732115</v>
      </c>
      <c r="L213" s="128">
        <v>478.64269508812868</v>
      </c>
      <c r="M213" s="128">
        <v>558.72429424777147</v>
      </c>
      <c r="N213" s="128">
        <v>652</v>
      </c>
      <c r="O213" s="128">
        <v>700.02008016829507</v>
      </c>
      <c r="P213" s="128">
        <v>678.83987005247866</v>
      </c>
      <c r="Q213" s="128">
        <v>696.57044961641475</v>
      </c>
      <c r="R213" s="128">
        <v>463</v>
      </c>
      <c r="S213" s="128">
        <v>635.7056635622107</v>
      </c>
      <c r="T213" s="128">
        <v>700.02008016829507</v>
      </c>
      <c r="U213" s="128">
        <v>694</v>
      </c>
      <c r="V213" s="128">
        <v>693.5439476927213</v>
      </c>
      <c r="W213" s="128">
        <v>608.67060041646937</v>
      </c>
      <c r="X213" s="128">
        <v>674.93139136900402</v>
      </c>
      <c r="Y213" s="128">
        <v>513.22780467375196</v>
      </c>
      <c r="Z213" s="128">
        <v>495.1263346166844</v>
      </c>
      <c r="AA213" s="128">
        <v>627.02520833152175</v>
      </c>
      <c r="AB213" s="128">
        <v>631.20174441737277</v>
      </c>
      <c r="AC213" s="128">
        <v>617.99382652175905</v>
      </c>
      <c r="AD213" s="128">
        <v>700.02008016829507</v>
      </c>
      <c r="AE213" s="128">
        <v>691.23307690808622</v>
      </c>
      <c r="AF213" s="128">
        <v>681.45744178443317</v>
      </c>
      <c r="AG213" s="128">
        <v>641</v>
      </c>
      <c r="AH213" s="128">
        <v>619.30018621095587</v>
      </c>
      <c r="AI213" s="128">
        <v>597.03744185288883</v>
      </c>
      <c r="AJ213" s="128">
        <v>544.15443621401391</v>
      </c>
      <c r="AK213" s="128">
        <v>480.80128933934151</v>
      </c>
      <c r="AL213" s="128">
        <v>590.44868325398443</v>
      </c>
      <c r="AM213" s="128">
        <v>627.74974424057598</v>
      </c>
      <c r="AN213" s="128">
        <v>674.68610842239332</v>
      </c>
      <c r="AO213" s="128">
        <v>624.06382904618272</v>
      </c>
      <c r="AP213" s="128">
        <v>562.22201434035833</v>
      </c>
      <c r="AQ213" s="128">
        <v>580.87975831918936</v>
      </c>
      <c r="AR213" s="128">
        <v>521.35276274215971</v>
      </c>
      <c r="AS213" s="128">
        <v>649.55800084807231</v>
      </c>
      <c r="AT213" s="128">
        <v>700.02008016829507</v>
      </c>
      <c r="AU213" s="128">
        <v>613</v>
      </c>
      <c r="AV213" s="128">
        <v>700.02008016829507</v>
      </c>
      <c r="AW213" s="128">
        <v>657.45680008769671</v>
      </c>
      <c r="AX213" s="128">
        <v>628.12570699603668</v>
      </c>
      <c r="AY213" s="128">
        <v>651.30243349083139</v>
      </c>
    </row>
    <row r="214" spans="1:51" x14ac:dyDescent="0.2">
      <c r="A214" s="127"/>
      <c r="B214" s="136">
        <v>6</v>
      </c>
      <c r="C214" s="124">
        <v>0</v>
      </c>
      <c r="D214" s="128">
        <v>0</v>
      </c>
      <c r="E214" s="128">
        <v>0</v>
      </c>
      <c r="F214" s="128">
        <v>0</v>
      </c>
      <c r="G214" s="128">
        <v>0</v>
      </c>
      <c r="H214" s="128">
        <v>0</v>
      </c>
      <c r="I214" s="128">
        <v>0</v>
      </c>
      <c r="J214" s="128">
        <v>0</v>
      </c>
      <c r="K214" s="128">
        <v>0</v>
      </c>
      <c r="L214" s="128">
        <v>0</v>
      </c>
      <c r="M214" s="128">
        <v>0</v>
      </c>
      <c r="N214" s="128">
        <v>0</v>
      </c>
      <c r="O214" s="128">
        <v>29.297501998917514</v>
      </c>
      <c r="P214" s="128">
        <v>0</v>
      </c>
      <c r="Q214" s="128">
        <v>0</v>
      </c>
      <c r="R214" s="128">
        <v>0</v>
      </c>
      <c r="S214" s="128">
        <v>124.29433643778926</v>
      </c>
      <c r="T214" s="128">
        <v>42.995230489742355</v>
      </c>
      <c r="U214" s="128">
        <v>0</v>
      </c>
      <c r="V214" s="128">
        <v>0.45605230727874518</v>
      </c>
      <c r="W214" s="128">
        <v>4.3293995835306704</v>
      </c>
      <c r="X214" s="128">
        <v>61.068608630996032</v>
      </c>
      <c r="Y214" s="128">
        <v>16.772195326248017</v>
      </c>
      <c r="Z214" s="128">
        <v>124.87366538331557</v>
      </c>
      <c r="AA214" s="128">
        <v>136.97479166847822</v>
      </c>
      <c r="AB214" s="128">
        <v>48.798255582627256</v>
      </c>
      <c r="AC214" s="128">
        <v>46.006173478240996</v>
      </c>
      <c r="AD214" s="128">
        <v>54.83588078460847</v>
      </c>
      <c r="AE214" s="128">
        <v>0</v>
      </c>
      <c r="AF214" s="128">
        <v>0</v>
      </c>
      <c r="AG214" s="128">
        <v>0</v>
      </c>
      <c r="AH214" s="128">
        <v>26.699813789044171</v>
      </c>
      <c r="AI214" s="128">
        <v>53.962558147111167</v>
      </c>
      <c r="AJ214" s="128">
        <v>68.845563785986073</v>
      </c>
      <c r="AK214" s="128">
        <v>104.19871066065851</v>
      </c>
      <c r="AL214" s="128">
        <v>146.5513167460156</v>
      </c>
      <c r="AM214" s="128">
        <v>73.250255759424064</v>
      </c>
      <c r="AN214" s="128">
        <v>48.313891577606732</v>
      </c>
      <c r="AO214" s="128">
        <v>16.936170953817225</v>
      </c>
      <c r="AP214" s="128">
        <v>50.777985659641665</v>
      </c>
      <c r="AQ214" s="128">
        <v>92.120241680810594</v>
      </c>
      <c r="AR214" s="128">
        <v>79.647237257840317</v>
      </c>
      <c r="AS214" s="128">
        <v>119.44199915192765</v>
      </c>
      <c r="AT214" s="128">
        <v>33.73471837042807</v>
      </c>
      <c r="AU214" s="128">
        <v>0</v>
      </c>
      <c r="AV214" s="128">
        <v>22.311636255968764</v>
      </c>
      <c r="AW214" s="128">
        <v>0</v>
      </c>
      <c r="AX214" s="128">
        <v>0</v>
      </c>
      <c r="AY214" s="128">
        <v>0</v>
      </c>
    </row>
    <row r="215" spans="1:51" x14ac:dyDescent="0.2">
      <c r="A215" s="127"/>
      <c r="B215" s="136">
        <v>7</v>
      </c>
      <c r="C215" s="124">
        <v>0</v>
      </c>
      <c r="D215" s="128">
        <v>0</v>
      </c>
      <c r="E215" s="128">
        <v>0</v>
      </c>
      <c r="F215" s="128">
        <v>0</v>
      </c>
      <c r="G215" s="128">
        <v>0</v>
      </c>
      <c r="H215" s="128">
        <v>0</v>
      </c>
      <c r="I215" s="128">
        <v>0</v>
      </c>
      <c r="J215" s="128">
        <v>0</v>
      </c>
      <c r="K215" s="128">
        <v>0</v>
      </c>
      <c r="L215" s="128">
        <v>0</v>
      </c>
      <c r="M215" s="128">
        <v>0</v>
      </c>
      <c r="N215" s="128">
        <v>0</v>
      </c>
      <c r="O215" s="128">
        <v>0</v>
      </c>
      <c r="P215" s="128">
        <v>0</v>
      </c>
      <c r="Q215" s="128">
        <v>0</v>
      </c>
      <c r="R215" s="128">
        <v>0</v>
      </c>
      <c r="S215" s="128">
        <v>0</v>
      </c>
      <c r="T215" s="128">
        <v>0</v>
      </c>
      <c r="U215" s="128">
        <v>0</v>
      </c>
      <c r="V215" s="128">
        <v>0</v>
      </c>
      <c r="W215" s="128">
        <v>0</v>
      </c>
      <c r="X215" s="128">
        <v>0</v>
      </c>
      <c r="Y215" s="128">
        <v>0</v>
      </c>
      <c r="Z215" s="128">
        <v>0</v>
      </c>
      <c r="AA215" s="128">
        <v>0</v>
      </c>
      <c r="AB215" s="128">
        <v>0</v>
      </c>
      <c r="AC215" s="128">
        <v>0</v>
      </c>
      <c r="AD215" s="128">
        <v>0</v>
      </c>
      <c r="AE215" s="128">
        <v>0</v>
      </c>
      <c r="AF215" s="128">
        <v>0</v>
      </c>
      <c r="AG215" s="128">
        <v>0</v>
      </c>
      <c r="AH215" s="128">
        <v>0</v>
      </c>
      <c r="AI215" s="128">
        <v>0</v>
      </c>
      <c r="AJ215" s="128">
        <v>0</v>
      </c>
      <c r="AK215" s="128">
        <v>0</v>
      </c>
      <c r="AL215" s="128">
        <v>0</v>
      </c>
      <c r="AM215" s="128">
        <v>0</v>
      </c>
      <c r="AN215" s="128">
        <v>0</v>
      </c>
      <c r="AO215" s="128">
        <v>0</v>
      </c>
      <c r="AP215" s="128">
        <v>0</v>
      </c>
      <c r="AQ215" s="128">
        <v>0</v>
      </c>
      <c r="AR215" s="128">
        <v>0</v>
      </c>
      <c r="AS215" s="128">
        <v>0</v>
      </c>
      <c r="AT215" s="128">
        <v>0</v>
      </c>
      <c r="AU215" s="128">
        <v>0</v>
      </c>
      <c r="AV215" s="128">
        <v>0</v>
      </c>
      <c r="AW215" s="128">
        <v>0</v>
      </c>
      <c r="AX215" s="128">
        <v>0</v>
      </c>
      <c r="AY215" s="128">
        <v>0</v>
      </c>
    </row>
    <row r="216" spans="1:51" x14ac:dyDescent="0.2">
      <c r="A216" s="127"/>
      <c r="B216" s="136">
        <v>8</v>
      </c>
      <c r="C216" s="124">
        <v>0</v>
      </c>
      <c r="D216" s="128">
        <v>0</v>
      </c>
      <c r="E216" s="128">
        <v>0</v>
      </c>
      <c r="F216" s="128">
        <v>0</v>
      </c>
      <c r="G216" s="128">
        <v>0</v>
      </c>
      <c r="H216" s="128">
        <v>0</v>
      </c>
      <c r="I216" s="128">
        <v>0</v>
      </c>
      <c r="J216" s="128">
        <v>0</v>
      </c>
      <c r="K216" s="128">
        <v>0</v>
      </c>
      <c r="L216" s="128">
        <v>0</v>
      </c>
      <c r="M216" s="128">
        <v>0</v>
      </c>
      <c r="N216" s="128">
        <v>0</v>
      </c>
      <c r="O216" s="128">
        <v>0</v>
      </c>
      <c r="P216" s="128">
        <v>0</v>
      </c>
      <c r="Q216" s="128">
        <v>0</v>
      </c>
      <c r="R216" s="128">
        <v>0</v>
      </c>
      <c r="S216" s="128">
        <v>0</v>
      </c>
      <c r="T216" s="128">
        <v>0</v>
      </c>
      <c r="U216" s="128">
        <v>0</v>
      </c>
      <c r="V216" s="128">
        <v>0</v>
      </c>
      <c r="W216" s="128">
        <v>0</v>
      </c>
      <c r="X216" s="128">
        <v>0</v>
      </c>
      <c r="Y216" s="128">
        <v>0</v>
      </c>
      <c r="Z216" s="128">
        <v>0</v>
      </c>
      <c r="AA216" s="128">
        <v>0</v>
      </c>
      <c r="AB216" s="128">
        <v>0</v>
      </c>
      <c r="AC216" s="128">
        <v>0</v>
      </c>
      <c r="AD216" s="128">
        <v>0</v>
      </c>
      <c r="AE216" s="128">
        <v>0</v>
      </c>
      <c r="AF216" s="128">
        <v>0</v>
      </c>
      <c r="AG216" s="128">
        <v>0</v>
      </c>
      <c r="AH216" s="128">
        <v>0</v>
      </c>
      <c r="AI216" s="128">
        <v>0</v>
      </c>
      <c r="AJ216" s="128">
        <v>0</v>
      </c>
      <c r="AK216" s="128">
        <v>0</v>
      </c>
      <c r="AL216" s="128">
        <v>0</v>
      </c>
      <c r="AM216" s="128">
        <v>0</v>
      </c>
      <c r="AN216" s="128">
        <v>0</v>
      </c>
      <c r="AO216" s="128">
        <v>0</v>
      </c>
      <c r="AP216" s="128">
        <v>0</v>
      </c>
      <c r="AQ216" s="128">
        <v>0</v>
      </c>
      <c r="AR216" s="128">
        <v>0</v>
      </c>
      <c r="AS216" s="128">
        <v>0</v>
      </c>
      <c r="AT216" s="128">
        <v>0</v>
      </c>
      <c r="AU216" s="128">
        <v>0</v>
      </c>
      <c r="AV216" s="128">
        <v>0</v>
      </c>
      <c r="AW216" s="128">
        <v>0</v>
      </c>
      <c r="AX216" s="128">
        <v>0</v>
      </c>
      <c r="AY216" s="128">
        <v>0</v>
      </c>
    </row>
    <row r="217" spans="1:51" x14ac:dyDescent="0.2">
      <c r="A217" s="127"/>
      <c r="B217" s="136">
        <v>9</v>
      </c>
      <c r="C217" s="124">
        <v>0</v>
      </c>
      <c r="D217" s="128">
        <v>0</v>
      </c>
      <c r="E217" s="128">
        <v>0</v>
      </c>
      <c r="F217" s="128">
        <v>0</v>
      </c>
      <c r="G217" s="128">
        <v>0</v>
      </c>
      <c r="H217" s="128">
        <v>0</v>
      </c>
      <c r="I217" s="128">
        <v>0</v>
      </c>
      <c r="J217" s="128">
        <v>0</v>
      </c>
      <c r="K217" s="128">
        <v>0</v>
      </c>
      <c r="L217" s="128">
        <v>0</v>
      </c>
      <c r="M217" s="128">
        <v>0</v>
      </c>
      <c r="N217" s="128">
        <v>0</v>
      </c>
      <c r="O217" s="128">
        <v>0</v>
      </c>
      <c r="P217" s="128">
        <v>0</v>
      </c>
      <c r="Q217" s="128">
        <v>0</v>
      </c>
      <c r="R217" s="128">
        <v>0</v>
      </c>
      <c r="S217" s="128">
        <v>0</v>
      </c>
      <c r="T217" s="128">
        <v>0</v>
      </c>
      <c r="U217" s="128">
        <v>0</v>
      </c>
      <c r="V217" s="128">
        <v>0</v>
      </c>
      <c r="W217" s="128">
        <v>0</v>
      </c>
      <c r="X217" s="128">
        <v>0</v>
      </c>
      <c r="Y217" s="128">
        <v>0</v>
      </c>
      <c r="Z217" s="128">
        <v>0</v>
      </c>
      <c r="AA217" s="128">
        <v>0</v>
      </c>
      <c r="AB217" s="128">
        <v>0</v>
      </c>
      <c r="AC217" s="128">
        <v>0</v>
      </c>
      <c r="AD217" s="128">
        <v>0</v>
      </c>
      <c r="AE217" s="128">
        <v>0</v>
      </c>
      <c r="AF217" s="128">
        <v>0</v>
      </c>
      <c r="AG217" s="128">
        <v>0</v>
      </c>
      <c r="AH217" s="128">
        <v>0</v>
      </c>
      <c r="AI217" s="128">
        <v>0</v>
      </c>
      <c r="AJ217" s="128">
        <v>0</v>
      </c>
      <c r="AK217" s="128">
        <v>0</v>
      </c>
      <c r="AL217" s="128">
        <v>0</v>
      </c>
      <c r="AM217" s="128">
        <v>0</v>
      </c>
      <c r="AN217" s="128">
        <v>0</v>
      </c>
      <c r="AO217" s="128">
        <v>0</v>
      </c>
      <c r="AP217" s="128">
        <v>0</v>
      </c>
      <c r="AQ217" s="128">
        <v>0</v>
      </c>
      <c r="AR217" s="128">
        <v>0</v>
      </c>
      <c r="AS217" s="128">
        <v>0</v>
      </c>
      <c r="AT217" s="128">
        <v>0</v>
      </c>
      <c r="AU217" s="128">
        <v>0</v>
      </c>
      <c r="AV217" s="128">
        <v>0</v>
      </c>
      <c r="AW217" s="128">
        <v>0</v>
      </c>
      <c r="AX217" s="128">
        <v>0</v>
      </c>
      <c r="AY217" s="128">
        <v>0</v>
      </c>
    </row>
    <row r="218" spans="1:51" x14ac:dyDescent="0.2">
      <c r="A218" s="127"/>
      <c r="B218" s="136">
        <v>10</v>
      </c>
      <c r="C218" s="124">
        <v>0</v>
      </c>
      <c r="D218" s="128">
        <v>0</v>
      </c>
      <c r="E218" s="128">
        <v>0</v>
      </c>
      <c r="F218" s="128">
        <v>0</v>
      </c>
      <c r="G218" s="128">
        <v>0</v>
      </c>
      <c r="H218" s="128">
        <v>0</v>
      </c>
      <c r="I218" s="128">
        <v>0</v>
      </c>
      <c r="J218" s="128">
        <v>0</v>
      </c>
      <c r="K218" s="128">
        <v>0</v>
      </c>
      <c r="L218" s="128">
        <v>0</v>
      </c>
      <c r="M218" s="128">
        <v>0</v>
      </c>
      <c r="N218" s="128">
        <v>0</v>
      </c>
      <c r="O218" s="128">
        <v>0</v>
      </c>
      <c r="P218" s="128">
        <v>0</v>
      </c>
      <c r="Q218" s="128">
        <v>0</v>
      </c>
      <c r="R218" s="128">
        <v>0</v>
      </c>
      <c r="S218" s="128">
        <v>0</v>
      </c>
      <c r="T218" s="128">
        <v>0</v>
      </c>
      <c r="U218" s="128">
        <v>0</v>
      </c>
      <c r="V218" s="128">
        <v>0</v>
      </c>
      <c r="W218" s="128">
        <v>0</v>
      </c>
      <c r="X218" s="128">
        <v>0</v>
      </c>
      <c r="Y218" s="128">
        <v>0</v>
      </c>
      <c r="Z218" s="128">
        <v>0</v>
      </c>
      <c r="AA218" s="128">
        <v>0</v>
      </c>
      <c r="AB218" s="128">
        <v>0</v>
      </c>
      <c r="AC218" s="128">
        <v>0</v>
      </c>
      <c r="AD218" s="128">
        <v>0</v>
      </c>
      <c r="AE218" s="128">
        <v>0</v>
      </c>
      <c r="AF218" s="128">
        <v>0</v>
      </c>
      <c r="AG218" s="128">
        <v>0</v>
      </c>
      <c r="AH218" s="128">
        <v>0</v>
      </c>
      <c r="AI218" s="128">
        <v>0</v>
      </c>
      <c r="AJ218" s="128">
        <v>0</v>
      </c>
      <c r="AK218" s="128">
        <v>0</v>
      </c>
      <c r="AL218" s="128">
        <v>0</v>
      </c>
      <c r="AM218" s="128">
        <v>0</v>
      </c>
      <c r="AN218" s="128">
        <v>0</v>
      </c>
      <c r="AO218" s="128">
        <v>0</v>
      </c>
      <c r="AP218" s="128">
        <v>0</v>
      </c>
      <c r="AQ218" s="128">
        <v>0</v>
      </c>
      <c r="AR218" s="128">
        <v>0</v>
      </c>
      <c r="AS218" s="128">
        <v>0</v>
      </c>
      <c r="AT218" s="128">
        <v>0</v>
      </c>
      <c r="AU218" s="128">
        <v>0</v>
      </c>
      <c r="AV218" s="128">
        <v>0</v>
      </c>
      <c r="AW218" s="128">
        <v>0</v>
      </c>
      <c r="AX218" s="128">
        <v>0</v>
      </c>
      <c r="AY218" s="128">
        <v>0</v>
      </c>
    </row>
    <row r="219" spans="1:51" x14ac:dyDescent="0.2">
      <c r="A219" s="127"/>
      <c r="B219" s="136">
        <v>11</v>
      </c>
      <c r="C219" s="124">
        <v>0</v>
      </c>
      <c r="D219" s="128">
        <v>0</v>
      </c>
      <c r="E219" s="128">
        <v>0</v>
      </c>
      <c r="F219" s="128">
        <v>0</v>
      </c>
      <c r="G219" s="128">
        <v>0</v>
      </c>
      <c r="H219" s="128">
        <v>0</v>
      </c>
      <c r="I219" s="128">
        <v>0</v>
      </c>
      <c r="J219" s="128">
        <v>0</v>
      </c>
      <c r="K219" s="128">
        <v>0</v>
      </c>
      <c r="L219" s="128">
        <v>0</v>
      </c>
      <c r="M219" s="128">
        <v>0</v>
      </c>
      <c r="N219" s="128">
        <v>0</v>
      </c>
      <c r="O219" s="128">
        <v>0</v>
      </c>
      <c r="P219" s="128">
        <v>0</v>
      </c>
      <c r="Q219" s="128">
        <v>0</v>
      </c>
      <c r="R219" s="128">
        <v>0</v>
      </c>
      <c r="S219" s="128">
        <v>0</v>
      </c>
      <c r="T219" s="128">
        <v>0</v>
      </c>
      <c r="U219" s="128">
        <v>0</v>
      </c>
      <c r="V219" s="128">
        <v>0</v>
      </c>
      <c r="W219" s="128">
        <v>0</v>
      </c>
      <c r="X219" s="128">
        <v>0</v>
      </c>
      <c r="Y219" s="128">
        <v>0</v>
      </c>
      <c r="Z219" s="128">
        <v>0</v>
      </c>
      <c r="AA219" s="128">
        <v>0</v>
      </c>
      <c r="AB219" s="128">
        <v>0</v>
      </c>
      <c r="AC219" s="128">
        <v>0</v>
      </c>
      <c r="AD219" s="128">
        <v>0</v>
      </c>
      <c r="AE219" s="128">
        <v>0</v>
      </c>
      <c r="AF219" s="128">
        <v>0</v>
      </c>
      <c r="AG219" s="128">
        <v>0</v>
      </c>
      <c r="AH219" s="128">
        <v>0</v>
      </c>
      <c r="AI219" s="128">
        <v>0</v>
      </c>
      <c r="AJ219" s="128">
        <v>0</v>
      </c>
      <c r="AK219" s="128">
        <v>0</v>
      </c>
      <c r="AL219" s="128">
        <v>0</v>
      </c>
      <c r="AM219" s="128">
        <v>0</v>
      </c>
      <c r="AN219" s="128">
        <v>0</v>
      </c>
      <c r="AO219" s="128">
        <v>0</v>
      </c>
      <c r="AP219" s="128">
        <v>0</v>
      </c>
      <c r="AQ219" s="128">
        <v>0</v>
      </c>
      <c r="AR219" s="128">
        <v>0</v>
      </c>
      <c r="AS219" s="128">
        <v>0</v>
      </c>
      <c r="AT219" s="128">
        <v>0</v>
      </c>
      <c r="AU219" s="128">
        <v>0</v>
      </c>
      <c r="AV219" s="128">
        <v>0</v>
      </c>
      <c r="AW219" s="128">
        <v>0</v>
      </c>
      <c r="AX219" s="128">
        <v>0</v>
      </c>
      <c r="AY219" s="128">
        <v>0</v>
      </c>
    </row>
    <row r="220" spans="1:51" x14ac:dyDescent="0.2">
      <c r="A220" s="127"/>
      <c r="B220" s="136">
        <v>12</v>
      </c>
      <c r="C220" s="124">
        <v>0</v>
      </c>
      <c r="D220" s="128">
        <v>0</v>
      </c>
      <c r="E220" s="128">
        <v>0</v>
      </c>
      <c r="F220" s="128">
        <v>0</v>
      </c>
      <c r="G220" s="128">
        <v>0</v>
      </c>
      <c r="H220" s="128">
        <v>0</v>
      </c>
      <c r="I220" s="128">
        <v>0</v>
      </c>
      <c r="J220" s="128">
        <v>0</v>
      </c>
      <c r="K220" s="128">
        <v>0</v>
      </c>
      <c r="L220" s="128">
        <v>0</v>
      </c>
      <c r="M220" s="128">
        <v>0</v>
      </c>
      <c r="N220" s="128">
        <v>0</v>
      </c>
      <c r="O220" s="128">
        <v>0</v>
      </c>
      <c r="P220" s="128">
        <v>0</v>
      </c>
      <c r="Q220" s="128">
        <v>0</v>
      </c>
      <c r="R220" s="128">
        <v>0</v>
      </c>
      <c r="S220" s="128">
        <v>0</v>
      </c>
      <c r="T220" s="128">
        <v>0</v>
      </c>
      <c r="U220" s="128">
        <v>0</v>
      </c>
      <c r="V220" s="128">
        <v>0</v>
      </c>
      <c r="W220" s="128">
        <v>0</v>
      </c>
      <c r="X220" s="128">
        <v>0</v>
      </c>
      <c r="Y220" s="128">
        <v>0</v>
      </c>
      <c r="Z220" s="128">
        <v>0</v>
      </c>
      <c r="AA220" s="128">
        <v>0</v>
      </c>
      <c r="AB220" s="128">
        <v>0</v>
      </c>
      <c r="AC220" s="128">
        <v>0</v>
      </c>
      <c r="AD220" s="128">
        <v>0</v>
      </c>
      <c r="AE220" s="128">
        <v>0</v>
      </c>
      <c r="AF220" s="128">
        <v>0</v>
      </c>
      <c r="AG220" s="128">
        <v>0</v>
      </c>
      <c r="AH220" s="128">
        <v>0</v>
      </c>
      <c r="AI220" s="128">
        <v>0</v>
      </c>
      <c r="AJ220" s="128">
        <v>0</v>
      </c>
      <c r="AK220" s="128">
        <v>0</v>
      </c>
      <c r="AL220" s="128">
        <v>0</v>
      </c>
      <c r="AM220" s="128">
        <v>0</v>
      </c>
      <c r="AN220" s="128">
        <v>0</v>
      </c>
      <c r="AO220" s="128">
        <v>0</v>
      </c>
      <c r="AP220" s="128">
        <v>0</v>
      </c>
      <c r="AQ220" s="128">
        <v>0</v>
      </c>
      <c r="AR220" s="128">
        <v>0</v>
      </c>
      <c r="AS220" s="128">
        <v>0</v>
      </c>
      <c r="AT220" s="128">
        <v>0</v>
      </c>
      <c r="AU220" s="128">
        <v>0</v>
      </c>
      <c r="AV220" s="128">
        <v>0</v>
      </c>
      <c r="AW220" s="128">
        <v>0</v>
      </c>
      <c r="AX220" s="128">
        <v>0</v>
      </c>
      <c r="AY220" s="128">
        <v>0</v>
      </c>
    </row>
    <row r="221" spans="1:51" x14ac:dyDescent="0.2">
      <c r="A221" s="127"/>
      <c r="B221" s="137">
        <v>13</v>
      </c>
      <c r="C221" s="124">
        <v>0</v>
      </c>
      <c r="D221" s="128">
        <v>0</v>
      </c>
      <c r="E221" s="128">
        <v>0</v>
      </c>
      <c r="F221" s="128">
        <v>0</v>
      </c>
      <c r="G221" s="128">
        <v>0</v>
      </c>
      <c r="H221" s="128">
        <v>0</v>
      </c>
      <c r="I221" s="128">
        <v>0</v>
      </c>
      <c r="J221" s="128">
        <v>0</v>
      </c>
      <c r="K221" s="128">
        <v>0</v>
      </c>
      <c r="L221" s="128">
        <v>0</v>
      </c>
      <c r="M221" s="128">
        <v>0</v>
      </c>
      <c r="N221" s="128">
        <v>0</v>
      </c>
      <c r="O221" s="128">
        <v>0</v>
      </c>
      <c r="P221" s="128">
        <v>0</v>
      </c>
      <c r="Q221" s="128">
        <v>0</v>
      </c>
      <c r="R221" s="128">
        <v>0</v>
      </c>
      <c r="S221" s="128">
        <v>0</v>
      </c>
      <c r="T221" s="128">
        <v>0</v>
      </c>
      <c r="U221" s="128">
        <v>0</v>
      </c>
      <c r="V221" s="128">
        <v>0</v>
      </c>
      <c r="W221" s="128">
        <v>0</v>
      </c>
      <c r="X221" s="128">
        <v>0</v>
      </c>
      <c r="Y221" s="128">
        <v>0</v>
      </c>
      <c r="Z221" s="128">
        <v>0</v>
      </c>
      <c r="AA221" s="128">
        <v>0</v>
      </c>
      <c r="AB221" s="128">
        <v>0</v>
      </c>
      <c r="AC221" s="128">
        <v>0</v>
      </c>
      <c r="AD221" s="128">
        <v>0</v>
      </c>
      <c r="AE221" s="128">
        <v>0</v>
      </c>
      <c r="AF221" s="128">
        <v>0</v>
      </c>
      <c r="AG221" s="128">
        <v>0</v>
      </c>
      <c r="AH221" s="128">
        <v>0</v>
      </c>
      <c r="AI221" s="128">
        <v>0</v>
      </c>
      <c r="AJ221" s="128">
        <v>0</v>
      </c>
      <c r="AK221" s="128">
        <v>0</v>
      </c>
      <c r="AL221" s="128">
        <v>0</v>
      </c>
      <c r="AM221" s="128">
        <v>0</v>
      </c>
      <c r="AN221" s="128">
        <v>0</v>
      </c>
      <c r="AO221" s="128">
        <v>0</v>
      </c>
      <c r="AP221" s="128">
        <v>0</v>
      </c>
      <c r="AQ221" s="128">
        <v>0</v>
      </c>
      <c r="AR221" s="128">
        <v>0</v>
      </c>
      <c r="AS221" s="128">
        <v>0</v>
      </c>
      <c r="AT221" s="128">
        <v>0</v>
      </c>
      <c r="AU221" s="128">
        <v>0</v>
      </c>
      <c r="AV221" s="128">
        <v>0</v>
      </c>
      <c r="AW221" s="128">
        <v>0</v>
      </c>
      <c r="AX221" s="128">
        <v>0</v>
      </c>
      <c r="AY221" s="128">
        <v>0</v>
      </c>
    </row>
    <row r="222" spans="1:51" x14ac:dyDescent="0.2">
      <c r="A222" s="127"/>
      <c r="B222" s="137">
        <v>14</v>
      </c>
      <c r="C222" s="124">
        <v>0</v>
      </c>
      <c r="D222" s="128">
        <v>0</v>
      </c>
      <c r="E222" s="128">
        <v>0</v>
      </c>
      <c r="F222" s="128">
        <v>0</v>
      </c>
      <c r="G222" s="128">
        <v>0</v>
      </c>
      <c r="H222" s="128">
        <v>0</v>
      </c>
      <c r="I222" s="128">
        <v>0</v>
      </c>
      <c r="J222" s="128">
        <v>0</v>
      </c>
      <c r="K222" s="128">
        <v>0</v>
      </c>
      <c r="L222" s="128">
        <v>0</v>
      </c>
      <c r="M222" s="128">
        <v>0</v>
      </c>
      <c r="N222" s="128">
        <v>0</v>
      </c>
      <c r="O222" s="128">
        <v>0</v>
      </c>
      <c r="P222" s="128">
        <v>0</v>
      </c>
      <c r="Q222" s="128">
        <v>0</v>
      </c>
      <c r="R222" s="128">
        <v>0</v>
      </c>
      <c r="S222" s="128">
        <v>0</v>
      </c>
      <c r="T222" s="128">
        <v>0</v>
      </c>
      <c r="U222" s="128">
        <v>0</v>
      </c>
      <c r="V222" s="128">
        <v>0</v>
      </c>
      <c r="W222" s="128">
        <v>0</v>
      </c>
      <c r="X222" s="128">
        <v>0</v>
      </c>
      <c r="Y222" s="128">
        <v>0</v>
      </c>
      <c r="Z222" s="128">
        <v>0</v>
      </c>
      <c r="AA222" s="128">
        <v>0</v>
      </c>
      <c r="AB222" s="128">
        <v>0</v>
      </c>
      <c r="AC222" s="128">
        <v>0</v>
      </c>
      <c r="AD222" s="128">
        <v>0</v>
      </c>
      <c r="AE222" s="128">
        <v>0</v>
      </c>
      <c r="AF222" s="128">
        <v>0</v>
      </c>
      <c r="AG222" s="128">
        <v>0</v>
      </c>
      <c r="AH222" s="128">
        <v>0</v>
      </c>
      <c r="AI222" s="128">
        <v>0</v>
      </c>
      <c r="AJ222" s="128">
        <v>0</v>
      </c>
      <c r="AK222" s="128">
        <v>0</v>
      </c>
      <c r="AL222" s="128">
        <v>0</v>
      </c>
      <c r="AM222" s="128">
        <v>0</v>
      </c>
      <c r="AN222" s="128">
        <v>0</v>
      </c>
      <c r="AO222" s="128">
        <v>0</v>
      </c>
      <c r="AP222" s="128">
        <v>0</v>
      </c>
      <c r="AQ222" s="128">
        <v>0</v>
      </c>
      <c r="AR222" s="128">
        <v>0</v>
      </c>
      <c r="AS222" s="128">
        <v>0</v>
      </c>
      <c r="AT222" s="128">
        <v>0</v>
      </c>
      <c r="AU222" s="128">
        <v>0</v>
      </c>
      <c r="AV222" s="128">
        <v>0</v>
      </c>
      <c r="AW222" s="128">
        <v>0</v>
      </c>
      <c r="AX222" s="128">
        <v>0</v>
      </c>
      <c r="AY222" s="128">
        <v>0</v>
      </c>
    </row>
    <row r="223" spans="1:51" x14ac:dyDescent="0.2">
      <c r="A223" s="127"/>
      <c r="B223" s="137">
        <v>15</v>
      </c>
      <c r="C223" s="124">
        <v>0</v>
      </c>
      <c r="D223" s="128">
        <v>0</v>
      </c>
      <c r="E223" s="128">
        <v>0</v>
      </c>
      <c r="F223" s="128">
        <v>0</v>
      </c>
      <c r="G223" s="128">
        <v>0</v>
      </c>
      <c r="H223" s="128">
        <v>0</v>
      </c>
      <c r="I223" s="128">
        <v>0</v>
      </c>
      <c r="J223" s="128">
        <v>0</v>
      </c>
      <c r="K223" s="128">
        <v>0</v>
      </c>
      <c r="L223" s="128">
        <v>0</v>
      </c>
      <c r="M223" s="128">
        <v>0</v>
      </c>
      <c r="N223" s="128">
        <v>0</v>
      </c>
      <c r="O223" s="128">
        <v>0</v>
      </c>
      <c r="P223" s="128">
        <v>0</v>
      </c>
      <c r="Q223" s="128">
        <v>0</v>
      </c>
      <c r="R223" s="128">
        <v>0</v>
      </c>
      <c r="S223" s="128">
        <v>0</v>
      </c>
      <c r="T223" s="128">
        <v>0</v>
      </c>
      <c r="U223" s="128">
        <v>0</v>
      </c>
      <c r="V223" s="128">
        <v>0</v>
      </c>
      <c r="W223" s="128">
        <v>0</v>
      </c>
      <c r="X223" s="128">
        <v>0</v>
      </c>
      <c r="Y223" s="128">
        <v>0</v>
      </c>
      <c r="Z223" s="128">
        <v>0</v>
      </c>
      <c r="AA223" s="128">
        <v>0</v>
      </c>
      <c r="AB223" s="128">
        <v>0</v>
      </c>
      <c r="AC223" s="128">
        <v>0</v>
      </c>
      <c r="AD223" s="128">
        <v>0</v>
      </c>
      <c r="AE223" s="128">
        <v>0</v>
      </c>
      <c r="AF223" s="128">
        <v>0</v>
      </c>
      <c r="AG223" s="128">
        <v>0</v>
      </c>
      <c r="AH223" s="128">
        <v>0</v>
      </c>
      <c r="AI223" s="128">
        <v>0</v>
      </c>
      <c r="AJ223" s="128">
        <v>0</v>
      </c>
      <c r="AK223" s="128">
        <v>0</v>
      </c>
      <c r="AL223" s="128">
        <v>0</v>
      </c>
      <c r="AM223" s="128">
        <v>0</v>
      </c>
      <c r="AN223" s="128">
        <v>0</v>
      </c>
      <c r="AO223" s="128">
        <v>0</v>
      </c>
      <c r="AP223" s="128">
        <v>0</v>
      </c>
      <c r="AQ223" s="128">
        <v>0</v>
      </c>
      <c r="AR223" s="128">
        <v>0</v>
      </c>
      <c r="AS223" s="128">
        <v>0</v>
      </c>
      <c r="AT223" s="128">
        <v>0</v>
      </c>
      <c r="AU223" s="128">
        <v>0</v>
      </c>
      <c r="AV223" s="128">
        <v>0</v>
      </c>
      <c r="AW223" s="128">
        <v>0</v>
      </c>
      <c r="AX223" s="128">
        <v>0</v>
      </c>
      <c r="AY223" s="128">
        <v>0</v>
      </c>
    </row>
    <row r="224" spans="1:51" x14ac:dyDescent="0.2">
      <c r="A224" s="127"/>
      <c r="B224" s="137">
        <v>16</v>
      </c>
      <c r="C224" s="124">
        <v>0</v>
      </c>
      <c r="D224" s="128">
        <v>0</v>
      </c>
      <c r="E224" s="128">
        <v>0</v>
      </c>
      <c r="F224" s="128">
        <v>0</v>
      </c>
      <c r="G224" s="128">
        <v>0</v>
      </c>
      <c r="H224" s="128">
        <v>0</v>
      </c>
      <c r="I224" s="128">
        <v>0</v>
      </c>
      <c r="J224" s="128">
        <v>0</v>
      </c>
      <c r="K224" s="128">
        <v>0</v>
      </c>
      <c r="L224" s="128">
        <v>0</v>
      </c>
      <c r="M224" s="128">
        <v>0</v>
      </c>
      <c r="N224" s="128">
        <v>0</v>
      </c>
      <c r="O224" s="128">
        <v>0</v>
      </c>
      <c r="P224" s="128">
        <v>0</v>
      </c>
      <c r="Q224" s="128">
        <v>0</v>
      </c>
      <c r="R224" s="128">
        <v>0</v>
      </c>
      <c r="S224" s="128">
        <v>0</v>
      </c>
      <c r="T224" s="128">
        <v>0</v>
      </c>
      <c r="U224" s="128">
        <v>0</v>
      </c>
      <c r="V224" s="128">
        <v>0</v>
      </c>
      <c r="W224" s="128">
        <v>0</v>
      </c>
      <c r="X224" s="128">
        <v>0</v>
      </c>
      <c r="Y224" s="128">
        <v>0</v>
      </c>
      <c r="Z224" s="128">
        <v>0</v>
      </c>
      <c r="AA224" s="128">
        <v>0</v>
      </c>
      <c r="AB224" s="128">
        <v>0</v>
      </c>
      <c r="AC224" s="128">
        <v>0</v>
      </c>
      <c r="AD224" s="128">
        <v>0</v>
      </c>
      <c r="AE224" s="128">
        <v>0</v>
      </c>
      <c r="AF224" s="128">
        <v>0</v>
      </c>
      <c r="AG224" s="128">
        <v>0</v>
      </c>
      <c r="AH224" s="128">
        <v>0</v>
      </c>
      <c r="AI224" s="128">
        <v>0</v>
      </c>
      <c r="AJ224" s="128">
        <v>0</v>
      </c>
      <c r="AK224" s="128">
        <v>0</v>
      </c>
      <c r="AL224" s="128">
        <v>0</v>
      </c>
      <c r="AM224" s="128">
        <v>0</v>
      </c>
      <c r="AN224" s="128">
        <v>0</v>
      </c>
      <c r="AO224" s="128">
        <v>0</v>
      </c>
      <c r="AP224" s="128">
        <v>0</v>
      </c>
      <c r="AQ224" s="128">
        <v>0</v>
      </c>
      <c r="AR224" s="128">
        <v>0</v>
      </c>
      <c r="AS224" s="128">
        <v>0</v>
      </c>
      <c r="AT224" s="128">
        <v>0</v>
      </c>
      <c r="AU224" s="128">
        <v>0</v>
      </c>
      <c r="AV224" s="128">
        <v>0</v>
      </c>
      <c r="AW224" s="128">
        <v>0</v>
      </c>
      <c r="AX224" s="128">
        <v>0</v>
      </c>
      <c r="AY224" s="128">
        <v>0</v>
      </c>
    </row>
    <row r="225" spans="1:51" x14ac:dyDescent="0.2">
      <c r="A225" s="127"/>
      <c r="B225" s="137">
        <v>17</v>
      </c>
      <c r="C225" s="124">
        <v>0</v>
      </c>
      <c r="D225" s="128">
        <v>0</v>
      </c>
      <c r="E225" s="128">
        <v>0</v>
      </c>
      <c r="F225" s="128">
        <v>0</v>
      </c>
      <c r="G225" s="128">
        <v>0</v>
      </c>
      <c r="H225" s="128">
        <v>0</v>
      </c>
      <c r="I225" s="128">
        <v>0</v>
      </c>
      <c r="J225" s="128">
        <v>0</v>
      </c>
      <c r="K225" s="128">
        <v>0</v>
      </c>
      <c r="L225" s="128">
        <v>0</v>
      </c>
      <c r="M225" s="128">
        <v>0</v>
      </c>
      <c r="N225" s="128">
        <v>0</v>
      </c>
      <c r="O225" s="128">
        <v>0</v>
      </c>
      <c r="P225" s="128">
        <v>0</v>
      </c>
      <c r="Q225" s="128">
        <v>0</v>
      </c>
      <c r="R225" s="128">
        <v>0</v>
      </c>
      <c r="S225" s="128">
        <v>0</v>
      </c>
      <c r="T225" s="128">
        <v>0</v>
      </c>
      <c r="U225" s="128">
        <v>0</v>
      </c>
      <c r="V225" s="128">
        <v>0</v>
      </c>
      <c r="W225" s="128">
        <v>0</v>
      </c>
      <c r="X225" s="128">
        <v>0</v>
      </c>
      <c r="Y225" s="128">
        <v>0</v>
      </c>
      <c r="Z225" s="128">
        <v>0</v>
      </c>
      <c r="AA225" s="128">
        <v>0</v>
      </c>
      <c r="AB225" s="128">
        <v>0</v>
      </c>
      <c r="AC225" s="128">
        <v>0</v>
      </c>
      <c r="AD225" s="128">
        <v>0</v>
      </c>
      <c r="AE225" s="128">
        <v>0</v>
      </c>
      <c r="AF225" s="128">
        <v>0</v>
      </c>
      <c r="AG225" s="128">
        <v>0</v>
      </c>
      <c r="AH225" s="128">
        <v>0</v>
      </c>
      <c r="AI225" s="128">
        <v>0</v>
      </c>
      <c r="AJ225" s="128">
        <v>0</v>
      </c>
      <c r="AK225" s="128">
        <v>0</v>
      </c>
      <c r="AL225" s="128">
        <v>0</v>
      </c>
      <c r="AM225" s="128">
        <v>0</v>
      </c>
      <c r="AN225" s="128">
        <v>0</v>
      </c>
      <c r="AO225" s="128">
        <v>0</v>
      </c>
      <c r="AP225" s="128">
        <v>0</v>
      </c>
      <c r="AQ225" s="128">
        <v>0</v>
      </c>
      <c r="AR225" s="128">
        <v>0</v>
      </c>
      <c r="AS225" s="128">
        <v>0</v>
      </c>
      <c r="AT225" s="128">
        <v>0</v>
      </c>
      <c r="AU225" s="128">
        <v>0</v>
      </c>
      <c r="AV225" s="128">
        <v>0</v>
      </c>
      <c r="AW225" s="128">
        <v>0</v>
      </c>
      <c r="AX225" s="128">
        <v>0</v>
      </c>
      <c r="AY225" s="128">
        <v>0</v>
      </c>
    </row>
    <row r="226" spans="1:51" x14ac:dyDescent="0.2">
      <c r="A226" s="127"/>
      <c r="B226" s="137">
        <v>18</v>
      </c>
      <c r="C226" s="124">
        <v>0</v>
      </c>
      <c r="D226" s="128">
        <v>0</v>
      </c>
      <c r="E226" s="128">
        <v>0</v>
      </c>
      <c r="F226" s="128">
        <v>0</v>
      </c>
      <c r="G226" s="128">
        <v>0</v>
      </c>
      <c r="H226" s="128">
        <v>0</v>
      </c>
      <c r="I226" s="128">
        <v>0</v>
      </c>
      <c r="J226" s="128">
        <v>0</v>
      </c>
      <c r="K226" s="128">
        <v>0</v>
      </c>
      <c r="L226" s="128">
        <v>0</v>
      </c>
      <c r="M226" s="128">
        <v>0</v>
      </c>
      <c r="N226" s="128">
        <v>0</v>
      </c>
      <c r="O226" s="128">
        <v>0</v>
      </c>
      <c r="P226" s="128">
        <v>0</v>
      </c>
      <c r="Q226" s="128">
        <v>0</v>
      </c>
      <c r="R226" s="128">
        <v>0</v>
      </c>
      <c r="S226" s="128">
        <v>0</v>
      </c>
      <c r="T226" s="128">
        <v>0</v>
      </c>
      <c r="U226" s="128">
        <v>0</v>
      </c>
      <c r="V226" s="128">
        <v>0</v>
      </c>
      <c r="W226" s="128">
        <v>0</v>
      </c>
      <c r="X226" s="128">
        <v>0</v>
      </c>
      <c r="Y226" s="128">
        <v>0</v>
      </c>
      <c r="Z226" s="128">
        <v>0</v>
      </c>
      <c r="AA226" s="128">
        <v>0</v>
      </c>
      <c r="AB226" s="128">
        <v>0</v>
      </c>
      <c r="AC226" s="128">
        <v>0</v>
      </c>
      <c r="AD226" s="128">
        <v>0</v>
      </c>
      <c r="AE226" s="128">
        <v>0</v>
      </c>
      <c r="AF226" s="128">
        <v>0</v>
      </c>
      <c r="AG226" s="128">
        <v>0</v>
      </c>
      <c r="AH226" s="128">
        <v>0</v>
      </c>
      <c r="AI226" s="128">
        <v>0</v>
      </c>
      <c r="AJ226" s="128">
        <v>0</v>
      </c>
      <c r="AK226" s="128">
        <v>0</v>
      </c>
      <c r="AL226" s="128">
        <v>0</v>
      </c>
      <c r="AM226" s="128">
        <v>0</v>
      </c>
      <c r="AN226" s="128">
        <v>0</v>
      </c>
      <c r="AO226" s="128">
        <v>0</v>
      </c>
      <c r="AP226" s="128">
        <v>0</v>
      </c>
      <c r="AQ226" s="128">
        <v>0</v>
      </c>
      <c r="AR226" s="128">
        <v>0</v>
      </c>
      <c r="AS226" s="128">
        <v>0</v>
      </c>
      <c r="AT226" s="128">
        <v>0</v>
      </c>
      <c r="AU226" s="128">
        <v>0</v>
      </c>
      <c r="AV226" s="128">
        <v>0</v>
      </c>
      <c r="AW226" s="128">
        <v>0</v>
      </c>
      <c r="AX226" s="128">
        <v>0</v>
      </c>
      <c r="AY226" s="128">
        <v>0</v>
      </c>
    </row>
    <row r="227" spans="1:51" x14ac:dyDescent="0.2">
      <c r="A227" s="127"/>
      <c r="B227" s="137">
        <v>19</v>
      </c>
      <c r="C227" s="124">
        <v>0</v>
      </c>
      <c r="D227" s="128">
        <v>0</v>
      </c>
      <c r="E227" s="128">
        <v>0</v>
      </c>
      <c r="F227" s="128">
        <v>0</v>
      </c>
      <c r="G227" s="128">
        <v>0</v>
      </c>
      <c r="H227" s="128">
        <v>0</v>
      </c>
      <c r="I227" s="128">
        <v>0</v>
      </c>
      <c r="J227" s="128">
        <v>0</v>
      </c>
      <c r="K227" s="128">
        <v>0</v>
      </c>
      <c r="L227" s="128">
        <v>0</v>
      </c>
      <c r="M227" s="128">
        <v>0</v>
      </c>
      <c r="N227" s="128">
        <v>0</v>
      </c>
      <c r="O227" s="128">
        <v>0</v>
      </c>
      <c r="P227" s="128">
        <v>0</v>
      </c>
      <c r="Q227" s="128">
        <v>0</v>
      </c>
      <c r="R227" s="128">
        <v>0</v>
      </c>
      <c r="S227" s="128">
        <v>0</v>
      </c>
      <c r="T227" s="128">
        <v>0</v>
      </c>
      <c r="U227" s="128">
        <v>0</v>
      </c>
      <c r="V227" s="128">
        <v>0</v>
      </c>
      <c r="W227" s="128">
        <v>0</v>
      </c>
      <c r="X227" s="128">
        <v>0</v>
      </c>
      <c r="Y227" s="128">
        <v>0</v>
      </c>
      <c r="Z227" s="128">
        <v>0</v>
      </c>
      <c r="AA227" s="128">
        <v>0</v>
      </c>
      <c r="AB227" s="128">
        <v>0</v>
      </c>
      <c r="AC227" s="128">
        <v>0</v>
      </c>
      <c r="AD227" s="128">
        <v>0</v>
      </c>
      <c r="AE227" s="128">
        <v>0</v>
      </c>
      <c r="AF227" s="128">
        <v>0</v>
      </c>
      <c r="AG227" s="128">
        <v>0</v>
      </c>
      <c r="AH227" s="128">
        <v>0</v>
      </c>
      <c r="AI227" s="128">
        <v>0</v>
      </c>
      <c r="AJ227" s="128">
        <v>0</v>
      </c>
      <c r="AK227" s="128">
        <v>0</v>
      </c>
      <c r="AL227" s="128">
        <v>0</v>
      </c>
      <c r="AM227" s="128">
        <v>0</v>
      </c>
      <c r="AN227" s="128">
        <v>0</v>
      </c>
      <c r="AO227" s="128">
        <v>0</v>
      </c>
      <c r="AP227" s="128">
        <v>0</v>
      </c>
      <c r="AQ227" s="128">
        <v>0</v>
      </c>
      <c r="AR227" s="128">
        <v>0</v>
      </c>
      <c r="AS227" s="128">
        <v>0</v>
      </c>
      <c r="AT227" s="128">
        <v>0</v>
      </c>
      <c r="AU227" s="128">
        <v>0</v>
      </c>
      <c r="AV227" s="128">
        <v>0</v>
      </c>
      <c r="AW227" s="128">
        <v>0</v>
      </c>
      <c r="AX227" s="128">
        <v>0</v>
      </c>
      <c r="AY227" s="128">
        <v>0</v>
      </c>
    </row>
    <row r="228" spans="1:51" x14ac:dyDescent="0.2">
      <c r="A228" s="127"/>
      <c r="B228" s="137">
        <v>20</v>
      </c>
      <c r="C228" s="124">
        <v>0</v>
      </c>
      <c r="D228" s="128">
        <v>0</v>
      </c>
      <c r="E228" s="128">
        <v>0</v>
      </c>
      <c r="F228" s="128">
        <v>0</v>
      </c>
      <c r="G228" s="128">
        <v>0</v>
      </c>
      <c r="H228" s="128">
        <v>0</v>
      </c>
      <c r="I228" s="128">
        <v>0</v>
      </c>
      <c r="J228" s="128">
        <v>0</v>
      </c>
      <c r="K228" s="128">
        <v>0</v>
      </c>
      <c r="L228" s="128">
        <v>0</v>
      </c>
      <c r="M228" s="128">
        <v>0</v>
      </c>
      <c r="N228" s="128">
        <v>0</v>
      </c>
      <c r="O228" s="128">
        <v>0</v>
      </c>
      <c r="P228" s="128">
        <v>0</v>
      </c>
      <c r="Q228" s="128">
        <v>0</v>
      </c>
      <c r="R228" s="128">
        <v>0</v>
      </c>
      <c r="S228" s="128">
        <v>0</v>
      </c>
      <c r="T228" s="128">
        <v>0</v>
      </c>
      <c r="U228" s="128">
        <v>0</v>
      </c>
      <c r="V228" s="128">
        <v>0</v>
      </c>
      <c r="W228" s="128">
        <v>0</v>
      </c>
      <c r="X228" s="128">
        <v>0</v>
      </c>
      <c r="Y228" s="128">
        <v>0</v>
      </c>
      <c r="Z228" s="128">
        <v>0</v>
      </c>
      <c r="AA228" s="128">
        <v>0</v>
      </c>
      <c r="AB228" s="128">
        <v>0</v>
      </c>
      <c r="AC228" s="128">
        <v>0</v>
      </c>
      <c r="AD228" s="128">
        <v>0</v>
      </c>
      <c r="AE228" s="128">
        <v>0</v>
      </c>
      <c r="AF228" s="128">
        <v>0</v>
      </c>
      <c r="AG228" s="128">
        <v>0</v>
      </c>
      <c r="AH228" s="128">
        <v>0</v>
      </c>
      <c r="AI228" s="128">
        <v>0</v>
      </c>
      <c r="AJ228" s="128">
        <v>0</v>
      </c>
      <c r="AK228" s="128">
        <v>0</v>
      </c>
      <c r="AL228" s="128">
        <v>0</v>
      </c>
      <c r="AM228" s="128">
        <v>0</v>
      </c>
      <c r="AN228" s="128">
        <v>0</v>
      </c>
      <c r="AO228" s="128">
        <v>0</v>
      </c>
      <c r="AP228" s="128">
        <v>0</v>
      </c>
      <c r="AQ228" s="128">
        <v>0</v>
      </c>
      <c r="AR228" s="128">
        <v>0</v>
      </c>
      <c r="AS228" s="128">
        <v>0</v>
      </c>
      <c r="AT228" s="128">
        <v>0</v>
      </c>
      <c r="AU228" s="128">
        <v>0</v>
      </c>
      <c r="AV228" s="128">
        <v>0</v>
      </c>
      <c r="AW228" s="128">
        <v>0</v>
      </c>
      <c r="AX228" s="128">
        <v>0</v>
      </c>
      <c r="AY228" s="128">
        <v>0</v>
      </c>
    </row>
    <row r="229" spans="1:51" x14ac:dyDescent="0.2">
      <c r="A229" s="127"/>
      <c r="B229" s="137">
        <v>21</v>
      </c>
      <c r="C229" s="124">
        <v>0</v>
      </c>
      <c r="D229" s="128">
        <v>0</v>
      </c>
      <c r="E229" s="128">
        <v>0</v>
      </c>
      <c r="F229" s="128">
        <v>0</v>
      </c>
      <c r="G229" s="128">
        <v>0</v>
      </c>
      <c r="H229" s="128">
        <v>0</v>
      </c>
      <c r="I229" s="128">
        <v>0</v>
      </c>
      <c r="J229" s="128">
        <v>0</v>
      </c>
      <c r="K229" s="128">
        <v>0</v>
      </c>
      <c r="L229" s="128">
        <v>0</v>
      </c>
      <c r="M229" s="128">
        <v>0</v>
      </c>
      <c r="N229" s="128">
        <v>0</v>
      </c>
      <c r="O229" s="128">
        <v>0</v>
      </c>
      <c r="P229" s="128">
        <v>0</v>
      </c>
      <c r="Q229" s="128">
        <v>0</v>
      </c>
      <c r="R229" s="128">
        <v>0</v>
      </c>
      <c r="S229" s="128">
        <v>0</v>
      </c>
      <c r="T229" s="128">
        <v>0</v>
      </c>
      <c r="U229" s="128">
        <v>0</v>
      </c>
      <c r="V229" s="128">
        <v>0</v>
      </c>
      <c r="W229" s="128">
        <v>0</v>
      </c>
      <c r="X229" s="128">
        <v>0</v>
      </c>
      <c r="Y229" s="128">
        <v>0</v>
      </c>
      <c r="Z229" s="128">
        <v>0</v>
      </c>
      <c r="AA229" s="128">
        <v>0</v>
      </c>
      <c r="AB229" s="128">
        <v>0</v>
      </c>
      <c r="AC229" s="128">
        <v>0</v>
      </c>
      <c r="AD229" s="128">
        <v>0</v>
      </c>
      <c r="AE229" s="128">
        <v>0</v>
      </c>
      <c r="AF229" s="128">
        <v>0</v>
      </c>
      <c r="AG229" s="128">
        <v>0</v>
      </c>
      <c r="AH229" s="128">
        <v>0</v>
      </c>
      <c r="AI229" s="128">
        <v>0</v>
      </c>
      <c r="AJ229" s="128">
        <v>0</v>
      </c>
      <c r="AK229" s="128">
        <v>0</v>
      </c>
      <c r="AL229" s="128">
        <v>0</v>
      </c>
      <c r="AM229" s="128">
        <v>0</v>
      </c>
      <c r="AN229" s="128">
        <v>0</v>
      </c>
      <c r="AO229" s="128">
        <v>0</v>
      </c>
      <c r="AP229" s="128">
        <v>0</v>
      </c>
      <c r="AQ229" s="128">
        <v>0</v>
      </c>
      <c r="AR229" s="128">
        <v>0</v>
      </c>
      <c r="AS229" s="128">
        <v>0</v>
      </c>
      <c r="AT229" s="128">
        <v>0</v>
      </c>
      <c r="AU229" s="128">
        <v>0</v>
      </c>
      <c r="AV229" s="128">
        <v>0</v>
      </c>
      <c r="AW229" s="128">
        <v>0</v>
      </c>
      <c r="AX229" s="128">
        <v>0</v>
      </c>
      <c r="AY229" s="128">
        <v>0</v>
      </c>
    </row>
    <row r="230" spans="1:51" x14ac:dyDescent="0.2">
      <c r="A230" s="127"/>
      <c r="B230" s="137">
        <v>22</v>
      </c>
      <c r="C230" s="124">
        <v>0</v>
      </c>
      <c r="D230" s="128">
        <v>0</v>
      </c>
      <c r="E230" s="128">
        <v>0</v>
      </c>
      <c r="F230" s="128">
        <v>0</v>
      </c>
      <c r="G230" s="128">
        <v>0</v>
      </c>
      <c r="H230" s="128">
        <v>0</v>
      </c>
      <c r="I230" s="128">
        <v>0</v>
      </c>
      <c r="J230" s="128">
        <v>0</v>
      </c>
      <c r="K230" s="128">
        <v>0</v>
      </c>
      <c r="L230" s="128">
        <v>0</v>
      </c>
      <c r="M230" s="128">
        <v>0</v>
      </c>
      <c r="N230" s="128">
        <v>0</v>
      </c>
      <c r="O230" s="128">
        <v>0</v>
      </c>
      <c r="P230" s="128">
        <v>0</v>
      </c>
      <c r="Q230" s="128">
        <v>0</v>
      </c>
      <c r="R230" s="128">
        <v>0</v>
      </c>
      <c r="S230" s="128">
        <v>0</v>
      </c>
      <c r="T230" s="128">
        <v>0</v>
      </c>
      <c r="U230" s="128">
        <v>0</v>
      </c>
      <c r="V230" s="128">
        <v>0</v>
      </c>
      <c r="W230" s="128">
        <v>0</v>
      </c>
      <c r="X230" s="128">
        <v>0</v>
      </c>
      <c r="Y230" s="128">
        <v>0</v>
      </c>
      <c r="Z230" s="128">
        <v>0</v>
      </c>
      <c r="AA230" s="128">
        <v>0</v>
      </c>
      <c r="AB230" s="128">
        <v>0</v>
      </c>
      <c r="AC230" s="128">
        <v>0</v>
      </c>
      <c r="AD230" s="128">
        <v>0</v>
      </c>
      <c r="AE230" s="128">
        <v>0</v>
      </c>
      <c r="AF230" s="128">
        <v>0</v>
      </c>
      <c r="AG230" s="128">
        <v>0</v>
      </c>
      <c r="AH230" s="128">
        <v>0</v>
      </c>
      <c r="AI230" s="128">
        <v>0</v>
      </c>
      <c r="AJ230" s="128">
        <v>0</v>
      </c>
      <c r="AK230" s="128">
        <v>0</v>
      </c>
      <c r="AL230" s="128">
        <v>0</v>
      </c>
      <c r="AM230" s="128">
        <v>0</v>
      </c>
      <c r="AN230" s="128">
        <v>0</v>
      </c>
      <c r="AO230" s="128">
        <v>0</v>
      </c>
      <c r="AP230" s="128">
        <v>0</v>
      </c>
      <c r="AQ230" s="128">
        <v>0</v>
      </c>
      <c r="AR230" s="128">
        <v>0</v>
      </c>
      <c r="AS230" s="128">
        <v>0</v>
      </c>
      <c r="AT230" s="128">
        <v>0</v>
      </c>
      <c r="AU230" s="128">
        <v>0</v>
      </c>
      <c r="AV230" s="128">
        <v>0</v>
      </c>
      <c r="AW230" s="128">
        <v>0</v>
      </c>
      <c r="AX230" s="128">
        <v>0</v>
      </c>
      <c r="AY230" s="128">
        <v>0</v>
      </c>
    </row>
    <row r="231" spans="1:51" x14ac:dyDescent="0.2">
      <c r="A231" s="127"/>
      <c r="B231" s="137">
        <v>23</v>
      </c>
      <c r="C231" s="124">
        <v>0</v>
      </c>
      <c r="D231" s="128">
        <v>0</v>
      </c>
      <c r="E231" s="128">
        <v>0</v>
      </c>
      <c r="F231" s="128">
        <v>0</v>
      </c>
      <c r="G231" s="128">
        <v>0</v>
      </c>
      <c r="H231" s="128">
        <v>0</v>
      </c>
      <c r="I231" s="128">
        <v>0</v>
      </c>
      <c r="J231" s="128">
        <v>0</v>
      </c>
      <c r="K231" s="128">
        <v>0</v>
      </c>
      <c r="L231" s="128">
        <v>0</v>
      </c>
      <c r="M231" s="128">
        <v>0</v>
      </c>
      <c r="N231" s="128">
        <v>0</v>
      </c>
      <c r="O231" s="128">
        <v>0</v>
      </c>
      <c r="P231" s="128">
        <v>0</v>
      </c>
      <c r="Q231" s="128">
        <v>0</v>
      </c>
      <c r="R231" s="128">
        <v>0</v>
      </c>
      <c r="S231" s="128">
        <v>0</v>
      </c>
      <c r="T231" s="128">
        <v>0</v>
      </c>
      <c r="U231" s="128">
        <v>0</v>
      </c>
      <c r="V231" s="128">
        <v>0</v>
      </c>
      <c r="W231" s="128">
        <v>0</v>
      </c>
      <c r="X231" s="128">
        <v>0</v>
      </c>
      <c r="Y231" s="128">
        <v>0</v>
      </c>
      <c r="Z231" s="128">
        <v>0</v>
      </c>
      <c r="AA231" s="128">
        <v>0</v>
      </c>
      <c r="AB231" s="128">
        <v>0</v>
      </c>
      <c r="AC231" s="128">
        <v>0</v>
      </c>
      <c r="AD231" s="128">
        <v>0</v>
      </c>
      <c r="AE231" s="128">
        <v>0</v>
      </c>
      <c r="AF231" s="128">
        <v>0</v>
      </c>
      <c r="AG231" s="128">
        <v>0</v>
      </c>
      <c r="AH231" s="128">
        <v>0</v>
      </c>
      <c r="AI231" s="128">
        <v>0</v>
      </c>
      <c r="AJ231" s="128">
        <v>0</v>
      </c>
      <c r="AK231" s="128">
        <v>0</v>
      </c>
      <c r="AL231" s="128">
        <v>0</v>
      </c>
      <c r="AM231" s="128">
        <v>0</v>
      </c>
      <c r="AN231" s="128">
        <v>0</v>
      </c>
      <c r="AO231" s="128">
        <v>0</v>
      </c>
      <c r="AP231" s="128">
        <v>0</v>
      </c>
      <c r="AQ231" s="128">
        <v>0</v>
      </c>
      <c r="AR231" s="128">
        <v>0</v>
      </c>
      <c r="AS231" s="128">
        <v>0</v>
      </c>
      <c r="AT231" s="128">
        <v>0</v>
      </c>
      <c r="AU231" s="128">
        <v>0</v>
      </c>
      <c r="AV231" s="128">
        <v>0</v>
      </c>
      <c r="AW231" s="128">
        <v>0</v>
      </c>
      <c r="AX231" s="128">
        <v>0</v>
      </c>
      <c r="AY231" s="128">
        <v>0</v>
      </c>
    </row>
    <row r="232" spans="1:51" x14ac:dyDescent="0.2">
      <c r="A232" s="127"/>
      <c r="B232" s="137">
        <v>24</v>
      </c>
      <c r="C232" s="124">
        <v>0</v>
      </c>
      <c r="D232" s="128">
        <v>0</v>
      </c>
      <c r="E232" s="128">
        <v>0</v>
      </c>
      <c r="F232" s="128">
        <v>0</v>
      </c>
      <c r="G232" s="128">
        <v>0</v>
      </c>
      <c r="H232" s="128">
        <v>0</v>
      </c>
      <c r="I232" s="128">
        <v>0</v>
      </c>
      <c r="J232" s="128">
        <v>0</v>
      </c>
      <c r="K232" s="128">
        <v>0</v>
      </c>
      <c r="L232" s="128">
        <v>0</v>
      </c>
      <c r="M232" s="128">
        <v>0</v>
      </c>
      <c r="N232" s="128">
        <v>0</v>
      </c>
      <c r="O232" s="128">
        <v>0</v>
      </c>
      <c r="P232" s="128">
        <v>0</v>
      </c>
      <c r="Q232" s="128">
        <v>0</v>
      </c>
      <c r="R232" s="128">
        <v>0</v>
      </c>
      <c r="S232" s="128">
        <v>0</v>
      </c>
      <c r="T232" s="128">
        <v>0</v>
      </c>
      <c r="U232" s="128">
        <v>0</v>
      </c>
      <c r="V232" s="128">
        <v>0</v>
      </c>
      <c r="W232" s="128">
        <v>0</v>
      </c>
      <c r="X232" s="128">
        <v>0</v>
      </c>
      <c r="Y232" s="128">
        <v>0</v>
      </c>
      <c r="Z232" s="128">
        <v>0</v>
      </c>
      <c r="AA232" s="128">
        <v>0</v>
      </c>
      <c r="AB232" s="128">
        <v>0</v>
      </c>
      <c r="AC232" s="128">
        <v>0</v>
      </c>
      <c r="AD232" s="128">
        <v>0</v>
      </c>
      <c r="AE232" s="128">
        <v>0</v>
      </c>
      <c r="AF232" s="128">
        <v>0</v>
      </c>
      <c r="AG232" s="128">
        <v>0</v>
      </c>
      <c r="AH232" s="128">
        <v>0</v>
      </c>
      <c r="AI232" s="128">
        <v>0</v>
      </c>
      <c r="AJ232" s="128">
        <v>0</v>
      </c>
      <c r="AK232" s="128">
        <v>0</v>
      </c>
      <c r="AL232" s="128">
        <v>0</v>
      </c>
      <c r="AM232" s="128">
        <v>0</v>
      </c>
      <c r="AN232" s="128">
        <v>0</v>
      </c>
      <c r="AO232" s="128">
        <v>0</v>
      </c>
      <c r="AP232" s="128">
        <v>0</v>
      </c>
      <c r="AQ232" s="128">
        <v>0</v>
      </c>
      <c r="AR232" s="128">
        <v>0</v>
      </c>
      <c r="AS232" s="128">
        <v>0</v>
      </c>
      <c r="AT232" s="128">
        <v>0</v>
      </c>
      <c r="AU232" s="128">
        <v>0</v>
      </c>
      <c r="AV232" s="128">
        <v>0</v>
      </c>
      <c r="AW232" s="128">
        <v>0</v>
      </c>
      <c r="AX232" s="128">
        <v>0</v>
      </c>
      <c r="AY232" s="128">
        <v>0</v>
      </c>
    </row>
    <row r="233" spans="1:51" x14ac:dyDescent="0.2">
      <c r="A233" s="127"/>
      <c r="B233" s="144">
        <v>25</v>
      </c>
      <c r="C233" s="124">
        <v>0</v>
      </c>
      <c r="D233" s="128">
        <v>0</v>
      </c>
      <c r="E233" s="128">
        <v>0</v>
      </c>
      <c r="F233" s="128">
        <v>0</v>
      </c>
      <c r="G233" s="128">
        <v>0</v>
      </c>
      <c r="H233" s="128">
        <v>0</v>
      </c>
      <c r="I233" s="128">
        <v>0</v>
      </c>
      <c r="J233" s="128">
        <v>0</v>
      </c>
      <c r="K233" s="128">
        <v>0</v>
      </c>
      <c r="L233" s="128">
        <v>0</v>
      </c>
      <c r="M233" s="128">
        <v>0</v>
      </c>
      <c r="N233" s="128">
        <v>0</v>
      </c>
      <c r="O233" s="128">
        <v>0</v>
      </c>
      <c r="P233" s="128">
        <v>0</v>
      </c>
      <c r="Q233" s="128">
        <v>0</v>
      </c>
      <c r="R233" s="128">
        <v>0</v>
      </c>
      <c r="S233" s="128">
        <v>0</v>
      </c>
      <c r="T233" s="128">
        <v>0</v>
      </c>
      <c r="U233" s="128">
        <v>0</v>
      </c>
      <c r="V233" s="128">
        <v>0</v>
      </c>
      <c r="W233" s="128">
        <v>0</v>
      </c>
      <c r="X233" s="128">
        <v>0</v>
      </c>
      <c r="Y233" s="128">
        <v>0</v>
      </c>
      <c r="Z233" s="128">
        <v>0</v>
      </c>
      <c r="AA233" s="128">
        <v>0</v>
      </c>
      <c r="AB233" s="128">
        <v>0</v>
      </c>
      <c r="AC233" s="128">
        <v>0</v>
      </c>
      <c r="AD233" s="128">
        <v>0</v>
      </c>
      <c r="AE233" s="128">
        <v>0</v>
      </c>
      <c r="AF233" s="128">
        <v>0</v>
      </c>
      <c r="AG233" s="128">
        <v>0</v>
      </c>
      <c r="AH233" s="128">
        <v>0</v>
      </c>
      <c r="AI233" s="128">
        <v>0</v>
      </c>
      <c r="AJ233" s="128">
        <v>0</v>
      </c>
      <c r="AK233" s="128">
        <v>0</v>
      </c>
      <c r="AL233" s="128">
        <v>0</v>
      </c>
      <c r="AM233" s="128">
        <v>0</v>
      </c>
      <c r="AN233" s="128">
        <v>0</v>
      </c>
      <c r="AO233" s="128">
        <v>0</v>
      </c>
      <c r="AP233" s="128">
        <v>0</v>
      </c>
      <c r="AQ233" s="128">
        <v>0</v>
      </c>
      <c r="AR233" s="128">
        <v>0</v>
      </c>
      <c r="AS233" s="128">
        <v>0</v>
      </c>
      <c r="AT233" s="128">
        <v>0</v>
      </c>
      <c r="AU233" s="128">
        <v>0</v>
      </c>
      <c r="AV233" s="128">
        <v>0</v>
      </c>
      <c r="AW233" s="128">
        <v>0</v>
      </c>
      <c r="AX233" s="128">
        <v>0</v>
      </c>
      <c r="AY233" s="128">
        <v>0</v>
      </c>
    </row>
    <row r="234" spans="1:51" x14ac:dyDescent="0.2">
      <c r="A234" s="127"/>
      <c r="B234" s="144">
        <v>26</v>
      </c>
      <c r="C234" s="124">
        <v>0</v>
      </c>
      <c r="D234" s="128">
        <v>0</v>
      </c>
      <c r="E234" s="128">
        <v>0</v>
      </c>
      <c r="F234" s="128">
        <v>0</v>
      </c>
      <c r="G234" s="128">
        <v>0</v>
      </c>
      <c r="H234" s="128">
        <v>0</v>
      </c>
      <c r="I234" s="128">
        <v>0</v>
      </c>
      <c r="J234" s="128">
        <v>0</v>
      </c>
      <c r="K234" s="128">
        <v>0</v>
      </c>
      <c r="L234" s="128">
        <v>0</v>
      </c>
      <c r="M234" s="128">
        <v>0</v>
      </c>
      <c r="N234" s="128">
        <v>0</v>
      </c>
      <c r="O234" s="128">
        <v>0</v>
      </c>
      <c r="P234" s="128">
        <v>0</v>
      </c>
      <c r="Q234" s="128">
        <v>0</v>
      </c>
      <c r="R234" s="128">
        <v>0</v>
      </c>
      <c r="S234" s="128">
        <v>0</v>
      </c>
      <c r="T234" s="128">
        <v>0</v>
      </c>
      <c r="U234" s="128">
        <v>0</v>
      </c>
      <c r="V234" s="128">
        <v>0</v>
      </c>
      <c r="W234" s="128">
        <v>0</v>
      </c>
      <c r="X234" s="128">
        <v>0</v>
      </c>
      <c r="Y234" s="128">
        <v>0</v>
      </c>
      <c r="Z234" s="128">
        <v>0</v>
      </c>
      <c r="AA234" s="128">
        <v>0</v>
      </c>
      <c r="AB234" s="128">
        <v>0</v>
      </c>
      <c r="AC234" s="128">
        <v>0</v>
      </c>
      <c r="AD234" s="128">
        <v>0</v>
      </c>
      <c r="AE234" s="128">
        <v>0</v>
      </c>
      <c r="AF234" s="128">
        <v>0</v>
      </c>
      <c r="AG234" s="128">
        <v>0</v>
      </c>
      <c r="AH234" s="128">
        <v>0</v>
      </c>
      <c r="AI234" s="128">
        <v>0</v>
      </c>
      <c r="AJ234" s="128">
        <v>0</v>
      </c>
      <c r="AK234" s="128">
        <v>0</v>
      </c>
      <c r="AL234" s="128">
        <v>0</v>
      </c>
      <c r="AM234" s="128">
        <v>0</v>
      </c>
      <c r="AN234" s="128">
        <v>0</v>
      </c>
      <c r="AO234" s="128">
        <v>0</v>
      </c>
      <c r="AP234" s="128">
        <v>0</v>
      </c>
      <c r="AQ234" s="128">
        <v>0</v>
      </c>
      <c r="AR234" s="128">
        <v>0</v>
      </c>
      <c r="AS234" s="128">
        <v>0</v>
      </c>
      <c r="AT234" s="128">
        <v>0</v>
      </c>
      <c r="AU234" s="128">
        <v>0</v>
      </c>
      <c r="AV234" s="128">
        <v>0</v>
      </c>
      <c r="AW234" s="128">
        <v>0</v>
      </c>
      <c r="AX234" s="128">
        <v>0</v>
      </c>
      <c r="AY234" s="128">
        <v>0</v>
      </c>
    </row>
    <row r="235" spans="1:51" x14ac:dyDescent="0.2">
      <c r="A235" s="127"/>
      <c r="B235" s="144">
        <v>27</v>
      </c>
      <c r="C235" s="124">
        <v>0</v>
      </c>
      <c r="D235" s="128">
        <v>0</v>
      </c>
      <c r="E235" s="128">
        <v>0</v>
      </c>
      <c r="F235" s="128">
        <v>0</v>
      </c>
      <c r="G235" s="128">
        <v>0</v>
      </c>
      <c r="H235" s="128">
        <v>0</v>
      </c>
      <c r="I235" s="128">
        <v>0</v>
      </c>
      <c r="J235" s="128">
        <v>0</v>
      </c>
      <c r="K235" s="128">
        <v>0</v>
      </c>
      <c r="L235" s="128">
        <v>0</v>
      </c>
      <c r="M235" s="128">
        <v>0</v>
      </c>
      <c r="N235" s="128">
        <v>0</v>
      </c>
      <c r="O235" s="128">
        <v>0</v>
      </c>
      <c r="P235" s="128">
        <v>0</v>
      </c>
      <c r="Q235" s="128">
        <v>0</v>
      </c>
      <c r="R235" s="128">
        <v>0</v>
      </c>
      <c r="S235" s="128">
        <v>0</v>
      </c>
      <c r="T235" s="128">
        <v>0</v>
      </c>
      <c r="U235" s="128">
        <v>0</v>
      </c>
      <c r="V235" s="128">
        <v>0</v>
      </c>
      <c r="W235" s="128">
        <v>0</v>
      </c>
      <c r="X235" s="128">
        <v>0</v>
      </c>
      <c r="Y235" s="128">
        <v>0</v>
      </c>
      <c r="Z235" s="128">
        <v>0</v>
      </c>
      <c r="AA235" s="128">
        <v>0</v>
      </c>
      <c r="AB235" s="128">
        <v>0</v>
      </c>
      <c r="AC235" s="128">
        <v>0</v>
      </c>
      <c r="AD235" s="128">
        <v>0</v>
      </c>
      <c r="AE235" s="128">
        <v>0</v>
      </c>
      <c r="AF235" s="128">
        <v>0</v>
      </c>
      <c r="AG235" s="128">
        <v>0</v>
      </c>
      <c r="AH235" s="128">
        <v>0</v>
      </c>
      <c r="AI235" s="128">
        <v>0</v>
      </c>
      <c r="AJ235" s="128">
        <v>0</v>
      </c>
      <c r="AK235" s="128">
        <v>0</v>
      </c>
      <c r="AL235" s="128">
        <v>0</v>
      </c>
      <c r="AM235" s="128">
        <v>0</v>
      </c>
      <c r="AN235" s="128">
        <v>0</v>
      </c>
      <c r="AO235" s="128">
        <v>0</v>
      </c>
      <c r="AP235" s="128">
        <v>0</v>
      </c>
      <c r="AQ235" s="128">
        <v>0</v>
      </c>
      <c r="AR235" s="128">
        <v>0</v>
      </c>
      <c r="AS235" s="128">
        <v>0</v>
      </c>
      <c r="AT235" s="128">
        <v>0</v>
      </c>
      <c r="AU235" s="128">
        <v>0</v>
      </c>
      <c r="AV235" s="128">
        <v>0</v>
      </c>
      <c r="AW235" s="128">
        <v>0</v>
      </c>
      <c r="AX235" s="128">
        <v>0</v>
      </c>
      <c r="AY235" s="128">
        <v>0</v>
      </c>
    </row>
    <row r="236" spans="1:51" x14ac:dyDescent="0.2">
      <c r="A236" s="127"/>
      <c r="B236" s="144">
        <v>28</v>
      </c>
      <c r="C236" s="124">
        <v>0</v>
      </c>
      <c r="D236" s="128">
        <v>0</v>
      </c>
      <c r="E236" s="128">
        <v>0</v>
      </c>
      <c r="F236" s="128">
        <v>0</v>
      </c>
      <c r="G236" s="128">
        <v>0</v>
      </c>
      <c r="H236" s="128">
        <v>0</v>
      </c>
      <c r="I236" s="128">
        <v>0</v>
      </c>
      <c r="J236" s="128">
        <v>0</v>
      </c>
      <c r="K236" s="128">
        <v>0</v>
      </c>
      <c r="L236" s="128">
        <v>0</v>
      </c>
      <c r="M236" s="128">
        <v>0</v>
      </c>
      <c r="N236" s="128">
        <v>0</v>
      </c>
      <c r="O236" s="128">
        <v>0</v>
      </c>
      <c r="P236" s="128">
        <v>0</v>
      </c>
      <c r="Q236" s="128">
        <v>0</v>
      </c>
      <c r="R236" s="128">
        <v>0</v>
      </c>
      <c r="S236" s="128">
        <v>0</v>
      </c>
      <c r="T236" s="128">
        <v>0</v>
      </c>
      <c r="U236" s="128">
        <v>0</v>
      </c>
      <c r="V236" s="128">
        <v>0</v>
      </c>
      <c r="W236" s="128">
        <v>0</v>
      </c>
      <c r="X236" s="128">
        <v>0</v>
      </c>
      <c r="Y236" s="128">
        <v>0</v>
      </c>
      <c r="Z236" s="128">
        <v>0</v>
      </c>
      <c r="AA236" s="128">
        <v>0</v>
      </c>
      <c r="AB236" s="128">
        <v>0</v>
      </c>
      <c r="AC236" s="128">
        <v>0</v>
      </c>
      <c r="AD236" s="128">
        <v>0</v>
      </c>
      <c r="AE236" s="128">
        <v>0</v>
      </c>
      <c r="AF236" s="128">
        <v>0</v>
      </c>
      <c r="AG236" s="128">
        <v>0</v>
      </c>
      <c r="AH236" s="128">
        <v>0</v>
      </c>
      <c r="AI236" s="128">
        <v>0</v>
      </c>
      <c r="AJ236" s="128">
        <v>0</v>
      </c>
      <c r="AK236" s="128">
        <v>0</v>
      </c>
      <c r="AL236" s="128">
        <v>0</v>
      </c>
      <c r="AM236" s="128">
        <v>0</v>
      </c>
      <c r="AN236" s="128">
        <v>0</v>
      </c>
      <c r="AO236" s="128">
        <v>0</v>
      </c>
      <c r="AP236" s="128">
        <v>0</v>
      </c>
      <c r="AQ236" s="128">
        <v>0</v>
      </c>
      <c r="AR236" s="128">
        <v>0</v>
      </c>
      <c r="AS236" s="128">
        <v>0</v>
      </c>
      <c r="AT236" s="128">
        <v>0</v>
      </c>
      <c r="AU236" s="128">
        <v>0</v>
      </c>
      <c r="AV236" s="128">
        <v>0</v>
      </c>
      <c r="AW236" s="128">
        <v>0</v>
      </c>
      <c r="AX236" s="128">
        <v>0</v>
      </c>
      <c r="AY236" s="128">
        <v>0</v>
      </c>
    </row>
    <row r="237" spans="1:51" x14ac:dyDescent="0.2">
      <c r="A237" s="127"/>
      <c r="B237" s="144">
        <v>29</v>
      </c>
      <c r="C237" s="124">
        <v>0</v>
      </c>
      <c r="D237" s="128">
        <v>0</v>
      </c>
      <c r="E237" s="128">
        <v>0</v>
      </c>
      <c r="F237" s="128">
        <v>0</v>
      </c>
      <c r="G237" s="128">
        <v>0</v>
      </c>
      <c r="H237" s="128">
        <v>0</v>
      </c>
      <c r="I237" s="128">
        <v>0</v>
      </c>
      <c r="J237" s="128">
        <v>0</v>
      </c>
      <c r="K237" s="128">
        <v>0</v>
      </c>
      <c r="L237" s="128">
        <v>0</v>
      </c>
      <c r="M237" s="128">
        <v>0</v>
      </c>
      <c r="N237" s="128">
        <v>0</v>
      </c>
      <c r="O237" s="128">
        <v>0</v>
      </c>
      <c r="P237" s="128">
        <v>0</v>
      </c>
      <c r="Q237" s="128">
        <v>0</v>
      </c>
      <c r="R237" s="128">
        <v>0</v>
      </c>
      <c r="S237" s="128">
        <v>0</v>
      </c>
      <c r="T237" s="128">
        <v>0</v>
      </c>
      <c r="U237" s="128">
        <v>0</v>
      </c>
      <c r="V237" s="128">
        <v>0</v>
      </c>
      <c r="W237" s="128">
        <v>0</v>
      </c>
      <c r="X237" s="128">
        <v>0</v>
      </c>
      <c r="Y237" s="128">
        <v>0</v>
      </c>
      <c r="Z237" s="128">
        <v>0</v>
      </c>
      <c r="AA237" s="128">
        <v>0</v>
      </c>
      <c r="AB237" s="128">
        <v>0</v>
      </c>
      <c r="AC237" s="128">
        <v>0</v>
      </c>
      <c r="AD237" s="128">
        <v>0</v>
      </c>
      <c r="AE237" s="128">
        <v>0</v>
      </c>
      <c r="AF237" s="128">
        <v>0</v>
      </c>
      <c r="AG237" s="128">
        <v>0</v>
      </c>
      <c r="AH237" s="128">
        <v>0</v>
      </c>
      <c r="AI237" s="128">
        <v>0</v>
      </c>
      <c r="AJ237" s="128">
        <v>0</v>
      </c>
      <c r="AK237" s="128">
        <v>0</v>
      </c>
      <c r="AL237" s="128">
        <v>0</v>
      </c>
      <c r="AM237" s="128">
        <v>0</v>
      </c>
      <c r="AN237" s="128">
        <v>0</v>
      </c>
      <c r="AO237" s="128">
        <v>0</v>
      </c>
      <c r="AP237" s="128">
        <v>0</v>
      </c>
      <c r="AQ237" s="128">
        <v>0</v>
      </c>
      <c r="AR237" s="128">
        <v>0</v>
      </c>
      <c r="AS237" s="128">
        <v>0</v>
      </c>
      <c r="AT237" s="128">
        <v>0</v>
      </c>
      <c r="AU237" s="128">
        <v>0</v>
      </c>
      <c r="AV237" s="128">
        <v>0</v>
      </c>
      <c r="AW237" s="128">
        <v>0</v>
      </c>
      <c r="AX237" s="128">
        <v>0</v>
      </c>
      <c r="AY237" s="128">
        <v>0</v>
      </c>
    </row>
    <row r="238" spans="1:51" x14ac:dyDescent="0.2">
      <c r="A238" s="127"/>
      <c r="B238" s="144">
        <v>30</v>
      </c>
      <c r="C238" s="124">
        <v>0</v>
      </c>
      <c r="D238" s="128">
        <v>0</v>
      </c>
      <c r="E238" s="128">
        <v>0</v>
      </c>
      <c r="F238" s="128">
        <v>0</v>
      </c>
      <c r="G238" s="128">
        <v>0</v>
      </c>
      <c r="H238" s="128">
        <v>0</v>
      </c>
      <c r="I238" s="128">
        <v>0</v>
      </c>
      <c r="J238" s="128">
        <v>0</v>
      </c>
      <c r="K238" s="128">
        <v>0</v>
      </c>
      <c r="L238" s="128">
        <v>0</v>
      </c>
      <c r="M238" s="128">
        <v>0</v>
      </c>
      <c r="N238" s="128">
        <v>0</v>
      </c>
      <c r="O238" s="128">
        <v>0</v>
      </c>
      <c r="P238" s="128">
        <v>0</v>
      </c>
      <c r="Q238" s="128">
        <v>0</v>
      </c>
      <c r="R238" s="128">
        <v>0</v>
      </c>
      <c r="S238" s="128">
        <v>0</v>
      </c>
      <c r="T238" s="128">
        <v>0</v>
      </c>
      <c r="U238" s="128">
        <v>0</v>
      </c>
      <c r="V238" s="128">
        <v>0</v>
      </c>
      <c r="W238" s="128">
        <v>0</v>
      </c>
      <c r="X238" s="128">
        <v>0</v>
      </c>
      <c r="Y238" s="128">
        <v>0</v>
      </c>
      <c r="Z238" s="128">
        <v>0</v>
      </c>
      <c r="AA238" s="128">
        <v>0</v>
      </c>
      <c r="AB238" s="128">
        <v>0</v>
      </c>
      <c r="AC238" s="128">
        <v>0</v>
      </c>
      <c r="AD238" s="128">
        <v>0</v>
      </c>
      <c r="AE238" s="128">
        <v>0</v>
      </c>
      <c r="AF238" s="128">
        <v>0</v>
      </c>
      <c r="AG238" s="128">
        <v>0</v>
      </c>
      <c r="AH238" s="128">
        <v>0</v>
      </c>
      <c r="AI238" s="128">
        <v>0</v>
      </c>
      <c r="AJ238" s="128">
        <v>0</v>
      </c>
      <c r="AK238" s="128">
        <v>0</v>
      </c>
      <c r="AL238" s="128">
        <v>0</v>
      </c>
      <c r="AM238" s="128">
        <v>0</v>
      </c>
      <c r="AN238" s="128">
        <v>0</v>
      </c>
      <c r="AO238" s="128">
        <v>0</v>
      </c>
      <c r="AP238" s="128">
        <v>0</v>
      </c>
      <c r="AQ238" s="128">
        <v>0</v>
      </c>
      <c r="AR238" s="128">
        <v>0</v>
      </c>
      <c r="AS238" s="128">
        <v>0</v>
      </c>
      <c r="AT238" s="128">
        <v>0</v>
      </c>
      <c r="AU238" s="128">
        <v>0</v>
      </c>
      <c r="AV238" s="128">
        <v>0</v>
      </c>
      <c r="AW238" s="128">
        <v>0</v>
      </c>
      <c r="AX238" s="128">
        <v>0</v>
      </c>
      <c r="AY238" s="128">
        <v>0</v>
      </c>
    </row>
    <row r="239" spans="1:51" x14ac:dyDescent="0.2">
      <c r="A239" s="127"/>
      <c r="B239" s="144">
        <v>31</v>
      </c>
      <c r="C239" s="124">
        <v>0</v>
      </c>
      <c r="D239" s="128">
        <v>0</v>
      </c>
      <c r="E239" s="128">
        <v>0</v>
      </c>
      <c r="F239" s="128">
        <v>0</v>
      </c>
      <c r="G239" s="128">
        <v>0</v>
      </c>
      <c r="H239" s="128">
        <v>0</v>
      </c>
      <c r="I239" s="128">
        <v>0</v>
      </c>
      <c r="J239" s="128">
        <v>0</v>
      </c>
      <c r="K239" s="128">
        <v>0</v>
      </c>
      <c r="L239" s="128">
        <v>0</v>
      </c>
      <c r="M239" s="128">
        <v>0</v>
      </c>
      <c r="N239" s="128">
        <v>0</v>
      </c>
      <c r="O239" s="128">
        <v>0</v>
      </c>
      <c r="P239" s="128">
        <v>0</v>
      </c>
      <c r="Q239" s="128">
        <v>0</v>
      </c>
      <c r="R239" s="128">
        <v>0</v>
      </c>
      <c r="S239" s="128">
        <v>0</v>
      </c>
      <c r="T239" s="128">
        <v>0</v>
      </c>
      <c r="U239" s="128">
        <v>0</v>
      </c>
      <c r="V239" s="128">
        <v>0</v>
      </c>
      <c r="W239" s="128">
        <v>0</v>
      </c>
      <c r="X239" s="128">
        <v>0</v>
      </c>
      <c r="Y239" s="128">
        <v>0</v>
      </c>
      <c r="Z239" s="128">
        <v>0</v>
      </c>
      <c r="AA239" s="128">
        <v>0</v>
      </c>
      <c r="AB239" s="128">
        <v>0</v>
      </c>
      <c r="AC239" s="128">
        <v>0</v>
      </c>
      <c r="AD239" s="128">
        <v>0</v>
      </c>
      <c r="AE239" s="128">
        <v>0</v>
      </c>
      <c r="AF239" s="128">
        <v>0</v>
      </c>
      <c r="AG239" s="128">
        <v>0</v>
      </c>
      <c r="AH239" s="128">
        <v>0</v>
      </c>
      <c r="AI239" s="128">
        <v>0</v>
      </c>
      <c r="AJ239" s="128">
        <v>0</v>
      </c>
      <c r="AK239" s="128">
        <v>0</v>
      </c>
      <c r="AL239" s="128">
        <v>0</v>
      </c>
      <c r="AM239" s="128">
        <v>0</v>
      </c>
      <c r="AN239" s="128">
        <v>0</v>
      </c>
      <c r="AO239" s="128">
        <v>0</v>
      </c>
      <c r="AP239" s="128">
        <v>0</v>
      </c>
      <c r="AQ239" s="128">
        <v>0</v>
      </c>
      <c r="AR239" s="128">
        <v>0</v>
      </c>
      <c r="AS239" s="128">
        <v>0</v>
      </c>
      <c r="AT239" s="128">
        <v>0</v>
      </c>
      <c r="AU239" s="128">
        <v>0</v>
      </c>
      <c r="AV239" s="128">
        <v>0</v>
      </c>
      <c r="AW239" s="128">
        <v>0</v>
      </c>
      <c r="AX239" s="128">
        <v>0</v>
      </c>
      <c r="AY239" s="128">
        <v>0</v>
      </c>
    </row>
    <row r="240" spans="1:51" x14ac:dyDescent="0.2">
      <c r="A240" s="127"/>
      <c r="B240" s="144">
        <v>32</v>
      </c>
      <c r="C240" s="124">
        <v>0</v>
      </c>
      <c r="D240" s="128">
        <v>0</v>
      </c>
      <c r="E240" s="128">
        <v>0</v>
      </c>
      <c r="F240" s="128">
        <v>0</v>
      </c>
      <c r="G240" s="128">
        <v>0</v>
      </c>
      <c r="H240" s="128">
        <v>0</v>
      </c>
      <c r="I240" s="128">
        <v>0</v>
      </c>
      <c r="J240" s="128">
        <v>0</v>
      </c>
      <c r="K240" s="128">
        <v>0</v>
      </c>
      <c r="L240" s="128">
        <v>0</v>
      </c>
      <c r="M240" s="128">
        <v>0</v>
      </c>
      <c r="N240" s="128">
        <v>0</v>
      </c>
      <c r="O240" s="128">
        <v>0</v>
      </c>
      <c r="P240" s="128">
        <v>0</v>
      </c>
      <c r="Q240" s="128">
        <v>0</v>
      </c>
      <c r="R240" s="128">
        <v>0</v>
      </c>
      <c r="S240" s="128">
        <v>0</v>
      </c>
      <c r="T240" s="128">
        <v>0</v>
      </c>
      <c r="U240" s="128">
        <v>0</v>
      </c>
      <c r="V240" s="128">
        <v>0</v>
      </c>
      <c r="W240" s="128">
        <v>0</v>
      </c>
      <c r="X240" s="128">
        <v>0</v>
      </c>
      <c r="Y240" s="128">
        <v>0</v>
      </c>
      <c r="Z240" s="128">
        <v>0</v>
      </c>
      <c r="AA240" s="128">
        <v>0</v>
      </c>
      <c r="AB240" s="128">
        <v>0</v>
      </c>
      <c r="AC240" s="128">
        <v>0</v>
      </c>
      <c r="AD240" s="128">
        <v>0</v>
      </c>
      <c r="AE240" s="128">
        <v>0</v>
      </c>
      <c r="AF240" s="128">
        <v>0</v>
      </c>
      <c r="AG240" s="128">
        <v>0</v>
      </c>
      <c r="AH240" s="128">
        <v>0</v>
      </c>
      <c r="AI240" s="128">
        <v>0</v>
      </c>
      <c r="AJ240" s="128">
        <v>0</v>
      </c>
      <c r="AK240" s="128">
        <v>0</v>
      </c>
      <c r="AL240" s="128">
        <v>0</v>
      </c>
      <c r="AM240" s="128">
        <v>0</v>
      </c>
      <c r="AN240" s="128">
        <v>0</v>
      </c>
      <c r="AO240" s="128">
        <v>0</v>
      </c>
      <c r="AP240" s="128">
        <v>0</v>
      </c>
      <c r="AQ240" s="128">
        <v>0</v>
      </c>
      <c r="AR240" s="128">
        <v>0</v>
      </c>
      <c r="AS240" s="128">
        <v>0</v>
      </c>
      <c r="AT240" s="128">
        <v>0</v>
      </c>
      <c r="AU240" s="128">
        <v>0</v>
      </c>
      <c r="AV240" s="128">
        <v>0</v>
      </c>
      <c r="AW240" s="128">
        <v>0</v>
      </c>
      <c r="AX240" s="128">
        <v>0</v>
      </c>
      <c r="AY240" s="128">
        <v>0</v>
      </c>
    </row>
    <row r="241" spans="1:51" x14ac:dyDescent="0.2">
      <c r="A241" s="127"/>
      <c r="B241" s="144">
        <v>33</v>
      </c>
      <c r="C241" s="124">
        <v>0</v>
      </c>
      <c r="D241" s="128">
        <v>0</v>
      </c>
      <c r="E241" s="128">
        <v>0</v>
      </c>
      <c r="F241" s="128">
        <v>0</v>
      </c>
      <c r="G241" s="128">
        <v>0</v>
      </c>
      <c r="H241" s="128">
        <v>0</v>
      </c>
      <c r="I241" s="128">
        <v>0</v>
      </c>
      <c r="J241" s="128">
        <v>0</v>
      </c>
      <c r="K241" s="128">
        <v>0</v>
      </c>
      <c r="L241" s="128">
        <v>0</v>
      </c>
      <c r="M241" s="128">
        <v>0</v>
      </c>
      <c r="N241" s="128">
        <v>0</v>
      </c>
      <c r="O241" s="128">
        <v>0</v>
      </c>
      <c r="P241" s="128">
        <v>0</v>
      </c>
      <c r="Q241" s="128">
        <v>0</v>
      </c>
      <c r="R241" s="128">
        <v>0</v>
      </c>
      <c r="S241" s="128">
        <v>0</v>
      </c>
      <c r="T241" s="128">
        <v>0</v>
      </c>
      <c r="U241" s="128">
        <v>0</v>
      </c>
      <c r="V241" s="128">
        <v>0</v>
      </c>
      <c r="W241" s="128">
        <v>0</v>
      </c>
      <c r="X241" s="128">
        <v>0</v>
      </c>
      <c r="Y241" s="128">
        <v>0</v>
      </c>
      <c r="Z241" s="128">
        <v>0</v>
      </c>
      <c r="AA241" s="128">
        <v>0</v>
      </c>
      <c r="AB241" s="128">
        <v>0</v>
      </c>
      <c r="AC241" s="128">
        <v>0</v>
      </c>
      <c r="AD241" s="128">
        <v>0</v>
      </c>
      <c r="AE241" s="128">
        <v>0</v>
      </c>
      <c r="AF241" s="128">
        <v>0</v>
      </c>
      <c r="AG241" s="128">
        <v>0</v>
      </c>
      <c r="AH241" s="128">
        <v>0</v>
      </c>
      <c r="AI241" s="128">
        <v>0</v>
      </c>
      <c r="AJ241" s="128">
        <v>0</v>
      </c>
      <c r="AK241" s="128">
        <v>0</v>
      </c>
      <c r="AL241" s="128">
        <v>0</v>
      </c>
      <c r="AM241" s="128">
        <v>0</v>
      </c>
      <c r="AN241" s="128">
        <v>0</v>
      </c>
      <c r="AO241" s="128">
        <v>0</v>
      </c>
      <c r="AP241" s="128">
        <v>0</v>
      </c>
      <c r="AQ241" s="128">
        <v>0</v>
      </c>
      <c r="AR241" s="128">
        <v>0</v>
      </c>
      <c r="AS241" s="128">
        <v>0</v>
      </c>
      <c r="AT241" s="128">
        <v>0</v>
      </c>
      <c r="AU241" s="128">
        <v>0</v>
      </c>
      <c r="AV241" s="128">
        <v>0</v>
      </c>
      <c r="AW241" s="128">
        <v>0</v>
      </c>
      <c r="AX241" s="128">
        <v>0</v>
      </c>
      <c r="AY241" s="128">
        <v>0</v>
      </c>
    </row>
    <row r="242" spans="1:51" x14ac:dyDescent="0.2">
      <c r="A242" s="127"/>
      <c r="B242" s="144">
        <v>34</v>
      </c>
      <c r="C242" s="124">
        <v>0</v>
      </c>
      <c r="D242" s="128">
        <v>0</v>
      </c>
      <c r="E242" s="128">
        <v>0</v>
      </c>
      <c r="F242" s="128">
        <v>0</v>
      </c>
      <c r="G242" s="128">
        <v>0</v>
      </c>
      <c r="H242" s="128">
        <v>0</v>
      </c>
      <c r="I242" s="128">
        <v>0</v>
      </c>
      <c r="J242" s="128">
        <v>0</v>
      </c>
      <c r="K242" s="128">
        <v>0</v>
      </c>
      <c r="L242" s="128">
        <v>0</v>
      </c>
      <c r="M242" s="128">
        <v>0</v>
      </c>
      <c r="N242" s="128">
        <v>0</v>
      </c>
      <c r="O242" s="128">
        <v>0</v>
      </c>
      <c r="P242" s="128">
        <v>0</v>
      </c>
      <c r="Q242" s="128">
        <v>0</v>
      </c>
      <c r="R242" s="128">
        <v>0</v>
      </c>
      <c r="S242" s="128">
        <v>0</v>
      </c>
      <c r="T242" s="128">
        <v>0</v>
      </c>
      <c r="U242" s="128">
        <v>0</v>
      </c>
      <c r="V242" s="128">
        <v>0</v>
      </c>
      <c r="W242" s="128">
        <v>0</v>
      </c>
      <c r="X242" s="128">
        <v>0</v>
      </c>
      <c r="Y242" s="128">
        <v>0</v>
      </c>
      <c r="Z242" s="128">
        <v>0</v>
      </c>
      <c r="AA242" s="128">
        <v>0</v>
      </c>
      <c r="AB242" s="128">
        <v>0</v>
      </c>
      <c r="AC242" s="128">
        <v>0</v>
      </c>
      <c r="AD242" s="128">
        <v>0</v>
      </c>
      <c r="AE242" s="128">
        <v>0</v>
      </c>
      <c r="AF242" s="128">
        <v>0</v>
      </c>
      <c r="AG242" s="128">
        <v>0</v>
      </c>
      <c r="AH242" s="128">
        <v>0</v>
      </c>
      <c r="AI242" s="128">
        <v>0</v>
      </c>
      <c r="AJ242" s="128">
        <v>0</v>
      </c>
      <c r="AK242" s="128">
        <v>0</v>
      </c>
      <c r="AL242" s="128">
        <v>0</v>
      </c>
      <c r="AM242" s="128">
        <v>0</v>
      </c>
      <c r="AN242" s="128">
        <v>0</v>
      </c>
      <c r="AO242" s="128">
        <v>0</v>
      </c>
      <c r="AP242" s="128">
        <v>0</v>
      </c>
      <c r="AQ242" s="128">
        <v>0</v>
      </c>
      <c r="AR242" s="128">
        <v>0</v>
      </c>
      <c r="AS242" s="128">
        <v>0</v>
      </c>
      <c r="AT242" s="128">
        <v>0</v>
      </c>
      <c r="AU242" s="128">
        <v>0</v>
      </c>
      <c r="AV242" s="128">
        <v>0</v>
      </c>
      <c r="AW242" s="128">
        <v>0</v>
      </c>
      <c r="AX242" s="128">
        <v>0</v>
      </c>
      <c r="AY242" s="128">
        <v>0</v>
      </c>
    </row>
    <row r="243" spans="1:51" x14ac:dyDescent="0.2">
      <c r="A243" s="127"/>
      <c r="B243" s="144">
        <v>35</v>
      </c>
      <c r="C243" s="124">
        <v>0</v>
      </c>
      <c r="D243" s="128">
        <v>0</v>
      </c>
      <c r="E243" s="128">
        <v>0</v>
      </c>
      <c r="F243" s="128">
        <v>0</v>
      </c>
      <c r="G243" s="128">
        <v>0</v>
      </c>
      <c r="H243" s="128">
        <v>0</v>
      </c>
      <c r="I243" s="128">
        <v>0</v>
      </c>
      <c r="J243" s="128">
        <v>0</v>
      </c>
      <c r="K243" s="128">
        <v>0</v>
      </c>
      <c r="L243" s="128">
        <v>0</v>
      </c>
      <c r="M243" s="128">
        <v>0</v>
      </c>
      <c r="N243" s="128">
        <v>0</v>
      </c>
      <c r="O243" s="128">
        <v>0</v>
      </c>
      <c r="P243" s="128">
        <v>0</v>
      </c>
      <c r="Q243" s="128">
        <v>0</v>
      </c>
      <c r="R243" s="128">
        <v>0</v>
      </c>
      <c r="S243" s="128">
        <v>0</v>
      </c>
      <c r="T243" s="128">
        <v>0</v>
      </c>
      <c r="U243" s="128">
        <v>0</v>
      </c>
      <c r="V243" s="128">
        <v>0</v>
      </c>
      <c r="W243" s="128">
        <v>0</v>
      </c>
      <c r="X243" s="128">
        <v>0</v>
      </c>
      <c r="Y243" s="128">
        <v>0</v>
      </c>
      <c r="Z243" s="128">
        <v>0</v>
      </c>
      <c r="AA243" s="128">
        <v>0</v>
      </c>
      <c r="AB243" s="128">
        <v>0</v>
      </c>
      <c r="AC243" s="128">
        <v>0</v>
      </c>
      <c r="AD243" s="128">
        <v>0</v>
      </c>
      <c r="AE243" s="128">
        <v>0</v>
      </c>
      <c r="AF243" s="128">
        <v>0</v>
      </c>
      <c r="AG243" s="128">
        <v>0</v>
      </c>
      <c r="AH243" s="128">
        <v>0</v>
      </c>
      <c r="AI243" s="128">
        <v>0</v>
      </c>
      <c r="AJ243" s="128">
        <v>0</v>
      </c>
      <c r="AK243" s="128">
        <v>0</v>
      </c>
      <c r="AL243" s="128">
        <v>0</v>
      </c>
      <c r="AM243" s="128">
        <v>0</v>
      </c>
      <c r="AN243" s="128">
        <v>0</v>
      </c>
      <c r="AO243" s="128">
        <v>0</v>
      </c>
      <c r="AP243" s="128">
        <v>0</v>
      </c>
      <c r="AQ243" s="128">
        <v>0</v>
      </c>
      <c r="AR243" s="128">
        <v>0</v>
      </c>
      <c r="AS243" s="128">
        <v>0</v>
      </c>
      <c r="AT243" s="128">
        <v>0</v>
      </c>
      <c r="AU243" s="128">
        <v>0</v>
      </c>
      <c r="AV243" s="128">
        <v>0</v>
      </c>
      <c r="AW243" s="128">
        <v>0</v>
      </c>
      <c r="AX243" s="128">
        <v>0</v>
      </c>
      <c r="AY243" s="128">
        <v>0</v>
      </c>
    </row>
    <row r="244" spans="1:51" x14ac:dyDescent="0.2">
      <c r="A244" s="127"/>
      <c r="B244" s="144">
        <v>36</v>
      </c>
      <c r="C244" s="124">
        <v>0</v>
      </c>
      <c r="D244" s="128">
        <v>0</v>
      </c>
      <c r="E244" s="128">
        <v>0</v>
      </c>
      <c r="F244" s="128">
        <v>0</v>
      </c>
      <c r="G244" s="128">
        <v>0</v>
      </c>
      <c r="H244" s="128">
        <v>0</v>
      </c>
      <c r="I244" s="128">
        <v>0</v>
      </c>
      <c r="J244" s="128">
        <v>0</v>
      </c>
      <c r="K244" s="128">
        <v>0</v>
      </c>
      <c r="L244" s="128">
        <v>0</v>
      </c>
      <c r="M244" s="128">
        <v>0</v>
      </c>
      <c r="N244" s="128">
        <v>0</v>
      </c>
      <c r="O244" s="128">
        <v>0</v>
      </c>
      <c r="P244" s="128">
        <v>0</v>
      </c>
      <c r="Q244" s="128">
        <v>0</v>
      </c>
      <c r="R244" s="128">
        <v>0</v>
      </c>
      <c r="S244" s="128">
        <v>0</v>
      </c>
      <c r="T244" s="128">
        <v>0</v>
      </c>
      <c r="U244" s="128">
        <v>0</v>
      </c>
      <c r="V244" s="128">
        <v>0</v>
      </c>
      <c r="W244" s="128">
        <v>0</v>
      </c>
      <c r="X244" s="128">
        <v>0</v>
      </c>
      <c r="Y244" s="128">
        <v>0</v>
      </c>
      <c r="Z244" s="128">
        <v>0</v>
      </c>
      <c r="AA244" s="128">
        <v>0</v>
      </c>
      <c r="AB244" s="128">
        <v>0</v>
      </c>
      <c r="AC244" s="128">
        <v>0</v>
      </c>
      <c r="AD244" s="128">
        <v>0</v>
      </c>
      <c r="AE244" s="128">
        <v>0</v>
      </c>
      <c r="AF244" s="128">
        <v>0</v>
      </c>
      <c r="AG244" s="128">
        <v>0</v>
      </c>
      <c r="AH244" s="128">
        <v>0</v>
      </c>
      <c r="AI244" s="128">
        <v>0</v>
      </c>
      <c r="AJ244" s="128">
        <v>0</v>
      </c>
      <c r="AK244" s="128">
        <v>0</v>
      </c>
      <c r="AL244" s="128">
        <v>0</v>
      </c>
      <c r="AM244" s="128">
        <v>0</v>
      </c>
      <c r="AN244" s="128">
        <v>0</v>
      </c>
      <c r="AO244" s="128">
        <v>0</v>
      </c>
      <c r="AP244" s="128">
        <v>0</v>
      </c>
      <c r="AQ244" s="128">
        <v>0</v>
      </c>
      <c r="AR244" s="128">
        <v>0</v>
      </c>
      <c r="AS244" s="128">
        <v>0</v>
      </c>
      <c r="AT244" s="128">
        <v>0</v>
      </c>
      <c r="AU244" s="128">
        <v>0</v>
      </c>
      <c r="AV244" s="128">
        <v>0</v>
      </c>
      <c r="AW244" s="128">
        <v>0</v>
      </c>
      <c r="AX244" s="128">
        <v>0</v>
      </c>
      <c r="AY244" s="128">
        <v>0</v>
      </c>
    </row>
    <row r="245" spans="1:51" x14ac:dyDescent="0.2">
      <c r="A245" s="127"/>
      <c r="B245" s="147">
        <v>37</v>
      </c>
      <c r="C245" s="124">
        <v>0</v>
      </c>
      <c r="D245" s="128">
        <v>0</v>
      </c>
      <c r="E245" s="128">
        <v>0</v>
      </c>
      <c r="F245" s="128">
        <v>0</v>
      </c>
      <c r="G245" s="128">
        <v>0</v>
      </c>
      <c r="H245" s="128">
        <v>0</v>
      </c>
      <c r="I245" s="128">
        <v>0</v>
      </c>
      <c r="J245" s="128">
        <v>0</v>
      </c>
      <c r="K245" s="128">
        <v>0</v>
      </c>
      <c r="L245" s="128">
        <v>0</v>
      </c>
      <c r="M245" s="128">
        <v>0</v>
      </c>
      <c r="N245" s="128">
        <v>0</v>
      </c>
      <c r="O245" s="128">
        <v>0</v>
      </c>
      <c r="P245" s="128">
        <v>0</v>
      </c>
      <c r="Q245" s="128">
        <v>0</v>
      </c>
      <c r="R245" s="128">
        <v>0</v>
      </c>
      <c r="S245" s="128">
        <v>0</v>
      </c>
      <c r="T245" s="128">
        <v>0</v>
      </c>
      <c r="U245" s="128">
        <v>0</v>
      </c>
      <c r="V245" s="128">
        <v>0</v>
      </c>
      <c r="W245" s="128">
        <v>0</v>
      </c>
      <c r="X245" s="128">
        <v>0</v>
      </c>
      <c r="Y245" s="128">
        <v>0</v>
      </c>
      <c r="Z245" s="128">
        <v>0</v>
      </c>
      <c r="AA245" s="128">
        <v>0</v>
      </c>
      <c r="AB245" s="128">
        <v>0</v>
      </c>
      <c r="AC245" s="128">
        <v>0</v>
      </c>
      <c r="AD245" s="128">
        <v>0</v>
      </c>
      <c r="AE245" s="128">
        <v>0</v>
      </c>
      <c r="AF245" s="128">
        <v>0</v>
      </c>
      <c r="AG245" s="128">
        <v>0</v>
      </c>
      <c r="AH245" s="128">
        <v>0</v>
      </c>
      <c r="AI245" s="128">
        <v>0</v>
      </c>
      <c r="AJ245" s="128">
        <v>0</v>
      </c>
      <c r="AK245" s="128">
        <v>0</v>
      </c>
      <c r="AL245" s="128">
        <v>0</v>
      </c>
      <c r="AM245" s="128">
        <v>0</v>
      </c>
      <c r="AN245" s="128">
        <v>0</v>
      </c>
      <c r="AO245" s="128">
        <v>0</v>
      </c>
      <c r="AP245" s="128">
        <v>0</v>
      </c>
      <c r="AQ245" s="128">
        <v>0</v>
      </c>
      <c r="AR245" s="128">
        <v>0</v>
      </c>
      <c r="AS245" s="128">
        <v>0</v>
      </c>
      <c r="AT245" s="128">
        <v>0</v>
      </c>
      <c r="AU245" s="128">
        <v>0</v>
      </c>
      <c r="AV245" s="128">
        <v>0</v>
      </c>
      <c r="AW245" s="128">
        <v>0</v>
      </c>
      <c r="AX245" s="128">
        <v>0</v>
      </c>
      <c r="AY245" s="128">
        <v>0</v>
      </c>
    </row>
    <row r="246" spans="1:51" x14ac:dyDescent="0.2">
      <c r="A246" s="127"/>
      <c r="B246" s="147">
        <v>38</v>
      </c>
      <c r="C246" s="124">
        <v>0</v>
      </c>
      <c r="D246" s="128">
        <v>0</v>
      </c>
      <c r="E246" s="128">
        <v>0</v>
      </c>
      <c r="F246" s="128">
        <v>0</v>
      </c>
      <c r="G246" s="128">
        <v>0</v>
      </c>
      <c r="H246" s="128">
        <v>0</v>
      </c>
      <c r="I246" s="128">
        <v>0</v>
      </c>
      <c r="J246" s="128">
        <v>0</v>
      </c>
      <c r="K246" s="128">
        <v>0</v>
      </c>
      <c r="L246" s="128">
        <v>0</v>
      </c>
      <c r="M246" s="128">
        <v>0</v>
      </c>
      <c r="N246" s="128">
        <v>0</v>
      </c>
      <c r="O246" s="128">
        <v>0</v>
      </c>
      <c r="P246" s="128">
        <v>0</v>
      </c>
      <c r="Q246" s="128">
        <v>0</v>
      </c>
      <c r="R246" s="128">
        <v>0</v>
      </c>
      <c r="S246" s="128">
        <v>0</v>
      </c>
      <c r="T246" s="128">
        <v>0</v>
      </c>
      <c r="U246" s="128">
        <v>0</v>
      </c>
      <c r="V246" s="128">
        <v>0</v>
      </c>
      <c r="W246" s="128">
        <v>0</v>
      </c>
      <c r="X246" s="128">
        <v>0</v>
      </c>
      <c r="Y246" s="128">
        <v>0</v>
      </c>
      <c r="Z246" s="128">
        <v>0</v>
      </c>
      <c r="AA246" s="128">
        <v>0</v>
      </c>
      <c r="AB246" s="128">
        <v>0</v>
      </c>
      <c r="AC246" s="128">
        <v>0</v>
      </c>
      <c r="AD246" s="128">
        <v>0</v>
      </c>
      <c r="AE246" s="128">
        <v>0</v>
      </c>
      <c r="AF246" s="128">
        <v>0</v>
      </c>
      <c r="AG246" s="128">
        <v>0</v>
      </c>
      <c r="AH246" s="128">
        <v>0</v>
      </c>
      <c r="AI246" s="128">
        <v>0</v>
      </c>
      <c r="AJ246" s="128">
        <v>0</v>
      </c>
      <c r="AK246" s="128">
        <v>0</v>
      </c>
      <c r="AL246" s="128">
        <v>0</v>
      </c>
      <c r="AM246" s="128">
        <v>0</v>
      </c>
      <c r="AN246" s="128">
        <v>0</v>
      </c>
      <c r="AO246" s="128">
        <v>0</v>
      </c>
      <c r="AP246" s="128">
        <v>0</v>
      </c>
      <c r="AQ246" s="128">
        <v>0</v>
      </c>
      <c r="AR246" s="128">
        <v>0</v>
      </c>
      <c r="AS246" s="128">
        <v>0</v>
      </c>
      <c r="AT246" s="128">
        <v>0</v>
      </c>
      <c r="AU246" s="128">
        <v>0</v>
      </c>
      <c r="AV246" s="128">
        <v>0</v>
      </c>
      <c r="AW246" s="128">
        <v>0</v>
      </c>
      <c r="AX246" s="128">
        <v>0</v>
      </c>
      <c r="AY246" s="128">
        <v>0</v>
      </c>
    </row>
    <row r="247" spans="1:51" x14ac:dyDescent="0.2">
      <c r="A247" s="127"/>
      <c r="B247" s="147">
        <v>39</v>
      </c>
      <c r="C247" s="124">
        <v>0</v>
      </c>
      <c r="D247" s="128">
        <v>0</v>
      </c>
      <c r="E247" s="128">
        <v>0</v>
      </c>
      <c r="F247" s="128">
        <v>0</v>
      </c>
      <c r="G247" s="128">
        <v>0</v>
      </c>
      <c r="H247" s="128">
        <v>0</v>
      </c>
      <c r="I247" s="128">
        <v>0</v>
      </c>
      <c r="J247" s="128">
        <v>0</v>
      </c>
      <c r="K247" s="128">
        <v>0</v>
      </c>
      <c r="L247" s="128">
        <v>0</v>
      </c>
      <c r="M247" s="128">
        <v>0</v>
      </c>
      <c r="N247" s="128">
        <v>0</v>
      </c>
      <c r="O247" s="128">
        <v>0</v>
      </c>
      <c r="P247" s="128">
        <v>0</v>
      </c>
      <c r="Q247" s="128">
        <v>0</v>
      </c>
      <c r="R247" s="128">
        <v>0</v>
      </c>
      <c r="S247" s="128">
        <v>0</v>
      </c>
      <c r="T247" s="128">
        <v>0</v>
      </c>
      <c r="U247" s="128">
        <v>0</v>
      </c>
      <c r="V247" s="128">
        <v>0</v>
      </c>
      <c r="W247" s="128">
        <v>0</v>
      </c>
      <c r="X247" s="128">
        <v>0</v>
      </c>
      <c r="Y247" s="128">
        <v>0</v>
      </c>
      <c r="Z247" s="128">
        <v>0</v>
      </c>
      <c r="AA247" s="128">
        <v>0</v>
      </c>
      <c r="AB247" s="128">
        <v>0</v>
      </c>
      <c r="AC247" s="128">
        <v>0</v>
      </c>
      <c r="AD247" s="128">
        <v>0</v>
      </c>
      <c r="AE247" s="128">
        <v>0</v>
      </c>
      <c r="AF247" s="128">
        <v>0</v>
      </c>
      <c r="AG247" s="128">
        <v>0</v>
      </c>
      <c r="AH247" s="128">
        <v>0</v>
      </c>
      <c r="AI247" s="128">
        <v>0</v>
      </c>
      <c r="AJ247" s="128">
        <v>0</v>
      </c>
      <c r="AK247" s="128">
        <v>0</v>
      </c>
      <c r="AL247" s="128">
        <v>0</v>
      </c>
      <c r="AM247" s="128">
        <v>0</v>
      </c>
      <c r="AN247" s="128">
        <v>0</v>
      </c>
      <c r="AO247" s="128">
        <v>0</v>
      </c>
      <c r="AP247" s="128">
        <v>0</v>
      </c>
      <c r="AQ247" s="128">
        <v>0</v>
      </c>
      <c r="AR247" s="128">
        <v>0</v>
      </c>
      <c r="AS247" s="128">
        <v>0</v>
      </c>
      <c r="AT247" s="128">
        <v>0</v>
      </c>
      <c r="AU247" s="128">
        <v>0</v>
      </c>
      <c r="AV247" s="128">
        <v>0</v>
      </c>
      <c r="AW247" s="128">
        <v>0</v>
      </c>
      <c r="AX247" s="128">
        <v>0</v>
      </c>
      <c r="AY247" s="128">
        <v>0</v>
      </c>
    </row>
    <row r="248" spans="1:51" x14ac:dyDescent="0.2">
      <c r="A248" s="127"/>
      <c r="B248" s="147">
        <v>40</v>
      </c>
      <c r="C248" s="124">
        <v>0</v>
      </c>
      <c r="D248" s="128">
        <v>0</v>
      </c>
      <c r="E248" s="128">
        <v>0</v>
      </c>
      <c r="F248" s="128">
        <v>0</v>
      </c>
      <c r="G248" s="128">
        <v>0</v>
      </c>
      <c r="H248" s="128">
        <v>0</v>
      </c>
      <c r="I248" s="128">
        <v>0</v>
      </c>
      <c r="J248" s="128">
        <v>0</v>
      </c>
      <c r="K248" s="128">
        <v>0</v>
      </c>
      <c r="L248" s="128">
        <v>0</v>
      </c>
      <c r="M248" s="128">
        <v>0</v>
      </c>
      <c r="N248" s="128">
        <v>0</v>
      </c>
      <c r="O248" s="128">
        <v>0</v>
      </c>
      <c r="P248" s="128">
        <v>0</v>
      </c>
      <c r="Q248" s="128">
        <v>0</v>
      </c>
      <c r="R248" s="128">
        <v>0</v>
      </c>
      <c r="S248" s="128">
        <v>0</v>
      </c>
      <c r="T248" s="128">
        <v>0</v>
      </c>
      <c r="U248" s="128">
        <v>0</v>
      </c>
      <c r="V248" s="128">
        <v>0</v>
      </c>
      <c r="W248" s="128">
        <v>0</v>
      </c>
      <c r="X248" s="128">
        <v>0</v>
      </c>
      <c r="Y248" s="128">
        <v>0</v>
      </c>
      <c r="Z248" s="128">
        <v>0</v>
      </c>
      <c r="AA248" s="128">
        <v>0</v>
      </c>
      <c r="AB248" s="128">
        <v>0</v>
      </c>
      <c r="AC248" s="128">
        <v>0</v>
      </c>
      <c r="AD248" s="128">
        <v>0</v>
      </c>
      <c r="AE248" s="128">
        <v>0</v>
      </c>
      <c r="AF248" s="128">
        <v>0</v>
      </c>
      <c r="AG248" s="128">
        <v>0</v>
      </c>
      <c r="AH248" s="128">
        <v>0</v>
      </c>
      <c r="AI248" s="128">
        <v>0</v>
      </c>
      <c r="AJ248" s="128">
        <v>0</v>
      </c>
      <c r="AK248" s="128">
        <v>0</v>
      </c>
      <c r="AL248" s="128">
        <v>0</v>
      </c>
      <c r="AM248" s="128">
        <v>0</v>
      </c>
      <c r="AN248" s="128">
        <v>0</v>
      </c>
      <c r="AO248" s="128">
        <v>0</v>
      </c>
      <c r="AP248" s="128">
        <v>0</v>
      </c>
      <c r="AQ248" s="128">
        <v>0</v>
      </c>
      <c r="AR248" s="128">
        <v>0</v>
      </c>
      <c r="AS248" s="128">
        <v>0</v>
      </c>
      <c r="AT248" s="128">
        <v>0</v>
      </c>
      <c r="AU248" s="128">
        <v>0</v>
      </c>
      <c r="AV248" s="128">
        <v>0</v>
      </c>
      <c r="AW248" s="128">
        <v>0</v>
      </c>
      <c r="AX248" s="128">
        <v>0</v>
      </c>
      <c r="AY248" s="128">
        <v>0</v>
      </c>
    </row>
    <row r="249" spans="1:51" x14ac:dyDescent="0.2">
      <c r="A249" s="127"/>
      <c r="B249" s="147">
        <v>41</v>
      </c>
      <c r="C249" s="124">
        <v>0</v>
      </c>
      <c r="D249" s="128">
        <v>0</v>
      </c>
      <c r="E249" s="128">
        <v>0</v>
      </c>
      <c r="F249" s="128">
        <v>0</v>
      </c>
      <c r="G249" s="128">
        <v>0</v>
      </c>
      <c r="H249" s="128">
        <v>0</v>
      </c>
      <c r="I249" s="128">
        <v>0</v>
      </c>
      <c r="J249" s="128">
        <v>0</v>
      </c>
      <c r="K249" s="128">
        <v>0</v>
      </c>
      <c r="L249" s="128">
        <v>0</v>
      </c>
      <c r="M249" s="128">
        <v>0</v>
      </c>
      <c r="N249" s="128">
        <v>0</v>
      </c>
      <c r="O249" s="128">
        <v>0</v>
      </c>
      <c r="P249" s="128">
        <v>0</v>
      </c>
      <c r="Q249" s="128">
        <v>0</v>
      </c>
      <c r="R249" s="128">
        <v>0</v>
      </c>
      <c r="S249" s="128">
        <v>0</v>
      </c>
      <c r="T249" s="128">
        <v>0</v>
      </c>
      <c r="U249" s="128">
        <v>0</v>
      </c>
      <c r="V249" s="128">
        <v>0</v>
      </c>
      <c r="W249" s="128">
        <v>0</v>
      </c>
      <c r="X249" s="128">
        <v>0</v>
      </c>
      <c r="Y249" s="128">
        <v>0</v>
      </c>
      <c r="Z249" s="128">
        <v>0</v>
      </c>
      <c r="AA249" s="128">
        <v>0</v>
      </c>
      <c r="AB249" s="128">
        <v>0</v>
      </c>
      <c r="AC249" s="128">
        <v>0</v>
      </c>
      <c r="AD249" s="128">
        <v>0</v>
      </c>
      <c r="AE249" s="128">
        <v>0</v>
      </c>
      <c r="AF249" s="128">
        <v>0</v>
      </c>
      <c r="AG249" s="128">
        <v>0</v>
      </c>
      <c r="AH249" s="128">
        <v>0</v>
      </c>
      <c r="AI249" s="128">
        <v>0</v>
      </c>
      <c r="AJ249" s="128">
        <v>0</v>
      </c>
      <c r="AK249" s="128">
        <v>0</v>
      </c>
      <c r="AL249" s="128">
        <v>0</v>
      </c>
      <c r="AM249" s="128">
        <v>0</v>
      </c>
      <c r="AN249" s="128">
        <v>0</v>
      </c>
      <c r="AO249" s="128">
        <v>0</v>
      </c>
      <c r="AP249" s="128">
        <v>0</v>
      </c>
      <c r="AQ249" s="128">
        <v>0</v>
      </c>
      <c r="AR249" s="128">
        <v>0</v>
      </c>
      <c r="AS249" s="128">
        <v>0</v>
      </c>
      <c r="AT249" s="128">
        <v>0</v>
      </c>
      <c r="AU249" s="128">
        <v>0</v>
      </c>
      <c r="AV249" s="128">
        <v>0</v>
      </c>
      <c r="AW249" s="128">
        <v>0</v>
      </c>
      <c r="AX249" s="128">
        <v>0</v>
      </c>
      <c r="AY249" s="128">
        <v>0</v>
      </c>
    </row>
    <row r="250" spans="1:51" x14ac:dyDescent="0.2">
      <c r="A250" s="127"/>
      <c r="B250" s="147">
        <v>42</v>
      </c>
      <c r="C250" s="124">
        <v>0</v>
      </c>
      <c r="D250" s="128">
        <v>0</v>
      </c>
      <c r="E250" s="128">
        <v>0</v>
      </c>
      <c r="F250" s="128">
        <v>0</v>
      </c>
      <c r="G250" s="128">
        <v>0</v>
      </c>
      <c r="H250" s="128">
        <v>0</v>
      </c>
      <c r="I250" s="128">
        <v>0</v>
      </c>
      <c r="J250" s="128">
        <v>0</v>
      </c>
      <c r="K250" s="128">
        <v>0</v>
      </c>
      <c r="L250" s="128">
        <v>0</v>
      </c>
      <c r="M250" s="128">
        <v>0</v>
      </c>
      <c r="N250" s="128">
        <v>0</v>
      </c>
      <c r="O250" s="128">
        <v>0</v>
      </c>
      <c r="P250" s="128">
        <v>0</v>
      </c>
      <c r="Q250" s="128">
        <v>0</v>
      </c>
      <c r="R250" s="128">
        <v>0</v>
      </c>
      <c r="S250" s="128">
        <v>0</v>
      </c>
      <c r="T250" s="128">
        <v>0</v>
      </c>
      <c r="U250" s="128">
        <v>0</v>
      </c>
      <c r="V250" s="128">
        <v>0</v>
      </c>
      <c r="W250" s="128">
        <v>0</v>
      </c>
      <c r="X250" s="128">
        <v>0</v>
      </c>
      <c r="Y250" s="128">
        <v>0</v>
      </c>
      <c r="Z250" s="128">
        <v>0</v>
      </c>
      <c r="AA250" s="128">
        <v>0</v>
      </c>
      <c r="AB250" s="128">
        <v>0</v>
      </c>
      <c r="AC250" s="128">
        <v>0</v>
      </c>
      <c r="AD250" s="128">
        <v>0</v>
      </c>
      <c r="AE250" s="128">
        <v>0</v>
      </c>
      <c r="AF250" s="128">
        <v>0</v>
      </c>
      <c r="AG250" s="128">
        <v>0</v>
      </c>
      <c r="AH250" s="128">
        <v>0</v>
      </c>
      <c r="AI250" s="128">
        <v>0</v>
      </c>
      <c r="AJ250" s="128">
        <v>0</v>
      </c>
      <c r="AK250" s="128">
        <v>0</v>
      </c>
      <c r="AL250" s="128">
        <v>0</v>
      </c>
      <c r="AM250" s="128">
        <v>0</v>
      </c>
      <c r="AN250" s="128">
        <v>0</v>
      </c>
      <c r="AO250" s="128">
        <v>0</v>
      </c>
      <c r="AP250" s="128">
        <v>0</v>
      </c>
      <c r="AQ250" s="128">
        <v>0</v>
      </c>
      <c r="AR250" s="128">
        <v>0</v>
      </c>
      <c r="AS250" s="128">
        <v>0</v>
      </c>
      <c r="AT250" s="128">
        <v>0</v>
      </c>
      <c r="AU250" s="128">
        <v>0</v>
      </c>
      <c r="AV250" s="128">
        <v>0</v>
      </c>
      <c r="AW250" s="128">
        <v>0</v>
      </c>
      <c r="AX250" s="128">
        <v>0</v>
      </c>
      <c r="AY250" s="128">
        <v>0</v>
      </c>
    </row>
    <row r="251" spans="1:51" x14ac:dyDescent="0.2">
      <c r="A251" s="127"/>
      <c r="B251" s="147">
        <v>43</v>
      </c>
      <c r="C251" s="124">
        <v>0</v>
      </c>
      <c r="D251" s="128">
        <v>0</v>
      </c>
      <c r="E251" s="128">
        <v>0</v>
      </c>
      <c r="F251" s="128">
        <v>0</v>
      </c>
      <c r="G251" s="128">
        <v>0</v>
      </c>
      <c r="H251" s="128">
        <v>0</v>
      </c>
      <c r="I251" s="128">
        <v>0</v>
      </c>
      <c r="J251" s="128">
        <v>0</v>
      </c>
      <c r="K251" s="128">
        <v>0</v>
      </c>
      <c r="L251" s="128">
        <v>0</v>
      </c>
      <c r="M251" s="128">
        <v>0</v>
      </c>
      <c r="N251" s="128">
        <v>0</v>
      </c>
      <c r="O251" s="128">
        <v>0</v>
      </c>
      <c r="P251" s="128">
        <v>0</v>
      </c>
      <c r="Q251" s="128">
        <v>0</v>
      </c>
      <c r="R251" s="128">
        <v>0</v>
      </c>
      <c r="S251" s="128">
        <v>0</v>
      </c>
      <c r="T251" s="128">
        <v>0</v>
      </c>
      <c r="U251" s="128">
        <v>0</v>
      </c>
      <c r="V251" s="128">
        <v>0</v>
      </c>
      <c r="W251" s="128">
        <v>0</v>
      </c>
      <c r="X251" s="128">
        <v>0</v>
      </c>
      <c r="Y251" s="128">
        <v>0</v>
      </c>
      <c r="Z251" s="128">
        <v>0</v>
      </c>
      <c r="AA251" s="128">
        <v>0</v>
      </c>
      <c r="AB251" s="128">
        <v>0</v>
      </c>
      <c r="AC251" s="128">
        <v>0</v>
      </c>
      <c r="AD251" s="128">
        <v>0</v>
      </c>
      <c r="AE251" s="128">
        <v>0</v>
      </c>
      <c r="AF251" s="128">
        <v>0</v>
      </c>
      <c r="AG251" s="128">
        <v>0</v>
      </c>
      <c r="AH251" s="128">
        <v>0</v>
      </c>
      <c r="AI251" s="128">
        <v>0</v>
      </c>
      <c r="AJ251" s="128">
        <v>0</v>
      </c>
      <c r="AK251" s="128">
        <v>0</v>
      </c>
      <c r="AL251" s="128">
        <v>0</v>
      </c>
      <c r="AM251" s="128">
        <v>0</v>
      </c>
      <c r="AN251" s="128">
        <v>0</v>
      </c>
      <c r="AO251" s="128">
        <v>0</v>
      </c>
      <c r="AP251" s="128">
        <v>0</v>
      </c>
      <c r="AQ251" s="128">
        <v>0</v>
      </c>
      <c r="AR251" s="128">
        <v>0</v>
      </c>
      <c r="AS251" s="128">
        <v>0</v>
      </c>
      <c r="AT251" s="128">
        <v>0</v>
      </c>
      <c r="AU251" s="128">
        <v>0</v>
      </c>
      <c r="AV251" s="128">
        <v>0</v>
      </c>
      <c r="AW251" s="128">
        <v>0</v>
      </c>
      <c r="AX251" s="128">
        <v>0</v>
      </c>
      <c r="AY251" s="128">
        <v>0</v>
      </c>
    </row>
    <row r="252" spans="1:51" x14ac:dyDescent="0.2">
      <c r="A252" s="127"/>
      <c r="B252" s="147">
        <v>44</v>
      </c>
      <c r="C252" s="124">
        <v>0</v>
      </c>
      <c r="D252" s="128">
        <v>0</v>
      </c>
      <c r="E252" s="128">
        <v>0</v>
      </c>
      <c r="F252" s="128">
        <v>0</v>
      </c>
      <c r="G252" s="128">
        <v>0</v>
      </c>
      <c r="H252" s="128">
        <v>0</v>
      </c>
      <c r="I252" s="128">
        <v>0</v>
      </c>
      <c r="J252" s="128">
        <v>0</v>
      </c>
      <c r="K252" s="128">
        <v>0</v>
      </c>
      <c r="L252" s="128">
        <v>0</v>
      </c>
      <c r="M252" s="128">
        <v>0</v>
      </c>
      <c r="N252" s="128">
        <v>0</v>
      </c>
      <c r="O252" s="128">
        <v>0</v>
      </c>
      <c r="P252" s="128">
        <v>0</v>
      </c>
      <c r="Q252" s="128">
        <v>0</v>
      </c>
      <c r="R252" s="128">
        <v>0</v>
      </c>
      <c r="S252" s="128">
        <v>0</v>
      </c>
      <c r="T252" s="128">
        <v>0</v>
      </c>
      <c r="U252" s="128">
        <v>0</v>
      </c>
      <c r="V252" s="128">
        <v>0</v>
      </c>
      <c r="W252" s="128">
        <v>0</v>
      </c>
      <c r="X252" s="128">
        <v>0</v>
      </c>
      <c r="Y252" s="128">
        <v>0</v>
      </c>
      <c r="Z252" s="128">
        <v>0</v>
      </c>
      <c r="AA252" s="128">
        <v>0</v>
      </c>
      <c r="AB252" s="128">
        <v>0</v>
      </c>
      <c r="AC252" s="128">
        <v>0</v>
      </c>
      <c r="AD252" s="128">
        <v>0</v>
      </c>
      <c r="AE252" s="128">
        <v>0</v>
      </c>
      <c r="AF252" s="128">
        <v>0</v>
      </c>
      <c r="AG252" s="128">
        <v>0</v>
      </c>
      <c r="AH252" s="128">
        <v>0</v>
      </c>
      <c r="AI252" s="128">
        <v>0</v>
      </c>
      <c r="AJ252" s="128">
        <v>0</v>
      </c>
      <c r="AK252" s="128">
        <v>0</v>
      </c>
      <c r="AL252" s="128">
        <v>0</v>
      </c>
      <c r="AM252" s="128">
        <v>0</v>
      </c>
      <c r="AN252" s="128">
        <v>0</v>
      </c>
      <c r="AO252" s="128">
        <v>0</v>
      </c>
      <c r="AP252" s="128">
        <v>0</v>
      </c>
      <c r="AQ252" s="128">
        <v>0</v>
      </c>
      <c r="AR252" s="128">
        <v>0</v>
      </c>
      <c r="AS252" s="128">
        <v>0</v>
      </c>
      <c r="AT252" s="128">
        <v>0</v>
      </c>
      <c r="AU252" s="128">
        <v>0</v>
      </c>
      <c r="AV252" s="128">
        <v>0</v>
      </c>
      <c r="AW252" s="128">
        <v>0</v>
      </c>
      <c r="AX252" s="128">
        <v>0</v>
      </c>
      <c r="AY252" s="128">
        <v>0</v>
      </c>
    </row>
    <row r="253" spans="1:51" x14ac:dyDescent="0.2">
      <c r="A253" s="127"/>
      <c r="B253" s="147">
        <v>45</v>
      </c>
      <c r="C253" s="124">
        <v>0</v>
      </c>
      <c r="D253" s="128">
        <v>0</v>
      </c>
      <c r="E253" s="128">
        <v>0</v>
      </c>
      <c r="F253" s="128">
        <v>0</v>
      </c>
      <c r="G253" s="128">
        <v>0</v>
      </c>
      <c r="H253" s="128">
        <v>0</v>
      </c>
      <c r="I253" s="128">
        <v>0</v>
      </c>
      <c r="J253" s="128">
        <v>0</v>
      </c>
      <c r="K253" s="128">
        <v>0</v>
      </c>
      <c r="L253" s="128">
        <v>0</v>
      </c>
      <c r="M253" s="128">
        <v>0</v>
      </c>
      <c r="N253" s="128">
        <v>0</v>
      </c>
      <c r="O253" s="128">
        <v>0</v>
      </c>
      <c r="P253" s="128">
        <v>0</v>
      </c>
      <c r="Q253" s="128">
        <v>0</v>
      </c>
      <c r="R253" s="128">
        <v>0</v>
      </c>
      <c r="S253" s="128">
        <v>0</v>
      </c>
      <c r="T253" s="128">
        <v>0</v>
      </c>
      <c r="U253" s="128">
        <v>0</v>
      </c>
      <c r="V253" s="128">
        <v>0</v>
      </c>
      <c r="W253" s="128">
        <v>0</v>
      </c>
      <c r="X253" s="128">
        <v>0</v>
      </c>
      <c r="Y253" s="128">
        <v>0</v>
      </c>
      <c r="Z253" s="128">
        <v>0</v>
      </c>
      <c r="AA253" s="128">
        <v>0</v>
      </c>
      <c r="AB253" s="128">
        <v>0</v>
      </c>
      <c r="AC253" s="128">
        <v>0</v>
      </c>
      <c r="AD253" s="128">
        <v>0</v>
      </c>
      <c r="AE253" s="128">
        <v>0</v>
      </c>
      <c r="AF253" s="128">
        <v>0</v>
      </c>
      <c r="AG253" s="128">
        <v>0</v>
      </c>
      <c r="AH253" s="128">
        <v>0</v>
      </c>
      <c r="AI253" s="128">
        <v>0</v>
      </c>
      <c r="AJ253" s="128">
        <v>0</v>
      </c>
      <c r="AK253" s="128">
        <v>0</v>
      </c>
      <c r="AL253" s="128">
        <v>0</v>
      </c>
      <c r="AM253" s="128">
        <v>0</v>
      </c>
      <c r="AN253" s="128">
        <v>0</v>
      </c>
      <c r="AO253" s="128">
        <v>0</v>
      </c>
      <c r="AP253" s="128">
        <v>0</v>
      </c>
      <c r="AQ253" s="128">
        <v>0</v>
      </c>
      <c r="AR253" s="128">
        <v>0</v>
      </c>
      <c r="AS253" s="128">
        <v>0</v>
      </c>
      <c r="AT253" s="128">
        <v>0</v>
      </c>
      <c r="AU253" s="128">
        <v>0</v>
      </c>
      <c r="AV253" s="128">
        <v>0</v>
      </c>
      <c r="AW253" s="128">
        <v>0</v>
      </c>
      <c r="AX253" s="128">
        <v>0</v>
      </c>
      <c r="AY253" s="128">
        <v>0</v>
      </c>
    </row>
    <row r="254" spans="1:51" x14ac:dyDescent="0.2">
      <c r="A254" s="127"/>
      <c r="B254" s="147">
        <v>46</v>
      </c>
      <c r="C254" s="124">
        <v>0</v>
      </c>
      <c r="D254" s="128">
        <v>0</v>
      </c>
      <c r="E254" s="128">
        <v>0</v>
      </c>
      <c r="F254" s="128">
        <v>0</v>
      </c>
      <c r="G254" s="128">
        <v>0</v>
      </c>
      <c r="H254" s="128">
        <v>0</v>
      </c>
      <c r="I254" s="128">
        <v>0</v>
      </c>
      <c r="J254" s="128">
        <v>0</v>
      </c>
      <c r="K254" s="128">
        <v>0</v>
      </c>
      <c r="L254" s="128">
        <v>0</v>
      </c>
      <c r="M254" s="128">
        <v>0</v>
      </c>
      <c r="N254" s="128">
        <v>0</v>
      </c>
      <c r="O254" s="128">
        <v>0</v>
      </c>
      <c r="P254" s="128">
        <v>0</v>
      </c>
      <c r="Q254" s="128">
        <v>0</v>
      </c>
      <c r="R254" s="128">
        <v>0</v>
      </c>
      <c r="S254" s="128">
        <v>0</v>
      </c>
      <c r="T254" s="128">
        <v>0</v>
      </c>
      <c r="U254" s="128">
        <v>0</v>
      </c>
      <c r="V254" s="128">
        <v>0</v>
      </c>
      <c r="W254" s="128">
        <v>0</v>
      </c>
      <c r="X254" s="128">
        <v>0</v>
      </c>
      <c r="Y254" s="128">
        <v>0</v>
      </c>
      <c r="Z254" s="128">
        <v>0</v>
      </c>
      <c r="AA254" s="128">
        <v>0</v>
      </c>
      <c r="AB254" s="128">
        <v>0</v>
      </c>
      <c r="AC254" s="128">
        <v>0</v>
      </c>
      <c r="AD254" s="128">
        <v>0</v>
      </c>
      <c r="AE254" s="128">
        <v>0</v>
      </c>
      <c r="AF254" s="128">
        <v>0</v>
      </c>
      <c r="AG254" s="128">
        <v>0</v>
      </c>
      <c r="AH254" s="128">
        <v>0</v>
      </c>
      <c r="AI254" s="128">
        <v>0</v>
      </c>
      <c r="AJ254" s="128">
        <v>0</v>
      </c>
      <c r="AK254" s="128">
        <v>0</v>
      </c>
      <c r="AL254" s="128">
        <v>0</v>
      </c>
      <c r="AM254" s="128">
        <v>0</v>
      </c>
      <c r="AN254" s="128">
        <v>0</v>
      </c>
      <c r="AO254" s="128">
        <v>0</v>
      </c>
      <c r="AP254" s="128">
        <v>0</v>
      </c>
      <c r="AQ254" s="128">
        <v>0</v>
      </c>
      <c r="AR254" s="128">
        <v>0</v>
      </c>
      <c r="AS254" s="128">
        <v>0</v>
      </c>
      <c r="AT254" s="128">
        <v>0</v>
      </c>
      <c r="AU254" s="128">
        <v>0</v>
      </c>
      <c r="AV254" s="128">
        <v>0</v>
      </c>
      <c r="AW254" s="128">
        <v>0</v>
      </c>
      <c r="AX254" s="128">
        <v>0</v>
      </c>
      <c r="AY254" s="128">
        <v>0</v>
      </c>
    </row>
    <row r="255" spans="1:51" x14ac:dyDescent="0.2">
      <c r="A255" s="127"/>
      <c r="B255" s="147">
        <v>47</v>
      </c>
      <c r="C255" s="124">
        <v>0</v>
      </c>
      <c r="D255" s="128">
        <v>0</v>
      </c>
      <c r="E255" s="128">
        <v>0</v>
      </c>
      <c r="F255" s="128">
        <v>0</v>
      </c>
      <c r="G255" s="128">
        <v>0</v>
      </c>
      <c r="H255" s="128">
        <v>0</v>
      </c>
      <c r="I255" s="128">
        <v>0</v>
      </c>
      <c r="J255" s="128">
        <v>0</v>
      </c>
      <c r="K255" s="128">
        <v>0</v>
      </c>
      <c r="L255" s="128">
        <v>0</v>
      </c>
      <c r="M255" s="128">
        <v>0</v>
      </c>
      <c r="N255" s="128">
        <v>0</v>
      </c>
      <c r="O255" s="128">
        <v>0</v>
      </c>
      <c r="P255" s="128">
        <v>0</v>
      </c>
      <c r="Q255" s="128">
        <v>0</v>
      </c>
      <c r="R255" s="128">
        <v>0</v>
      </c>
      <c r="S255" s="128">
        <v>0</v>
      </c>
      <c r="T255" s="128">
        <v>0</v>
      </c>
      <c r="U255" s="128">
        <v>0</v>
      </c>
      <c r="V255" s="128">
        <v>0</v>
      </c>
      <c r="W255" s="128">
        <v>0</v>
      </c>
      <c r="X255" s="128">
        <v>0</v>
      </c>
      <c r="Y255" s="128">
        <v>0</v>
      </c>
      <c r="Z255" s="128">
        <v>0</v>
      </c>
      <c r="AA255" s="128">
        <v>0</v>
      </c>
      <c r="AB255" s="128">
        <v>0</v>
      </c>
      <c r="AC255" s="128">
        <v>0</v>
      </c>
      <c r="AD255" s="128">
        <v>0</v>
      </c>
      <c r="AE255" s="128">
        <v>0</v>
      </c>
      <c r="AF255" s="128">
        <v>0</v>
      </c>
      <c r="AG255" s="128">
        <v>0</v>
      </c>
      <c r="AH255" s="128">
        <v>0</v>
      </c>
      <c r="AI255" s="128">
        <v>0</v>
      </c>
      <c r="AJ255" s="128">
        <v>0</v>
      </c>
      <c r="AK255" s="128">
        <v>0</v>
      </c>
      <c r="AL255" s="128">
        <v>0</v>
      </c>
      <c r="AM255" s="128">
        <v>0</v>
      </c>
      <c r="AN255" s="128">
        <v>0</v>
      </c>
      <c r="AO255" s="128">
        <v>0</v>
      </c>
      <c r="AP255" s="128">
        <v>0</v>
      </c>
      <c r="AQ255" s="128">
        <v>0</v>
      </c>
      <c r="AR255" s="128">
        <v>0</v>
      </c>
      <c r="AS255" s="128">
        <v>0</v>
      </c>
      <c r="AT255" s="128">
        <v>0</v>
      </c>
      <c r="AU255" s="128">
        <v>0</v>
      </c>
      <c r="AV255" s="128">
        <v>0</v>
      </c>
      <c r="AW255" s="128">
        <v>0</v>
      </c>
      <c r="AX255" s="128">
        <v>0</v>
      </c>
      <c r="AY255" s="128">
        <v>0</v>
      </c>
    </row>
    <row r="256" spans="1:51" x14ac:dyDescent="0.2">
      <c r="A256" s="145"/>
      <c r="B256" s="146">
        <v>48</v>
      </c>
      <c r="C256" s="131">
        <v>0</v>
      </c>
      <c r="D256" s="142">
        <v>0</v>
      </c>
      <c r="E256" s="142">
        <v>0</v>
      </c>
      <c r="F256" s="142">
        <v>0</v>
      </c>
      <c r="G256" s="142">
        <v>0</v>
      </c>
      <c r="H256" s="142">
        <v>0</v>
      </c>
      <c r="I256" s="142">
        <v>0</v>
      </c>
      <c r="J256" s="142">
        <v>0</v>
      </c>
      <c r="K256" s="142">
        <v>0</v>
      </c>
      <c r="L256" s="142">
        <v>0</v>
      </c>
      <c r="M256" s="142">
        <v>0</v>
      </c>
      <c r="N256" s="142">
        <v>0</v>
      </c>
      <c r="O256" s="142">
        <v>0</v>
      </c>
      <c r="P256" s="142">
        <v>0</v>
      </c>
      <c r="Q256" s="142">
        <v>0</v>
      </c>
      <c r="R256" s="142">
        <v>0</v>
      </c>
      <c r="S256" s="142">
        <v>0</v>
      </c>
      <c r="T256" s="142">
        <v>0</v>
      </c>
      <c r="U256" s="142">
        <v>0</v>
      </c>
      <c r="V256" s="142">
        <v>0</v>
      </c>
      <c r="W256" s="142">
        <v>0</v>
      </c>
      <c r="X256" s="142">
        <v>0</v>
      </c>
      <c r="Y256" s="142">
        <v>0</v>
      </c>
      <c r="Z256" s="142">
        <v>0</v>
      </c>
      <c r="AA256" s="142">
        <v>0</v>
      </c>
      <c r="AB256" s="142">
        <v>0</v>
      </c>
      <c r="AC256" s="142">
        <v>0</v>
      </c>
      <c r="AD256" s="142">
        <v>0</v>
      </c>
      <c r="AE256" s="142">
        <v>0</v>
      </c>
      <c r="AF256" s="142">
        <v>0</v>
      </c>
      <c r="AG256" s="142">
        <v>0</v>
      </c>
      <c r="AH256" s="142">
        <v>0</v>
      </c>
      <c r="AI256" s="142">
        <v>0</v>
      </c>
      <c r="AJ256" s="142">
        <v>0</v>
      </c>
      <c r="AK256" s="142">
        <v>0</v>
      </c>
      <c r="AL256" s="142">
        <v>0</v>
      </c>
      <c r="AM256" s="142">
        <v>0</v>
      </c>
      <c r="AN256" s="142">
        <v>0</v>
      </c>
      <c r="AO256" s="142">
        <v>0</v>
      </c>
      <c r="AP256" s="142">
        <v>0</v>
      </c>
      <c r="AQ256" s="142">
        <v>0</v>
      </c>
      <c r="AR256" s="142">
        <v>0</v>
      </c>
      <c r="AS256" s="142">
        <v>0</v>
      </c>
      <c r="AT256" s="142">
        <v>0</v>
      </c>
      <c r="AU256" s="142">
        <v>0</v>
      </c>
      <c r="AV256" s="142">
        <v>0</v>
      </c>
      <c r="AW256" s="142">
        <v>0</v>
      </c>
      <c r="AX256" s="142">
        <v>0</v>
      </c>
      <c r="AY256" s="142">
        <v>0</v>
      </c>
    </row>
    <row r="258" spans="1:52" x14ac:dyDescent="0.2">
      <c r="A258" s="1" t="s">
        <v>301</v>
      </c>
    </row>
    <row r="259" spans="1:52" x14ac:dyDescent="0.2">
      <c r="A259" s="154" t="s">
        <v>124</v>
      </c>
      <c r="B259" s="155">
        <v>650</v>
      </c>
      <c r="C259" s="141" t="s">
        <v>293</v>
      </c>
      <c r="D259" s="141">
        <f>E$14*$B$259</f>
        <v>1168730.0462848912</v>
      </c>
      <c r="E259" s="141">
        <f t="shared" ref="E259:AX259" si="5">F$14*$B$259</f>
        <v>1799413.643193227</v>
      </c>
      <c r="F259" s="141">
        <f t="shared" si="5"/>
        <v>2193567.106278935</v>
      </c>
      <c r="G259" s="141">
        <f t="shared" si="5"/>
        <v>2469346.5625079246</v>
      </c>
      <c r="H259" s="141">
        <f t="shared" si="5"/>
        <v>2619881.6812671702</v>
      </c>
      <c r="I259" s="141">
        <f t="shared" si="5"/>
        <v>2723102.4228968779</v>
      </c>
      <c r="J259" s="141">
        <f t="shared" si="5"/>
        <v>2805035.030145782</v>
      </c>
      <c r="K259" s="141">
        <f t="shared" si="5"/>
        <v>2868211.4206932955</v>
      </c>
      <c r="L259" s="141">
        <f t="shared" si="5"/>
        <v>2881358.1603515279</v>
      </c>
      <c r="M259" s="141">
        <f t="shared" si="5"/>
        <v>2907168.6612697854</v>
      </c>
      <c r="N259" s="141">
        <f t="shared" si="5"/>
        <v>2951356.4570698347</v>
      </c>
      <c r="O259" s="141">
        <f t="shared" si="5"/>
        <v>2962151.3072296348</v>
      </c>
      <c r="P259" s="141">
        <f t="shared" si="5"/>
        <v>2945882.2135981298</v>
      </c>
      <c r="Q259" s="141">
        <f t="shared" si="5"/>
        <v>2951596.8240069943</v>
      </c>
      <c r="R259" s="141">
        <f t="shared" si="5"/>
        <v>2936240.7968942691</v>
      </c>
      <c r="S259" s="141">
        <f t="shared" si="5"/>
        <v>2992769.0260095522</v>
      </c>
      <c r="T259" s="141">
        <f t="shared" si="5"/>
        <v>2966566.1195897837</v>
      </c>
      <c r="U259" s="141">
        <f t="shared" si="5"/>
        <v>2950988.2318453472</v>
      </c>
      <c r="V259" s="141">
        <f t="shared" si="5"/>
        <v>2952855.6354203606</v>
      </c>
      <c r="W259" s="141">
        <f t="shared" si="5"/>
        <v>2954104.0249939896</v>
      </c>
      <c r="X259" s="141">
        <f t="shared" si="5"/>
        <v>2972391.2148427004</v>
      </c>
      <c r="Y259" s="141">
        <f t="shared" si="5"/>
        <v>2958114.3693716396</v>
      </c>
      <c r="Z259" s="141">
        <f t="shared" si="5"/>
        <v>2992955.7451864593</v>
      </c>
      <c r="AA259" s="141">
        <f t="shared" si="5"/>
        <v>2996855.9686381975</v>
      </c>
      <c r="AB259" s="141">
        <f t="shared" si="5"/>
        <v>2968436.4491793569</v>
      </c>
      <c r="AC259" s="141">
        <f t="shared" si="5"/>
        <v>2967536.5540914042</v>
      </c>
      <c r="AD259" s="141">
        <f t="shared" si="5"/>
        <v>2970382.3909744141</v>
      </c>
      <c r="AE259" s="141">
        <f t="shared" si="5"/>
        <v>2949876.5753526841</v>
      </c>
      <c r="AF259" s="141">
        <f t="shared" si="5"/>
        <v>2946725.8635539277</v>
      </c>
      <c r="AG259" s="141">
        <f t="shared" si="5"/>
        <v>2946558.7417516802</v>
      </c>
      <c r="AH259" s="141">
        <f t="shared" si="5"/>
        <v>2961314.0657830369</v>
      </c>
      <c r="AI259" s="141">
        <f t="shared" si="5"/>
        <v>2970100.9168908098</v>
      </c>
      <c r="AJ259" s="141">
        <f t="shared" si="5"/>
        <v>2974897.7470582845</v>
      </c>
      <c r="AK259" s="141">
        <f t="shared" si="5"/>
        <v>2986292.1552550159</v>
      </c>
      <c r="AL259" s="141">
        <f t="shared" si="5"/>
        <v>2999942.5067680716</v>
      </c>
      <c r="AM259" s="141">
        <f t="shared" si="5"/>
        <v>2976317.3903648374</v>
      </c>
      <c r="AN259" s="141">
        <f t="shared" si="5"/>
        <v>2968280.3374417345</v>
      </c>
      <c r="AO259" s="141">
        <f t="shared" si="5"/>
        <v>2958167.2191290162</v>
      </c>
      <c r="AP259" s="141">
        <f t="shared" si="5"/>
        <v>2969074.521164767</v>
      </c>
      <c r="AQ259" s="141">
        <f t="shared" si="5"/>
        <v>2982399.2343097939</v>
      </c>
      <c r="AR259" s="141">
        <f t="shared" si="5"/>
        <v>2978379.1535984837</v>
      </c>
      <c r="AS259" s="141">
        <f t="shared" si="5"/>
        <v>2991205.1054923967</v>
      </c>
      <c r="AT259" s="141">
        <f t="shared" si="5"/>
        <v>2963581.4332315279</v>
      </c>
      <c r="AU259" s="141">
        <f t="shared" si="5"/>
        <v>2935418.6596993366</v>
      </c>
      <c r="AV259" s="141">
        <f t="shared" si="5"/>
        <v>2959899.7451221682</v>
      </c>
      <c r="AW259" s="141">
        <f t="shared" si="5"/>
        <v>2938990.3963423218</v>
      </c>
      <c r="AX259" s="141">
        <f t="shared" si="5"/>
        <v>2929536.9112331318</v>
      </c>
      <c r="AY259" s="141">
        <f>AZ$14*$B$259</f>
        <v>2937006.8285019365</v>
      </c>
      <c r="AZ259" s="156">
        <f>SUM($D259:$AY259)</f>
        <v>137050963.57187644</v>
      </c>
    </row>
    <row r="260" spans="1:52" x14ac:dyDescent="0.2">
      <c r="A260" s="157" t="s">
        <v>302</v>
      </c>
      <c r="B260" s="131">
        <v>60</v>
      </c>
      <c r="C260" s="142" t="s">
        <v>293</v>
      </c>
      <c r="D260" s="142">
        <f>(D$175-D$176+D$177-D$178+D$179-D$180+D$181-D$182)*$B$260</f>
        <v>581048.48692166421</v>
      </c>
      <c r="E260" s="142">
        <f t="shared" ref="E260:AY260" si="6">(E$175-E$176+E$177-E$178+E$179-E$180+E$181-E$182)*$B$260</f>
        <v>829682.59614564048</v>
      </c>
      <c r="F260" s="142">
        <f t="shared" si="6"/>
        <v>1097054.3929715168</v>
      </c>
      <c r="G260" s="142">
        <f t="shared" si="6"/>
        <v>1339680.086924168</v>
      </c>
      <c r="H260" s="142">
        <f t="shared" si="6"/>
        <v>1679469.33227164</v>
      </c>
      <c r="I260" s="142">
        <f t="shared" si="6"/>
        <v>1899060.1900341487</v>
      </c>
      <c r="J260" s="142">
        <f t="shared" si="6"/>
        <v>1988733.6895250047</v>
      </c>
      <c r="K260" s="142">
        <f t="shared" si="6"/>
        <v>2018662.0227052346</v>
      </c>
      <c r="L260" s="142">
        <f t="shared" si="6"/>
        <v>2019368.4775060127</v>
      </c>
      <c r="M260" s="142">
        <f t="shared" si="6"/>
        <v>2030305.9697289423</v>
      </c>
      <c r="N260" s="142">
        <f t="shared" si="6"/>
        <v>2020947.0962704769</v>
      </c>
      <c r="O260" s="142">
        <f t="shared" si="6"/>
        <v>2000450.6485634178</v>
      </c>
      <c r="P260" s="142">
        <f t="shared" si="6"/>
        <v>2010412.4110524799</v>
      </c>
      <c r="Q260" s="142">
        <f t="shared" si="6"/>
        <v>1996684.9085532003</v>
      </c>
      <c r="R260" s="142">
        <f t="shared" si="6"/>
        <v>2033562.3879789906</v>
      </c>
      <c r="S260" s="142">
        <f t="shared" si="6"/>
        <v>2000324.3975991181</v>
      </c>
      <c r="T260" s="142">
        <f t="shared" si="6"/>
        <v>2008983.1274224815</v>
      </c>
      <c r="U260" s="142">
        <f t="shared" si="6"/>
        <v>2021341.0862911986</v>
      </c>
      <c r="V260" s="142">
        <f t="shared" si="6"/>
        <v>2002628.710576582</v>
      </c>
      <c r="W260" s="142">
        <f t="shared" si="6"/>
        <v>2003053.4746159397</v>
      </c>
      <c r="X260" s="142">
        <f t="shared" si="6"/>
        <v>2007845.4263222124</v>
      </c>
      <c r="Y260" s="142">
        <f t="shared" si="6"/>
        <v>2034963.2889810794</v>
      </c>
      <c r="Z260" s="142">
        <f t="shared" si="6"/>
        <v>2014047.1619827885</v>
      </c>
      <c r="AA260" s="142">
        <f t="shared" si="6"/>
        <v>2001207.141356474</v>
      </c>
      <c r="AB260" s="142">
        <f t="shared" si="6"/>
        <v>2018770.4816142134</v>
      </c>
      <c r="AC260" s="142">
        <f t="shared" si="6"/>
        <v>2012913.5488531012</v>
      </c>
      <c r="AD260" s="142">
        <f t="shared" si="6"/>
        <v>2007910.8562177464</v>
      </c>
      <c r="AE260" s="142">
        <f t="shared" si="6"/>
        <v>2013823.7007366749</v>
      </c>
      <c r="AF260" s="142">
        <f t="shared" si="6"/>
        <v>2001814.5356719452</v>
      </c>
      <c r="AG260" s="142">
        <f t="shared" si="6"/>
        <v>2012089.9622998447</v>
      </c>
      <c r="AH260" s="142">
        <f t="shared" si="6"/>
        <v>2003227.9323892582</v>
      </c>
      <c r="AI260" s="142">
        <f t="shared" si="6"/>
        <v>2010156.8384408483</v>
      </c>
      <c r="AJ260" s="142">
        <f t="shared" si="6"/>
        <v>2015534.0541176966</v>
      </c>
      <c r="AK260" s="142">
        <f t="shared" si="6"/>
        <v>2022942.2625918449</v>
      </c>
      <c r="AL260" s="142">
        <f t="shared" si="6"/>
        <v>2000142.2301444856</v>
      </c>
      <c r="AM260" s="142">
        <f t="shared" si="6"/>
        <v>2004243.0101201686</v>
      </c>
      <c r="AN260" s="142">
        <f t="shared" si="6"/>
        <v>2000064.8919284551</v>
      </c>
      <c r="AO260" s="142">
        <f t="shared" si="6"/>
        <v>2003998.4105419363</v>
      </c>
      <c r="AP260" s="142">
        <f t="shared" si="6"/>
        <v>2016971.5826617139</v>
      </c>
      <c r="AQ260" s="142">
        <f t="shared" si="6"/>
        <v>2008061.6091406345</v>
      </c>
      <c r="AR260" s="142">
        <f t="shared" si="6"/>
        <v>2014852.693513986</v>
      </c>
      <c r="AS260" s="142">
        <f t="shared" si="6"/>
        <v>2000228.7594930097</v>
      </c>
      <c r="AT260" s="142">
        <f t="shared" si="6"/>
        <v>1999778.6369324741</v>
      </c>
      <c r="AU260" s="142">
        <f t="shared" si="6"/>
        <v>2030638.277566215</v>
      </c>
      <c r="AV260" s="142">
        <f t="shared" si="6"/>
        <v>2006958.4850656462</v>
      </c>
      <c r="AW260" s="142">
        <f t="shared" si="6"/>
        <v>2012668.57879917</v>
      </c>
      <c r="AX260" s="142">
        <f t="shared" si="6"/>
        <v>2002621.2081938651</v>
      </c>
      <c r="AY260" s="142">
        <f t="shared" si="6"/>
        <v>2008051.6773690518</v>
      </c>
      <c r="AZ260" s="158">
        <f>SUM($D260:$AY260)</f>
        <v>91867980.736704409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75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customWidth="1"/>
    <col min="2" max="2" width="12.7109375" customWidth="1"/>
  </cols>
  <sheetData>
    <row r="1" spans="1:53" x14ac:dyDescent="0.2">
      <c r="A1" s="1" t="s">
        <v>284</v>
      </c>
    </row>
    <row r="2" spans="1:53" x14ac:dyDescent="0.2">
      <c r="A2" t="s">
        <v>285</v>
      </c>
      <c r="B2" s="125" t="s">
        <v>59</v>
      </c>
    </row>
    <row r="3" spans="1:53" x14ac:dyDescent="0.2">
      <c r="A3" t="s">
        <v>286</v>
      </c>
      <c r="B3" s="126">
        <v>43000</v>
      </c>
      <c r="C3" s="127"/>
    </row>
    <row r="4" spans="1:53" x14ac:dyDescent="0.2">
      <c r="B4" s="128"/>
      <c r="C4" s="128"/>
    </row>
    <row r="5" spans="1:53" x14ac:dyDescent="0.2">
      <c r="C5" s="9" t="s">
        <v>287</v>
      </c>
    </row>
    <row r="6" spans="1:53" x14ac:dyDescent="0.2">
      <c r="C6" s="129">
        <v>0</v>
      </c>
      <c r="D6" s="129">
        <v>1</v>
      </c>
      <c r="E6" s="129">
        <v>2</v>
      </c>
      <c r="F6" s="129">
        <v>3</v>
      </c>
      <c r="G6" s="129">
        <v>4</v>
      </c>
      <c r="H6" s="129">
        <v>5</v>
      </c>
      <c r="I6" s="129">
        <v>6</v>
      </c>
      <c r="J6" s="129">
        <v>7</v>
      </c>
      <c r="K6" s="129">
        <v>8</v>
      </c>
      <c r="L6" s="129">
        <v>9</v>
      </c>
      <c r="M6" s="129">
        <v>10</v>
      </c>
      <c r="N6" s="129">
        <v>11</v>
      </c>
      <c r="O6" s="129">
        <v>12</v>
      </c>
      <c r="P6" s="129">
        <v>13</v>
      </c>
      <c r="Q6" s="129">
        <v>14</v>
      </c>
      <c r="R6" s="129">
        <v>15</v>
      </c>
      <c r="S6" s="129">
        <v>16</v>
      </c>
      <c r="T6" s="129">
        <v>17</v>
      </c>
      <c r="U6" s="129">
        <v>18</v>
      </c>
      <c r="V6" s="129">
        <v>19</v>
      </c>
      <c r="W6" s="129">
        <v>20</v>
      </c>
      <c r="X6" s="129">
        <v>21</v>
      </c>
      <c r="Y6" s="129">
        <v>22</v>
      </c>
      <c r="Z6" s="129">
        <v>23</v>
      </c>
      <c r="AA6" s="129">
        <v>24</v>
      </c>
      <c r="AB6" s="129">
        <v>25</v>
      </c>
      <c r="AC6" s="129">
        <v>26</v>
      </c>
      <c r="AD6" s="129">
        <v>27</v>
      </c>
      <c r="AE6" s="129">
        <v>28</v>
      </c>
      <c r="AF6" s="129">
        <v>29</v>
      </c>
      <c r="AG6" s="129">
        <v>30</v>
      </c>
      <c r="AH6" s="129">
        <v>31</v>
      </c>
      <c r="AI6" s="129">
        <v>32</v>
      </c>
      <c r="AJ6" s="129">
        <v>33</v>
      </c>
      <c r="AK6" s="129">
        <v>34</v>
      </c>
      <c r="AL6" s="129">
        <v>35</v>
      </c>
      <c r="AM6" s="129">
        <v>36</v>
      </c>
      <c r="AN6" s="129">
        <v>37</v>
      </c>
      <c r="AO6" s="129">
        <v>38</v>
      </c>
      <c r="AP6" s="129">
        <v>39</v>
      </c>
      <c r="AQ6" s="129">
        <v>40</v>
      </c>
      <c r="AR6" s="129">
        <v>41</v>
      </c>
      <c r="AS6" s="129">
        <v>42</v>
      </c>
      <c r="AT6" s="129">
        <v>43</v>
      </c>
      <c r="AU6" s="129">
        <v>44</v>
      </c>
      <c r="AV6" s="129">
        <v>45</v>
      </c>
      <c r="AW6" s="129">
        <v>46</v>
      </c>
      <c r="AX6" s="129">
        <v>47</v>
      </c>
      <c r="AY6" s="129">
        <v>48</v>
      </c>
    </row>
    <row r="7" spans="1:53" x14ac:dyDescent="0.2">
      <c r="B7" s="128"/>
      <c r="C7" s="130" t="s">
        <v>288</v>
      </c>
      <c r="D7" s="129" t="s">
        <v>289</v>
      </c>
      <c r="E7" s="129" t="s">
        <v>289</v>
      </c>
      <c r="F7" s="129" t="s">
        <v>289</v>
      </c>
      <c r="G7" s="129" t="s">
        <v>289</v>
      </c>
      <c r="H7" s="129" t="s">
        <v>289</v>
      </c>
      <c r="I7" s="129" t="s">
        <v>289</v>
      </c>
      <c r="J7" s="129" t="s">
        <v>289</v>
      </c>
      <c r="K7" s="129" t="s">
        <v>289</v>
      </c>
      <c r="L7" s="129" t="s">
        <v>289</v>
      </c>
      <c r="M7" s="129" t="s">
        <v>289</v>
      </c>
      <c r="N7" s="129" t="s">
        <v>289</v>
      </c>
      <c r="O7" s="129" t="s">
        <v>289</v>
      </c>
      <c r="P7" s="129" t="s">
        <v>289</v>
      </c>
      <c r="Q7" s="129" t="s">
        <v>289</v>
      </c>
      <c r="R7" s="129" t="s">
        <v>289</v>
      </c>
      <c r="S7" s="129" t="s">
        <v>289</v>
      </c>
      <c r="T7" s="129" t="s">
        <v>289</v>
      </c>
      <c r="U7" s="129" t="s">
        <v>289</v>
      </c>
      <c r="V7" s="129" t="s">
        <v>289</v>
      </c>
      <c r="W7" s="129" t="s">
        <v>289</v>
      </c>
      <c r="X7" s="129" t="s">
        <v>289</v>
      </c>
      <c r="Y7" s="129" t="s">
        <v>289</v>
      </c>
      <c r="Z7" s="129" t="s">
        <v>289</v>
      </c>
      <c r="AA7" s="129" t="s">
        <v>289</v>
      </c>
      <c r="AB7" s="129" t="s">
        <v>289</v>
      </c>
      <c r="AC7" s="129" t="s">
        <v>289</v>
      </c>
      <c r="AD7" s="129" t="s">
        <v>289</v>
      </c>
      <c r="AE7" s="129" t="s">
        <v>289</v>
      </c>
      <c r="AF7" s="129" t="s">
        <v>289</v>
      </c>
      <c r="AG7" s="129" t="s">
        <v>289</v>
      </c>
      <c r="AH7" s="129" t="s">
        <v>289</v>
      </c>
      <c r="AI7" s="129" t="s">
        <v>289</v>
      </c>
      <c r="AJ7" s="129" t="s">
        <v>289</v>
      </c>
      <c r="AK7" s="129" t="s">
        <v>289</v>
      </c>
      <c r="AL7" s="129" t="s">
        <v>289</v>
      </c>
      <c r="AM7" s="129" t="s">
        <v>289</v>
      </c>
      <c r="AN7" s="129" t="s">
        <v>289</v>
      </c>
      <c r="AO7" s="129" t="s">
        <v>289</v>
      </c>
      <c r="AP7" s="129" t="s">
        <v>289</v>
      </c>
      <c r="AQ7" s="129" t="s">
        <v>289</v>
      </c>
      <c r="AR7" s="129" t="s">
        <v>289</v>
      </c>
      <c r="AS7" s="129" t="s">
        <v>289</v>
      </c>
      <c r="AT7" s="129" t="s">
        <v>289</v>
      </c>
      <c r="AU7" s="129" t="s">
        <v>289</v>
      </c>
      <c r="AV7" s="129" t="s">
        <v>289</v>
      </c>
      <c r="AW7" s="129" t="s">
        <v>289</v>
      </c>
      <c r="AX7" s="129" t="s">
        <v>289</v>
      </c>
      <c r="AY7" s="9" t="s">
        <v>290</v>
      </c>
      <c r="AZ7" s="9" t="s">
        <v>291</v>
      </c>
    </row>
    <row r="8" spans="1:53" x14ac:dyDescent="0.2">
      <c r="A8" s="1" t="s">
        <v>292</v>
      </c>
      <c r="B8" s="131"/>
      <c r="AY8" s="128"/>
    </row>
    <row r="9" spans="1:53" x14ac:dyDescent="0.2">
      <c r="A9" s="132" t="s">
        <v>125</v>
      </c>
      <c r="B9" s="133">
        <v>1</v>
      </c>
      <c r="C9" s="134" t="s">
        <v>293</v>
      </c>
      <c r="D9" s="134">
        <v>4790.2482433845389</v>
      </c>
      <c r="E9" s="134">
        <v>4790.2482433845389</v>
      </c>
      <c r="F9" s="134">
        <v>4790.2482433845389</v>
      </c>
      <c r="G9" s="134">
        <v>4790.2482433845389</v>
      </c>
      <c r="H9" s="134">
        <v>4790.2482433845389</v>
      </c>
      <c r="I9" s="134">
        <v>4790.2482433845389</v>
      </c>
      <c r="J9" s="134">
        <v>4790.2482433845389</v>
      </c>
      <c r="K9" s="134">
        <v>4790.2482433845389</v>
      </c>
      <c r="L9" s="134">
        <v>4790.2482433845389</v>
      </c>
      <c r="M9" s="134">
        <v>4790.2482433845389</v>
      </c>
      <c r="N9" s="134">
        <v>4790.2482433845389</v>
      </c>
      <c r="O9" s="134">
        <v>4790.2482433845389</v>
      </c>
      <c r="P9" s="134">
        <v>4790.2482433845389</v>
      </c>
      <c r="Q9" s="134">
        <v>4790.2482433845389</v>
      </c>
      <c r="R9" s="134">
        <v>4790.2482433845389</v>
      </c>
      <c r="S9" s="134">
        <v>4790.2482433845389</v>
      </c>
      <c r="T9" s="134">
        <v>4790.2482433845389</v>
      </c>
      <c r="U9" s="134">
        <v>4790.2482433845389</v>
      </c>
      <c r="V9" s="134">
        <v>4790.2482433845389</v>
      </c>
      <c r="W9" s="134">
        <v>4790.2482433845389</v>
      </c>
      <c r="X9" s="134">
        <v>4790.2482433845389</v>
      </c>
      <c r="Y9" s="134">
        <v>4790.2482433845389</v>
      </c>
      <c r="Z9" s="134">
        <v>4790.2482433845389</v>
      </c>
      <c r="AA9" s="134">
        <v>4790.2482433845389</v>
      </c>
      <c r="AB9" s="134">
        <v>4790.2482433845389</v>
      </c>
      <c r="AC9" s="134">
        <v>4790.2482433845389</v>
      </c>
      <c r="AD9" s="134">
        <v>4790.2482433845389</v>
      </c>
      <c r="AE9" s="134">
        <v>4790.2482433845389</v>
      </c>
      <c r="AF9" s="134">
        <v>4790.2482433845389</v>
      </c>
      <c r="AG9" s="134">
        <v>4790.2482433845389</v>
      </c>
      <c r="AH9" s="134">
        <v>4790.2482433845389</v>
      </c>
      <c r="AI9" s="134">
        <v>4790.2482433845389</v>
      </c>
      <c r="AJ9" s="134">
        <v>4790.2482433845389</v>
      </c>
      <c r="AK9" s="134">
        <v>4790.2482433845389</v>
      </c>
      <c r="AL9" s="134">
        <v>4790.2482433845389</v>
      </c>
      <c r="AM9" s="134">
        <v>4790.2482433845389</v>
      </c>
      <c r="AN9" s="134">
        <v>4790.2482433845389</v>
      </c>
      <c r="AO9" s="134">
        <v>4790.2482433845389</v>
      </c>
      <c r="AP9" s="134">
        <v>4790.2482433845389</v>
      </c>
      <c r="AQ9" s="134">
        <v>4790.2482433845389</v>
      </c>
      <c r="AR9" s="134">
        <v>4790.2482433845389</v>
      </c>
      <c r="AS9" s="134">
        <v>4790.2482433845389</v>
      </c>
      <c r="AT9" s="134">
        <v>4790.2482433845389</v>
      </c>
      <c r="AU9" s="134">
        <v>4790.2482433845389</v>
      </c>
      <c r="AV9" s="134">
        <v>4790.2482433845389</v>
      </c>
      <c r="AW9" s="134">
        <v>4790.2482433845389</v>
      </c>
      <c r="AX9" s="134">
        <v>4790.2482433845389</v>
      </c>
      <c r="AY9" s="134">
        <v>4790.2482433845389</v>
      </c>
    </row>
    <row r="10" spans="1:53" x14ac:dyDescent="0.2">
      <c r="A10" s="135" t="s">
        <v>133</v>
      </c>
      <c r="B10" s="136">
        <v>1</v>
      </c>
      <c r="C10" s="124" t="s">
        <v>293</v>
      </c>
      <c r="D10">
        <v>915.83727127866814</v>
      </c>
      <c r="E10">
        <v>30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3" x14ac:dyDescent="0.2">
      <c r="B11" s="136">
        <v>2</v>
      </c>
      <c r="C11" s="124" t="s">
        <v>293</v>
      </c>
      <c r="D11">
        <v>84.389081316503507</v>
      </c>
      <c r="E11">
        <v>0</v>
      </c>
      <c r="F11">
        <v>24.892142701720985</v>
      </c>
      <c r="H11">
        <v>0</v>
      </c>
      <c r="I11">
        <v>0</v>
      </c>
      <c r="J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V11">
        <v>0</v>
      </c>
      <c r="X11">
        <v>0</v>
      </c>
      <c r="Y11">
        <v>0</v>
      </c>
      <c r="AB11">
        <v>0</v>
      </c>
      <c r="AC11">
        <v>0</v>
      </c>
      <c r="AD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0</v>
      </c>
      <c r="AQ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</row>
    <row r="12" spans="1:53" x14ac:dyDescent="0.2">
      <c r="B12" s="137">
        <v>3</v>
      </c>
      <c r="C12" s="124" t="s">
        <v>293</v>
      </c>
      <c r="J12">
        <v>0</v>
      </c>
      <c r="L12">
        <v>0</v>
      </c>
      <c r="M12">
        <v>0</v>
      </c>
      <c r="N12">
        <v>0</v>
      </c>
      <c r="O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AA12">
        <v>0</v>
      </c>
      <c r="AB12">
        <v>0</v>
      </c>
      <c r="AF12">
        <v>0</v>
      </c>
      <c r="AH12">
        <v>0</v>
      </c>
      <c r="AL12">
        <v>0</v>
      </c>
      <c r="AO12">
        <v>0</v>
      </c>
      <c r="AP12">
        <v>0</v>
      </c>
      <c r="AS12">
        <v>0</v>
      </c>
      <c r="AW12">
        <v>0</v>
      </c>
    </row>
    <row r="13" spans="1:53" x14ac:dyDescent="0.2">
      <c r="B13" s="137">
        <v>4</v>
      </c>
      <c r="C13" s="124" t="s">
        <v>293</v>
      </c>
      <c r="I13">
        <v>0</v>
      </c>
      <c r="Y13">
        <v>0</v>
      </c>
    </row>
    <row r="14" spans="1:53" x14ac:dyDescent="0.2">
      <c r="A14" s="132" t="s">
        <v>134</v>
      </c>
      <c r="B14" s="138">
        <v>1</v>
      </c>
      <c r="C14" s="134" t="s">
        <v>293</v>
      </c>
      <c r="D14" s="134">
        <v>4595.0488466212591</v>
      </c>
      <c r="E14" s="134">
        <f t="shared" ref="E14:AZ14" si="0">D$172*SUM(D$122:D$169)</f>
        <v>2505.6414696566899</v>
      </c>
      <c r="F14" s="134">
        <f t="shared" si="0"/>
        <v>1486.4798950497454</v>
      </c>
      <c r="G14" s="134">
        <f t="shared" si="0"/>
        <v>845.09979994266473</v>
      </c>
      <c r="H14" s="134">
        <f t="shared" si="0"/>
        <v>409.14105870760847</v>
      </c>
      <c r="I14" s="134">
        <f t="shared" si="0"/>
        <v>409.14105870760847</v>
      </c>
      <c r="J14" s="134">
        <f t="shared" si="0"/>
        <v>409.14105870760847</v>
      </c>
      <c r="K14" s="134">
        <f t="shared" si="0"/>
        <v>409.14105870760847</v>
      </c>
      <c r="L14" s="134">
        <f t="shared" si="0"/>
        <v>409.14105870760847</v>
      </c>
      <c r="M14" s="134">
        <f t="shared" si="0"/>
        <v>409.14105870760847</v>
      </c>
      <c r="N14" s="134">
        <f t="shared" si="0"/>
        <v>409.14105870760847</v>
      </c>
      <c r="O14" s="134">
        <f t="shared" si="0"/>
        <v>409.14105870760847</v>
      </c>
      <c r="P14" s="134">
        <f t="shared" si="0"/>
        <v>409.14105870760847</v>
      </c>
      <c r="Q14" s="134">
        <f t="shared" si="0"/>
        <v>409.14105870760847</v>
      </c>
      <c r="R14" s="134">
        <f t="shared" si="0"/>
        <v>409.14105870760847</v>
      </c>
      <c r="S14" s="134">
        <f t="shared" si="0"/>
        <v>409.14105870760847</v>
      </c>
      <c r="T14" s="134">
        <f t="shared" si="0"/>
        <v>409.14105870760847</v>
      </c>
      <c r="U14" s="134">
        <f t="shared" si="0"/>
        <v>409.14105870760847</v>
      </c>
      <c r="V14" s="134">
        <f t="shared" si="0"/>
        <v>409.14105870760847</v>
      </c>
      <c r="W14" s="134">
        <f t="shared" si="0"/>
        <v>409.14105870760847</v>
      </c>
      <c r="X14" s="134">
        <f t="shared" si="0"/>
        <v>409.14105870760847</v>
      </c>
      <c r="Y14" s="134">
        <f t="shared" si="0"/>
        <v>409.14105870760847</v>
      </c>
      <c r="Z14" s="134">
        <f t="shared" si="0"/>
        <v>409.14105870760847</v>
      </c>
      <c r="AA14" s="134">
        <f t="shared" si="0"/>
        <v>409.14105870760847</v>
      </c>
      <c r="AB14" s="134">
        <f t="shared" si="0"/>
        <v>409.14105870760847</v>
      </c>
      <c r="AC14" s="134">
        <f t="shared" si="0"/>
        <v>409.14105870760847</v>
      </c>
      <c r="AD14" s="134">
        <f t="shared" si="0"/>
        <v>409.14105870760847</v>
      </c>
      <c r="AE14" s="134">
        <f t="shared" si="0"/>
        <v>409.14105870760847</v>
      </c>
      <c r="AF14" s="134">
        <f t="shared" si="0"/>
        <v>409.14105870760847</v>
      </c>
      <c r="AG14" s="134">
        <f t="shared" si="0"/>
        <v>409.14105870760847</v>
      </c>
      <c r="AH14" s="134">
        <f t="shared" si="0"/>
        <v>409.14105870760847</v>
      </c>
      <c r="AI14" s="134">
        <f t="shared" si="0"/>
        <v>409.14105870760847</v>
      </c>
      <c r="AJ14" s="134">
        <f t="shared" si="0"/>
        <v>409.14105870760847</v>
      </c>
      <c r="AK14" s="134">
        <f t="shared" si="0"/>
        <v>409.14105870760847</v>
      </c>
      <c r="AL14" s="134">
        <f t="shared" si="0"/>
        <v>409.14105870760847</v>
      </c>
      <c r="AM14" s="134">
        <f t="shared" si="0"/>
        <v>409.14105870760847</v>
      </c>
      <c r="AN14" s="134">
        <f t="shared" si="0"/>
        <v>409.14105870760847</v>
      </c>
      <c r="AO14" s="134">
        <f t="shared" si="0"/>
        <v>409.14105870760847</v>
      </c>
      <c r="AP14" s="134">
        <f t="shared" si="0"/>
        <v>409.14105870760847</v>
      </c>
      <c r="AQ14" s="134">
        <f t="shared" si="0"/>
        <v>409.14105870760847</v>
      </c>
      <c r="AR14" s="134">
        <f t="shared" si="0"/>
        <v>409.14105870760847</v>
      </c>
      <c r="AS14" s="134">
        <f t="shared" si="0"/>
        <v>409.14105870760847</v>
      </c>
      <c r="AT14" s="134">
        <f t="shared" si="0"/>
        <v>409.14105870760847</v>
      </c>
      <c r="AU14" s="134">
        <f t="shared" si="0"/>
        <v>409.14105870760847</v>
      </c>
      <c r="AV14" s="134">
        <f t="shared" si="0"/>
        <v>409.14105870760847</v>
      </c>
      <c r="AW14" s="134">
        <f t="shared" si="0"/>
        <v>409.14105870760847</v>
      </c>
      <c r="AX14" s="134">
        <f t="shared" si="0"/>
        <v>409.14105870760847</v>
      </c>
      <c r="AY14" s="134">
        <f t="shared" si="0"/>
        <v>409.14105870760847</v>
      </c>
      <c r="AZ14" s="128">
        <f t="shared" si="0"/>
        <v>409.14105870760847</v>
      </c>
      <c r="BA14" s="125">
        <f>SUM($E14:$AZ14)</f>
        <v>23248.568806491494</v>
      </c>
    </row>
    <row r="15" spans="1:53" x14ac:dyDescent="0.2">
      <c r="A15" s="139" t="s">
        <v>123</v>
      </c>
      <c r="B15" s="140">
        <v>1</v>
      </c>
      <c r="C15" s="141" t="s">
        <v>293</v>
      </c>
      <c r="D15" s="141">
        <v>1742.1703405964663</v>
      </c>
      <c r="E15" s="141">
        <v>1007.3512296560705</v>
      </c>
      <c r="F15" s="141">
        <v>1007.3512296560705</v>
      </c>
      <c r="G15" s="141">
        <v>1007.3512296560705</v>
      </c>
      <c r="H15" s="141">
        <v>1007.3512296560705</v>
      </c>
      <c r="I15" s="141">
        <v>1007.3512296560705</v>
      </c>
      <c r="J15" s="141">
        <v>1007.3512296560705</v>
      </c>
      <c r="K15" s="141">
        <v>1007.3512296560705</v>
      </c>
      <c r="L15" s="141">
        <v>1007.3512296560705</v>
      </c>
      <c r="M15" s="141">
        <v>1007.3512296560705</v>
      </c>
      <c r="N15" s="141">
        <v>1007.3512296560705</v>
      </c>
      <c r="O15" s="141">
        <v>1007.3512296560705</v>
      </c>
      <c r="P15" s="141">
        <v>1007.3512296560705</v>
      </c>
      <c r="Q15" s="141">
        <v>1007.3512296560705</v>
      </c>
      <c r="R15" s="141">
        <v>1007.3512296560705</v>
      </c>
      <c r="S15" s="141">
        <v>1007.3512296560705</v>
      </c>
      <c r="T15" s="141">
        <v>1007.3512296560705</v>
      </c>
      <c r="U15" s="141">
        <v>1007.3512296560705</v>
      </c>
      <c r="V15" s="141">
        <v>1007.3512296560705</v>
      </c>
      <c r="W15" s="141">
        <v>1007.3512296560705</v>
      </c>
      <c r="X15" s="141">
        <v>1007.3512296560705</v>
      </c>
      <c r="Y15" s="141">
        <v>1007.3512296560705</v>
      </c>
      <c r="Z15" s="141">
        <v>1007.3512296560705</v>
      </c>
      <c r="AA15" s="141">
        <v>1007.3512296560705</v>
      </c>
      <c r="AB15" s="141">
        <v>1007.3512296560705</v>
      </c>
      <c r="AC15" s="141">
        <v>1007.3512296560705</v>
      </c>
      <c r="AD15" s="141">
        <v>1007.3512296560705</v>
      </c>
      <c r="AE15" s="141">
        <v>1007.3512296560705</v>
      </c>
      <c r="AF15" s="141">
        <v>1007.3512296560705</v>
      </c>
      <c r="AG15" s="141">
        <v>1007.3512296560705</v>
      </c>
      <c r="AH15" s="141">
        <v>1007.3512296560705</v>
      </c>
      <c r="AI15" s="141">
        <v>1007.3512296560705</v>
      </c>
      <c r="AJ15" s="141">
        <v>1007.3512296560705</v>
      </c>
      <c r="AK15" s="141">
        <v>1007.3512296560705</v>
      </c>
      <c r="AL15" s="141">
        <v>1007.3512296560705</v>
      </c>
      <c r="AM15" s="141">
        <v>1007.3512296560705</v>
      </c>
      <c r="AN15" s="141">
        <v>1007.3512296560705</v>
      </c>
      <c r="AO15" s="141">
        <v>1007.3512296560705</v>
      </c>
      <c r="AP15" s="141">
        <v>1007.3512296560705</v>
      </c>
      <c r="AQ15" s="141">
        <v>1007.3512296560705</v>
      </c>
      <c r="AR15" s="141">
        <v>1007.3512296560705</v>
      </c>
      <c r="AS15" s="141">
        <v>1007.3512296560705</v>
      </c>
      <c r="AT15" s="141">
        <v>1007.3512296560705</v>
      </c>
      <c r="AU15" s="141">
        <v>1007.3512296560705</v>
      </c>
      <c r="AV15" s="141">
        <v>1007.3512296560705</v>
      </c>
      <c r="AW15" s="141">
        <v>1007.3512296560705</v>
      </c>
      <c r="AX15" s="141">
        <v>1007.3512296560705</v>
      </c>
      <c r="AY15" s="141">
        <v>1007.3512296560705</v>
      </c>
      <c r="AZ15">
        <v>0</v>
      </c>
    </row>
    <row r="16" spans="1:53" x14ac:dyDescent="0.2">
      <c r="A16" s="128"/>
      <c r="B16" s="136">
        <v>2</v>
      </c>
      <c r="C16" s="127" t="s">
        <v>293</v>
      </c>
      <c r="D16" s="124">
        <v>0</v>
      </c>
      <c r="E16" s="128">
        <v>0</v>
      </c>
      <c r="F16" s="128">
        <v>0</v>
      </c>
      <c r="G16" s="128"/>
      <c r="H16" s="128">
        <v>0</v>
      </c>
      <c r="I16" s="128">
        <v>0</v>
      </c>
      <c r="J16" s="128">
        <v>0</v>
      </c>
      <c r="K16" s="128"/>
      <c r="L16" s="128">
        <v>0</v>
      </c>
      <c r="M16" s="128">
        <v>0</v>
      </c>
      <c r="N16" s="128">
        <v>0</v>
      </c>
      <c r="O16" s="128">
        <v>0</v>
      </c>
      <c r="P16" s="128">
        <v>0</v>
      </c>
      <c r="Q16" s="128">
        <v>0</v>
      </c>
      <c r="R16" s="128">
        <v>0</v>
      </c>
      <c r="S16" s="128">
        <v>0</v>
      </c>
      <c r="T16" s="128"/>
      <c r="U16" s="128"/>
      <c r="V16" s="128">
        <v>0</v>
      </c>
      <c r="W16" s="128"/>
      <c r="X16" s="128">
        <v>0</v>
      </c>
      <c r="Y16" s="128">
        <v>0</v>
      </c>
      <c r="Z16" s="128"/>
      <c r="AA16" s="128"/>
      <c r="AB16" s="128">
        <v>0</v>
      </c>
      <c r="AC16" s="128">
        <v>0</v>
      </c>
      <c r="AD16" s="128">
        <v>0</v>
      </c>
      <c r="AE16" s="128"/>
      <c r="AF16" s="128">
        <v>0</v>
      </c>
      <c r="AG16" s="128">
        <v>0</v>
      </c>
      <c r="AH16" s="128">
        <v>0</v>
      </c>
      <c r="AI16" s="128">
        <v>0</v>
      </c>
      <c r="AJ16" s="128">
        <v>0</v>
      </c>
      <c r="AK16" s="128">
        <v>0</v>
      </c>
      <c r="AL16" s="128">
        <v>0</v>
      </c>
      <c r="AM16" s="128">
        <v>0</v>
      </c>
      <c r="AN16" s="128"/>
      <c r="AO16" s="128">
        <v>0</v>
      </c>
      <c r="AP16" s="128">
        <v>0</v>
      </c>
      <c r="AQ16" s="128">
        <v>0</v>
      </c>
      <c r="AR16" s="128"/>
      <c r="AS16" s="128">
        <v>0</v>
      </c>
      <c r="AT16" s="128">
        <v>0</v>
      </c>
      <c r="AU16" s="128">
        <v>0</v>
      </c>
      <c r="AV16" s="128">
        <v>0</v>
      </c>
      <c r="AW16" s="128">
        <v>0</v>
      </c>
      <c r="AX16" s="128">
        <v>0</v>
      </c>
      <c r="AY16" s="128">
        <v>0</v>
      </c>
      <c r="AZ16">
        <v>0</v>
      </c>
      <c r="BA16">
        <v>0</v>
      </c>
    </row>
    <row r="17" spans="1:51" x14ac:dyDescent="0.2">
      <c r="A17" s="128"/>
      <c r="B17" s="136">
        <v>3</v>
      </c>
      <c r="C17" s="127" t="s">
        <v>293</v>
      </c>
      <c r="D17" s="124"/>
      <c r="E17" s="128"/>
      <c r="F17" s="128"/>
      <c r="G17" s="128"/>
      <c r="H17" s="128"/>
      <c r="I17" s="128"/>
      <c r="J17" s="128">
        <v>0</v>
      </c>
      <c r="K17" s="128"/>
      <c r="L17" s="128">
        <v>0</v>
      </c>
      <c r="M17" s="128">
        <v>0</v>
      </c>
      <c r="N17" s="128">
        <v>0</v>
      </c>
      <c r="O17" s="128">
        <v>0</v>
      </c>
      <c r="P17" s="128"/>
      <c r="Q17" s="128">
        <v>0</v>
      </c>
      <c r="R17" s="128">
        <v>0</v>
      </c>
      <c r="S17" s="128">
        <v>0</v>
      </c>
      <c r="T17" s="128">
        <v>0</v>
      </c>
      <c r="U17" s="128">
        <v>0</v>
      </c>
      <c r="V17" s="128">
        <v>0</v>
      </c>
      <c r="W17" s="128">
        <v>0</v>
      </c>
      <c r="X17" s="128"/>
      <c r="Y17" s="128"/>
      <c r="Z17" s="128"/>
      <c r="AA17" s="128">
        <v>0</v>
      </c>
      <c r="AB17" s="128">
        <v>0</v>
      </c>
      <c r="AC17" s="128"/>
      <c r="AD17" s="128"/>
      <c r="AE17" s="128"/>
      <c r="AF17" s="128">
        <v>0</v>
      </c>
      <c r="AG17" s="128"/>
      <c r="AH17" s="128">
        <v>0</v>
      </c>
      <c r="AI17" s="128"/>
      <c r="AJ17" s="128"/>
      <c r="AK17" s="128"/>
      <c r="AL17" s="128">
        <v>0</v>
      </c>
      <c r="AM17" s="128"/>
      <c r="AN17" s="128"/>
      <c r="AO17" s="128">
        <v>0</v>
      </c>
      <c r="AP17" s="128">
        <v>0</v>
      </c>
      <c r="AQ17" s="128"/>
      <c r="AR17" s="128"/>
      <c r="AS17" s="128">
        <v>0</v>
      </c>
      <c r="AT17" s="128"/>
      <c r="AU17" s="128"/>
      <c r="AV17" s="128"/>
      <c r="AW17" s="128">
        <v>0</v>
      </c>
      <c r="AX17" s="128"/>
      <c r="AY17" s="128"/>
    </row>
    <row r="18" spans="1:51" x14ac:dyDescent="0.2">
      <c r="A18" s="142"/>
      <c r="B18" s="133">
        <v>4</v>
      </c>
      <c r="C18" s="142" t="s">
        <v>293</v>
      </c>
      <c r="D18" s="142"/>
      <c r="E18" s="142"/>
      <c r="F18" s="142"/>
      <c r="G18" s="142"/>
      <c r="H18" s="142"/>
      <c r="I18" s="142">
        <v>0</v>
      </c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>
        <v>0</v>
      </c>
      <c r="Z18" s="142"/>
      <c r="AA18" s="142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/>
      <c r="AV18" s="142"/>
      <c r="AW18" s="142"/>
      <c r="AX18" s="142"/>
      <c r="AY18" s="142"/>
    </row>
    <row r="20" spans="1:51" x14ac:dyDescent="0.2">
      <c r="A20" s="1" t="s">
        <v>294</v>
      </c>
    </row>
    <row r="21" spans="1:51" x14ac:dyDescent="0.2">
      <c r="A21" s="143" t="s">
        <v>125</v>
      </c>
      <c r="B21" s="140">
        <v>1</v>
      </c>
      <c r="C21" s="141" t="s">
        <v>293</v>
      </c>
      <c r="D21" s="141">
        <v>3726.2618223070021</v>
      </c>
      <c r="E21" s="141">
        <v>1175.9461604521018</v>
      </c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141"/>
      <c r="AE21" s="141"/>
      <c r="AF21" s="141"/>
      <c r="AG21" s="141"/>
      <c r="AH21" s="141"/>
      <c r="AI21" s="141"/>
      <c r="AJ21" s="141"/>
      <c r="AK21" s="141"/>
      <c r="AL21" s="141"/>
      <c r="AM21" s="141"/>
      <c r="AN21" s="141"/>
      <c r="AO21" s="141"/>
      <c r="AP21" s="141"/>
      <c r="AQ21" s="141"/>
      <c r="AR21" s="141"/>
      <c r="AS21" s="141"/>
      <c r="AT21" s="141"/>
      <c r="AU21" s="141"/>
      <c r="AV21" s="141"/>
      <c r="AW21" s="141"/>
      <c r="AX21" s="141"/>
      <c r="AY21" s="141"/>
    </row>
    <row r="22" spans="1:51" x14ac:dyDescent="0.2">
      <c r="A22" s="127"/>
      <c r="B22" s="137">
        <v>2</v>
      </c>
      <c r="C22" s="128" t="s">
        <v>293</v>
      </c>
      <c r="D22" s="128">
        <v>0</v>
      </c>
      <c r="E22" s="128">
        <v>208.98642107753676</v>
      </c>
      <c r="F22" s="128">
        <v>2043.2229623897074</v>
      </c>
      <c r="G22" s="128">
        <v>1270.2073227840247</v>
      </c>
      <c r="H22" s="128">
        <v>224.81291984012901</v>
      </c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128"/>
      <c r="V22" s="128"/>
      <c r="W22" s="128"/>
      <c r="X22" s="128"/>
      <c r="Y22" s="128"/>
      <c r="Z22" s="128"/>
      <c r="AA22" s="128"/>
      <c r="AB22" s="128"/>
      <c r="AC22" s="128"/>
      <c r="AD22" s="128"/>
      <c r="AE22" s="128"/>
      <c r="AF22" s="128"/>
      <c r="AG22" s="128"/>
      <c r="AH22" s="128"/>
      <c r="AI22" s="128"/>
      <c r="AJ22" s="128"/>
      <c r="AK22" s="128"/>
      <c r="AL22" s="128"/>
      <c r="AM22" s="128"/>
      <c r="AN22" s="128"/>
      <c r="AO22" s="128"/>
      <c r="AP22" s="128"/>
      <c r="AQ22" s="128"/>
      <c r="AR22" s="128"/>
      <c r="AS22" s="128"/>
      <c r="AT22" s="128"/>
      <c r="AU22" s="128"/>
      <c r="AV22" s="128"/>
      <c r="AW22" s="128"/>
      <c r="AX22" s="128"/>
      <c r="AY22" s="128"/>
    </row>
    <row r="23" spans="1:51" x14ac:dyDescent="0.2">
      <c r="A23" s="127"/>
      <c r="B23" s="144">
        <v>3</v>
      </c>
      <c r="C23" s="128" t="s">
        <v>293</v>
      </c>
      <c r="D23" s="128">
        <v>0</v>
      </c>
      <c r="E23" s="128">
        <v>0</v>
      </c>
      <c r="F23" s="128">
        <v>0</v>
      </c>
      <c r="G23" s="128">
        <v>0</v>
      </c>
      <c r="H23" s="128">
        <v>2035.1200411432437</v>
      </c>
      <c r="I23" s="128">
        <v>1645.938835527124</v>
      </c>
      <c r="J23" s="128">
        <v>822.27047736682243</v>
      </c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128"/>
      <c r="W23" s="128"/>
      <c r="X23" s="128"/>
      <c r="Y23" s="128"/>
      <c r="Z23" s="128"/>
      <c r="AA23" s="128"/>
      <c r="AB23" s="128"/>
      <c r="AC23" s="128"/>
      <c r="AD23" s="128"/>
      <c r="AE23" s="128"/>
      <c r="AF23" s="128"/>
      <c r="AG23" s="128"/>
      <c r="AH23" s="128"/>
      <c r="AI23" s="128"/>
      <c r="AJ23" s="128"/>
      <c r="AK23" s="128"/>
      <c r="AL23" s="128"/>
      <c r="AM23" s="128"/>
      <c r="AN23" s="128"/>
      <c r="AO23" s="128"/>
      <c r="AP23" s="128"/>
      <c r="AQ23" s="128"/>
      <c r="AR23" s="128"/>
      <c r="AS23" s="128"/>
      <c r="AT23" s="128"/>
      <c r="AU23" s="128"/>
      <c r="AV23" s="128"/>
      <c r="AW23" s="128"/>
      <c r="AX23" s="128"/>
      <c r="AY23" s="128"/>
    </row>
    <row r="24" spans="1:51" x14ac:dyDescent="0.2">
      <c r="A24" s="145"/>
      <c r="B24" s="146">
        <v>4</v>
      </c>
      <c r="C24" s="145" t="s">
        <v>293</v>
      </c>
      <c r="D24" s="142">
        <v>0</v>
      </c>
      <c r="E24" s="142">
        <v>0</v>
      </c>
      <c r="F24" s="142">
        <v>0</v>
      </c>
      <c r="G24" s="142">
        <v>0</v>
      </c>
      <c r="H24" s="142">
        <v>0</v>
      </c>
      <c r="I24" s="142">
        <v>0</v>
      </c>
      <c r="J24" s="142">
        <v>1090.4964880172856</v>
      </c>
      <c r="K24" s="142">
        <v>1553.2302888722047</v>
      </c>
      <c r="L24" s="142">
        <v>1225.0705527571545</v>
      </c>
      <c r="M24" s="142">
        <v>0</v>
      </c>
      <c r="N24" s="142">
        <v>0</v>
      </c>
      <c r="O24" s="142">
        <v>0</v>
      </c>
      <c r="P24" s="142">
        <v>0</v>
      </c>
      <c r="Q24" s="142">
        <v>0</v>
      </c>
      <c r="R24" s="142">
        <v>0</v>
      </c>
      <c r="S24" s="142">
        <v>0</v>
      </c>
      <c r="T24" s="142">
        <v>0</v>
      </c>
      <c r="U24" s="142">
        <v>0</v>
      </c>
      <c r="V24" s="142">
        <v>0</v>
      </c>
      <c r="W24" s="142">
        <v>0</v>
      </c>
      <c r="X24" s="142">
        <v>0</v>
      </c>
      <c r="Y24" s="142">
        <v>0</v>
      </c>
      <c r="Z24" s="142">
        <v>0</v>
      </c>
      <c r="AA24" s="142">
        <v>0</v>
      </c>
      <c r="AB24" s="142">
        <v>0</v>
      </c>
      <c r="AC24" s="142">
        <v>0</v>
      </c>
      <c r="AD24" s="142">
        <v>0</v>
      </c>
      <c r="AE24" s="142">
        <v>0</v>
      </c>
      <c r="AF24" s="142">
        <v>0</v>
      </c>
      <c r="AG24" s="142">
        <v>0</v>
      </c>
      <c r="AH24" s="142">
        <v>0</v>
      </c>
      <c r="AI24" s="142">
        <v>0</v>
      </c>
      <c r="AJ24" s="142">
        <v>0</v>
      </c>
      <c r="AK24" s="142">
        <v>0</v>
      </c>
      <c r="AL24" s="142">
        <v>0</v>
      </c>
      <c r="AM24" s="142">
        <v>0</v>
      </c>
      <c r="AN24" s="142">
        <v>0</v>
      </c>
      <c r="AO24" s="142">
        <v>0</v>
      </c>
      <c r="AP24" s="142">
        <v>0</v>
      </c>
      <c r="AQ24" s="142">
        <v>0</v>
      </c>
      <c r="AR24" s="142">
        <v>0</v>
      </c>
      <c r="AS24" s="142">
        <v>0</v>
      </c>
      <c r="AT24" s="142">
        <v>0</v>
      </c>
      <c r="AU24" s="142">
        <v>0</v>
      </c>
      <c r="AV24" s="142">
        <v>0</v>
      </c>
      <c r="AW24" s="142">
        <v>0</v>
      </c>
      <c r="AX24" s="142">
        <v>0</v>
      </c>
      <c r="AY24" s="142">
        <v>0</v>
      </c>
    </row>
    <row r="25" spans="1:51" x14ac:dyDescent="0.2">
      <c r="A25" s="143" t="s">
        <v>133</v>
      </c>
      <c r="B25" s="140">
        <v>1</v>
      </c>
      <c r="C25" s="127" t="s">
        <v>293</v>
      </c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28"/>
      <c r="AF25" s="128"/>
      <c r="AG25" s="128"/>
      <c r="AH25" s="128"/>
      <c r="AI25" s="128"/>
      <c r="AJ25" s="128"/>
      <c r="AK25" s="128"/>
      <c r="AL25" s="128"/>
      <c r="AM25" s="128"/>
      <c r="AN25" s="128"/>
      <c r="AO25" s="128"/>
      <c r="AP25" s="128"/>
      <c r="AQ25" s="128"/>
      <c r="AR25" s="128"/>
      <c r="AS25" s="128"/>
      <c r="AT25" s="128"/>
      <c r="AU25" s="128"/>
      <c r="AV25" s="128"/>
      <c r="AW25" s="128"/>
      <c r="AX25" s="128"/>
      <c r="AY25" s="128"/>
    </row>
    <row r="26" spans="1:51" x14ac:dyDescent="0.2">
      <c r="A26" s="127"/>
      <c r="B26" s="136">
        <v>2</v>
      </c>
      <c r="C26" s="127" t="s">
        <v>293</v>
      </c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28"/>
      <c r="AA26" s="128"/>
      <c r="AB26" s="128"/>
      <c r="AC26" s="128"/>
      <c r="AD26" s="128"/>
      <c r="AE26" s="128"/>
      <c r="AF26" s="128"/>
      <c r="AG26" s="128"/>
      <c r="AH26" s="128"/>
      <c r="AI26" s="128"/>
      <c r="AJ26" s="128"/>
      <c r="AK26" s="128"/>
      <c r="AL26" s="128"/>
      <c r="AM26" s="128"/>
      <c r="AN26" s="128"/>
      <c r="AO26" s="128"/>
      <c r="AP26" s="128"/>
      <c r="AQ26" s="128"/>
      <c r="AR26" s="128"/>
      <c r="AS26" s="128"/>
      <c r="AT26" s="128"/>
      <c r="AU26" s="128"/>
      <c r="AV26" s="128"/>
      <c r="AW26" s="128"/>
      <c r="AX26" s="128"/>
      <c r="AY26" s="128"/>
    </row>
    <row r="27" spans="1:51" x14ac:dyDescent="0.2">
      <c r="A27" s="127"/>
      <c r="B27" s="137">
        <v>3</v>
      </c>
      <c r="C27" s="127" t="s">
        <v>293</v>
      </c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28"/>
      <c r="AO27" s="128"/>
      <c r="AP27" s="128"/>
      <c r="AQ27" s="128"/>
      <c r="AR27" s="128"/>
      <c r="AS27" s="128"/>
      <c r="AT27" s="128"/>
      <c r="AU27" s="128"/>
      <c r="AV27" s="128"/>
      <c r="AW27" s="128"/>
      <c r="AX27" s="128"/>
      <c r="AY27" s="128"/>
    </row>
    <row r="28" spans="1:51" x14ac:dyDescent="0.2">
      <c r="A28" s="127"/>
      <c r="B28" s="137">
        <v>4</v>
      </c>
      <c r="C28" s="127" t="s">
        <v>293</v>
      </c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28"/>
      <c r="AO28" s="128"/>
      <c r="AP28" s="128"/>
      <c r="AQ28" s="128"/>
      <c r="AR28" s="128"/>
      <c r="AS28" s="128"/>
      <c r="AT28" s="128"/>
      <c r="AU28" s="128"/>
      <c r="AV28" s="128"/>
      <c r="AW28" s="128"/>
      <c r="AX28" s="128"/>
      <c r="AY28" s="128"/>
    </row>
    <row r="29" spans="1:51" x14ac:dyDescent="0.2">
      <c r="A29" s="127"/>
      <c r="B29" s="144">
        <v>5</v>
      </c>
      <c r="C29" s="127" t="s">
        <v>293</v>
      </c>
      <c r="D29" s="128">
        <v>0</v>
      </c>
      <c r="E29" s="128">
        <v>0</v>
      </c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/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28"/>
      <c r="AO29" s="128"/>
      <c r="AP29" s="128"/>
      <c r="AQ29" s="128"/>
      <c r="AR29" s="128"/>
      <c r="AS29" s="128"/>
      <c r="AT29" s="128"/>
      <c r="AU29" s="128"/>
      <c r="AV29" s="128"/>
      <c r="AW29" s="128"/>
      <c r="AX29" s="128"/>
      <c r="AY29" s="128"/>
    </row>
    <row r="30" spans="1:51" x14ac:dyDescent="0.2">
      <c r="A30" s="127"/>
      <c r="B30" s="144">
        <v>6</v>
      </c>
      <c r="C30" s="127" t="s">
        <v>293</v>
      </c>
      <c r="D30" s="128">
        <v>0</v>
      </c>
      <c r="E30" s="128">
        <v>0</v>
      </c>
      <c r="F30" s="128">
        <v>0</v>
      </c>
      <c r="G30" s="128">
        <v>0</v>
      </c>
      <c r="H30" s="128">
        <v>0</v>
      </c>
      <c r="I30" s="128"/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/>
      <c r="AH30" s="128"/>
      <c r="AI30" s="128"/>
      <c r="AJ30" s="128"/>
      <c r="AK30" s="128"/>
      <c r="AL30" s="128"/>
      <c r="AM30" s="128"/>
      <c r="AN30" s="128"/>
      <c r="AO30" s="128"/>
      <c r="AP30" s="128"/>
      <c r="AQ30" s="128"/>
      <c r="AR30" s="128"/>
      <c r="AS30" s="128"/>
      <c r="AT30" s="128"/>
      <c r="AU30" s="128"/>
      <c r="AV30" s="128"/>
      <c r="AW30" s="128"/>
      <c r="AX30" s="128"/>
      <c r="AY30" s="128"/>
    </row>
    <row r="31" spans="1:51" x14ac:dyDescent="0.2">
      <c r="A31" s="127"/>
      <c r="B31" s="147">
        <v>7</v>
      </c>
      <c r="C31" s="127" t="s">
        <v>293</v>
      </c>
      <c r="D31" s="128">
        <v>0</v>
      </c>
      <c r="E31" s="128">
        <v>0</v>
      </c>
      <c r="F31" s="128">
        <v>0</v>
      </c>
      <c r="G31" s="128">
        <v>0</v>
      </c>
      <c r="H31" s="128">
        <v>0</v>
      </c>
      <c r="I31" s="128">
        <v>0</v>
      </c>
      <c r="J31" s="128">
        <v>0</v>
      </c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/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28"/>
      <c r="AO31" s="128"/>
      <c r="AP31" s="128"/>
      <c r="AQ31" s="128"/>
      <c r="AR31" s="128"/>
      <c r="AS31" s="128"/>
      <c r="AT31" s="128"/>
      <c r="AU31" s="128"/>
      <c r="AV31" s="128"/>
      <c r="AW31" s="128"/>
      <c r="AX31" s="128"/>
      <c r="AY31" s="128"/>
    </row>
    <row r="32" spans="1:51" x14ac:dyDescent="0.2">
      <c r="A32" s="145"/>
      <c r="B32" s="146">
        <v>8</v>
      </c>
      <c r="C32" s="145" t="s">
        <v>293</v>
      </c>
      <c r="D32" s="142">
        <v>0</v>
      </c>
      <c r="E32" s="142">
        <v>0</v>
      </c>
      <c r="F32" s="142">
        <v>0</v>
      </c>
      <c r="G32" s="142">
        <v>0</v>
      </c>
      <c r="H32" s="142">
        <v>0</v>
      </c>
      <c r="I32" s="142">
        <v>0</v>
      </c>
      <c r="J32" s="142">
        <v>0</v>
      </c>
      <c r="K32" s="142">
        <v>0</v>
      </c>
      <c r="L32" s="142">
        <v>0</v>
      </c>
      <c r="M32" s="142">
        <v>0</v>
      </c>
      <c r="N32" s="142">
        <v>0</v>
      </c>
      <c r="O32" s="142">
        <v>0</v>
      </c>
      <c r="P32" s="142">
        <v>0</v>
      </c>
      <c r="Q32" s="142">
        <v>0</v>
      </c>
      <c r="R32" s="142">
        <v>0</v>
      </c>
      <c r="S32" s="142">
        <v>0</v>
      </c>
      <c r="T32" s="142">
        <v>0</v>
      </c>
      <c r="U32" s="142">
        <v>0</v>
      </c>
      <c r="V32" s="142">
        <v>0</v>
      </c>
      <c r="W32" s="142">
        <v>0</v>
      </c>
      <c r="X32" s="142">
        <v>0</v>
      </c>
      <c r="Y32" s="142">
        <v>0</v>
      </c>
      <c r="Z32" s="142">
        <v>0</v>
      </c>
      <c r="AA32" s="142">
        <v>0</v>
      </c>
      <c r="AB32" s="142">
        <v>0</v>
      </c>
      <c r="AC32" s="142">
        <v>0</v>
      </c>
      <c r="AD32" s="142">
        <v>0</v>
      </c>
      <c r="AE32" s="142">
        <v>0</v>
      </c>
      <c r="AF32" s="142">
        <v>0</v>
      </c>
      <c r="AG32" s="142">
        <v>0</v>
      </c>
      <c r="AH32" s="142">
        <v>0</v>
      </c>
      <c r="AI32" s="142">
        <v>0</v>
      </c>
      <c r="AJ32" s="142">
        <v>0</v>
      </c>
      <c r="AK32" s="142">
        <v>0</v>
      </c>
      <c r="AL32" s="142">
        <v>0</v>
      </c>
      <c r="AM32" s="142">
        <v>0</v>
      </c>
      <c r="AN32" s="142">
        <v>0</v>
      </c>
      <c r="AO32" s="142">
        <v>0</v>
      </c>
      <c r="AP32" s="142">
        <v>0</v>
      </c>
      <c r="AQ32" s="142">
        <v>0</v>
      </c>
      <c r="AR32" s="142">
        <v>0</v>
      </c>
      <c r="AS32" s="142">
        <v>0</v>
      </c>
      <c r="AT32" s="142">
        <v>0</v>
      </c>
      <c r="AU32" s="142">
        <v>0</v>
      </c>
      <c r="AV32" s="142">
        <v>0</v>
      </c>
      <c r="AW32" s="142">
        <v>0</v>
      </c>
      <c r="AX32" s="142">
        <v>0</v>
      </c>
      <c r="AY32" s="142">
        <v>0</v>
      </c>
    </row>
    <row r="33" spans="1:51" x14ac:dyDescent="0.2">
      <c r="A33" s="148" t="s">
        <v>134</v>
      </c>
      <c r="B33" s="136">
        <v>1</v>
      </c>
      <c r="C33" s="127" t="s">
        <v>293</v>
      </c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</row>
    <row r="34" spans="1:51" x14ac:dyDescent="0.2">
      <c r="A34" s="127"/>
      <c r="B34" s="136">
        <v>2</v>
      </c>
      <c r="C34" s="127" t="s">
        <v>293</v>
      </c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4"/>
      <c r="AO34" s="124"/>
      <c r="AP34" s="124"/>
      <c r="AQ34" s="124"/>
      <c r="AR34" s="124"/>
      <c r="AS34" s="124"/>
      <c r="AT34" s="124"/>
      <c r="AU34" s="124"/>
      <c r="AV34" s="124"/>
      <c r="AW34" s="124"/>
      <c r="AX34" s="124"/>
      <c r="AY34" s="124"/>
    </row>
    <row r="35" spans="1:51" x14ac:dyDescent="0.2">
      <c r="A35" s="127"/>
      <c r="B35" s="136">
        <v>3</v>
      </c>
      <c r="C35" s="127" t="s">
        <v>293</v>
      </c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4"/>
      <c r="AO35" s="124"/>
      <c r="AP35" s="124"/>
      <c r="AQ35" s="124"/>
      <c r="AR35" s="124"/>
      <c r="AS35" s="124"/>
      <c r="AT35" s="124"/>
      <c r="AU35" s="124"/>
      <c r="AV35" s="124"/>
      <c r="AW35" s="124"/>
      <c r="AX35" s="124"/>
      <c r="AY35" s="124"/>
    </row>
    <row r="36" spans="1:51" x14ac:dyDescent="0.2">
      <c r="A36" s="127"/>
      <c r="B36" s="137">
        <v>4</v>
      </c>
      <c r="C36" s="127" t="s">
        <v>293</v>
      </c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24"/>
      <c r="AX36" s="124"/>
      <c r="AY36" s="124"/>
    </row>
    <row r="37" spans="1:51" x14ac:dyDescent="0.2">
      <c r="A37" s="127"/>
      <c r="B37" s="137">
        <v>5</v>
      </c>
      <c r="C37" s="127" t="s">
        <v>293</v>
      </c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</row>
    <row r="38" spans="1:51" x14ac:dyDescent="0.2">
      <c r="A38" s="127"/>
      <c r="B38" s="137">
        <v>6</v>
      </c>
      <c r="C38" s="127" t="s">
        <v>293</v>
      </c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</row>
    <row r="39" spans="1:51" x14ac:dyDescent="0.2">
      <c r="A39" s="127"/>
      <c r="B39" s="144">
        <v>7</v>
      </c>
      <c r="C39" s="127" t="s">
        <v>293</v>
      </c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24"/>
      <c r="AR39" s="124"/>
      <c r="AS39" s="124"/>
      <c r="AT39" s="124"/>
      <c r="AU39" s="124"/>
      <c r="AV39" s="124"/>
      <c r="AW39" s="124"/>
      <c r="AX39" s="124"/>
      <c r="AY39" s="124"/>
    </row>
    <row r="40" spans="1:51" x14ac:dyDescent="0.2">
      <c r="A40" s="127"/>
      <c r="B40" s="144">
        <v>8</v>
      </c>
      <c r="C40" s="127" t="s">
        <v>293</v>
      </c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24"/>
      <c r="AX40" s="124"/>
      <c r="AY40" s="124"/>
    </row>
    <row r="41" spans="1:51" x14ac:dyDescent="0.2">
      <c r="A41" s="127"/>
      <c r="B41" s="144">
        <v>9</v>
      </c>
      <c r="C41" s="127" t="s">
        <v>293</v>
      </c>
      <c r="D41" s="124">
        <v>0</v>
      </c>
      <c r="E41" s="124">
        <v>263.66689151097069</v>
      </c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</row>
    <row r="42" spans="1:51" x14ac:dyDescent="0.2">
      <c r="A42" s="127"/>
      <c r="B42" s="147">
        <v>10</v>
      </c>
      <c r="C42" s="127" t="s">
        <v>293</v>
      </c>
      <c r="D42" s="124">
        <v>0</v>
      </c>
      <c r="E42" s="124">
        <v>0</v>
      </c>
      <c r="F42" s="124">
        <v>0</v>
      </c>
      <c r="G42" s="124">
        <v>801.02954626158873</v>
      </c>
      <c r="H42" s="124">
        <v>206.4215069861487</v>
      </c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24"/>
      <c r="AW42" s="124"/>
      <c r="AX42" s="124"/>
      <c r="AY42" s="124"/>
    </row>
    <row r="43" spans="1:51" x14ac:dyDescent="0.2">
      <c r="A43" s="127"/>
      <c r="B43" s="147">
        <v>11</v>
      </c>
      <c r="C43" s="127" t="s">
        <v>293</v>
      </c>
      <c r="D43" s="124">
        <v>0</v>
      </c>
      <c r="E43" s="124">
        <v>0</v>
      </c>
      <c r="F43" s="124">
        <v>0</v>
      </c>
      <c r="G43" s="124">
        <v>0</v>
      </c>
      <c r="H43" s="124">
        <v>151.03483412263176</v>
      </c>
      <c r="I43" s="124">
        <v>1159.4504665650222</v>
      </c>
      <c r="J43" s="124">
        <v>811.62233670803778</v>
      </c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4"/>
      <c r="AY43" s="124"/>
    </row>
    <row r="44" spans="1:51" x14ac:dyDescent="0.2">
      <c r="A44" s="127"/>
      <c r="B44" s="147">
        <v>12</v>
      </c>
      <c r="C44" s="145" t="s">
        <v>293</v>
      </c>
      <c r="D44" s="124">
        <v>0</v>
      </c>
      <c r="E44" s="124">
        <v>0</v>
      </c>
      <c r="F44" s="124">
        <v>0</v>
      </c>
      <c r="G44" s="124">
        <v>0</v>
      </c>
      <c r="H44" s="124">
        <v>0</v>
      </c>
      <c r="I44" s="124">
        <v>0</v>
      </c>
      <c r="J44" s="124">
        <v>0</v>
      </c>
      <c r="K44" s="124">
        <v>1294.159013219941</v>
      </c>
      <c r="L44" s="124">
        <v>1062.5712721894824</v>
      </c>
      <c r="M44" s="124">
        <v>0</v>
      </c>
      <c r="N44" s="124">
        <v>0</v>
      </c>
      <c r="O44" s="124">
        <v>0</v>
      </c>
      <c r="P44" s="124">
        <v>0</v>
      </c>
      <c r="Q44" s="124">
        <v>0</v>
      </c>
      <c r="R44" s="124">
        <v>0</v>
      </c>
      <c r="S44" s="124">
        <v>0</v>
      </c>
      <c r="T44" s="124">
        <v>0</v>
      </c>
      <c r="U44" s="124">
        <v>0</v>
      </c>
      <c r="V44" s="124">
        <v>0</v>
      </c>
      <c r="W44" s="124">
        <v>0</v>
      </c>
      <c r="X44" s="124">
        <v>0</v>
      </c>
      <c r="Y44" s="124">
        <v>0</v>
      </c>
      <c r="Z44" s="124">
        <v>0</v>
      </c>
      <c r="AA44" s="124">
        <v>0</v>
      </c>
      <c r="AB44" s="124">
        <v>0</v>
      </c>
      <c r="AC44" s="124">
        <v>0</v>
      </c>
      <c r="AD44" s="124">
        <v>0</v>
      </c>
      <c r="AE44" s="124">
        <v>0</v>
      </c>
      <c r="AF44" s="124">
        <v>0</v>
      </c>
      <c r="AG44" s="124">
        <v>0</v>
      </c>
      <c r="AH44" s="124">
        <v>0</v>
      </c>
      <c r="AI44" s="124">
        <v>0</v>
      </c>
      <c r="AJ44" s="124">
        <v>0</v>
      </c>
      <c r="AK44" s="124">
        <v>0</v>
      </c>
      <c r="AL44" s="124">
        <v>0</v>
      </c>
      <c r="AM44" s="124">
        <v>0</v>
      </c>
      <c r="AN44" s="124">
        <v>0</v>
      </c>
      <c r="AO44" s="124">
        <v>0</v>
      </c>
      <c r="AP44" s="124">
        <v>0</v>
      </c>
      <c r="AQ44" s="124">
        <v>0</v>
      </c>
      <c r="AR44" s="124">
        <v>0</v>
      </c>
      <c r="AS44" s="124">
        <v>0</v>
      </c>
      <c r="AT44" s="124">
        <v>0</v>
      </c>
      <c r="AU44" s="124">
        <v>0</v>
      </c>
      <c r="AV44" s="124">
        <v>0</v>
      </c>
      <c r="AW44" s="124">
        <v>0</v>
      </c>
      <c r="AX44" s="124">
        <v>0</v>
      </c>
      <c r="AY44" s="124">
        <v>0</v>
      </c>
    </row>
    <row r="45" spans="1:51" x14ac:dyDescent="0.2">
      <c r="A45" s="143" t="s">
        <v>123</v>
      </c>
      <c r="B45" s="140">
        <v>1</v>
      </c>
      <c r="C45" s="127" t="s">
        <v>293</v>
      </c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  <c r="AC45" s="141"/>
      <c r="AD45" s="141"/>
      <c r="AE45" s="141"/>
      <c r="AF45" s="141"/>
      <c r="AG45" s="141"/>
      <c r="AH45" s="141"/>
      <c r="AI45" s="141"/>
      <c r="AJ45" s="141"/>
      <c r="AK45" s="141"/>
      <c r="AL45" s="141"/>
      <c r="AM45" s="141"/>
      <c r="AN45" s="141"/>
      <c r="AO45" s="141"/>
      <c r="AP45" s="141"/>
      <c r="AQ45" s="141"/>
      <c r="AR45" s="141"/>
      <c r="AS45" s="141"/>
      <c r="AT45" s="141"/>
      <c r="AU45" s="141"/>
      <c r="AV45" s="141"/>
      <c r="AW45" s="141"/>
      <c r="AX45" s="141"/>
      <c r="AY45" s="141"/>
    </row>
    <row r="46" spans="1:51" x14ac:dyDescent="0.2">
      <c r="A46" s="127"/>
      <c r="B46" s="136">
        <v>2</v>
      </c>
      <c r="C46" s="127" t="s">
        <v>293</v>
      </c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28"/>
      <c r="Z46" s="128"/>
      <c r="AA46" s="128"/>
      <c r="AB46" s="128"/>
      <c r="AC46" s="128"/>
      <c r="AD46" s="128"/>
      <c r="AE46" s="128"/>
      <c r="AF46" s="128"/>
      <c r="AG46" s="128"/>
      <c r="AH46" s="128"/>
      <c r="AI46" s="128"/>
      <c r="AJ46" s="128"/>
      <c r="AK46" s="128"/>
      <c r="AL46" s="128"/>
      <c r="AM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</row>
    <row r="47" spans="1:51" x14ac:dyDescent="0.2">
      <c r="A47" s="127"/>
      <c r="B47" s="136">
        <v>3</v>
      </c>
      <c r="C47" s="127" t="s">
        <v>293</v>
      </c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28"/>
      <c r="Z47" s="128"/>
      <c r="AA47" s="128"/>
      <c r="AB47" s="128"/>
      <c r="AC47" s="128"/>
      <c r="AD47" s="128"/>
      <c r="AE47" s="128"/>
      <c r="AF47" s="128"/>
      <c r="AG47" s="128"/>
      <c r="AH47" s="128"/>
      <c r="AI47" s="128"/>
      <c r="AJ47" s="128"/>
      <c r="AK47" s="128"/>
      <c r="AL47" s="128"/>
      <c r="AM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</row>
    <row r="48" spans="1:51" x14ac:dyDescent="0.2">
      <c r="A48" s="127"/>
      <c r="B48" s="136">
        <v>4</v>
      </c>
      <c r="C48" s="127" t="s">
        <v>293</v>
      </c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8"/>
      <c r="AB48" s="128"/>
      <c r="AC48" s="128"/>
      <c r="AD48" s="128"/>
      <c r="AE48" s="128"/>
      <c r="AF48" s="128"/>
      <c r="AG48" s="128"/>
      <c r="AH48" s="128"/>
      <c r="AI48" s="128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</row>
    <row r="49" spans="1:51" x14ac:dyDescent="0.2">
      <c r="A49" s="127"/>
      <c r="B49" s="136">
        <v>5</v>
      </c>
      <c r="C49" s="127" t="s">
        <v>293</v>
      </c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8"/>
      <c r="AB49" s="128"/>
      <c r="AC49" s="128"/>
      <c r="AD49" s="128"/>
      <c r="AE49" s="128"/>
      <c r="AF49" s="128"/>
      <c r="AG49" s="128"/>
      <c r="AH49" s="128"/>
      <c r="AI49" s="128"/>
      <c r="AJ49" s="128"/>
      <c r="AK49" s="128"/>
      <c r="AL49" s="128"/>
      <c r="AM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</row>
    <row r="50" spans="1:51" x14ac:dyDescent="0.2">
      <c r="A50" s="127"/>
      <c r="B50" s="136">
        <v>6</v>
      </c>
      <c r="C50" s="127" t="s">
        <v>293</v>
      </c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  <c r="V50" s="128"/>
      <c r="W50" s="128"/>
      <c r="X50" s="128"/>
      <c r="Y50" s="128"/>
      <c r="Z50" s="128"/>
      <c r="AA50" s="128"/>
      <c r="AB50" s="128"/>
      <c r="AC50" s="128"/>
      <c r="AD50" s="128"/>
      <c r="AE50" s="128"/>
      <c r="AF50" s="128"/>
      <c r="AG50" s="128"/>
      <c r="AH50" s="128"/>
      <c r="AI50" s="128"/>
      <c r="AJ50" s="128"/>
      <c r="AK50" s="128"/>
      <c r="AL50" s="128"/>
      <c r="AM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/>
      <c r="AX50" s="128"/>
      <c r="AY50" s="128"/>
    </row>
    <row r="51" spans="1:51" x14ac:dyDescent="0.2">
      <c r="A51" s="127"/>
      <c r="B51" s="136">
        <v>7</v>
      </c>
      <c r="C51" s="127" t="s">
        <v>293</v>
      </c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8"/>
      <c r="U51" s="128"/>
      <c r="V51" s="128"/>
      <c r="W51" s="128"/>
      <c r="X51" s="128"/>
      <c r="Y51" s="128"/>
      <c r="Z51" s="128"/>
      <c r="AA51" s="128"/>
      <c r="AB51" s="128"/>
      <c r="AC51" s="128"/>
      <c r="AD51" s="128"/>
      <c r="AE51" s="128"/>
      <c r="AF51" s="128"/>
      <c r="AG51" s="128"/>
      <c r="AH51" s="128"/>
      <c r="AI51" s="128"/>
      <c r="AJ51" s="128"/>
      <c r="AK51" s="128"/>
      <c r="AL51" s="128"/>
      <c r="AM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/>
      <c r="AX51" s="128"/>
      <c r="AY51" s="128"/>
    </row>
    <row r="52" spans="1:51" x14ac:dyDescent="0.2">
      <c r="A52" s="127"/>
      <c r="B52" s="136">
        <v>8</v>
      </c>
      <c r="C52" s="127" t="s">
        <v>293</v>
      </c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  <c r="Q52" s="128"/>
      <c r="R52" s="128"/>
      <c r="S52" s="128"/>
      <c r="T52" s="128"/>
      <c r="U52" s="128"/>
      <c r="V52" s="128"/>
      <c r="W52" s="128"/>
      <c r="X52" s="128"/>
      <c r="Y52" s="128"/>
      <c r="Z52" s="128"/>
      <c r="AA52" s="128"/>
      <c r="AB52" s="128"/>
      <c r="AC52" s="128"/>
      <c r="AD52" s="128"/>
      <c r="AE52" s="128"/>
      <c r="AF52" s="128"/>
      <c r="AG52" s="128"/>
      <c r="AH52" s="128"/>
      <c r="AI52" s="128"/>
      <c r="AJ52" s="128"/>
      <c r="AK52" s="128"/>
      <c r="AL52" s="128"/>
      <c r="AM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/>
      <c r="AX52" s="128"/>
      <c r="AY52" s="128"/>
    </row>
    <row r="53" spans="1:51" x14ac:dyDescent="0.2">
      <c r="A53" s="127"/>
      <c r="B53" s="136">
        <v>9</v>
      </c>
      <c r="C53" s="127" t="s">
        <v>293</v>
      </c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  <c r="Q53" s="128"/>
      <c r="R53" s="128"/>
      <c r="S53" s="128"/>
      <c r="T53" s="128"/>
      <c r="U53" s="128"/>
      <c r="V53" s="128"/>
      <c r="W53" s="128"/>
      <c r="X53" s="128"/>
      <c r="Y53" s="128"/>
      <c r="Z53" s="128"/>
      <c r="AA53" s="128"/>
      <c r="AB53" s="128"/>
      <c r="AC53" s="128"/>
      <c r="AD53" s="128"/>
      <c r="AE53" s="128"/>
      <c r="AF53" s="128"/>
      <c r="AG53" s="128"/>
      <c r="AH53" s="128"/>
      <c r="AI53" s="128"/>
      <c r="AJ53" s="128"/>
      <c r="AK53" s="128"/>
      <c r="AL53" s="128"/>
      <c r="AM53" s="128"/>
      <c r="AN53" s="128"/>
      <c r="AO53" s="128"/>
      <c r="AP53" s="128"/>
      <c r="AQ53" s="128"/>
      <c r="AR53" s="128"/>
      <c r="AS53" s="128"/>
      <c r="AT53" s="128"/>
      <c r="AU53" s="128"/>
      <c r="AV53" s="128"/>
      <c r="AW53" s="128"/>
      <c r="AX53" s="128"/>
      <c r="AY53" s="128"/>
    </row>
    <row r="54" spans="1:51" x14ac:dyDescent="0.2">
      <c r="A54" s="127"/>
      <c r="B54" s="136">
        <v>10</v>
      </c>
      <c r="C54" s="127" t="s">
        <v>293</v>
      </c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  <c r="P54" s="128"/>
      <c r="Q54" s="128"/>
      <c r="R54" s="128"/>
      <c r="S54" s="128"/>
      <c r="T54" s="128"/>
      <c r="U54" s="128"/>
      <c r="V54" s="128"/>
      <c r="W54" s="128"/>
      <c r="X54" s="128"/>
      <c r="Y54" s="128"/>
      <c r="Z54" s="128"/>
      <c r="AA54" s="128"/>
      <c r="AB54" s="128"/>
      <c r="AC54" s="128"/>
      <c r="AD54" s="128"/>
      <c r="AE54" s="128"/>
      <c r="AF54" s="128"/>
      <c r="AG54" s="128"/>
      <c r="AH54" s="128"/>
      <c r="AI54" s="128"/>
      <c r="AJ54" s="128"/>
      <c r="AK54" s="128"/>
      <c r="AL54" s="128"/>
      <c r="AM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</row>
    <row r="55" spans="1:51" x14ac:dyDescent="0.2">
      <c r="A55" s="127"/>
      <c r="B55" s="136">
        <v>11</v>
      </c>
      <c r="C55" s="127" t="s">
        <v>293</v>
      </c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8"/>
      <c r="U55" s="128"/>
      <c r="V55" s="128"/>
      <c r="W55" s="128"/>
      <c r="X55" s="128"/>
      <c r="Y55" s="128"/>
      <c r="Z55" s="128"/>
      <c r="AA55" s="128"/>
      <c r="AB55" s="128"/>
      <c r="AC55" s="128"/>
      <c r="AD55" s="128"/>
      <c r="AE55" s="128"/>
      <c r="AF55" s="128"/>
      <c r="AG55" s="128"/>
      <c r="AH55" s="128"/>
      <c r="AI55" s="128"/>
      <c r="AJ55" s="128"/>
      <c r="AK55" s="128"/>
      <c r="AL55" s="128"/>
      <c r="AM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/>
      <c r="AX55" s="128"/>
      <c r="AY55" s="128"/>
    </row>
    <row r="56" spans="1:51" x14ac:dyDescent="0.2">
      <c r="A56" s="127"/>
      <c r="B56" s="136">
        <v>12</v>
      </c>
      <c r="C56" s="127" t="s">
        <v>293</v>
      </c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O56" s="128"/>
      <c r="P56" s="128"/>
      <c r="Q56" s="128"/>
      <c r="R56" s="128"/>
      <c r="S56" s="128"/>
      <c r="T56" s="128"/>
      <c r="U56" s="128"/>
      <c r="V56" s="128"/>
      <c r="W56" s="128"/>
      <c r="X56" s="128"/>
      <c r="Y56" s="128"/>
      <c r="Z56" s="128"/>
      <c r="AA56" s="128"/>
      <c r="AB56" s="128"/>
      <c r="AC56" s="128"/>
      <c r="AD56" s="128"/>
      <c r="AE56" s="128"/>
      <c r="AF56" s="128"/>
      <c r="AG56" s="128"/>
      <c r="AH56" s="128"/>
      <c r="AI56" s="128"/>
      <c r="AJ56" s="128"/>
      <c r="AK56" s="128"/>
      <c r="AL56" s="128"/>
      <c r="AM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/>
      <c r="AX56" s="128"/>
      <c r="AY56" s="128"/>
    </row>
    <row r="57" spans="1:51" x14ac:dyDescent="0.2">
      <c r="A57" s="127"/>
      <c r="B57" s="137">
        <v>13</v>
      </c>
      <c r="C57" s="127" t="s">
        <v>293</v>
      </c>
      <c r="D57" s="128"/>
      <c r="E57" s="128"/>
      <c r="F57" s="128"/>
      <c r="G57" s="128"/>
      <c r="H57" s="128"/>
      <c r="I57" s="128"/>
      <c r="J57" s="128"/>
      <c r="K57" s="128"/>
      <c r="L57" s="128"/>
      <c r="M57" s="128"/>
      <c r="N57" s="128"/>
      <c r="O57" s="128"/>
      <c r="P57" s="128"/>
      <c r="Q57" s="128"/>
      <c r="R57" s="128"/>
      <c r="S57" s="128"/>
      <c r="T57" s="128"/>
      <c r="U57" s="128"/>
      <c r="V57" s="128"/>
      <c r="W57" s="128"/>
      <c r="X57" s="128"/>
      <c r="Y57" s="128"/>
      <c r="Z57" s="128"/>
      <c r="AA57" s="128"/>
      <c r="AB57" s="128"/>
      <c r="AC57" s="128"/>
      <c r="AD57" s="128"/>
      <c r="AE57" s="128"/>
      <c r="AF57" s="128"/>
      <c r="AG57" s="128"/>
      <c r="AH57" s="128"/>
      <c r="AI57" s="128"/>
      <c r="AJ57" s="128"/>
      <c r="AK57" s="128"/>
      <c r="AL57" s="128"/>
      <c r="AM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/>
      <c r="AX57" s="128"/>
      <c r="AY57" s="128"/>
    </row>
    <row r="58" spans="1:51" x14ac:dyDescent="0.2">
      <c r="A58" s="127"/>
      <c r="B58" s="137">
        <v>14</v>
      </c>
      <c r="C58" s="127" t="s">
        <v>293</v>
      </c>
      <c r="D58" s="128"/>
      <c r="E58" s="128"/>
      <c r="F58" s="128"/>
      <c r="G58" s="128"/>
      <c r="H58" s="128"/>
      <c r="I58" s="128"/>
      <c r="J58" s="128"/>
      <c r="K58" s="128"/>
      <c r="L58" s="128"/>
      <c r="M58" s="128"/>
      <c r="N58" s="128"/>
      <c r="O58" s="128"/>
      <c r="P58" s="128"/>
      <c r="Q58" s="128"/>
      <c r="R58" s="128"/>
      <c r="S58" s="128"/>
      <c r="T58" s="128"/>
      <c r="U58" s="128"/>
      <c r="V58" s="128"/>
      <c r="W58" s="128"/>
      <c r="X58" s="128"/>
      <c r="Y58" s="128"/>
      <c r="Z58" s="128"/>
      <c r="AA58" s="128"/>
      <c r="AB58" s="128"/>
      <c r="AC58" s="128"/>
      <c r="AD58" s="128"/>
      <c r="AE58" s="128"/>
      <c r="AF58" s="128"/>
      <c r="AG58" s="128"/>
      <c r="AH58" s="128"/>
      <c r="AI58" s="128"/>
      <c r="AJ58" s="128"/>
      <c r="AK58" s="128"/>
      <c r="AL58" s="128"/>
      <c r="AM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/>
      <c r="AX58" s="128"/>
      <c r="AY58" s="128"/>
    </row>
    <row r="59" spans="1:51" x14ac:dyDescent="0.2">
      <c r="A59" s="127"/>
      <c r="B59" s="137">
        <v>15</v>
      </c>
      <c r="C59" s="127" t="s">
        <v>293</v>
      </c>
      <c r="D59" s="128"/>
      <c r="E59" s="128"/>
      <c r="F59" s="128"/>
      <c r="G59" s="128"/>
      <c r="H59" s="128"/>
      <c r="I59" s="128"/>
      <c r="J59" s="128"/>
      <c r="K59" s="128"/>
      <c r="L59" s="128"/>
      <c r="M59" s="128"/>
      <c r="N59" s="128"/>
      <c r="O59" s="128"/>
      <c r="P59" s="128"/>
      <c r="Q59" s="128"/>
      <c r="R59" s="128"/>
      <c r="S59" s="128"/>
      <c r="T59" s="128"/>
      <c r="U59" s="128"/>
      <c r="V59" s="128"/>
      <c r="W59" s="128"/>
      <c r="X59" s="128"/>
      <c r="Y59" s="128"/>
      <c r="Z59" s="128"/>
      <c r="AA59" s="128"/>
      <c r="AB59" s="128"/>
      <c r="AC59" s="128"/>
      <c r="AD59" s="128"/>
      <c r="AE59" s="128"/>
      <c r="AF59" s="128"/>
      <c r="AG59" s="128"/>
      <c r="AH59" s="128"/>
      <c r="AI59" s="128"/>
      <c r="AJ59" s="128"/>
      <c r="AK59" s="128"/>
      <c r="AL59" s="128"/>
      <c r="AM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/>
      <c r="AX59" s="128"/>
      <c r="AY59" s="128"/>
    </row>
    <row r="60" spans="1:51" x14ac:dyDescent="0.2">
      <c r="A60" s="127"/>
      <c r="B60" s="137">
        <v>16</v>
      </c>
      <c r="C60" s="127" t="s">
        <v>293</v>
      </c>
      <c r="D60" s="128"/>
      <c r="E60" s="128"/>
      <c r="F60" s="128"/>
      <c r="G60" s="128"/>
      <c r="H60" s="128"/>
      <c r="I60" s="128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8"/>
      <c r="U60" s="128"/>
      <c r="V60" s="128"/>
      <c r="W60" s="128"/>
      <c r="X60" s="128"/>
      <c r="Y60" s="128"/>
      <c r="Z60" s="128"/>
      <c r="AA60" s="128"/>
      <c r="AB60" s="128"/>
      <c r="AC60" s="128"/>
      <c r="AD60" s="128"/>
      <c r="AE60" s="128"/>
      <c r="AF60" s="128"/>
      <c r="AG60" s="128"/>
      <c r="AH60" s="128"/>
      <c r="AI60" s="128"/>
      <c r="AJ60" s="128"/>
      <c r="AK60" s="128"/>
      <c r="AL60" s="128"/>
      <c r="AM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/>
      <c r="AX60" s="128"/>
      <c r="AY60" s="128"/>
    </row>
    <row r="61" spans="1:51" x14ac:dyDescent="0.2">
      <c r="A61" s="127"/>
      <c r="B61" s="137">
        <v>17</v>
      </c>
      <c r="C61" s="127" t="s">
        <v>293</v>
      </c>
      <c r="D61" s="128"/>
      <c r="E61" s="128"/>
      <c r="F61" s="128"/>
      <c r="G61" s="128"/>
      <c r="H61" s="128"/>
      <c r="I61" s="128"/>
      <c r="J61" s="128"/>
      <c r="K61" s="128"/>
      <c r="L61" s="128"/>
      <c r="M61" s="128"/>
      <c r="N61" s="128"/>
      <c r="O61" s="128"/>
      <c r="P61" s="128"/>
      <c r="Q61" s="128"/>
      <c r="R61" s="128"/>
      <c r="S61" s="128"/>
      <c r="T61" s="128"/>
      <c r="U61" s="128"/>
      <c r="V61" s="128"/>
      <c r="W61" s="128"/>
      <c r="X61" s="128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/>
      <c r="AX61" s="128"/>
      <c r="AY61" s="128"/>
    </row>
    <row r="62" spans="1:51" x14ac:dyDescent="0.2">
      <c r="A62" s="127"/>
      <c r="B62" s="137">
        <v>18</v>
      </c>
      <c r="C62" s="127" t="s">
        <v>293</v>
      </c>
      <c r="D62" s="128"/>
      <c r="E62" s="128"/>
      <c r="F62" s="128"/>
      <c r="G62" s="128"/>
      <c r="H62" s="128"/>
      <c r="I62" s="128"/>
      <c r="J62" s="128"/>
      <c r="K62" s="128"/>
      <c r="L62" s="128"/>
      <c r="M62" s="128"/>
      <c r="N62" s="128"/>
      <c r="O62" s="128"/>
      <c r="P62" s="128"/>
      <c r="Q62" s="128"/>
      <c r="R62" s="128"/>
      <c r="S62" s="128"/>
      <c r="T62" s="128"/>
      <c r="U62" s="128"/>
      <c r="V62" s="128"/>
      <c r="W62" s="128"/>
      <c r="X62" s="128"/>
      <c r="Y62" s="128"/>
      <c r="Z62" s="128"/>
      <c r="AA62" s="128"/>
      <c r="AB62" s="128"/>
      <c r="AC62" s="128"/>
      <c r="AD62" s="128"/>
      <c r="AE62" s="128"/>
      <c r="AF62" s="128"/>
      <c r="AG62" s="128"/>
      <c r="AH62" s="128"/>
      <c r="AI62" s="128"/>
      <c r="AJ62" s="128"/>
      <c r="AK62" s="128"/>
      <c r="AL62" s="128"/>
      <c r="AM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/>
      <c r="AX62" s="128"/>
      <c r="AY62" s="128"/>
    </row>
    <row r="63" spans="1:51" x14ac:dyDescent="0.2">
      <c r="A63" s="127"/>
      <c r="B63" s="137">
        <v>19</v>
      </c>
      <c r="C63" s="127" t="s">
        <v>293</v>
      </c>
      <c r="D63" s="128"/>
      <c r="E63" s="128"/>
      <c r="F63" s="128"/>
      <c r="G63" s="128"/>
      <c r="H63" s="128"/>
      <c r="I63" s="128"/>
      <c r="J63" s="128"/>
      <c r="K63" s="128"/>
      <c r="L63" s="128"/>
      <c r="M63" s="128"/>
      <c r="N63" s="128"/>
      <c r="O63" s="128"/>
      <c r="P63" s="128"/>
      <c r="Q63" s="128"/>
      <c r="R63" s="128"/>
      <c r="S63" s="128"/>
      <c r="T63" s="128"/>
      <c r="U63" s="128"/>
      <c r="V63" s="128"/>
      <c r="W63" s="128"/>
      <c r="X63" s="128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</row>
    <row r="64" spans="1:51" x14ac:dyDescent="0.2">
      <c r="A64" s="127"/>
      <c r="B64" s="137">
        <v>20</v>
      </c>
      <c r="C64" s="127" t="s">
        <v>293</v>
      </c>
      <c r="D64" s="128"/>
      <c r="E64" s="128"/>
      <c r="F64" s="128"/>
      <c r="G64" s="128"/>
      <c r="H64" s="128"/>
      <c r="I64" s="128"/>
      <c r="J64" s="128"/>
      <c r="K64" s="128"/>
      <c r="L64" s="128"/>
      <c r="M64" s="128"/>
      <c r="N64" s="128"/>
      <c r="O64" s="128"/>
      <c r="P64" s="128"/>
      <c r="Q64" s="128"/>
      <c r="R64" s="128"/>
      <c r="S64" s="128"/>
      <c r="T64" s="128"/>
      <c r="U64" s="128"/>
      <c r="V64" s="128"/>
      <c r="W64" s="128"/>
      <c r="X64" s="128"/>
      <c r="Y64" s="128"/>
      <c r="Z64" s="128"/>
      <c r="AA64" s="128"/>
      <c r="AB64" s="128"/>
      <c r="AC64" s="128"/>
      <c r="AD64" s="128"/>
      <c r="AE64" s="128"/>
      <c r="AF64" s="128"/>
      <c r="AG64" s="128"/>
      <c r="AH64" s="128"/>
      <c r="AI64" s="128"/>
      <c r="AJ64" s="128"/>
      <c r="AK64" s="128"/>
      <c r="AL64" s="128"/>
      <c r="AM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</row>
    <row r="65" spans="1:51" x14ac:dyDescent="0.2">
      <c r="A65" s="127"/>
      <c r="B65" s="137">
        <v>21</v>
      </c>
      <c r="C65" s="127" t="s">
        <v>293</v>
      </c>
      <c r="D65" s="128"/>
      <c r="E65" s="128"/>
      <c r="F65" s="128"/>
      <c r="G65" s="128"/>
      <c r="H65" s="128"/>
      <c r="I65" s="128"/>
      <c r="J65" s="128"/>
      <c r="K65" s="128"/>
      <c r="L65" s="128"/>
      <c r="M65" s="128"/>
      <c r="N65" s="128"/>
      <c r="O65" s="128"/>
      <c r="P65" s="128"/>
      <c r="Q65" s="128"/>
      <c r="R65" s="128"/>
      <c r="S65" s="128"/>
      <c r="T65" s="128"/>
      <c r="U65" s="128"/>
      <c r="V65" s="128"/>
      <c r="W65" s="128"/>
      <c r="X65" s="128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</row>
    <row r="66" spans="1:51" x14ac:dyDescent="0.2">
      <c r="A66" s="127"/>
      <c r="B66" s="137">
        <v>22</v>
      </c>
      <c r="C66" s="127" t="s">
        <v>293</v>
      </c>
      <c r="D66" s="128"/>
      <c r="E66" s="128"/>
      <c r="F66" s="128"/>
      <c r="G66" s="128"/>
      <c r="H66" s="128"/>
      <c r="I66" s="128"/>
      <c r="J66" s="128"/>
      <c r="K66" s="128"/>
      <c r="L66" s="128"/>
      <c r="M66" s="128"/>
      <c r="N66" s="128"/>
      <c r="O66" s="128"/>
      <c r="P66" s="128"/>
      <c r="Q66" s="128"/>
      <c r="R66" s="128"/>
      <c r="S66" s="128"/>
      <c r="T66" s="128"/>
      <c r="U66" s="128"/>
      <c r="V66" s="128"/>
      <c r="W66" s="128"/>
      <c r="X66" s="128"/>
      <c r="Y66" s="128"/>
      <c r="Z66" s="128"/>
      <c r="AA66" s="128"/>
      <c r="AB66" s="128"/>
      <c r="AC66" s="128"/>
      <c r="AD66" s="128"/>
      <c r="AE66" s="128"/>
      <c r="AF66" s="128"/>
      <c r="AG66" s="128"/>
      <c r="AH66" s="128"/>
      <c r="AI66" s="128"/>
      <c r="AJ66" s="128"/>
      <c r="AK66" s="128"/>
      <c r="AL66" s="128"/>
      <c r="AM66" s="128"/>
      <c r="AN66" s="128"/>
      <c r="AO66" s="128"/>
      <c r="AP66" s="128"/>
      <c r="AQ66" s="128"/>
      <c r="AR66" s="128"/>
      <c r="AS66" s="128"/>
      <c r="AT66" s="128"/>
      <c r="AU66" s="128"/>
      <c r="AV66" s="128"/>
      <c r="AW66" s="128"/>
      <c r="AX66" s="128"/>
      <c r="AY66" s="128"/>
    </row>
    <row r="67" spans="1:51" x14ac:dyDescent="0.2">
      <c r="A67" s="127"/>
      <c r="B67" s="137">
        <v>23</v>
      </c>
      <c r="C67" s="127" t="s">
        <v>293</v>
      </c>
      <c r="D67" s="128"/>
      <c r="E67" s="128"/>
      <c r="F67" s="128"/>
      <c r="G67" s="128"/>
      <c r="H67" s="128"/>
      <c r="I67" s="128"/>
      <c r="J67" s="128"/>
      <c r="K67" s="128"/>
      <c r="L67" s="128"/>
      <c r="M67" s="128"/>
      <c r="N67" s="128"/>
      <c r="O67" s="128"/>
      <c r="P67" s="128"/>
      <c r="Q67" s="128"/>
      <c r="R67" s="128"/>
      <c r="S67" s="128"/>
      <c r="T67" s="128"/>
      <c r="U67" s="128"/>
      <c r="V67" s="128"/>
      <c r="W67" s="128"/>
      <c r="X67" s="128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128"/>
      <c r="AO67" s="128"/>
      <c r="AP67" s="128"/>
      <c r="AQ67" s="128"/>
      <c r="AR67" s="128"/>
      <c r="AS67" s="128"/>
      <c r="AT67" s="128"/>
      <c r="AU67" s="128"/>
      <c r="AV67" s="128"/>
      <c r="AW67" s="128"/>
      <c r="AX67" s="128"/>
      <c r="AY67" s="128"/>
    </row>
    <row r="68" spans="1:51" x14ac:dyDescent="0.2">
      <c r="A68" s="127"/>
      <c r="B68" s="137">
        <v>24</v>
      </c>
      <c r="C68" s="127" t="s">
        <v>293</v>
      </c>
      <c r="D68" s="128"/>
      <c r="E68" s="128"/>
      <c r="F68" s="128"/>
      <c r="G68" s="128"/>
      <c r="H68" s="128"/>
      <c r="I68" s="128"/>
      <c r="J68" s="128"/>
      <c r="K68" s="128"/>
      <c r="L68" s="128"/>
      <c r="M68" s="128"/>
      <c r="N68" s="128"/>
      <c r="O68" s="128"/>
      <c r="P68" s="128"/>
      <c r="Q68" s="128"/>
      <c r="R68" s="128"/>
      <c r="S68" s="128"/>
      <c r="T68" s="128"/>
      <c r="U68" s="128"/>
      <c r="V68" s="128"/>
      <c r="W68" s="128"/>
      <c r="X68" s="128"/>
      <c r="Y68" s="128"/>
      <c r="Z68" s="128"/>
      <c r="AA68" s="128"/>
      <c r="AB68" s="128"/>
      <c r="AC68" s="128"/>
      <c r="AD68" s="128"/>
      <c r="AE68" s="128"/>
      <c r="AF68" s="128"/>
      <c r="AG68" s="128"/>
      <c r="AH68" s="128"/>
      <c r="AI68" s="128"/>
      <c r="AJ68" s="128"/>
      <c r="AK68" s="128"/>
      <c r="AL68" s="128"/>
      <c r="AM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</row>
    <row r="69" spans="1:51" x14ac:dyDescent="0.2">
      <c r="A69" s="127"/>
      <c r="B69" s="144">
        <v>25</v>
      </c>
      <c r="C69" s="127" t="s">
        <v>293</v>
      </c>
      <c r="D69" s="128"/>
      <c r="E69" s="128"/>
      <c r="F69" s="128"/>
      <c r="G69" s="128"/>
      <c r="H69" s="128"/>
      <c r="I69" s="128"/>
      <c r="J69" s="128"/>
      <c r="K69" s="128"/>
      <c r="L69" s="128"/>
      <c r="M69" s="128"/>
      <c r="N69" s="128"/>
      <c r="O69" s="128"/>
      <c r="P69" s="128"/>
      <c r="Q69" s="128"/>
      <c r="R69" s="128"/>
      <c r="S69" s="128"/>
      <c r="T69" s="128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</row>
    <row r="70" spans="1:51" x14ac:dyDescent="0.2">
      <c r="A70" s="127"/>
      <c r="B70" s="144">
        <v>26</v>
      </c>
      <c r="C70" s="127" t="s">
        <v>293</v>
      </c>
      <c r="D70" s="128"/>
      <c r="E70" s="128"/>
      <c r="F70" s="128"/>
      <c r="G70" s="128"/>
      <c r="H70" s="128"/>
      <c r="I70" s="128"/>
      <c r="J70" s="128"/>
      <c r="K70" s="128"/>
      <c r="L70" s="128"/>
      <c r="M70" s="128"/>
      <c r="N70" s="128"/>
      <c r="O70" s="128"/>
      <c r="P70" s="128"/>
      <c r="Q70" s="128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28"/>
      <c r="AL70" s="128"/>
      <c r="AM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</row>
    <row r="71" spans="1:51" x14ac:dyDescent="0.2">
      <c r="A71" s="127"/>
      <c r="B71" s="144">
        <v>27</v>
      </c>
      <c r="C71" s="127" t="s">
        <v>293</v>
      </c>
      <c r="D71" s="128"/>
      <c r="E71" s="128"/>
      <c r="F71" s="128"/>
      <c r="G71" s="128"/>
      <c r="H71" s="128"/>
      <c r="I71" s="128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128"/>
      <c r="V71" s="128"/>
      <c r="W71" s="128"/>
      <c r="X71" s="128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</row>
    <row r="72" spans="1:51" x14ac:dyDescent="0.2">
      <c r="A72" s="127"/>
      <c r="B72" s="144">
        <v>28</v>
      </c>
      <c r="C72" s="127" t="s">
        <v>293</v>
      </c>
      <c r="D72" s="128"/>
      <c r="E72" s="128"/>
      <c r="F72" s="128"/>
      <c r="G72" s="128"/>
      <c r="H72" s="128"/>
      <c r="I72" s="128"/>
      <c r="J72" s="128"/>
      <c r="K72" s="128"/>
      <c r="L72" s="128"/>
      <c r="M72" s="128"/>
      <c r="N72" s="128"/>
      <c r="O72" s="128"/>
      <c r="P72" s="128"/>
      <c r="Q72" s="128"/>
      <c r="R72" s="128"/>
      <c r="S72" s="128"/>
      <c r="T72" s="128"/>
      <c r="U72" s="128"/>
      <c r="V72" s="128"/>
      <c r="W72" s="128"/>
      <c r="X72" s="128"/>
      <c r="Y72" s="128"/>
      <c r="Z72" s="128"/>
      <c r="AA72" s="128"/>
      <c r="AB72" s="128"/>
      <c r="AC72" s="128"/>
      <c r="AD72" s="128"/>
      <c r="AE72" s="128"/>
      <c r="AF72" s="128"/>
      <c r="AG72" s="128"/>
      <c r="AH72" s="128"/>
      <c r="AI72" s="128"/>
      <c r="AJ72" s="128"/>
      <c r="AK72" s="128"/>
      <c r="AL72" s="128"/>
      <c r="AM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</row>
    <row r="73" spans="1:51" x14ac:dyDescent="0.2">
      <c r="A73" s="127"/>
      <c r="B73" s="144">
        <v>29</v>
      </c>
      <c r="C73" s="127" t="s">
        <v>293</v>
      </c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  <c r="V73" s="128"/>
      <c r="W73" s="128"/>
      <c r="X73" s="128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</row>
    <row r="74" spans="1:51" x14ac:dyDescent="0.2">
      <c r="A74" s="127"/>
      <c r="B74" s="144">
        <v>30</v>
      </c>
      <c r="C74" s="127" t="s">
        <v>293</v>
      </c>
      <c r="D74" s="128"/>
      <c r="E74" s="128"/>
      <c r="F74" s="128"/>
      <c r="G74" s="128"/>
      <c r="H74" s="128"/>
      <c r="I74" s="128"/>
      <c r="J74" s="128"/>
      <c r="K74" s="128"/>
      <c r="L74" s="128"/>
      <c r="M74" s="128"/>
      <c r="N74" s="128"/>
      <c r="O74" s="128"/>
      <c r="P74" s="128"/>
      <c r="Q74" s="128"/>
      <c r="R74" s="128"/>
      <c r="S74" s="128"/>
      <c r="T74" s="128"/>
      <c r="U74" s="128"/>
      <c r="V74" s="128"/>
      <c r="W74" s="128"/>
      <c r="X74" s="128"/>
      <c r="Y74" s="128"/>
      <c r="Z74" s="128"/>
      <c r="AA74" s="128"/>
      <c r="AB74" s="128"/>
      <c r="AC74" s="128"/>
      <c r="AD74" s="128"/>
      <c r="AE74" s="128"/>
      <c r="AF74" s="128"/>
      <c r="AG74" s="128"/>
      <c r="AH74" s="128"/>
      <c r="AI74" s="128"/>
      <c r="AJ74" s="128"/>
      <c r="AK74" s="128"/>
      <c r="AL74" s="128"/>
      <c r="AM74" s="128"/>
      <c r="AN74" s="128"/>
      <c r="AO74" s="128"/>
      <c r="AP74" s="128"/>
      <c r="AQ74" s="128"/>
      <c r="AR74" s="128"/>
      <c r="AS74" s="128"/>
      <c r="AT74" s="128"/>
      <c r="AU74" s="128"/>
      <c r="AV74" s="128"/>
      <c r="AW74" s="128"/>
      <c r="AX74" s="128"/>
      <c r="AY74" s="128"/>
    </row>
    <row r="75" spans="1:51" x14ac:dyDescent="0.2">
      <c r="A75" s="127"/>
      <c r="B75" s="144">
        <v>31</v>
      </c>
      <c r="C75" s="127" t="s">
        <v>293</v>
      </c>
      <c r="D75" s="128"/>
      <c r="E75" s="128"/>
      <c r="F75" s="128"/>
      <c r="G75" s="128"/>
      <c r="H75" s="128"/>
      <c r="I75" s="128"/>
      <c r="J75" s="128"/>
      <c r="K75" s="128"/>
      <c r="L75" s="128"/>
      <c r="M75" s="128"/>
      <c r="N75" s="128"/>
      <c r="O75" s="128"/>
      <c r="P75" s="128"/>
      <c r="Q75" s="128"/>
      <c r="R75" s="128"/>
      <c r="S75" s="128"/>
      <c r="T75" s="128"/>
      <c r="U75" s="128"/>
      <c r="V75" s="128"/>
      <c r="W75" s="128"/>
      <c r="X75" s="128"/>
      <c r="Y75" s="128"/>
      <c r="Z75" s="128"/>
      <c r="AA75" s="128"/>
      <c r="AB75" s="128"/>
      <c r="AC75" s="128"/>
      <c r="AD75" s="128"/>
      <c r="AE75" s="128"/>
      <c r="AF75" s="128"/>
      <c r="AG75" s="128"/>
      <c r="AH75" s="128"/>
      <c r="AI75" s="128"/>
      <c r="AJ75" s="128"/>
      <c r="AK75" s="128"/>
      <c r="AL75" s="128"/>
      <c r="AM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</row>
    <row r="76" spans="1:51" x14ac:dyDescent="0.2">
      <c r="A76" s="127"/>
      <c r="B76" s="144">
        <v>32</v>
      </c>
      <c r="C76" s="127" t="s">
        <v>293</v>
      </c>
      <c r="D76" s="128"/>
      <c r="E76" s="128"/>
      <c r="F76" s="128"/>
      <c r="G76" s="128"/>
      <c r="H76" s="128"/>
      <c r="I76" s="128"/>
      <c r="J76" s="128"/>
      <c r="K76" s="128"/>
      <c r="L76" s="128"/>
      <c r="M76" s="128"/>
      <c r="N76" s="128"/>
      <c r="O76" s="128"/>
      <c r="P76" s="128"/>
      <c r="Q76" s="128"/>
      <c r="R76" s="128"/>
      <c r="S76" s="128"/>
      <c r="T76" s="128"/>
      <c r="U76" s="128"/>
      <c r="V76" s="128"/>
      <c r="W76" s="128"/>
      <c r="X76" s="128"/>
      <c r="Y76" s="128"/>
      <c r="Z76" s="128"/>
      <c r="AA76" s="128"/>
      <c r="AB76" s="128"/>
      <c r="AC76" s="128"/>
      <c r="AD76" s="128"/>
      <c r="AE76" s="128"/>
      <c r="AF76" s="128"/>
      <c r="AG76" s="128"/>
      <c r="AH76" s="128"/>
      <c r="AI76" s="128"/>
      <c r="AJ76" s="128"/>
      <c r="AK76" s="128"/>
      <c r="AL76" s="128"/>
      <c r="AM76" s="128"/>
      <c r="AN76" s="128"/>
      <c r="AO76" s="128"/>
      <c r="AP76" s="128"/>
      <c r="AQ76" s="128"/>
      <c r="AR76" s="128"/>
      <c r="AS76" s="128"/>
      <c r="AT76" s="128"/>
      <c r="AU76" s="128"/>
      <c r="AV76" s="128"/>
      <c r="AW76" s="128"/>
      <c r="AX76" s="128"/>
      <c r="AY76" s="128"/>
    </row>
    <row r="77" spans="1:51" x14ac:dyDescent="0.2">
      <c r="A77" s="127"/>
      <c r="B77" s="144">
        <v>33</v>
      </c>
      <c r="C77" s="127" t="s">
        <v>293</v>
      </c>
      <c r="D77" s="128"/>
      <c r="E77" s="128"/>
      <c r="F77" s="128"/>
      <c r="G77" s="128"/>
      <c r="H77" s="128"/>
      <c r="I77" s="128"/>
      <c r="J77" s="128"/>
      <c r="K77" s="128"/>
      <c r="L77" s="128"/>
      <c r="M77" s="128"/>
      <c r="N77" s="128"/>
      <c r="O77" s="128"/>
      <c r="P77" s="128"/>
      <c r="Q77" s="128"/>
      <c r="R77" s="128"/>
      <c r="S77" s="128"/>
      <c r="T77" s="128"/>
      <c r="U77" s="128"/>
      <c r="V77" s="128"/>
      <c r="W77" s="128"/>
      <c r="X77" s="128"/>
      <c r="Y77" s="128"/>
      <c r="Z77" s="128"/>
      <c r="AA77" s="128"/>
      <c r="AB77" s="128"/>
      <c r="AC77" s="128"/>
      <c r="AD77" s="128"/>
      <c r="AE77" s="128"/>
      <c r="AF77" s="128"/>
      <c r="AG77" s="128"/>
      <c r="AH77" s="128"/>
      <c r="AI77" s="128"/>
      <c r="AJ77" s="128"/>
      <c r="AK77" s="128"/>
      <c r="AL77" s="128"/>
      <c r="AM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</row>
    <row r="78" spans="1:51" x14ac:dyDescent="0.2">
      <c r="A78" s="127"/>
      <c r="B78" s="144">
        <v>34</v>
      </c>
      <c r="C78" s="127" t="s">
        <v>293</v>
      </c>
      <c r="D78" s="128"/>
      <c r="E78" s="128"/>
      <c r="F78" s="128"/>
      <c r="G78" s="128"/>
      <c r="H78" s="128"/>
      <c r="I78" s="128"/>
      <c r="J78" s="128"/>
      <c r="K78" s="128"/>
      <c r="L78" s="128"/>
      <c r="M78" s="128"/>
      <c r="N78" s="128"/>
      <c r="O78" s="128"/>
      <c r="P78" s="128"/>
      <c r="Q78" s="128"/>
      <c r="R78" s="128"/>
      <c r="S78" s="128"/>
      <c r="T78" s="128"/>
      <c r="U78" s="128"/>
      <c r="V78" s="128"/>
      <c r="W78" s="128"/>
      <c r="X78" s="128"/>
      <c r="Y78" s="128"/>
      <c r="Z78" s="128"/>
      <c r="AA78" s="128"/>
      <c r="AB78" s="128"/>
      <c r="AC78" s="128"/>
      <c r="AD78" s="128"/>
      <c r="AE78" s="128"/>
      <c r="AF78" s="128"/>
      <c r="AG78" s="128"/>
      <c r="AH78" s="128"/>
      <c r="AI78" s="128"/>
      <c r="AJ78" s="128"/>
      <c r="AK78" s="128"/>
      <c r="AL78" s="128"/>
      <c r="AM78" s="128"/>
      <c r="AN78" s="128"/>
      <c r="AO78" s="128"/>
      <c r="AP78" s="128"/>
      <c r="AQ78" s="128"/>
      <c r="AR78" s="128"/>
      <c r="AS78" s="128"/>
      <c r="AT78" s="128"/>
      <c r="AU78" s="128"/>
      <c r="AV78" s="128"/>
      <c r="AW78" s="128"/>
      <c r="AX78" s="128"/>
      <c r="AY78" s="128"/>
    </row>
    <row r="79" spans="1:51" x14ac:dyDescent="0.2">
      <c r="A79" s="127"/>
      <c r="B79" s="144">
        <v>35</v>
      </c>
      <c r="C79" s="127" t="s">
        <v>293</v>
      </c>
      <c r="D79" s="128"/>
      <c r="E79" s="128"/>
      <c r="F79" s="128"/>
      <c r="G79" s="128"/>
      <c r="H79" s="128"/>
      <c r="I79" s="128"/>
      <c r="J79" s="128"/>
      <c r="K79" s="128"/>
      <c r="L79" s="128"/>
      <c r="M79" s="128"/>
      <c r="N79" s="128"/>
      <c r="O79" s="128"/>
      <c r="P79" s="128"/>
      <c r="Q79" s="128"/>
      <c r="R79" s="128"/>
      <c r="S79" s="128"/>
      <c r="T79" s="128"/>
      <c r="U79" s="128"/>
      <c r="V79" s="128"/>
      <c r="W79" s="128"/>
      <c r="X79" s="128"/>
      <c r="Y79" s="128"/>
      <c r="Z79" s="128"/>
      <c r="AA79" s="128"/>
      <c r="AB79" s="128"/>
      <c r="AC79" s="128"/>
      <c r="AD79" s="128"/>
      <c r="AE79" s="128"/>
      <c r="AF79" s="128"/>
      <c r="AG79" s="128"/>
      <c r="AH79" s="128"/>
      <c r="AI79" s="128"/>
      <c r="AJ79" s="128"/>
      <c r="AK79" s="128"/>
      <c r="AL79" s="128"/>
      <c r="AM79" s="128"/>
      <c r="AN79" s="128"/>
      <c r="AO79" s="128"/>
      <c r="AP79" s="128"/>
      <c r="AQ79" s="128"/>
      <c r="AR79" s="128"/>
      <c r="AS79" s="128"/>
      <c r="AT79" s="128"/>
      <c r="AU79" s="128"/>
      <c r="AV79" s="128"/>
      <c r="AW79" s="128"/>
      <c r="AX79" s="128"/>
      <c r="AY79" s="128"/>
    </row>
    <row r="80" spans="1:51" x14ac:dyDescent="0.2">
      <c r="A80" s="127"/>
      <c r="B80" s="144">
        <v>36</v>
      </c>
      <c r="C80" s="127" t="s">
        <v>293</v>
      </c>
      <c r="D80" s="128"/>
      <c r="E80" s="128"/>
      <c r="F80" s="128"/>
      <c r="G80" s="128"/>
      <c r="H80" s="128"/>
      <c r="I80" s="128"/>
      <c r="J80" s="128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  <c r="V80" s="128"/>
      <c r="W80" s="128"/>
      <c r="X80" s="128"/>
      <c r="Y80" s="128"/>
      <c r="Z80" s="128"/>
      <c r="AA80" s="128"/>
      <c r="AB80" s="128"/>
      <c r="AC80" s="128"/>
      <c r="AD80" s="128"/>
      <c r="AE80" s="128"/>
      <c r="AF80" s="128"/>
      <c r="AG80" s="128"/>
      <c r="AH80" s="128"/>
      <c r="AI80" s="128"/>
      <c r="AJ80" s="128"/>
      <c r="AK80" s="128"/>
      <c r="AL80" s="128"/>
      <c r="AM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</row>
    <row r="81" spans="1:52" x14ac:dyDescent="0.2">
      <c r="A81" s="127"/>
      <c r="B81" s="147">
        <v>37</v>
      </c>
      <c r="C81" s="127" t="s">
        <v>293</v>
      </c>
      <c r="D81" s="128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128"/>
      <c r="U81" s="128"/>
      <c r="V81" s="128"/>
      <c r="W81" s="128"/>
      <c r="X81" s="128"/>
      <c r="Y81" s="128"/>
      <c r="Z81" s="128"/>
      <c r="AA81" s="128"/>
      <c r="AB81" s="128"/>
      <c r="AC81" s="128"/>
      <c r="AD81" s="128"/>
      <c r="AE81" s="128"/>
      <c r="AF81" s="128"/>
      <c r="AG81" s="128"/>
      <c r="AH81" s="128"/>
      <c r="AI81" s="128"/>
      <c r="AJ81" s="128"/>
      <c r="AK81" s="128"/>
      <c r="AL81" s="128"/>
      <c r="AM81" s="128"/>
      <c r="AN81" s="128"/>
      <c r="AO81" s="128"/>
      <c r="AP81" s="128"/>
      <c r="AQ81" s="128"/>
      <c r="AR81" s="128"/>
      <c r="AS81" s="128"/>
      <c r="AT81" s="128"/>
      <c r="AU81" s="128"/>
      <c r="AV81" s="128"/>
      <c r="AW81" s="128"/>
      <c r="AX81" s="128"/>
      <c r="AY81" s="128"/>
    </row>
    <row r="82" spans="1:52" x14ac:dyDescent="0.2">
      <c r="A82" s="127"/>
      <c r="B82" s="147">
        <v>38</v>
      </c>
      <c r="C82" s="127" t="s">
        <v>293</v>
      </c>
      <c r="D82" s="128"/>
      <c r="E82" s="128"/>
      <c r="F82" s="128"/>
      <c r="G82" s="128"/>
      <c r="H82" s="128"/>
      <c r="I82" s="128"/>
      <c r="J82" s="128"/>
      <c r="K82" s="128"/>
      <c r="L82" s="128"/>
      <c r="M82" s="128"/>
      <c r="N82" s="128"/>
      <c r="O82" s="128"/>
      <c r="P82" s="128"/>
      <c r="Q82" s="128"/>
      <c r="R82" s="128"/>
      <c r="S82" s="128"/>
      <c r="T82" s="128"/>
      <c r="U82" s="128"/>
      <c r="V82" s="128"/>
      <c r="W82" s="128"/>
      <c r="X82" s="128"/>
      <c r="Y82" s="128"/>
      <c r="Z82" s="128"/>
      <c r="AA82" s="128"/>
      <c r="AB82" s="128"/>
      <c r="AC82" s="128"/>
      <c r="AD82" s="128"/>
      <c r="AE82" s="128"/>
      <c r="AF82" s="128"/>
      <c r="AG82" s="128"/>
      <c r="AH82" s="128"/>
      <c r="AI82" s="128"/>
      <c r="AJ82" s="128"/>
      <c r="AK82" s="128"/>
      <c r="AL82" s="128"/>
      <c r="AM82" s="128"/>
      <c r="AN82" s="128"/>
      <c r="AO82" s="128"/>
      <c r="AP82" s="128"/>
      <c r="AQ82" s="128"/>
      <c r="AR82" s="128"/>
      <c r="AS82" s="128"/>
      <c r="AT82" s="128"/>
      <c r="AU82" s="128"/>
      <c r="AV82" s="128"/>
      <c r="AW82" s="128"/>
      <c r="AX82" s="128"/>
      <c r="AY82" s="128"/>
    </row>
    <row r="83" spans="1:52" x14ac:dyDescent="0.2">
      <c r="A83" s="127"/>
      <c r="B83" s="147">
        <v>39</v>
      </c>
      <c r="C83" s="127" t="s">
        <v>293</v>
      </c>
      <c r="D83" s="128"/>
      <c r="E83" s="128"/>
      <c r="F83" s="128"/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8"/>
      <c r="U83" s="128"/>
      <c r="V83" s="128"/>
      <c r="W83" s="128"/>
      <c r="X83" s="128"/>
      <c r="Y83" s="128"/>
      <c r="Z83" s="128"/>
      <c r="AA83" s="128"/>
      <c r="AB83" s="128"/>
      <c r="AC83" s="128"/>
      <c r="AD83" s="128"/>
      <c r="AE83" s="128"/>
      <c r="AF83" s="128"/>
      <c r="AG83" s="128"/>
      <c r="AH83" s="128"/>
      <c r="AI83" s="128"/>
      <c r="AJ83" s="128"/>
      <c r="AK83" s="128"/>
      <c r="AL83" s="128"/>
      <c r="AM83" s="128"/>
      <c r="AN83" s="128"/>
      <c r="AO83" s="128"/>
      <c r="AP83" s="128"/>
      <c r="AQ83" s="128"/>
      <c r="AR83" s="128"/>
      <c r="AS83" s="128"/>
      <c r="AT83" s="128"/>
      <c r="AU83" s="128"/>
      <c r="AV83" s="128"/>
      <c r="AW83" s="128"/>
      <c r="AX83" s="128"/>
      <c r="AY83" s="128"/>
    </row>
    <row r="84" spans="1:52" x14ac:dyDescent="0.2">
      <c r="A84" s="127"/>
      <c r="B84" s="147">
        <v>40</v>
      </c>
      <c r="C84" s="127" t="s">
        <v>293</v>
      </c>
      <c r="D84" s="128"/>
      <c r="E84" s="128"/>
      <c r="F84" s="128"/>
      <c r="G84" s="128"/>
      <c r="H84" s="128"/>
      <c r="I84" s="128"/>
      <c r="J84" s="128"/>
      <c r="K84" s="128"/>
      <c r="L84" s="128"/>
      <c r="M84" s="128"/>
      <c r="N84" s="128"/>
      <c r="O84" s="128"/>
      <c r="P84" s="128"/>
      <c r="Q84" s="128"/>
      <c r="R84" s="128"/>
      <c r="S84" s="128"/>
      <c r="T84" s="128"/>
      <c r="U84" s="128"/>
      <c r="V84" s="128"/>
      <c r="W84" s="128"/>
      <c r="X84" s="128"/>
      <c r="Y84" s="128"/>
      <c r="Z84" s="128"/>
      <c r="AA84" s="128"/>
      <c r="AB84" s="128"/>
      <c r="AC84" s="128"/>
      <c r="AD84" s="128"/>
      <c r="AE84" s="128"/>
      <c r="AF84" s="128"/>
      <c r="AG84" s="128"/>
      <c r="AH84" s="128"/>
      <c r="AI84" s="128"/>
      <c r="AJ84" s="128"/>
      <c r="AK84" s="128"/>
      <c r="AL84" s="128"/>
      <c r="AM84" s="128"/>
      <c r="AN84" s="128"/>
      <c r="AO84" s="128"/>
      <c r="AP84" s="128"/>
      <c r="AQ84" s="128"/>
      <c r="AR84" s="128"/>
      <c r="AS84" s="128"/>
      <c r="AT84" s="128"/>
      <c r="AU84" s="128"/>
      <c r="AV84" s="128"/>
      <c r="AW84" s="128"/>
      <c r="AX84" s="128"/>
      <c r="AY84" s="128"/>
    </row>
    <row r="85" spans="1:52" x14ac:dyDescent="0.2">
      <c r="A85" s="127"/>
      <c r="B85" s="147">
        <v>41</v>
      </c>
      <c r="C85" s="127" t="s">
        <v>293</v>
      </c>
      <c r="D85" s="128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128"/>
      <c r="U85" s="128"/>
      <c r="V85" s="128"/>
      <c r="W85" s="128"/>
      <c r="X85" s="128"/>
      <c r="Y85" s="128"/>
      <c r="Z85" s="128"/>
      <c r="AA85" s="128"/>
      <c r="AB85" s="128"/>
      <c r="AC85" s="128"/>
      <c r="AD85" s="128"/>
      <c r="AE85" s="128"/>
      <c r="AF85" s="128"/>
      <c r="AG85" s="128"/>
      <c r="AH85" s="128"/>
      <c r="AI85" s="128"/>
      <c r="AJ85" s="128"/>
      <c r="AK85" s="128"/>
      <c r="AL85" s="128"/>
      <c r="AM85" s="128"/>
      <c r="AN85" s="128"/>
      <c r="AO85" s="128"/>
      <c r="AP85" s="128"/>
      <c r="AQ85" s="128"/>
      <c r="AR85" s="128"/>
      <c r="AS85" s="128"/>
      <c r="AT85" s="128"/>
      <c r="AU85" s="128"/>
      <c r="AV85" s="128"/>
      <c r="AW85" s="128"/>
      <c r="AX85" s="128"/>
      <c r="AY85" s="128"/>
    </row>
    <row r="86" spans="1:52" x14ac:dyDescent="0.2">
      <c r="A86" s="127"/>
      <c r="B86" s="147">
        <v>42</v>
      </c>
      <c r="C86" s="127" t="s">
        <v>293</v>
      </c>
      <c r="D86" s="128"/>
      <c r="E86" s="128"/>
      <c r="F86" s="128"/>
      <c r="G86" s="128"/>
      <c r="H86" s="128"/>
      <c r="I86" s="128"/>
      <c r="J86" s="128"/>
      <c r="K86" s="128"/>
      <c r="L86" s="128"/>
      <c r="M86" s="128"/>
      <c r="N86" s="128"/>
      <c r="O86" s="128"/>
      <c r="P86" s="128"/>
      <c r="Q86" s="128"/>
      <c r="R86" s="128"/>
      <c r="S86" s="128"/>
      <c r="T86" s="128"/>
      <c r="U86" s="128"/>
      <c r="V86" s="128"/>
      <c r="W86" s="128"/>
      <c r="X86" s="128"/>
      <c r="Y86" s="128"/>
      <c r="Z86" s="128"/>
      <c r="AA86" s="128"/>
      <c r="AB86" s="128"/>
      <c r="AC86" s="128"/>
      <c r="AD86" s="128"/>
      <c r="AE86" s="128"/>
      <c r="AF86" s="128"/>
      <c r="AG86" s="128"/>
      <c r="AH86" s="128"/>
      <c r="AI86" s="128"/>
      <c r="AJ86" s="128"/>
      <c r="AK86" s="128"/>
      <c r="AL86" s="128"/>
      <c r="AM86" s="128"/>
      <c r="AN86" s="128"/>
      <c r="AO86" s="128"/>
      <c r="AP86" s="128"/>
      <c r="AQ86" s="128"/>
      <c r="AR86" s="128"/>
      <c r="AS86" s="128"/>
      <c r="AT86" s="128"/>
      <c r="AU86" s="128"/>
      <c r="AV86" s="128"/>
      <c r="AW86" s="128"/>
      <c r="AX86" s="128"/>
      <c r="AY86" s="128"/>
    </row>
    <row r="87" spans="1:52" x14ac:dyDescent="0.2">
      <c r="A87" s="127"/>
      <c r="B87" s="147">
        <v>43</v>
      </c>
      <c r="C87" s="127" t="s">
        <v>293</v>
      </c>
      <c r="D87" s="128"/>
      <c r="E87" s="128"/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128"/>
      <c r="U87" s="128"/>
      <c r="V87" s="128"/>
      <c r="W87" s="128"/>
      <c r="X87" s="128"/>
      <c r="Y87" s="128"/>
      <c r="Z87" s="128"/>
      <c r="AA87" s="128"/>
      <c r="AB87" s="128"/>
      <c r="AC87" s="128"/>
      <c r="AD87" s="128"/>
      <c r="AE87" s="128"/>
      <c r="AF87" s="128"/>
      <c r="AG87" s="128"/>
      <c r="AH87" s="128"/>
      <c r="AI87" s="128"/>
      <c r="AJ87" s="128"/>
      <c r="AK87" s="128"/>
      <c r="AL87" s="128"/>
      <c r="AM87" s="128"/>
      <c r="AN87" s="128"/>
      <c r="AO87" s="128"/>
      <c r="AP87" s="128"/>
      <c r="AQ87" s="128"/>
      <c r="AR87" s="128"/>
      <c r="AS87" s="128"/>
      <c r="AT87" s="128"/>
      <c r="AU87" s="128"/>
      <c r="AV87" s="128"/>
      <c r="AW87" s="128"/>
      <c r="AX87" s="128"/>
      <c r="AY87" s="128"/>
    </row>
    <row r="88" spans="1:52" x14ac:dyDescent="0.2">
      <c r="A88" s="127"/>
      <c r="B88" s="147">
        <v>44</v>
      </c>
      <c r="C88" s="127" t="s">
        <v>293</v>
      </c>
      <c r="D88" s="128"/>
      <c r="E88" s="128"/>
      <c r="F88" s="128"/>
      <c r="G88" s="128"/>
      <c r="H88" s="128"/>
      <c r="I88" s="128"/>
      <c r="J88" s="128"/>
      <c r="K88" s="128"/>
      <c r="L88" s="128"/>
      <c r="M88" s="128"/>
      <c r="N88" s="128"/>
      <c r="O88" s="128"/>
      <c r="P88" s="128"/>
      <c r="Q88" s="128"/>
      <c r="R88" s="128"/>
      <c r="S88" s="128"/>
      <c r="T88" s="128"/>
      <c r="U88" s="128"/>
      <c r="V88" s="128"/>
      <c r="W88" s="128"/>
      <c r="X88" s="128"/>
      <c r="Y88" s="128"/>
      <c r="Z88" s="128"/>
      <c r="AA88" s="128"/>
      <c r="AB88" s="128"/>
      <c r="AC88" s="128"/>
      <c r="AD88" s="128"/>
      <c r="AE88" s="128"/>
      <c r="AF88" s="128"/>
      <c r="AG88" s="128"/>
      <c r="AH88" s="128"/>
      <c r="AI88" s="128"/>
      <c r="AJ88" s="128"/>
      <c r="AK88" s="128"/>
      <c r="AL88" s="128"/>
      <c r="AM88" s="128"/>
      <c r="AN88" s="128"/>
      <c r="AO88" s="128"/>
      <c r="AP88" s="128"/>
      <c r="AQ88" s="128"/>
      <c r="AR88" s="128"/>
      <c r="AS88" s="128"/>
      <c r="AT88" s="128"/>
      <c r="AU88" s="128"/>
      <c r="AV88" s="128"/>
      <c r="AW88" s="128"/>
      <c r="AX88" s="128"/>
      <c r="AY88" s="128"/>
    </row>
    <row r="89" spans="1:52" x14ac:dyDescent="0.2">
      <c r="A89" s="127"/>
      <c r="B89" s="147">
        <v>45</v>
      </c>
      <c r="C89" s="127" t="s">
        <v>293</v>
      </c>
      <c r="D89" s="128">
        <v>0</v>
      </c>
      <c r="E89" s="128">
        <v>0</v>
      </c>
      <c r="F89" s="128"/>
      <c r="G89" s="128"/>
      <c r="H89" s="128"/>
      <c r="I89" s="128"/>
      <c r="J89" s="128"/>
      <c r="K89" s="128"/>
      <c r="L89" s="128"/>
      <c r="M89" s="128"/>
      <c r="N89" s="128"/>
      <c r="O89" s="128"/>
      <c r="P89" s="128"/>
      <c r="Q89" s="128"/>
      <c r="R89" s="128"/>
      <c r="S89" s="128"/>
      <c r="T89" s="128"/>
      <c r="U89" s="128"/>
      <c r="V89" s="128"/>
      <c r="W89" s="128"/>
      <c r="X89" s="128"/>
      <c r="Y89" s="128"/>
      <c r="Z89" s="128"/>
      <c r="AA89" s="128"/>
      <c r="AB89" s="128"/>
      <c r="AC89" s="128"/>
      <c r="AD89" s="128"/>
      <c r="AE89" s="128"/>
      <c r="AF89" s="128"/>
      <c r="AG89" s="128"/>
      <c r="AH89" s="128"/>
      <c r="AI89" s="128"/>
      <c r="AJ89" s="128"/>
      <c r="AK89" s="128"/>
      <c r="AL89" s="128"/>
      <c r="AM89" s="128"/>
      <c r="AN89" s="128"/>
      <c r="AO89" s="128"/>
      <c r="AP89" s="128"/>
      <c r="AQ89" s="128"/>
      <c r="AR89" s="128"/>
      <c r="AS89" s="128"/>
      <c r="AT89" s="128"/>
      <c r="AU89" s="128"/>
      <c r="AV89" s="128"/>
      <c r="AW89" s="128"/>
      <c r="AX89" s="128"/>
      <c r="AY89" s="128"/>
    </row>
    <row r="90" spans="1:52" x14ac:dyDescent="0.2">
      <c r="A90" s="127"/>
      <c r="B90" s="147">
        <v>46</v>
      </c>
      <c r="C90" s="127" t="s">
        <v>293</v>
      </c>
      <c r="D90" s="128">
        <v>0</v>
      </c>
      <c r="E90" s="128">
        <v>0</v>
      </c>
      <c r="F90" s="128">
        <v>0</v>
      </c>
      <c r="G90" s="128">
        <v>0</v>
      </c>
      <c r="H90" s="128">
        <v>0</v>
      </c>
      <c r="I90" s="128"/>
      <c r="J90" s="128"/>
      <c r="K90" s="128"/>
      <c r="L90" s="128"/>
      <c r="M90" s="128"/>
      <c r="N90" s="128"/>
      <c r="O90" s="128"/>
      <c r="P90" s="128"/>
      <c r="Q90" s="128"/>
      <c r="R90" s="128"/>
      <c r="S90" s="128"/>
      <c r="T90" s="128"/>
      <c r="U90" s="128"/>
      <c r="V90" s="128"/>
      <c r="W90" s="128"/>
      <c r="X90" s="128"/>
      <c r="Y90" s="128"/>
      <c r="Z90" s="128"/>
      <c r="AA90" s="128"/>
      <c r="AB90" s="128"/>
      <c r="AC90" s="128"/>
      <c r="AD90" s="128"/>
      <c r="AE90" s="128"/>
      <c r="AF90" s="128"/>
      <c r="AG90" s="128"/>
      <c r="AH90" s="128"/>
      <c r="AI90" s="128"/>
      <c r="AJ90" s="128"/>
      <c r="AK90" s="128"/>
      <c r="AL90" s="128"/>
      <c r="AM90" s="128"/>
      <c r="AN90" s="128"/>
      <c r="AO90" s="128"/>
      <c r="AP90" s="128"/>
      <c r="AQ90" s="128"/>
      <c r="AR90" s="128"/>
      <c r="AS90" s="128"/>
      <c r="AT90" s="128"/>
      <c r="AU90" s="128"/>
      <c r="AV90" s="128"/>
      <c r="AW90" s="128"/>
      <c r="AX90" s="128"/>
      <c r="AY90" s="128"/>
    </row>
    <row r="91" spans="1:52" x14ac:dyDescent="0.2">
      <c r="A91" s="127"/>
      <c r="B91" s="147">
        <v>47</v>
      </c>
      <c r="C91" s="127" t="s">
        <v>293</v>
      </c>
      <c r="D91" s="128">
        <v>0</v>
      </c>
      <c r="E91" s="128">
        <v>0</v>
      </c>
      <c r="F91" s="128">
        <v>0</v>
      </c>
      <c r="G91" s="128">
        <v>0</v>
      </c>
      <c r="H91" s="128">
        <v>0</v>
      </c>
      <c r="I91" s="128">
        <v>0</v>
      </c>
      <c r="J91" s="128">
        <v>0</v>
      </c>
      <c r="K91" s="128"/>
      <c r="L91" s="128"/>
      <c r="M91" s="128"/>
      <c r="N91" s="128"/>
      <c r="O91" s="128"/>
      <c r="P91" s="128"/>
      <c r="Q91" s="128"/>
      <c r="R91" s="128"/>
      <c r="S91" s="128"/>
      <c r="T91" s="128"/>
      <c r="U91" s="128"/>
      <c r="V91" s="128"/>
      <c r="W91" s="128"/>
      <c r="X91" s="128"/>
      <c r="Y91" s="128"/>
      <c r="Z91" s="128"/>
      <c r="AA91" s="128"/>
      <c r="AB91" s="128"/>
      <c r="AC91" s="128"/>
      <c r="AD91" s="128"/>
      <c r="AE91" s="128"/>
      <c r="AF91" s="128"/>
      <c r="AG91" s="128"/>
      <c r="AH91" s="128"/>
      <c r="AI91" s="128"/>
      <c r="AJ91" s="128"/>
      <c r="AK91" s="128"/>
      <c r="AL91" s="128"/>
      <c r="AM91" s="128"/>
      <c r="AN91" s="128"/>
      <c r="AO91" s="128"/>
      <c r="AP91" s="128"/>
      <c r="AQ91" s="128"/>
      <c r="AR91" s="128"/>
      <c r="AS91" s="128"/>
      <c r="AT91" s="128"/>
      <c r="AU91" s="128"/>
      <c r="AV91" s="128"/>
      <c r="AW91" s="128"/>
      <c r="AX91" s="128"/>
      <c r="AY91" s="128"/>
    </row>
    <row r="92" spans="1:52" x14ac:dyDescent="0.2">
      <c r="A92" s="145"/>
      <c r="B92" s="146">
        <v>48</v>
      </c>
      <c r="C92" s="145" t="s">
        <v>293</v>
      </c>
      <c r="D92" s="142">
        <v>0</v>
      </c>
      <c r="E92" s="142">
        <v>0</v>
      </c>
      <c r="F92" s="142">
        <v>0</v>
      </c>
      <c r="G92" s="142">
        <v>0</v>
      </c>
      <c r="H92" s="142">
        <v>0</v>
      </c>
      <c r="I92" s="142">
        <v>0</v>
      </c>
      <c r="J92" s="142">
        <v>0</v>
      </c>
      <c r="K92" s="142">
        <v>0</v>
      </c>
      <c r="L92" s="142">
        <v>0</v>
      </c>
      <c r="M92" s="142">
        <v>0</v>
      </c>
      <c r="N92" s="142">
        <v>0</v>
      </c>
      <c r="O92" s="142">
        <v>0</v>
      </c>
      <c r="P92" s="142">
        <v>0</v>
      </c>
      <c r="Q92" s="142">
        <v>0</v>
      </c>
      <c r="R92" s="142">
        <v>0</v>
      </c>
      <c r="S92" s="142">
        <v>0</v>
      </c>
      <c r="T92" s="142">
        <v>0</v>
      </c>
      <c r="U92" s="142">
        <v>0</v>
      </c>
      <c r="V92" s="142">
        <v>0</v>
      </c>
      <c r="W92" s="142">
        <v>0</v>
      </c>
      <c r="X92" s="142">
        <v>0</v>
      </c>
      <c r="Y92" s="142">
        <v>0</v>
      </c>
      <c r="Z92" s="142">
        <v>0</v>
      </c>
      <c r="AA92" s="142">
        <v>0</v>
      </c>
      <c r="AB92" s="142">
        <v>0</v>
      </c>
      <c r="AC92" s="142">
        <v>0</v>
      </c>
      <c r="AD92" s="142">
        <v>0</v>
      </c>
      <c r="AE92" s="142">
        <v>0</v>
      </c>
      <c r="AF92" s="142">
        <v>0</v>
      </c>
      <c r="AG92" s="142">
        <v>0</v>
      </c>
      <c r="AH92" s="142">
        <v>0</v>
      </c>
      <c r="AI92" s="142">
        <v>0</v>
      </c>
      <c r="AJ92" s="142">
        <v>0</v>
      </c>
      <c r="AK92" s="142">
        <v>0</v>
      </c>
      <c r="AL92" s="142">
        <v>0</v>
      </c>
      <c r="AM92" s="142">
        <v>0</v>
      </c>
      <c r="AN92" s="142">
        <v>0</v>
      </c>
      <c r="AO92" s="142">
        <v>0</v>
      </c>
      <c r="AP92" s="142">
        <v>0</v>
      </c>
      <c r="AQ92" s="142">
        <v>0</v>
      </c>
      <c r="AR92" s="142">
        <v>0</v>
      </c>
      <c r="AS92" s="142">
        <v>0</v>
      </c>
      <c r="AT92" s="142">
        <v>0</v>
      </c>
      <c r="AU92" s="142">
        <v>0</v>
      </c>
      <c r="AV92" s="142">
        <v>0</v>
      </c>
      <c r="AW92" s="142">
        <v>0</v>
      </c>
      <c r="AX92" s="142">
        <v>0</v>
      </c>
      <c r="AY92" s="142">
        <v>0</v>
      </c>
      <c r="AZ92" s="125">
        <f>SUM(D21:AY92)</f>
        <v>22771.520160098164</v>
      </c>
    </row>
    <row r="94" spans="1:52" x14ac:dyDescent="0.2">
      <c r="A94" s="1" t="s">
        <v>295</v>
      </c>
      <c r="B94" s="124"/>
      <c r="C94" s="124"/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  <c r="V94" s="131"/>
      <c r="W94" s="131"/>
      <c r="X94" s="131"/>
      <c r="Y94" s="131"/>
      <c r="Z94" s="131"/>
      <c r="AA94" s="131"/>
      <c r="AB94" s="131"/>
      <c r="AC94" s="131"/>
      <c r="AD94" s="131"/>
      <c r="AE94" s="131"/>
      <c r="AF94" s="131"/>
      <c r="AG94" s="131"/>
      <c r="AH94" s="131"/>
      <c r="AI94" s="131"/>
      <c r="AJ94" s="131"/>
      <c r="AK94" s="131"/>
      <c r="AL94" s="131"/>
      <c r="AM94" s="131"/>
      <c r="AN94" s="131"/>
      <c r="AO94" s="131"/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</row>
    <row r="95" spans="1:52" x14ac:dyDescent="0.2">
      <c r="A95" s="143" t="s">
        <v>125</v>
      </c>
      <c r="B95" s="140">
        <v>1</v>
      </c>
      <c r="C95" s="141">
        <v>0</v>
      </c>
      <c r="D95" s="128">
        <v>1063.9864210775368</v>
      </c>
      <c r="E95" s="128">
        <v>3614.3020829324369</v>
      </c>
      <c r="F95" s="128">
        <v>4790.2482433845389</v>
      </c>
      <c r="G95" s="128">
        <v>4790.2482433845389</v>
      </c>
      <c r="H95" s="128">
        <v>4790.2482433845389</v>
      </c>
      <c r="I95" s="128">
        <v>4790.2482433845389</v>
      </c>
      <c r="J95" s="128">
        <v>4790.2482433845389</v>
      </c>
      <c r="K95" s="128">
        <v>4790.2482433845389</v>
      </c>
      <c r="L95" s="128">
        <v>4790.2482433845389</v>
      </c>
      <c r="M95" s="128">
        <v>4790.2482433845389</v>
      </c>
      <c r="N95" s="128">
        <v>4790.2482433845389</v>
      </c>
      <c r="O95" s="128">
        <v>4790.2482433845389</v>
      </c>
      <c r="P95" s="128">
        <v>4790.2482433845389</v>
      </c>
      <c r="Q95" s="128">
        <v>4790.2482433845389</v>
      </c>
      <c r="R95" s="128">
        <v>4790.2482433845389</v>
      </c>
      <c r="S95" s="128">
        <v>4790.2482433845389</v>
      </c>
      <c r="T95" s="128">
        <v>4790.2482433845389</v>
      </c>
      <c r="U95" s="128">
        <v>4790.2482433845389</v>
      </c>
      <c r="V95" s="128">
        <v>4790.2482433845389</v>
      </c>
      <c r="W95" s="128">
        <v>4790.2482433845389</v>
      </c>
      <c r="X95" s="128">
        <v>4790.2482433845389</v>
      </c>
      <c r="Y95" s="128">
        <v>4790.2482433845389</v>
      </c>
      <c r="Z95" s="128">
        <v>4790.2482433845389</v>
      </c>
      <c r="AA95" s="128">
        <v>4790.2482433845389</v>
      </c>
      <c r="AB95" s="128">
        <v>4790.2482433845389</v>
      </c>
      <c r="AC95" s="128">
        <v>4790.2482433845389</v>
      </c>
      <c r="AD95" s="128">
        <v>4790.2482433845389</v>
      </c>
      <c r="AE95" s="128">
        <v>4790.2482433845389</v>
      </c>
      <c r="AF95" s="128">
        <v>4790.2482433845389</v>
      </c>
      <c r="AG95" s="128">
        <v>4790.2482433845389</v>
      </c>
      <c r="AH95" s="128">
        <v>4790.2482433845389</v>
      </c>
      <c r="AI95" s="128">
        <v>4790.2482433845389</v>
      </c>
      <c r="AJ95" s="128">
        <v>4790.2482433845389</v>
      </c>
      <c r="AK95" s="128">
        <v>4790.2482433845389</v>
      </c>
      <c r="AL95" s="128">
        <v>4790.2482433845389</v>
      </c>
      <c r="AM95" s="128">
        <v>4790.2482433845389</v>
      </c>
      <c r="AN95" s="128">
        <v>4790.2482433845389</v>
      </c>
      <c r="AO95" s="128">
        <v>4790.2482433845389</v>
      </c>
      <c r="AP95" s="128">
        <v>4790.2482433845389</v>
      </c>
      <c r="AQ95" s="128">
        <v>4790.2482433845389</v>
      </c>
      <c r="AR95" s="128">
        <v>4790.2482433845389</v>
      </c>
      <c r="AS95" s="128">
        <v>4790.2482433845389</v>
      </c>
      <c r="AT95" s="128">
        <v>4790.2482433845389</v>
      </c>
      <c r="AU95" s="128">
        <v>4790.2482433845389</v>
      </c>
      <c r="AV95" s="128">
        <v>4790.2482433845389</v>
      </c>
      <c r="AW95" s="128">
        <v>4790.2482433845389</v>
      </c>
      <c r="AX95" s="128">
        <v>4790.2482433845389</v>
      </c>
      <c r="AY95" s="128">
        <v>4790.2482433845389</v>
      </c>
    </row>
    <row r="96" spans="1:52" x14ac:dyDescent="0.2">
      <c r="A96" s="127"/>
      <c r="B96" s="137">
        <v>2</v>
      </c>
      <c r="C96" s="128">
        <v>0</v>
      </c>
      <c r="D96" s="128">
        <v>0</v>
      </c>
      <c r="E96" s="128">
        <v>0</v>
      </c>
      <c r="F96" s="128">
        <v>426.07912054272947</v>
      </c>
      <c r="G96" s="128">
        <v>2924.1200411432437</v>
      </c>
      <c r="H96" s="128">
        <v>4565.4353235444096</v>
      </c>
      <c r="I96" s="128">
        <v>4790.2482433845389</v>
      </c>
      <c r="J96" s="128">
        <v>4790.2482433845389</v>
      </c>
      <c r="K96" s="128">
        <v>4790.2482433845389</v>
      </c>
      <c r="L96" s="128">
        <v>4790.2482433845389</v>
      </c>
      <c r="M96" s="128">
        <v>4790.2482433845389</v>
      </c>
      <c r="N96" s="128">
        <v>4790.2482433845389</v>
      </c>
      <c r="O96" s="128">
        <v>4790.2482433845389</v>
      </c>
      <c r="P96" s="128">
        <v>4790.2482433845389</v>
      </c>
      <c r="Q96" s="128">
        <v>4790.2482433845389</v>
      </c>
      <c r="R96" s="128">
        <v>4790.2482433845389</v>
      </c>
      <c r="S96" s="128">
        <v>4790.2482433845389</v>
      </c>
      <c r="T96" s="128">
        <v>4790.2482433845389</v>
      </c>
      <c r="U96" s="128">
        <v>4790.2482433845389</v>
      </c>
      <c r="V96" s="128">
        <v>4790.2482433845389</v>
      </c>
      <c r="W96" s="128">
        <v>4790.2482433845389</v>
      </c>
      <c r="X96" s="128">
        <v>4790.2482433845389</v>
      </c>
      <c r="Y96" s="128">
        <v>4790.2482433845389</v>
      </c>
      <c r="Z96" s="128">
        <v>4790.2482433845389</v>
      </c>
      <c r="AA96" s="128">
        <v>4790.2482433845389</v>
      </c>
      <c r="AB96" s="128">
        <v>4790.2482433845389</v>
      </c>
      <c r="AC96" s="128">
        <v>4790.2482433845389</v>
      </c>
      <c r="AD96" s="128">
        <v>4790.2482433845389</v>
      </c>
      <c r="AE96" s="128">
        <v>4790.2482433845389</v>
      </c>
      <c r="AF96" s="128">
        <v>4790.2482433845389</v>
      </c>
      <c r="AG96" s="128">
        <v>4790.2482433845389</v>
      </c>
      <c r="AH96" s="128">
        <v>4790.2482433845389</v>
      </c>
      <c r="AI96" s="128">
        <v>4790.2482433845389</v>
      </c>
      <c r="AJ96" s="128">
        <v>4790.2482433845389</v>
      </c>
      <c r="AK96" s="128">
        <v>4790.2482433845389</v>
      </c>
      <c r="AL96" s="128">
        <v>4790.2482433845389</v>
      </c>
      <c r="AM96" s="128">
        <v>4790.2482433845389</v>
      </c>
      <c r="AN96" s="128">
        <v>4790.2482433845389</v>
      </c>
      <c r="AO96" s="128">
        <v>4790.2482433845389</v>
      </c>
      <c r="AP96" s="128">
        <v>4790.2482433845389</v>
      </c>
      <c r="AQ96" s="128">
        <v>4790.2482433845389</v>
      </c>
      <c r="AR96" s="128">
        <v>4790.2482433845389</v>
      </c>
      <c r="AS96" s="128">
        <v>4790.2482433845389</v>
      </c>
      <c r="AT96" s="128">
        <v>4790.2482433845389</v>
      </c>
      <c r="AU96" s="128">
        <v>4790.2482433845389</v>
      </c>
      <c r="AV96" s="128">
        <v>4790.2482433845389</v>
      </c>
      <c r="AW96" s="128">
        <v>4790.2482433845389</v>
      </c>
      <c r="AX96" s="128">
        <v>4790.2482433845389</v>
      </c>
      <c r="AY96" s="128">
        <v>4790.2482433845389</v>
      </c>
    </row>
    <row r="97" spans="1:52" x14ac:dyDescent="0.2">
      <c r="A97" s="127"/>
      <c r="B97" s="144">
        <v>3</v>
      </c>
      <c r="C97" s="128">
        <v>0</v>
      </c>
      <c r="D97" s="128">
        <v>0</v>
      </c>
      <c r="E97" s="128">
        <v>0</v>
      </c>
      <c r="F97" s="128">
        <v>0</v>
      </c>
      <c r="G97" s="128">
        <v>0</v>
      </c>
      <c r="H97" s="128">
        <v>0</v>
      </c>
      <c r="I97" s="128">
        <v>2087.4964880172856</v>
      </c>
      <c r="J97" s="128">
        <v>3967.9777660177165</v>
      </c>
      <c r="K97" s="128">
        <v>4790.2482433845389</v>
      </c>
      <c r="L97" s="128">
        <v>4790.2482433845389</v>
      </c>
      <c r="M97" s="128">
        <v>4790.2482433845389</v>
      </c>
      <c r="N97" s="128">
        <v>4790.2482433845389</v>
      </c>
      <c r="O97" s="128">
        <v>4790.2482433845389</v>
      </c>
      <c r="P97" s="128">
        <v>4790.2482433845389</v>
      </c>
      <c r="Q97" s="128">
        <v>4790.2482433845389</v>
      </c>
      <c r="R97" s="128">
        <v>4790.2482433845389</v>
      </c>
      <c r="S97" s="128">
        <v>4790.2482433845389</v>
      </c>
      <c r="T97" s="128">
        <v>4790.2482433845389</v>
      </c>
      <c r="U97" s="128">
        <v>4790.2482433845389</v>
      </c>
      <c r="V97" s="128">
        <v>4790.2482433845389</v>
      </c>
      <c r="W97" s="128">
        <v>4790.2482433845389</v>
      </c>
      <c r="X97" s="128">
        <v>4790.2482433845389</v>
      </c>
      <c r="Y97" s="128">
        <v>4790.2482433845389</v>
      </c>
      <c r="Z97" s="128">
        <v>4790.2482433845389</v>
      </c>
      <c r="AA97" s="128">
        <v>4790.2482433845389</v>
      </c>
      <c r="AB97" s="128">
        <v>4790.2482433845389</v>
      </c>
      <c r="AC97" s="128">
        <v>4790.2482433845389</v>
      </c>
      <c r="AD97" s="128">
        <v>4790.2482433845389</v>
      </c>
      <c r="AE97" s="128">
        <v>4790.2482433845389</v>
      </c>
      <c r="AF97" s="128">
        <v>4790.2482433845389</v>
      </c>
      <c r="AG97" s="128">
        <v>4790.2482433845389</v>
      </c>
      <c r="AH97" s="128">
        <v>4790.2482433845389</v>
      </c>
      <c r="AI97" s="128">
        <v>4790.2482433845389</v>
      </c>
      <c r="AJ97" s="128">
        <v>4790.2482433845389</v>
      </c>
      <c r="AK97" s="128">
        <v>4790.2482433845389</v>
      </c>
      <c r="AL97" s="128">
        <v>4790.2482433845389</v>
      </c>
      <c r="AM97" s="128">
        <v>4790.2482433845389</v>
      </c>
      <c r="AN97" s="128">
        <v>4790.2482433845389</v>
      </c>
      <c r="AO97" s="128">
        <v>4790.2482433845389</v>
      </c>
      <c r="AP97" s="128">
        <v>4790.2482433845389</v>
      </c>
      <c r="AQ97" s="128">
        <v>4790.2482433845389</v>
      </c>
      <c r="AR97" s="128">
        <v>4790.2482433845389</v>
      </c>
      <c r="AS97" s="128">
        <v>4790.2482433845389</v>
      </c>
      <c r="AT97" s="128">
        <v>4790.2482433845389</v>
      </c>
      <c r="AU97" s="128">
        <v>4790.2482433845389</v>
      </c>
      <c r="AV97" s="128">
        <v>4790.2482433845389</v>
      </c>
      <c r="AW97" s="128">
        <v>4790.2482433845389</v>
      </c>
      <c r="AX97" s="128">
        <v>4790.2482433845389</v>
      </c>
      <c r="AY97" s="128">
        <v>4790.2482433845389</v>
      </c>
    </row>
    <row r="98" spans="1:52" x14ac:dyDescent="0.2">
      <c r="A98" s="127"/>
      <c r="B98" s="147">
        <v>4</v>
      </c>
      <c r="C98" s="124">
        <v>0</v>
      </c>
      <c r="D98" s="128">
        <v>0</v>
      </c>
      <c r="E98" s="128">
        <v>0</v>
      </c>
      <c r="F98" s="128">
        <v>0</v>
      </c>
      <c r="G98" s="128">
        <v>0</v>
      </c>
      <c r="H98" s="128">
        <v>0</v>
      </c>
      <c r="I98" s="128">
        <v>0</v>
      </c>
      <c r="J98" s="128">
        <v>0</v>
      </c>
      <c r="K98" s="128">
        <v>1464.7474771455118</v>
      </c>
      <c r="L98" s="128">
        <v>3565.1776906273844</v>
      </c>
      <c r="M98" s="128">
        <v>4790.2482433845389</v>
      </c>
      <c r="N98" s="128">
        <v>4790.2482433845389</v>
      </c>
      <c r="O98" s="128">
        <v>4790.2482433845389</v>
      </c>
      <c r="P98" s="128">
        <v>4790.2482433845389</v>
      </c>
      <c r="Q98" s="128">
        <v>4790.2482433845389</v>
      </c>
      <c r="R98" s="128">
        <v>4790.2482433845389</v>
      </c>
      <c r="S98" s="128">
        <v>4790.2482433845389</v>
      </c>
      <c r="T98" s="128">
        <v>4790.2482433845389</v>
      </c>
      <c r="U98" s="128">
        <v>4790.2482433845389</v>
      </c>
      <c r="V98" s="128">
        <v>4790.2482433845389</v>
      </c>
      <c r="W98" s="128">
        <v>4790.2482433845389</v>
      </c>
      <c r="X98" s="128">
        <v>4790.2482433845389</v>
      </c>
      <c r="Y98" s="128">
        <v>4790.2482433845389</v>
      </c>
      <c r="Z98" s="128">
        <v>4790.2482433845389</v>
      </c>
      <c r="AA98" s="128">
        <v>4790.2482433845389</v>
      </c>
      <c r="AB98" s="128">
        <v>4790.2482433845389</v>
      </c>
      <c r="AC98" s="128">
        <v>4790.2482433845389</v>
      </c>
      <c r="AD98" s="128">
        <v>4790.2482433845389</v>
      </c>
      <c r="AE98" s="128">
        <v>4790.2482433845389</v>
      </c>
      <c r="AF98" s="128">
        <v>4790.2482433845389</v>
      </c>
      <c r="AG98" s="128">
        <v>4790.2482433845389</v>
      </c>
      <c r="AH98" s="128">
        <v>4790.2482433845389</v>
      </c>
      <c r="AI98" s="128">
        <v>4790.2482433845389</v>
      </c>
      <c r="AJ98" s="128">
        <v>4790.2482433845389</v>
      </c>
      <c r="AK98" s="128">
        <v>4790.2482433845389</v>
      </c>
      <c r="AL98" s="128">
        <v>4790.2482433845389</v>
      </c>
      <c r="AM98" s="128">
        <v>4790.2482433845389</v>
      </c>
      <c r="AN98" s="128">
        <v>4790.2482433845389</v>
      </c>
      <c r="AO98" s="128">
        <v>4790.2482433845389</v>
      </c>
      <c r="AP98" s="128">
        <v>4790.2482433845389</v>
      </c>
      <c r="AQ98" s="128">
        <v>4790.2482433845389</v>
      </c>
      <c r="AR98" s="128">
        <v>4790.2482433845389</v>
      </c>
      <c r="AS98" s="128">
        <v>4790.2482433845389</v>
      </c>
      <c r="AT98" s="128">
        <v>4790.2482433845389</v>
      </c>
      <c r="AU98" s="128">
        <v>4790.2482433845389</v>
      </c>
      <c r="AV98" s="128">
        <v>4790.2482433845389</v>
      </c>
      <c r="AW98" s="128">
        <v>4790.2482433845389</v>
      </c>
      <c r="AX98" s="128">
        <v>4790.2482433845389</v>
      </c>
      <c r="AY98" s="128">
        <v>4790.2482433845389</v>
      </c>
    </row>
    <row r="99" spans="1:52" x14ac:dyDescent="0.2">
      <c r="A99" s="145"/>
      <c r="B99" s="149" t="s">
        <v>296</v>
      </c>
      <c r="C99" s="142">
        <v>0</v>
      </c>
      <c r="D99" s="142">
        <v>0</v>
      </c>
      <c r="E99" s="142">
        <v>0</v>
      </c>
      <c r="F99" s="142">
        <v>0</v>
      </c>
      <c r="G99" s="142">
        <v>0</v>
      </c>
      <c r="H99" s="142">
        <v>0</v>
      </c>
      <c r="I99" s="142">
        <v>0</v>
      </c>
      <c r="J99" s="142">
        <v>0</v>
      </c>
      <c r="K99" s="142">
        <v>0</v>
      </c>
      <c r="L99" s="142">
        <v>698.74747714551177</v>
      </c>
      <c r="M99" s="142">
        <v>2666.1776906273844</v>
      </c>
      <c r="N99" s="142">
        <v>4020.2482433845389</v>
      </c>
      <c r="O99" s="142">
        <v>3803.2482433845389</v>
      </c>
      <c r="P99" s="142">
        <v>3859.2482433845389</v>
      </c>
      <c r="Q99" s="142">
        <v>3841.2482433845389</v>
      </c>
      <c r="R99" s="142">
        <v>3851.2482433845389</v>
      </c>
      <c r="S99" s="142">
        <v>3805.2482433845389</v>
      </c>
      <c r="T99" s="142">
        <v>3982.2482433845389</v>
      </c>
      <c r="U99" s="142">
        <v>3780.2482433845389</v>
      </c>
      <c r="V99" s="142">
        <v>3813.2482433845389</v>
      </c>
      <c r="W99" s="142">
        <v>3838.2482433845389</v>
      </c>
      <c r="X99" s="142">
        <v>3816.2482433845389</v>
      </c>
      <c r="Y99" s="142">
        <v>4052.2482433845389</v>
      </c>
      <c r="Z99" s="142">
        <v>3899.2482433845389</v>
      </c>
      <c r="AA99" s="142">
        <v>3842.2482433845389</v>
      </c>
      <c r="AB99" s="142">
        <v>3797.2482433845389</v>
      </c>
      <c r="AC99" s="142">
        <v>3715.2482433845389</v>
      </c>
      <c r="AD99" s="142">
        <v>3828.2482433845389</v>
      </c>
      <c r="AE99" s="142">
        <v>3760.2482433845389</v>
      </c>
      <c r="AF99" s="142">
        <v>3810.2482433845389</v>
      </c>
      <c r="AG99" s="142">
        <v>3783.2482433845389</v>
      </c>
      <c r="AH99" s="142">
        <v>3751.2482433845389</v>
      </c>
      <c r="AI99" s="142">
        <v>3746.2482433845389</v>
      </c>
      <c r="AJ99" s="142">
        <v>3670.2482433845389</v>
      </c>
      <c r="AK99" s="142">
        <v>3791.2482433845389</v>
      </c>
      <c r="AL99" s="142">
        <v>3598.2482433845389</v>
      </c>
      <c r="AM99" s="142">
        <v>3819.2482433845389</v>
      </c>
      <c r="AN99" s="142">
        <v>3849.2482433845389</v>
      </c>
      <c r="AO99" s="142">
        <v>3755.2482433845389</v>
      </c>
      <c r="AP99" s="142">
        <v>3692.2482433845389</v>
      </c>
      <c r="AQ99" s="142">
        <v>3950.2482433845389</v>
      </c>
      <c r="AR99" s="142">
        <v>3753.2482433845389</v>
      </c>
      <c r="AS99" s="142">
        <v>3877.2482433845389</v>
      </c>
      <c r="AT99" s="142">
        <v>4032.2482433845389</v>
      </c>
      <c r="AU99" s="142">
        <v>3762.2482433845389</v>
      </c>
      <c r="AV99" s="142">
        <v>3765.2482433845389</v>
      </c>
      <c r="AW99" s="142">
        <v>3751.2482433845389</v>
      </c>
      <c r="AX99" s="142">
        <v>3909.2482433845389</v>
      </c>
      <c r="AY99" s="142">
        <v>3783.2482433845389</v>
      </c>
      <c r="AZ99" s="125">
        <f>SUM($D99:$AY99)</f>
        <v>148521.3584163854</v>
      </c>
    </row>
    <row r="100" spans="1:52" x14ac:dyDescent="0.2">
      <c r="A100" s="148" t="s">
        <v>133</v>
      </c>
      <c r="B100" s="136">
        <v>1</v>
      </c>
      <c r="C100" s="124">
        <v>724.38311426917357</v>
      </c>
      <c r="D100" s="124">
        <v>915.83727127866814</v>
      </c>
      <c r="E100" s="124">
        <v>30</v>
      </c>
      <c r="F100" s="124">
        <v>0</v>
      </c>
      <c r="G100" s="124">
        <v>0</v>
      </c>
      <c r="H100" s="124">
        <v>0</v>
      </c>
      <c r="I100" s="124">
        <v>0</v>
      </c>
      <c r="J100" s="124">
        <v>0</v>
      </c>
      <c r="K100" s="124">
        <v>0</v>
      </c>
      <c r="L100" s="124">
        <v>0</v>
      </c>
      <c r="M100" s="124">
        <v>0</v>
      </c>
      <c r="N100" s="124">
        <v>0</v>
      </c>
      <c r="O100" s="124">
        <v>0</v>
      </c>
      <c r="P100" s="124">
        <v>0</v>
      </c>
      <c r="Q100" s="124">
        <v>0</v>
      </c>
      <c r="R100" s="124">
        <v>0</v>
      </c>
      <c r="S100" s="124">
        <v>0</v>
      </c>
      <c r="T100" s="124">
        <v>0</v>
      </c>
      <c r="U100" s="124">
        <v>0</v>
      </c>
      <c r="V100" s="124">
        <v>0</v>
      </c>
      <c r="W100" s="124">
        <v>0</v>
      </c>
      <c r="X100" s="124">
        <v>0</v>
      </c>
      <c r="Y100" s="124">
        <v>0</v>
      </c>
      <c r="Z100" s="124">
        <v>0</v>
      </c>
      <c r="AA100" s="124">
        <v>0</v>
      </c>
      <c r="AB100" s="124">
        <v>0</v>
      </c>
      <c r="AC100" s="124">
        <v>0</v>
      </c>
      <c r="AD100" s="124">
        <v>0</v>
      </c>
      <c r="AE100" s="124">
        <v>0</v>
      </c>
      <c r="AF100" s="124">
        <v>0</v>
      </c>
      <c r="AG100" s="124">
        <v>0</v>
      </c>
      <c r="AH100" s="124">
        <v>0</v>
      </c>
      <c r="AI100" s="124">
        <v>0</v>
      </c>
      <c r="AJ100" s="124">
        <v>0</v>
      </c>
      <c r="AK100" s="124">
        <v>0</v>
      </c>
      <c r="AL100" s="124">
        <v>0</v>
      </c>
      <c r="AM100" s="124">
        <v>0</v>
      </c>
      <c r="AN100" s="124">
        <v>0</v>
      </c>
      <c r="AO100" s="124">
        <v>0</v>
      </c>
      <c r="AP100" s="124">
        <v>0</v>
      </c>
      <c r="AQ100" s="124">
        <v>0</v>
      </c>
      <c r="AR100" s="124">
        <v>0</v>
      </c>
      <c r="AS100" s="124">
        <v>0</v>
      </c>
      <c r="AT100" s="124">
        <v>0</v>
      </c>
      <c r="AU100" s="124">
        <v>0</v>
      </c>
      <c r="AV100" s="124">
        <v>0</v>
      </c>
      <c r="AW100" s="124">
        <v>0</v>
      </c>
      <c r="AX100" s="124">
        <v>0</v>
      </c>
      <c r="AY100" s="124">
        <v>0</v>
      </c>
    </row>
    <row r="101" spans="1:52" x14ac:dyDescent="0.2">
      <c r="A101" s="127"/>
      <c r="B101" s="136">
        <v>2</v>
      </c>
      <c r="C101" s="124">
        <v>0</v>
      </c>
      <c r="D101" s="124">
        <v>84.389081316503507</v>
      </c>
      <c r="E101" s="124">
        <v>65.226352595171647</v>
      </c>
      <c r="F101" s="124">
        <v>24.892142701720985</v>
      </c>
      <c r="G101" s="124">
        <v>0</v>
      </c>
      <c r="H101" s="124">
        <v>0</v>
      </c>
      <c r="I101" s="124">
        <v>0</v>
      </c>
      <c r="J101" s="124">
        <v>0</v>
      </c>
      <c r="K101" s="124">
        <v>0</v>
      </c>
      <c r="L101" s="124">
        <v>0</v>
      </c>
      <c r="M101" s="124">
        <v>0</v>
      </c>
      <c r="N101" s="124">
        <v>0</v>
      </c>
      <c r="O101" s="124">
        <v>0</v>
      </c>
      <c r="P101" s="124">
        <v>0</v>
      </c>
      <c r="Q101" s="124">
        <v>0</v>
      </c>
      <c r="R101" s="124">
        <v>0</v>
      </c>
      <c r="S101" s="124">
        <v>0</v>
      </c>
      <c r="T101" s="124">
        <v>0</v>
      </c>
      <c r="U101" s="124">
        <v>0</v>
      </c>
      <c r="V101" s="124">
        <v>0</v>
      </c>
      <c r="W101" s="124">
        <v>0</v>
      </c>
      <c r="X101" s="124">
        <v>0</v>
      </c>
      <c r="Y101" s="124">
        <v>0</v>
      </c>
      <c r="Z101" s="124">
        <v>0</v>
      </c>
      <c r="AA101" s="124">
        <v>0</v>
      </c>
      <c r="AB101" s="124">
        <v>0</v>
      </c>
      <c r="AC101" s="124">
        <v>0</v>
      </c>
      <c r="AD101" s="124">
        <v>0</v>
      </c>
      <c r="AE101" s="124">
        <v>0</v>
      </c>
      <c r="AF101" s="124">
        <v>0</v>
      </c>
      <c r="AG101" s="124">
        <v>0</v>
      </c>
      <c r="AH101" s="124">
        <v>0</v>
      </c>
      <c r="AI101" s="124">
        <v>0</v>
      </c>
      <c r="AJ101" s="124">
        <v>0</v>
      </c>
      <c r="AK101" s="124">
        <v>0</v>
      </c>
      <c r="AL101" s="124">
        <v>0</v>
      </c>
      <c r="AM101" s="124">
        <v>0</v>
      </c>
      <c r="AN101" s="124">
        <v>0</v>
      </c>
      <c r="AO101" s="124">
        <v>0</v>
      </c>
      <c r="AP101" s="124">
        <v>0</v>
      </c>
      <c r="AQ101" s="124">
        <v>0</v>
      </c>
      <c r="AR101" s="124">
        <v>0</v>
      </c>
      <c r="AS101" s="124">
        <v>0</v>
      </c>
      <c r="AT101" s="124">
        <v>0</v>
      </c>
      <c r="AU101" s="124">
        <v>0</v>
      </c>
      <c r="AV101" s="124">
        <v>0</v>
      </c>
      <c r="AW101" s="124">
        <v>0</v>
      </c>
      <c r="AX101" s="124">
        <v>0</v>
      </c>
      <c r="AY101" s="124">
        <v>0</v>
      </c>
    </row>
    <row r="102" spans="1:52" x14ac:dyDescent="0.2">
      <c r="A102" s="127"/>
      <c r="B102" s="137">
        <v>3</v>
      </c>
      <c r="C102" s="124">
        <v>0</v>
      </c>
      <c r="D102" s="124">
        <v>0</v>
      </c>
      <c r="E102" s="124">
        <v>0</v>
      </c>
      <c r="F102" s="124">
        <v>0</v>
      </c>
      <c r="G102" s="124">
        <v>0</v>
      </c>
      <c r="H102" s="124">
        <v>0</v>
      </c>
      <c r="I102" s="124">
        <v>0</v>
      </c>
      <c r="J102" s="124">
        <v>0</v>
      </c>
      <c r="K102" s="124">
        <v>0</v>
      </c>
      <c r="L102" s="124">
        <v>0</v>
      </c>
      <c r="M102" s="124">
        <v>0</v>
      </c>
      <c r="N102" s="124">
        <v>0</v>
      </c>
      <c r="O102" s="124">
        <v>0</v>
      </c>
      <c r="P102" s="124">
        <v>0</v>
      </c>
      <c r="Q102" s="124">
        <v>0</v>
      </c>
      <c r="R102" s="124">
        <v>0</v>
      </c>
      <c r="S102" s="124">
        <v>0</v>
      </c>
      <c r="T102" s="124">
        <v>0</v>
      </c>
      <c r="U102" s="124">
        <v>0</v>
      </c>
      <c r="V102" s="124">
        <v>0</v>
      </c>
      <c r="W102" s="124">
        <v>0</v>
      </c>
      <c r="X102" s="124">
        <v>0</v>
      </c>
      <c r="Y102" s="124">
        <v>0</v>
      </c>
      <c r="Z102" s="124">
        <v>0</v>
      </c>
      <c r="AA102" s="124">
        <v>0</v>
      </c>
      <c r="AB102" s="124">
        <v>0</v>
      </c>
      <c r="AC102" s="124">
        <v>0</v>
      </c>
      <c r="AD102" s="124">
        <v>0</v>
      </c>
      <c r="AE102" s="124">
        <v>0</v>
      </c>
      <c r="AF102" s="124">
        <v>0</v>
      </c>
      <c r="AG102" s="124">
        <v>0</v>
      </c>
      <c r="AH102" s="124">
        <v>0</v>
      </c>
      <c r="AI102" s="124">
        <v>0</v>
      </c>
      <c r="AJ102" s="124">
        <v>0</v>
      </c>
      <c r="AK102" s="124">
        <v>0</v>
      </c>
      <c r="AL102" s="124">
        <v>0</v>
      </c>
      <c r="AM102" s="124">
        <v>0</v>
      </c>
      <c r="AN102" s="124">
        <v>0</v>
      </c>
      <c r="AO102" s="124">
        <v>0</v>
      </c>
      <c r="AP102" s="124">
        <v>0</v>
      </c>
      <c r="AQ102" s="124">
        <v>0</v>
      </c>
      <c r="AR102" s="124">
        <v>0</v>
      </c>
      <c r="AS102" s="124">
        <v>0</v>
      </c>
      <c r="AT102" s="124">
        <v>0</v>
      </c>
      <c r="AU102" s="124">
        <v>0</v>
      </c>
      <c r="AV102" s="124">
        <v>0</v>
      </c>
      <c r="AW102" s="124">
        <v>0</v>
      </c>
      <c r="AX102" s="124">
        <v>0</v>
      </c>
      <c r="AY102" s="124">
        <v>0</v>
      </c>
    </row>
    <row r="103" spans="1:52" x14ac:dyDescent="0.2">
      <c r="A103" s="127"/>
      <c r="B103" s="137">
        <v>4</v>
      </c>
      <c r="C103" s="124">
        <v>0</v>
      </c>
      <c r="D103" s="124">
        <v>0</v>
      </c>
      <c r="E103" s="124">
        <v>0</v>
      </c>
      <c r="F103" s="124">
        <v>0</v>
      </c>
      <c r="G103" s="124">
        <v>0</v>
      </c>
      <c r="H103" s="124">
        <v>0</v>
      </c>
      <c r="I103" s="124">
        <v>0</v>
      </c>
      <c r="J103" s="124">
        <v>0</v>
      </c>
      <c r="K103" s="124">
        <v>0</v>
      </c>
      <c r="L103" s="124">
        <v>0</v>
      </c>
      <c r="M103" s="124">
        <v>0</v>
      </c>
      <c r="N103" s="124">
        <v>0</v>
      </c>
      <c r="O103" s="124">
        <v>0</v>
      </c>
      <c r="P103" s="124">
        <v>0</v>
      </c>
      <c r="Q103" s="124">
        <v>0</v>
      </c>
      <c r="R103" s="124">
        <v>0</v>
      </c>
      <c r="S103" s="124">
        <v>0</v>
      </c>
      <c r="T103" s="124">
        <v>0</v>
      </c>
      <c r="U103" s="124">
        <v>0</v>
      </c>
      <c r="V103" s="124">
        <v>0</v>
      </c>
      <c r="W103" s="124">
        <v>0</v>
      </c>
      <c r="X103" s="124">
        <v>0</v>
      </c>
      <c r="Y103" s="124">
        <v>0</v>
      </c>
      <c r="Z103" s="124">
        <v>0</v>
      </c>
      <c r="AA103" s="124">
        <v>0</v>
      </c>
      <c r="AB103" s="124">
        <v>0</v>
      </c>
      <c r="AC103" s="124">
        <v>0</v>
      </c>
      <c r="AD103" s="124">
        <v>0</v>
      </c>
      <c r="AE103" s="124">
        <v>0</v>
      </c>
      <c r="AF103" s="124">
        <v>0</v>
      </c>
      <c r="AG103" s="124">
        <v>0</v>
      </c>
      <c r="AH103" s="124">
        <v>0</v>
      </c>
      <c r="AI103" s="124">
        <v>0</v>
      </c>
      <c r="AJ103" s="124">
        <v>0</v>
      </c>
      <c r="AK103" s="124">
        <v>0</v>
      </c>
      <c r="AL103" s="124">
        <v>0</v>
      </c>
      <c r="AM103" s="124">
        <v>0</v>
      </c>
      <c r="AN103" s="124">
        <v>0</v>
      </c>
      <c r="AO103" s="124">
        <v>0</v>
      </c>
      <c r="AP103" s="124">
        <v>0</v>
      </c>
      <c r="AQ103" s="124">
        <v>0</v>
      </c>
      <c r="AR103" s="124">
        <v>0</v>
      </c>
      <c r="AS103" s="124">
        <v>0</v>
      </c>
      <c r="AT103" s="124">
        <v>0</v>
      </c>
      <c r="AU103" s="124">
        <v>0</v>
      </c>
      <c r="AV103" s="124">
        <v>0</v>
      </c>
      <c r="AW103" s="124">
        <v>0</v>
      </c>
      <c r="AX103" s="124">
        <v>0</v>
      </c>
      <c r="AY103" s="124">
        <v>0</v>
      </c>
    </row>
    <row r="104" spans="1:52" x14ac:dyDescent="0.2">
      <c r="A104" s="127"/>
      <c r="B104" s="144">
        <v>5</v>
      </c>
      <c r="C104" s="124">
        <v>0</v>
      </c>
      <c r="D104" s="124">
        <v>0</v>
      </c>
      <c r="E104" s="124">
        <v>0</v>
      </c>
      <c r="F104" s="124">
        <v>0</v>
      </c>
      <c r="G104" s="124">
        <v>0</v>
      </c>
      <c r="H104" s="124">
        <v>0</v>
      </c>
      <c r="I104" s="124">
        <v>0</v>
      </c>
      <c r="J104" s="124">
        <v>0</v>
      </c>
      <c r="K104" s="124">
        <v>0</v>
      </c>
      <c r="L104" s="124">
        <v>0</v>
      </c>
      <c r="M104" s="124">
        <v>0</v>
      </c>
      <c r="N104" s="124">
        <v>0</v>
      </c>
      <c r="O104" s="124">
        <v>0</v>
      </c>
      <c r="P104" s="124">
        <v>0</v>
      </c>
      <c r="Q104" s="124">
        <v>0</v>
      </c>
      <c r="R104" s="124">
        <v>0</v>
      </c>
      <c r="S104" s="124">
        <v>0</v>
      </c>
      <c r="T104" s="124">
        <v>0</v>
      </c>
      <c r="U104" s="124">
        <v>0</v>
      </c>
      <c r="V104" s="124">
        <v>0</v>
      </c>
      <c r="W104" s="124">
        <v>0</v>
      </c>
      <c r="X104" s="124">
        <v>0</v>
      </c>
      <c r="Y104" s="124">
        <v>0</v>
      </c>
      <c r="Z104" s="124">
        <v>0</v>
      </c>
      <c r="AA104" s="124">
        <v>0</v>
      </c>
      <c r="AB104" s="124">
        <v>0</v>
      </c>
      <c r="AC104" s="124">
        <v>0</v>
      </c>
      <c r="AD104" s="124">
        <v>0</v>
      </c>
      <c r="AE104" s="124">
        <v>0</v>
      </c>
      <c r="AF104" s="124">
        <v>0</v>
      </c>
      <c r="AG104" s="124">
        <v>0</v>
      </c>
      <c r="AH104" s="124">
        <v>0</v>
      </c>
      <c r="AI104" s="124">
        <v>0</v>
      </c>
      <c r="AJ104" s="124">
        <v>0</v>
      </c>
      <c r="AK104" s="124">
        <v>0</v>
      </c>
      <c r="AL104" s="124">
        <v>0</v>
      </c>
      <c r="AM104" s="124">
        <v>0</v>
      </c>
      <c r="AN104" s="124">
        <v>0</v>
      </c>
      <c r="AO104" s="124">
        <v>0</v>
      </c>
      <c r="AP104" s="124">
        <v>0</v>
      </c>
      <c r="AQ104" s="124">
        <v>0</v>
      </c>
      <c r="AR104" s="124">
        <v>0</v>
      </c>
      <c r="AS104" s="124">
        <v>0</v>
      </c>
      <c r="AT104" s="124">
        <v>0</v>
      </c>
      <c r="AU104" s="124">
        <v>0</v>
      </c>
      <c r="AV104" s="124">
        <v>0</v>
      </c>
      <c r="AW104" s="124">
        <v>0</v>
      </c>
      <c r="AX104" s="124">
        <v>0</v>
      </c>
      <c r="AY104" s="124">
        <v>0</v>
      </c>
    </row>
    <row r="105" spans="1:52" x14ac:dyDescent="0.2">
      <c r="A105" s="127"/>
      <c r="B105" s="144">
        <v>6</v>
      </c>
      <c r="C105" s="124">
        <v>0</v>
      </c>
      <c r="D105" s="124">
        <v>0</v>
      </c>
      <c r="E105" s="124">
        <v>0</v>
      </c>
      <c r="F105" s="124">
        <v>0</v>
      </c>
      <c r="G105" s="124">
        <v>0</v>
      </c>
      <c r="H105" s="124">
        <v>0</v>
      </c>
      <c r="I105" s="124">
        <v>0</v>
      </c>
      <c r="J105" s="124">
        <v>0</v>
      </c>
      <c r="K105" s="124">
        <v>0</v>
      </c>
      <c r="L105" s="124">
        <v>0</v>
      </c>
      <c r="M105" s="124">
        <v>0</v>
      </c>
      <c r="N105" s="124">
        <v>0</v>
      </c>
      <c r="O105" s="124">
        <v>0</v>
      </c>
      <c r="P105" s="124">
        <v>0</v>
      </c>
      <c r="Q105" s="124">
        <v>0</v>
      </c>
      <c r="R105" s="124">
        <v>0</v>
      </c>
      <c r="S105" s="124">
        <v>0</v>
      </c>
      <c r="T105" s="124">
        <v>0</v>
      </c>
      <c r="U105" s="124">
        <v>0</v>
      </c>
      <c r="V105" s="124">
        <v>0</v>
      </c>
      <c r="W105" s="124">
        <v>0</v>
      </c>
      <c r="X105" s="124">
        <v>0</v>
      </c>
      <c r="Y105" s="124">
        <v>0</v>
      </c>
      <c r="Z105" s="124">
        <v>0</v>
      </c>
      <c r="AA105" s="124">
        <v>0</v>
      </c>
      <c r="AB105" s="124">
        <v>0</v>
      </c>
      <c r="AC105" s="124">
        <v>0</v>
      </c>
      <c r="AD105" s="124">
        <v>0</v>
      </c>
      <c r="AE105" s="124">
        <v>0</v>
      </c>
      <c r="AF105" s="124">
        <v>0</v>
      </c>
      <c r="AG105" s="124">
        <v>0</v>
      </c>
      <c r="AH105" s="124">
        <v>0</v>
      </c>
      <c r="AI105" s="124">
        <v>0</v>
      </c>
      <c r="AJ105" s="124">
        <v>0</v>
      </c>
      <c r="AK105" s="124">
        <v>0</v>
      </c>
      <c r="AL105" s="124">
        <v>0</v>
      </c>
      <c r="AM105" s="124">
        <v>0</v>
      </c>
      <c r="AN105" s="124">
        <v>0</v>
      </c>
      <c r="AO105" s="124">
        <v>0</v>
      </c>
      <c r="AP105" s="124">
        <v>0</v>
      </c>
      <c r="AQ105" s="124">
        <v>0</v>
      </c>
      <c r="AR105" s="124">
        <v>0</v>
      </c>
      <c r="AS105" s="124">
        <v>0</v>
      </c>
      <c r="AT105" s="124">
        <v>0</v>
      </c>
      <c r="AU105" s="124">
        <v>0</v>
      </c>
      <c r="AV105" s="124">
        <v>0</v>
      </c>
      <c r="AW105" s="124">
        <v>0</v>
      </c>
      <c r="AX105" s="124">
        <v>0</v>
      </c>
      <c r="AY105" s="124">
        <v>0</v>
      </c>
    </row>
    <row r="106" spans="1:52" x14ac:dyDescent="0.2">
      <c r="A106" s="127"/>
      <c r="B106" s="147">
        <v>7</v>
      </c>
      <c r="C106" s="124">
        <v>0</v>
      </c>
      <c r="D106" s="124">
        <v>0</v>
      </c>
      <c r="E106" s="124">
        <v>0</v>
      </c>
      <c r="F106" s="124">
        <v>0</v>
      </c>
      <c r="G106" s="124">
        <v>0</v>
      </c>
      <c r="H106" s="124">
        <v>0</v>
      </c>
      <c r="I106" s="124">
        <v>0</v>
      </c>
      <c r="J106" s="124">
        <v>0</v>
      </c>
      <c r="K106" s="124">
        <v>0</v>
      </c>
      <c r="L106" s="124">
        <v>0</v>
      </c>
      <c r="M106" s="124">
        <v>0</v>
      </c>
      <c r="N106" s="124">
        <v>0</v>
      </c>
      <c r="O106" s="124">
        <v>0</v>
      </c>
      <c r="P106" s="124">
        <v>0</v>
      </c>
      <c r="Q106" s="124">
        <v>0</v>
      </c>
      <c r="R106" s="124">
        <v>0</v>
      </c>
      <c r="S106" s="124">
        <v>0</v>
      </c>
      <c r="T106" s="124">
        <v>0</v>
      </c>
      <c r="U106" s="124">
        <v>0</v>
      </c>
      <c r="V106" s="124">
        <v>0</v>
      </c>
      <c r="W106" s="124">
        <v>0</v>
      </c>
      <c r="X106" s="124">
        <v>0</v>
      </c>
      <c r="Y106" s="124">
        <v>0</v>
      </c>
      <c r="Z106" s="124">
        <v>0</v>
      </c>
      <c r="AA106" s="124">
        <v>0</v>
      </c>
      <c r="AB106" s="124">
        <v>0</v>
      </c>
      <c r="AC106" s="124">
        <v>0</v>
      </c>
      <c r="AD106" s="124">
        <v>0</v>
      </c>
      <c r="AE106" s="124">
        <v>0</v>
      </c>
      <c r="AF106" s="124">
        <v>0</v>
      </c>
      <c r="AG106" s="124">
        <v>0</v>
      </c>
      <c r="AH106" s="124">
        <v>0</v>
      </c>
      <c r="AI106" s="124">
        <v>0</v>
      </c>
      <c r="AJ106" s="124">
        <v>0</v>
      </c>
      <c r="AK106" s="124">
        <v>0</v>
      </c>
      <c r="AL106" s="124">
        <v>0</v>
      </c>
      <c r="AM106" s="124">
        <v>0</v>
      </c>
      <c r="AN106" s="124">
        <v>0</v>
      </c>
      <c r="AO106" s="124">
        <v>0</v>
      </c>
      <c r="AP106" s="124">
        <v>0</v>
      </c>
      <c r="AQ106" s="124">
        <v>0</v>
      </c>
      <c r="AR106" s="124">
        <v>0</v>
      </c>
      <c r="AS106" s="124">
        <v>0</v>
      </c>
      <c r="AT106" s="124">
        <v>0</v>
      </c>
      <c r="AU106" s="124">
        <v>0</v>
      </c>
      <c r="AV106" s="124">
        <v>0</v>
      </c>
      <c r="AW106" s="124">
        <v>0</v>
      </c>
      <c r="AX106" s="124">
        <v>0</v>
      </c>
      <c r="AY106" s="124">
        <v>0</v>
      </c>
    </row>
    <row r="107" spans="1:52" x14ac:dyDescent="0.2">
      <c r="A107" s="127"/>
      <c r="B107" s="147">
        <v>8</v>
      </c>
      <c r="C107" s="124">
        <v>0</v>
      </c>
      <c r="D107" s="124">
        <v>0</v>
      </c>
      <c r="E107" s="124">
        <v>0</v>
      </c>
      <c r="F107" s="124">
        <v>0</v>
      </c>
      <c r="G107" s="124">
        <v>0</v>
      </c>
      <c r="H107" s="124">
        <v>0</v>
      </c>
      <c r="I107" s="124">
        <v>0</v>
      </c>
      <c r="J107" s="124">
        <v>0</v>
      </c>
      <c r="K107" s="124">
        <v>0</v>
      </c>
      <c r="L107" s="124">
        <v>0</v>
      </c>
      <c r="M107" s="124">
        <v>0</v>
      </c>
      <c r="N107" s="124">
        <v>0</v>
      </c>
      <c r="O107" s="124">
        <v>0</v>
      </c>
      <c r="P107" s="124">
        <v>0</v>
      </c>
      <c r="Q107" s="124">
        <v>0</v>
      </c>
      <c r="R107" s="124">
        <v>0</v>
      </c>
      <c r="S107" s="124">
        <v>0</v>
      </c>
      <c r="T107" s="124">
        <v>0</v>
      </c>
      <c r="U107" s="124">
        <v>0</v>
      </c>
      <c r="V107" s="124">
        <v>0</v>
      </c>
      <c r="W107" s="124">
        <v>0</v>
      </c>
      <c r="X107" s="124">
        <v>0</v>
      </c>
      <c r="Y107" s="124">
        <v>0</v>
      </c>
      <c r="Z107" s="124">
        <v>0</v>
      </c>
      <c r="AA107" s="124">
        <v>0</v>
      </c>
      <c r="AB107" s="124">
        <v>0</v>
      </c>
      <c r="AC107" s="124">
        <v>0</v>
      </c>
      <c r="AD107" s="124">
        <v>0</v>
      </c>
      <c r="AE107" s="124">
        <v>0</v>
      </c>
      <c r="AF107" s="124">
        <v>0</v>
      </c>
      <c r="AG107" s="124">
        <v>0</v>
      </c>
      <c r="AH107" s="124">
        <v>0</v>
      </c>
      <c r="AI107" s="124">
        <v>0</v>
      </c>
      <c r="AJ107" s="124">
        <v>0</v>
      </c>
      <c r="AK107" s="124">
        <v>0</v>
      </c>
      <c r="AL107" s="124">
        <v>0</v>
      </c>
      <c r="AM107" s="124">
        <v>0</v>
      </c>
      <c r="AN107" s="124">
        <v>0</v>
      </c>
      <c r="AO107" s="124">
        <v>0</v>
      </c>
      <c r="AP107" s="124">
        <v>0</v>
      </c>
      <c r="AQ107" s="124">
        <v>0</v>
      </c>
      <c r="AR107" s="124">
        <v>0</v>
      </c>
      <c r="AS107" s="124">
        <v>0</v>
      </c>
      <c r="AT107" s="124">
        <v>0</v>
      </c>
      <c r="AU107" s="124">
        <v>0</v>
      </c>
      <c r="AV107" s="124">
        <v>0</v>
      </c>
      <c r="AW107" s="124">
        <v>0</v>
      </c>
      <c r="AX107" s="124">
        <v>0</v>
      </c>
      <c r="AY107" s="124">
        <v>0</v>
      </c>
    </row>
    <row r="108" spans="1:52" x14ac:dyDescent="0.2">
      <c r="A108" s="145"/>
      <c r="B108" s="149" t="s">
        <v>296</v>
      </c>
      <c r="C108" s="131">
        <v>0</v>
      </c>
      <c r="D108" s="142">
        <v>0</v>
      </c>
      <c r="E108" s="142">
        <v>0</v>
      </c>
      <c r="F108" s="142">
        <v>0</v>
      </c>
      <c r="G108" s="142">
        <v>0</v>
      </c>
      <c r="H108" s="142">
        <v>0</v>
      </c>
      <c r="I108" s="142">
        <v>0</v>
      </c>
      <c r="J108" s="142">
        <v>0</v>
      </c>
      <c r="K108" s="142">
        <v>0</v>
      </c>
      <c r="L108" s="142">
        <v>0</v>
      </c>
      <c r="M108" s="142">
        <v>0</v>
      </c>
      <c r="N108" s="142">
        <v>0</v>
      </c>
      <c r="O108" s="142">
        <v>0</v>
      </c>
      <c r="P108" s="142">
        <v>0</v>
      </c>
      <c r="Q108" s="142">
        <v>0</v>
      </c>
      <c r="R108" s="142">
        <v>0</v>
      </c>
      <c r="S108" s="142">
        <v>0</v>
      </c>
      <c r="T108" s="142">
        <v>0</v>
      </c>
      <c r="U108" s="142">
        <v>0</v>
      </c>
      <c r="V108" s="142">
        <v>0</v>
      </c>
      <c r="W108" s="142">
        <v>0</v>
      </c>
      <c r="X108" s="142">
        <v>0</v>
      </c>
      <c r="Y108" s="142">
        <v>0</v>
      </c>
      <c r="Z108" s="142">
        <v>0</v>
      </c>
      <c r="AA108" s="142">
        <v>0</v>
      </c>
      <c r="AB108" s="142">
        <v>0</v>
      </c>
      <c r="AC108" s="142">
        <v>0</v>
      </c>
      <c r="AD108" s="142">
        <v>0</v>
      </c>
      <c r="AE108" s="142">
        <v>0</v>
      </c>
      <c r="AF108" s="142">
        <v>0</v>
      </c>
      <c r="AG108" s="142">
        <v>0</v>
      </c>
      <c r="AH108" s="142">
        <v>0</v>
      </c>
      <c r="AI108" s="142">
        <v>0</v>
      </c>
      <c r="AJ108" s="142">
        <v>0</v>
      </c>
      <c r="AK108" s="142">
        <v>0</v>
      </c>
      <c r="AL108" s="142">
        <v>0</v>
      </c>
      <c r="AM108" s="142">
        <v>0</v>
      </c>
      <c r="AN108" s="142">
        <v>0</v>
      </c>
      <c r="AO108" s="142">
        <v>0</v>
      </c>
      <c r="AP108" s="142">
        <v>0</v>
      </c>
      <c r="AQ108" s="142">
        <v>0</v>
      </c>
      <c r="AR108" s="142">
        <v>0</v>
      </c>
      <c r="AS108" s="142">
        <v>0</v>
      </c>
      <c r="AT108" s="142">
        <v>0</v>
      </c>
      <c r="AU108" s="142">
        <v>0</v>
      </c>
      <c r="AV108" s="142">
        <v>0</v>
      </c>
      <c r="AW108" s="142">
        <v>0</v>
      </c>
      <c r="AX108" s="142">
        <v>0</v>
      </c>
      <c r="AY108" s="142">
        <v>0</v>
      </c>
      <c r="AZ108" s="125">
        <f>SUM($D108:$AY108)</f>
        <v>0</v>
      </c>
    </row>
    <row r="109" spans="1:52" x14ac:dyDescent="0.2">
      <c r="A109" s="148" t="s">
        <v>134</v>
      </c>
      <c r="B109" s="136">
        <v>1</v>
      </c>
      <c r="C109" s="124">
        <v>4694.7139395939421</v>
      </c>
      <c r="D109" s="124">
        <v>4595.0488466212591</v>
      </c>
      <c r="E109" s="124">
        <v>2505.6414696566899</v>
      </c>
      <c r="F109" s="124">
        <v>1486.4798950497454</v>
      </c>
      <c r="G109" s="124">
        <v>845.09979994266473</v>
      </c>
      <c r="H109" s="124">
        <v>409.14105870760847</v>
      </c>
      <c r="I109" s="124">
        <v>409.14105870760847</v>
      </c>
      <c r="J109" s="124">
        <v>409.14105870760847</v>
      </c>
      <c r="K109" s="124">
        <v>409.14105870760847</v>
      </c>
      <c r="L109" s="124">
        <v>409.14105870760847</v>
      </c>
      <c r="M109" s="124">
        <v>409.14105870760847</v>
      </c>
      <c r="N109" s="124">
        <v>409.14105870760847</v>
      </c>
      <c r="O109" s="124">
        <v>409.14105870760847</v>
      </c>
      <c r="P109" s="124">
        <v>409.14105870760847</v>
      </c>
      <c r="Q109" s="124">
        <v>409.14105870760847</v>
      </c>
      <c r="R109" s="124">
        <v>409.14105870760847</v>
      </c>
      <c r="S109" s="124">
        <v>409.14105870760847</v>
      </c>
      <c r="T109" s="124">
        <v>409.14105870760847</v>
      </c>
      <c r="U109" s="124">
        <v>409.14105870760847</v>
      </c>
      <c r="V109" s="124">
        <v>409.14105870760847</v>
      </c>
      <c r="W109" s="124">
        <v>409.14105870760847</v>
      </c>
      <c r="X109" s="124">
        <v>409.14105870760847</v>
      </c>
      <c r="Y109" s="124">
        <v>409.14105870760847</v>
      </c>
      <c r="Z109" s="124">
        <v>409.14105870760847</v>
      </c>
      <c r="AA109" s="124">
        <v>409.14105870760847</v>
      </c>
      <c r="AB109" s="124">
        <v>409.14105870760847</v>
      </c>
      <c r="AC109" s="124">
        <v>409.14105870760847</v>
      </c>
      <c r="AD109" s="124">
        <v>409.14105870760847</v>
      </c>
      <c r="AE109" s="124">
        <v>409.14105870760847</v>
      </c>
      <c r="AF109" s="124">
        <v>409.14105870760847</v>
      </c>
      <c r="AG109" s="124">
        <v>409.14105870760847</v>
      </c>
      <c r="AH109" s="124">
        <v>409.14105870760847</v>
      </c>
      <c r="AI109" s="124">
        <v>409.14105870760847</v>
      </c>
      <c r="AJ109" s="124">
        <v>409.14105870760847</v>
      </c>
      <c r="AK109" s="124">
        <v>409.14105870760847</v>
      </c>
      <c r="AL109" s="124">
        <v>409.14105870760847</v>
      </c>
      <c r="AM109" s="124">
        <v>409.14105870760847</v>
      </c>
      <c r="AN109" s="124">
        <v>409.14105870760847</v>
      </c>
      <c r="AO109" s="124">
        <v>409.14105870760847</v>
      </c>
      <c r="AP109" s="124">
        <v>409.14105870760847</v>
      </c>
      <c r="AQ109" s="124">
        <v>409.14105870760847</v>
      </c>
      <c r="AR109" s="124">
        <v>409.14105870760847</v>
      </c>
      <c r="AS109" s="124">
        <v>409.14105870760847</v>
      </c>
      <c r="AT109" s="124">
        <v>409.14105870760847</v>
      </c>
      <c r="AU109" s="124">
        <v>409.14105870760847</v>
      </c>
      <c r="AV109" s="124">
        <v>409.14105870760847</v>
      </c>
      <c r="AW109" s="124">
        <v>409.14105870760847</v>
      </c>
      <c r="AX109" s="124">
        <v>409.14105870760847</v>
      </c>
      <c r="AY109" s="124">
        <v>409.14105870760847</v>
      </c>
    </row>
    <row r="110" spans="1:52" x14ac:dyDescent="0.2">
      <c r="A110" s="127"/>
      <c r="B110" s="136">
        <v>2</v>
      </c>
      <c r="C110" s="124">
        <v>4791.761818822486</v>
      </c>
      <c r="D110" s="124">
        <v>4694.7139395939421</v>
      </c>
      <c r="E110" s="124">
        <v>4595.0488466212591</v>
      </c>
      <c r="F110" s="124">
        <v>2505.6414696566899</v>
      </c>
      <c r="G110" s="124">
        <v>1486.4798950497454</v>
      </c>
      <c r="H110" s="124">
        <v>845.09979994266473</v>
      </c>
      <c r="I110" s="124">
        <v>409.14105870760847</v>
      </c>
      <c r="J110" s="124">
        <v>409.14105870760847</v>
      </c>
      <c r="K110" s="124">
        <v>409.14105870760847</v>
      </c>
      <c r="L110" s="124">
        <v>409.14105870760847</v>
      </c>
      <c r="M110" s="124">
        <v>409.14105870760847</v>
      </c>
      <c r="N110" s="124">
        <v>409.14105870760847</v>
      </c>
      <c r="O110" s="124">
        <v>409.14105870760847</v>
      </c>
      <c r="P110" s="124">
        <v>409.14105870760847</v>
      </c>
      <c r="Q110" s="124">
        <v>409.14105870760847</v>
      </c>
      <c r="R110" s="124">
        <v>409.14105870760847</v>
      </c>
      <c r="S110" s="124">
        <v>409.14105870760847</v>
      </c>
      <c r="T110" s="124">
        <v>409.14105870760847</v>
      </c>
      <c r="U110" s="124">
        <v>409.14105870760847</v>
      </c>
      <c r="V110" s="124">
        <v>214.55451689892823</v>
      </c>
      <c r="W110" s="124">
        <v>0</v>
      </c>
      <c r="X110" s="124">
        <v>0</v>
      </c>
      <c r="Y110" s="124">
        <v>0</v>
      </c>
      <c r="Z110" s="124">
        <v>0</v>
      </c>
      <c r="AA110" s="124">
        <v>0</v>
      </c>
      <c r="AB110" s="124">
        <v>0</v>
      </c>
      <c r="AC110" s="124">
        <v>0</v>
      </c>
      <c r="AD110" s="124">
        <v>0</v>
      </c>
      <c r="AE110" s="124">
        <v>0</v>
      </c>
      <c r="AF110" s="124">
        <v>0</v>
      </c>
      <c r="AG110" s="124">
        <v>0</v>
      </c>
      <c r="AH110" s="124">
        <v>0</v>
      </c>
      <c r="AI110" s="124">
        <v>0</v>
      </c>
      <c r="AJ110" s="124">
        <v>0</v>
      </c>
      <c r="AK110" s="124">
        <v>0</v>
      </c>
      <c r="AL110" s="124">
        <v>0</v>
      </c>
      <c r="AM110" s="124">
        <v>0</v>
      </c>
      <c r="AN110" s="124">
        <v>0</v>
      </c>
      <c r="AO110" s="124">
        <v>0</v>
      </c>
      <c r="AP110" s="124">
        <v>0</v>
      </c>
      <c r="AQ110" s="124">
        <v>0</v>
      </c>
      <c r="AR110" s="124">
        <v>0</v>
      </c>
      <c r="AS110" s="124">
        <v>0</v>
      </c>
      <c r="AT110" s="124">
        <v>0</v>
      </c>
      <c r="AU110" s="124">
        <v>0</v>
      </c>
      <c r="AV110" s="124">
        <v>0</v>
      </c>
      <c r="AW110" s="124">
        <v>0</v>
      </c>
      <c r="AX110" s="124">
        <v>0</v>
      </c>
      <c r="AY110" s="124">
        <v>0</v>
      </c>
    </row>
    <row r="111" spans="1:52" x14ac:dyDescent="0.2">
      <c r="A111" s="127"/>
      <c r="B111" s="136">
        <v>3</v>
      </c>
      <c r="C111" s="124">
        <v>4381.4118533716346</v>
      </c>
      <c r="D111" s="124">
        <v>4791.761818822486</v>
      </c>
      <c r="E111" s="124">
        <v>4694.7139395939421</v>
      </c>
      <c r="F111" s="124">
        <v>4595.0488466212591</v>
      </c>
      <c r="G111" s="124">
        <v>2505.6414696566899</v>
      </c>
      <c r="H111" s="124">
        <v>1486.4798950497454</v>
      </c>
      <c r="I111" s="124">
        <v>845.09979994266473</v>
      </c>
      <c r="J111" s="124">
        <v>409.14105870760847</v>
      </c>
      <c r="K111" s="124">
        <v>409.14105870760847</v>
      </c>
      <c r="L111" s="124">
        <v>409.14105870760847</v>
      </c>
      <c r="M111" s="124">
        <v>409.14105870760847</v>
      </c>
      <c r="N111" s="124">
        <v>409.14105870760847</v>
      </c>
      <c r="O111" s="124">
        <v>409.14105870760847</v>
      </c>
      <c r="P111" s="124">
        <v>409.14105870760847</v>
      </c>
      <c r="Q111" s="124">
        <v>409.14105870760847</v>
      </c>
      <c r="R111" s="124">
        <v>409.14105870760847</v>
      </c>
      <c r="S111" s="124">
        <v>409.14105870760847</v>
      </c>
      <c r="T111" s="124">
        <v>409.14105870760847</v>
      </c>
      <c r="U111" s="124">
        <v>409.14105870760847</v>
      </c>
      <c r="V111" s="124">
        <v>0</v>
      </c>
      <c r="W111" s="124">
        <v>0</v>
      </c>
      <c r="X111" s="124">
        <v>0</v>
      </c>
      <c r="Y111" s="124">
        <v>0</v>
      </c>
      <c r="Z111" s="124">
        <v>0</v>
      </c>
      <c r="AA111" s="124">
        <v>0</v>
      </c>
      <c r="AB111" s="124">
        <v>0</v>
      </c>
      <c r="AC111" s="124">
        <v>0</v>
      </c>
      <c r="AD111" s="124">
        <v>0</v>
      </c>
      <c r="AE111" s="124">
        <v>0</v>
      </c>
      <c r="AF111" s="124">
        <v>0</v>
      </c>
      <c r="AG111" s="124">
        <v>0</v>
      </c>
      <c r="AH111" s="124">
        <v>0</v>
      </c>
      <c r="AI111" s="124">
        <v>0</v>
      </c>
      <c r="AJ111" s="124">
        <v>0</v>
      </c>
      <c r="AK111" s="124">
        <v>0</v>
      </c>
      <c r="AL111" s="124">
        <v>0</v>
      </c>
      <c r="AM111" s="124">
        <v>0</v>
      </c>
      <c r="AN111" s="124">
        <v>0</v>
      </c>
      <c r="AO111" s="124">
        <v>0</v>
      </c>
      <c r="AP111" s="124">
        <v>0</v>
      </c>
      <c r="AQ111" s="124">
        <v>0</v>
      </c>
      <c r="AR111" s="124">
        <v>0</v>
      </c>
      <c r="AS111" s="124">
        <v>0</v>
      </c>
      <c r="AT111" s="124">
        <v>0</v>
      </c>
      <c r="AU111" s="124">
        <v>0</v>
      </c>
      <c r="AV111" s="124">
        <v>0</v>
      </c>
      <c r="AW111" s="124">
        <v>0</v>
      </c>
      <c r="AX111" s="124">
        <v>0</v>
      </c>
      <c r="AY111" s="124">
        <v>0</v>
      </c>
    </row>
    <row r="112" spans="1:52" x14ac:dyDescent="0.2">
      <c r="A112" s="127"/>
      <c r="B112" s="137">
        <v>4</v>
      </c>
      <c r="C112" s="124">
        <v>4735.7186558234271</v>
      </c>
      <c r="D112" s="124">
        <v>4381.4118533716346</v>
      </c>
      <c r="E112" s="124">
        <v>4791.761818822486</v>
      </c>
      <c r="F112" s="124">
        <v>4694.7139395939421</v>
      </c>
      <c r="G112" s="124">
        <v>4595.0488466212591</v>
      </c>
      <c r="H112" s="124">
        <v>2505.6414696566899</v>
      </c>
      <c r="I112" s="124">
        <v>1486.4798950497454</v>
      </c>
      <c r="J112" s="124">
        <v>845.09979994266473</v>
      </c>
      <c r="K112" s="124">
        <v>409.14105870760847</v>
      </c>
      <c r="L112" s="124">
        <v>409.14105870760847</v>
      </c>
      <c r="M112" s="124">
        <v>409.14105870760847</v>
      </c>
      <c r="N112" s="124">
        <v>409.14105870760847</v>
      </c>
      <c r="O112" s="124">
        <v>409.14105870760847</v>
      </c>
      <c r="P112" s="124">
        <v>409.14105870760847</v>
      </c>
      <c r="Q112" s="124">
        <v>409.14105870760847</v>
      </c>
      <c r="R112" s="124">
        <v>409.14105870760847</v>
      </c>
      <c r="S112" s="124">
        <v>409.14105870760847</v>
      </c>
      <c r="T112" s="124">
        <v>409.14105870760847</v>
      </c>
      <c r="U112" s="124">
        <v>409.14105870760847</v>
      </c>
      <c r="V112" s="124">
        <v>0</v>
      </c>
      <c r="W112" s="124">
        <v>0</v>
      </c>
      <c r="X112" s="124">
        <v>0</v>
      </c>
      <c r="Y112" s="124">
        <v>0</v>
      </c>
      <c r="Z112" s="124">
        <v>0</v>
      </c>
      <c r="AA112" s="124">
        <v>0</v>
      </c>
      <c r="AB112" s="124">
        <v>0</v>
      </c>
      <c r="AC112" s="124">
        <v>0</v>
      </c>
      <c r="AD112" s="124">
        <v>0</v>
      </c>
      <c r="AE112" s="124">
        <v>0</v>
      </c>
      <c r="AF112" s="124">
        <v>0</v>
      </c>
      <c r="AG112" s="124">
        <v>0</v>
      </c>
      <c r="AH112" s="124">
        <v>0</v>
      </c>
      <c r="AI112" s="124">
        <v>0</v>
      </c>
      <c r="AJ112" s="124">
        <v>0</v>
      </c>
      <c r="AK112" s="124">
        <v>0</v>
      </c>
      <c r="AL112" s="124">
        <v>0</v>
      </c>
      <c r="AM112" s="124">
        <v>0</v>
      </c>
      <c r="AN112" s="124">
        <v>0</v>
      </c>
      <c r="AO112" s="124">
        <v>0</v>
      </c>
      <c r="AP112" s="124">
        <v>0</v>
      </c>
      <c r="AQ112" s="124">
        <v>0</v>
      </c>
      <c r="AR112" s="124">
        <v>0</v>
      </c>
      <c r="AS112" s="124">
        <v>0</v>
      </c>
      <c r="AT112" s="124">
        <v>0</v>
      </c>
      <c r="AU112" s="124">
        <v>0</v>
      </c>
      <c r="AV112" s="124">
        <v>0</v>
      </c>
      <c r="AW112" s="124">
        <v>0</v>
      </c>
      <c r="AX112" s="124">
        <v>0</v>
      </c>
      <c r="AY112" s="124">
        <v>0</v>
      </c>
    </row>
    <row r="113" spans="1:52" x14ac:dyDescent="0.2">
      <c r="A113" s="127"/>
      <c r="B113" s="137">
        <v>5</v>
      </c>
      <c r="C113" s="124">
        <v>4398.3693728116677</v>
      </c>
      <c r="D113" s="124">
        <v>4735.7186558234271</v>
      </c>
      <c r="E113" s="124">
        <v>4381.4118533716346</v>
      </c>
      <c r="F113" s="124">
        <v>4791.761818822486</v>
      </c>
      <c r="G113" s="124">
        <v>4694.7139395939421</v>
      </c>
      <c r="H113" s="124">
        <v>4595.0488466212591</v>
      </c>
      <c r="I113" s="124">
        <v>2505.6414696566899</v>
      </c>
      <c r="J113" s="124">
        <v>1486.4798950497454</v>
      </c>
      <c r="K113" s="124">
        <v>845.09979994266473</v>
      </c>
      <c r="L113" s="124">
        <v>409.14105870760847</v>
      </c>
      <c r="M113" s="124">
        <v>409.14105870760847</v>
      </c>
      <c r="N113" s="124">
        <v>409.14105870760847</v>
      </c>
      <c r="O113" s="124">
        <v>409.14105870760847</v>
      </c>
      <c r="P113" s="124">
        <v>409.14105870760847</v>
      </c>
      <c r="Q113" s="124">
        <v>409.14105870760847</v>
      </c>
      <c r="R113" s="124">
        <v>409.14105870760847</v>
      </c>
      <c r="S113" s="124">
        <v>409.14105870760847</v>
      </c>
      <c r="T113" s="124">
        <v>409.14105870760847</v>
      </c>
      <c r="U113" s="124">
        <v>318.99028206849442</v>
      </c>
      <c r="V113" s="124">
        <v>0</v>
      </c>
      <c r="W113" s="124">
        <v>0</v>
      </c>
      <c r="X113" s="124">
        <v>0</v>
      </c>
      <c r="Y113" s="124">
        <v>0</v>
      </c>
      <c r="Z113" s="124">
        <v>0</v>
      </c>
      <c r="AA113" s="124">
        <v>0</v>
      </c>
      <c r="AB113" s="124">
        <v>0</v>
      </c>
      <c r="AC113" s="124">
        <v>0</v>
      </c>
      <c r="AD113" s="124">
        <v>0</v>
      </c>
      <c r="AE113" s="124">
        <v>0</v>
      </c>
      <c r="AF113" s="124">
        <v>0</v>
      </c>
      <c r="AG113" s="124">
        <v>0</v>
      </c>
      <c r="AH113" s="124">
        <v>0</v>
      </c>
      <c r="AI113" s="124">
        <v>0</v>
      </c>
      <c r="AJ113" s="124">
        <v>0</v>
      </c>
      <c r="AK113" s="124">
        <v>0</v>
      </c>
      <c r="AL113" s="124">
        <v>0</v>
      </c>
      <c r="AM113" s="124">
        <v>0</v>
      </c>
      <c r="AN113" s="124">
        <v>0</v>
      </c>
      <c r="AO113" s="124">
        <v>0</v>
      </c>
      <c r="AP113" s="124">
        <v>0</v>
      </c>
      <c r="AQ113" s="124">
        <v>0</v>
      </c>
      <c r="AR113" s="124">
        <v>0</v>
      </c>
      <c r="AS113" s="124">
        <v>0</v>
      </c>
      <c r="AT113" s="124">
        <v>0</v>
      </c>
      <c r="AU113" s="124">
        <v>0</v>
      </c>
      <c r="AV113" s="124">
        <v>0</v>
      </c>
      <c r="AW113" s="124">
        <v>0</v>
      </c>
      <c r="AX113" s="124">
        <v>0</v>
      </c>
      <c r="AY113" s="124">
        <v>0</v>
      </c>
    </row>
    <row r="114" spans="1:52" x14ac:dyDescent="0.2">
      <c r="A114" s="127"/>
      <c r="B114" s="137">
        <v>6</v>
      </c>
      <c r="C114" s="124">
        <v>4717.5379198343244</v>
      </c>
      <c r="D114" s="124">
        <v>4398.3693728116677</v>
      </c>
      <c r="E114" s="124">
        <v>4735.7186558234271</v>
      </c>
      <c r="F114" s="124">
        <v>4381.4118533716346</v>
      </c>
      <c r="G114" s="124">
        <v>4791.761818822486</v>
      </c>
      <c r="H114" s="124">
        <v>4694.7139395939421</v>
      </c>
      <c r="I114" s="124">
        <v>4595.0488466212591</v>
      </c>
      <c r="J114" s="124">
        <v>2505.6414696566899</v>
      </c>
      <c r="K114" s="124">
        <v>1486.4798950497454</v>
      </c>
      <c r="L114" s="124">
        <v>845.09979994266473</v>
      </c>
      <c r="M114" s="124">
        <v>409.14105870760847</v>
      </c>
      <c r="N114" s="124">
        <v>409.14105870760847</v>
      </c>
      <c r="O114" s="124">
        <v>409.14105870760847</v>
      </c>
      <c r="P114" s="124">
        <v>409.14105870760847</v>
      </c>
      <c r="Q114" s="124">
        <v>409.14105870760847</v>
      </c>
      <c r="R114" s="124">
        <v>409.14105870760847</v>
      </c>
      <c r="S114" s="124">
        <v>409.14105870760847</v>
      </c>
      <c r="T114" s="124">
        <v>409.14105870760847</v>
      </c>
      <c r="U114" s="124">
        <v>0</v>
      </c>
      <c r="V114" s="124">
        <v>0</v>
      </c>
      <c r="W114" s="124">
        <v>0</v>
      </c>
      <c r="X114" s="124">
        <v>0</v>
      </c>
      <c r="Y114" s="124">
        <v>0</v>
      </c>
      <c r="Z114" s="124">
        <v>0</v>
      </c>
      <c r="AA114" s="124">
        <v>0</v>
      </c>
      <c r="AB114" s="124">
        <v>0</v>
      </c>
      <c r="AC114" s="124">
        <v>0</v>
      </c>
      <c r="AD114" s="124">
        <v>0</v>
      </c>
      <c r="AE114" s="124">
        <v>0</v>
      </c>
      <c r="AF114" s="124">
        <v>0</v>
      </c>
      <c r="AG114" s="124">
        <v>0</v>
      </c>
      <c r="AH114" s="124">
        <v>0</v>
      </c>
      <c r="AI114" s="124">
        <v>0</v>
      </c>
      <c r="AJ114" s="124">
        <v>0</v>
      </c>
      <c r="AK114" s="124">
        <v>0</v>
      </c>
      <c r="AL114" s="124">
        <v>0</v>
      </c>
      <c r="AM114" s="124">
        <v>0</v>
      </c>
      <c r="AN114" s="124">
        <v>0</v>
      </c>
      <c r="AO114" s="124">
        <v>0</v>
      </c>
      <c r="AP114" s="124">
        <v>0</v>
      </c>
      <c r="AQ114" s="124">
        <v>0</v>
      </c>
      <c r="AR114" s="124">
        <v>0</v>
      </c>
      <c r="AS114" s="124">
        <v>0</v>
      </c>
      <c r="AT114" s="124">
        <v>0</v>
      </c>
      <c r="AU114" s="124">
        <v>0</v>
      </c>
      <c r="AV114" s="124">
        <v>0</v>
      </c>
      <c r="AW114" s="124">
        <v>0</v>
      </c>
      <c r="AX114" s="124">
        <v>0</v>
      </c>
      <c r="AY114" s="124">
        <v>0</v>
      </c>
    </row>
    <row r="115" spans="1:52" x14ac:dyDescent="0.2">
      <c r="A115" s="127"/>
      <c r="B115" s="144">
        <v>7</v>
      </c>
      <c r="C115" s="124">
        <v>3940.0541585794263</v>
      </c>
      <c r="D115" s="124">
        <v>4717.5379198343244</v>
      </c>
      <c r="E115" s="124">
        <v>4398.3693728116677</v>
      </c>
      <c r="F115" s="124">
        <v>4735.7186558234271</v>
      </c>
      <c r="G115" s="124">
        <v>4381.4118533716346</v>
      </c>
      <c r="H115" s="124">
        <v>4791.761818822486</v>
      </c>
      <c r="I115" s="124">
        <v>4694.7139395939421</v>
      </c>
      <c r="J115" s="124">
        <v>4595.0488466212591</v>
      </c>
      <c r="K115" s="124">
        <v>2505.6414696566899</v>
      </c>
      <c r="L115" s="124">
        <v>1486.4798950497454</v>
      </c>
      <c r="M115" s="124">
        <v>845.09979994266473</v>
      </c>
      <c r="N115" s="124">
        <v>409.14105870760847</v>
      </c>
      <c r="O115" s="124">
        <v>409.14105870760847</v>
      </c>
      <c r="P115" s="124">
        <v>409.14105870760847</v>
      </c>
      <c r="Q115" s="124">
        <v>409.14105870760847</v>
      </c>
      <c r="R115" s="124">
        <v>409.14105870760847</v>
      </c>
      <c r="S115" s="124">
        <v>409.14105870760847</v>
      </c>
      <c r="T115" s="124">
        <v>409.14105870760847</v>
      </c>
      <c r="U115" s="124">
        <v>0</v>
      </c>
      <c r="V115" s="124">
        <v>0</v>
      </c>
      <c r="W115" s="124">
        <v>0</v>
      </c>
      <c r="X115" s="124">
        <v>0</v>
      </c>
      <c r="Y115" s="124">
        <v>0</v>
      </c>
      <c r="Z115" s="124">
        <v>0</v>
      </c>
      <c r="AA115" s="124">
        <v>0</v>
      </c>
      <c r="AB115" s="124">
        <v>0</v>
      </c>
      <c r="AC115" s="124">
        <v>0</v>
      </c>
      <c r="AD115" s="124">
        <v>0</v>
      </c>
      <c r="AE115" s="124">
        <v>0</v>
      </c>
      <c r="AF115" s="124">
        <v>0</v>
      </c>
      <c r="AG115" s="124">
        <v>0</v>
      </c>
      <c r="AH115" s="124">
        <v>0</v>
      </c>
      <c r="AI115" s="124">
        <v>0</v>
      </c>
      <c r="AJ115" s="124">
        <v>0</v>
      </c>
      <c r="AK115" s="124">
        <v>0</v>
      </c>
      <c r="AL115" s="124">
        <v>0</v>
      </c>
      <c r="AM115" s="124">
        <v>0</v>
      </c>
      <c r="AN115" s="124">
        <v>0</v>
      </c>
      <c r="AO115" s="124">
        <v>0</v>
      </c>
      <c r="AP115" s="124">
        <v>0</v>
      </c>
      <c r="AQ115" s="124">
        <v>0</v>
      </c>
      <c r="AR115" s="124">
        <v>0</v>
      </c>
      <c r="AS115" s="124">
        <v>0</v>
      </c>
      <c r="AT115" s="124">
        <v>0</v>
      </c>
      <c r="AU115" s="124">
        <v>0</v>
      </c>
      <c r="AV115" s="124">
        <v>0</v>
      </c>
      <c r="AW115" s="124">
        <v>0</v>
      </c>
      <c r="AX115" s="124">
        <v>0</v>
      </c>
      <c r="AY115" s="124">
        <v>0</v>
      </c>
    </row>
    <row r="116" spans="1:52" x14ac:dyDescent="0.2">
      <c r="A116" s="127"/>
      <c r="B116" s="144">
        <v>8</v>
      </c>
      <c r="C116" s="124">
        <v>0</v>
      </c>
      <c r="D116" s="124">
        <v>2452.0541585794263</v>
      </c>
      <c r="E116" s="124">
        <v>4717.5379198343244</v>
      </c>
      <c r="F116" s="124">
        <v>4398.3693728116677</v>
      </c>
      <c r="G116" s="124">
        <v>4735.7186558234271</v>
      </c>
      <c r="H116" s="124">
        <v>4381.4118533716346</v>
      </c>
      <c r="I116" s="124">
        <v>4791.761818822486</v>
      </c>
      <c r="J116" s="124">
        <v>4694.7139395939421</v>
      </c>
      <c r="K116" s="124">
        <v>4595.0488466212591</v>
      </c>
      <c r="L116" s="124">
        <v>2505.6414696566899</v>
      </c>
      <c r="M116" s="124">
        <v>1486.4798950497454</v>
      </c>
      <c r="N116" s="124">
        <v>845.09979994266473</v>
      </c>
      <c r="O116" s="124">
        <v>409.14105870760847</v>
      </c>
      <c r="P116" s="124">
        <v>409.14105870760847</v>
      </c>
      <c r="Q116" s="124">
        <v>409.14105870760847</v>
      </c>
      <c r="R116" s="124">
        <v>409.14105870760847</v>
      </c>
      <c r="S116" s="124">
        <v>409.14105870760847</v>
      </c>
      <c r="T116" s="124">
        <v>409.14105870760847</v>
      </c>
      <c r="U116" s="124">
        <v>0</v>
      </c>
      <c r="V116" s="124">
        <v>0</v>
      </c>
      <c r="W116" s="124">
        <v>0</v>
      </c>
      <c r="X116" s="124">
        <v>0</v>
      </c>
      <c r="Y116" s="124">
        <v>0</v>
      </c>
      <c r="Z116" s="124">
        <v>0</v>
      </c>
      <c r="AA116" s="124">
        <v>0</v>
      </c>
      <c r="AB116" s="124">
        <v>0</v>
      </c>
      <c r="AC116" s="124">
        <v>0</v>
      </c>
      <c r="AD116" s="124">
        <v>0</v>
      </c>
      <c r="AE116" s="124">
        <v>0</v>
      </c>
      <c r="AF116" s="124">
        <v>0</v>
      </c>
      <c r="AG116" s="124">
        <v>0</v>
      </c>
      <c r="AH116" s="124">
        <v>0</v>
      </c>
      <c r="AI116" s="124">
        <v>0</v>
      </c>
      <c r="AJ116" s="124">
        <v>0</v>
      </c>
      <c r="AK116" s="124">
        <v>0</v>
      </c>
      <c r="AL116" s="124">
        <v>0</v>
      </c>
      <c r="AM116" s="124">
        <v>0</v>
      </c>
      <c r="AN116" s="124">
        <v>0</v>
      </c>
      <c r="AO116" s="124">
        <v>0</v>
      </c>
      <c r="AP116" s="124">
        <v>0</v>
      </c>
      <c r="AQ116" s="124">
        <v>0</v>
      </c>
      <c r="AR116" s="124">
        <v>0</v>
      </c>
      <c r="AS116" s="124">
        <v>0</v>
      </c>
      <c r="AT116" s="124">
        <v>0</v>
      </c>
      <c r="AU116" s="124">
        <v>0</v>
      </c>
      <c r="AV116" s="124">
        <v>0</v>
      </c>
      <c r="AW116" s="124">
        <v>0</v>
      </c>
      <c r="AX116" s="124">
        <v>0</v>
      </c>
      <c r="AY116" s="124">
        <v>0</v>
      </c>
    </row>
    <row r="117" spans="1:52" x14ac:dyDescent="0.2">
      <c r="A117" s="127"/>
      <c r="B117" s="144">
        <v>9</v>
      </c>
      <c r="C117" s="124">
        <v>0</v>
      </c>
      <c r="D117" s="124">
        <v>0</v>
      </c>
      <c r="E117" s="124">
        <v>810.38726706845557</v>
      </c>
      <c r="F117" s="124">
        <v>4088.9040365240535</v>
      </c>
      <c r="G117" s="124">
        <v>4398.3693728116677</v>
      </c>
      <c r="H117" s="124">
        <v>4735.7186558234271</v>
      </c>
      <c r="I117" s="124">
        <v>4381.4118533716346</v>
      </c>
      <c r="J117" s="124">
        <v>4791.761818822486</v>
      </c>
      <c r="K117" s="124">
        <v>4694.7139395939421</v>
      </c>
      <c r="L117" s="124">
        <v>4595.0488466212591</v>
      </c>
      <c r="M117" s="124">
        <v>2505.6414696566899</v>
      </c>
      <c r="N117" s="124">
        <v>1486.4798950497454</v>
      </c>
      <c r="O117" s="124">
        <v>845.09979994266473</v>
      </c>
      <c r="P117" s="124">
        <v>409.14105870760847</v>
      </c>
      <c r="Q117" s="124">
        <v>409.14105870760847</v>
      </c>
      <c r="R117" s="124">
        <v>409.14105870760847</v>
      </c>
      <c r="S117" s="124">
        <v>409.14105870760847</v>
      </c>
      <c r="T117" s="124">
        <v>74.284988530452324</v>
      </c>
      <c r="U117" s="124">
        <v>0</v>
      </c>
      <c r="V117" s="124">
        <v>0</v>
      </c>
      <c r="W117" s="124">
        <v>0</v>
      </c>
      <c r="X117" s="124">
        <v>0</v>
      </c>
      <c r="Y117" s="124">
        <v>0</v>
      </c>
      <c r="Z117" s="124">
        <v>0</v>
      </c>
      <c r="AA117" s="124">
        <v>0</v>
      </c>
      <c r="AB117" s="124">
        <v>0</v>
      </c>
      <c r="AC117" s="124">
        <v>0</v>
      </c>
      <c r="AD117" s="124">
        <v>0</v>
      </c>
      <c r="AE117" s="124">
        <v>0</v>
      </c>
      <c r="AF117" s="124">
        <v>0</v>
      </c>
      <c r="AG117" s="124">
        <v>0</v>
      </c>
      <c r="AH117" s="124">
        <v>0</v>
      </c>
      <c r="AI117" s="124">
        <v>0</v>
      </c>
      <c r="AJ117" s="124">
        <v>0</v>
      </c>
      <c r="AK117" s="124">
        <v>0</v>
      </c>
      <c r="AL117" s="124">
        <v>0</v>
      </c>
      <c r="AM117" s="124">
        <v>0</v>
      </c>
      <c r="AN117" s="124">
        <v>0</v>
      </c>
      <c r="AO117" s="124">
        <v>0</v>
      </c>
      <c r="AP117" s="124">
        <v>0</v>
      </c>
      <c r="AQ117" s="124">
        <v>0</v>
      </c>
      <c r="AR117" s="124">
        <v>0</v>
      </c>
      <c r="AS117" s="124">
        <v>0</v>
      </c>
      <c r="AT117" s="124">
        <v>0</v>
      </c>
      <c r="AU117" s="124">
        <v>0</v>
      </c>
      <c r="AV117" s="124">
        <v>0</v>
      </c>
      <c r="AW117" s="124">
        <v>0</v>
      </c>
      <c r="AX117" s="124">
        <v>0</v>
      </c>
      <c r="AY117" s="124">
        <v>0</v>
      </c>
    </row>
    <row r="118" spans="1:52" x14ac:dyDescent="0.2">
      <c r="A118" s="127"/>
      <c r="B118" s="147">
        <v>10</v>
      </c>
      <c r="C118" s="124">
        <v>0</v>
      </c>
      <c r="D118" s="124">
        <v>0</v>
      </c>
      <c r="E118" s="124">
        <v>0</v>
      </c>
      <c r="F118" s="124">
        <v>0</v>
      </c>
      <c r="G118" s="124">
        <v>1844.0348341226318</v>
      </c>
      <c r="H118" s="124">
        <v>4191.9478658255193</v>
      </c>
      <c r="I118" s="124">
        <v>4735.7186558234271</v>
      </c>
      <c r="J118" s="124">
        <v>4381.4118533716346</v>
      </c>
      <c r="K118" s="124">
        <v>4791.761818822486</v>
      </c>
      <c r="L118" s="124">
        <v>4694.7139395939421</v>
      </c>
      <c r="M118" s="124">
        <v>4595.0488466212591</v>
      </c>
      <c r="N118" s="124">
        <v>2505.6414696566899</v>
      </c>
      <c r="O118" s="124">
        <v>1486.4798950497454</v>
      </c>
      <c r="P118" s="124">
        <v>845.09979994266473</v>
      </c>
      <c r="Q118" s="124">
        <v>409.14105870760847</v>
      </c>
      <c r="R118" s="124">
        <v>409.14105870760847</v>
      </c>
      <c r="S118" s="124">
        <v>409.14105870760847</v>
      </c>
      <c r="T118" s="124">
        <v>0</v>
      </c>
      <c r="U118" s="124">
        <v>0</v>
      </c>
      <c r="V118" s="124">
        <v>0</v>
      </c>
      <c r="W118" s="124">
        <v>0</v>
      </c>
      <c r="X118" s="124">
        <v>0</v>
      </c>
      <c r="Y118" s="124">
        <v>0</v>
      </c>
      <c r="Z118" s="124">
        <v>0</v>
      </c>
      <c r="AA118" s="124">
        <v>0</v>
      </c>
      <c r="AB118" s="124">
        <v>0</v>
      </c>
      <c r="AC118" s="124">
        <v>0</v>
      </c>
      <c r="AD118" s="124">
        <v>0</v>
      </c>
      <c r="AE118" s="124">
        <v>0</v>
      </c>
      <c r="AF118" s="124">
        <v>0</v>
      </c>
      <c r="AG118" s="124">
        <v>0</v>
      </c>
      <c r="AH118" s="124">
        <v>0</v>
      </c>
      <c r="AI118" s="124">
        <v>0</v>
      </c>
      <c r="AJ118" s="124">
        <v>0</v>
      </c>
      <c r="AK118" s="124">
        <v>0</v>
      </c>
      <c r="AL118" s="124">
        <v>0</v>
      </c>
      <c r="AM118" s="124">
        <v>0</v>
      </c>
      <c r="AN118" s="124">
        <v>0</v>
      </c>
      <c r="AO118" s="124">
        <v>0</v>
      </c>
      <c r="AP118" s="124">
        <v>0</v>
      </c>
      <c r="AQ118" s="124">
        <v>0</v>
      </c>
      <c r="AR118" s="124">
        <v>0</v>
      </c>
      <c r="AS118" s="124">
        <v>0</v>
      </c>
      <c r="AT118" s="124">
        <v>0</v>
      </c>
      <c r="AU118" s="124">
        <v>0</v>
      </c>
      <c r="AV118" s="124">
        <v>0</v>
      </c>
      <c r="AW118" s="124">
        <v>0</v>
      </c>
      <c r="AX118" s="124">
        <v>0</v>
      </c>
      <c r="AY118" s="124">
        <v>0</v>
      </c>
    </row>
    <row r="119" spans="1:52" x14ac:dyDescent="0.2">
      <c r="A119" s="127"/>
      <c r="B119" s="147">
        <v>11</v>
      </c>
      <c r="C119" s="124">
        <v>0</v>
      </c>
      <c r="D119" s="124">
        <v>0</v>
      </c>
      <c r="E119" s="124">
        <v>0</v>
      </c>
      <c r="F119" s="124">
        <v>0</v>
      </c>
      <c r="G119" s="124">
        <v>0</v>
      </c>
      <c r="H119" s="124">
        <v>0</v>
      </c>
      <c r="I119" s="124">
        <v>1470.4973992604971</v>
      </c>
      <c r="J119" s="124">
        <v>3916.5937183758865</v>
      </c>
      <c r="K119" s="124">
        <v>4381.4118533716346</v>
      </c>
      <c r="L119" s="124">
        <v>4791.761818822486</v>
      </c>
      <c r="M119" s="124">
        <v>4694.7139395939421</v>
      </c>
      <c r="N119" s="124">
        <v>4595.0488466212591</v>
      </c>
      <c r="O119" s="124">
        <v>2505.6414696566899</v>
      </c>
      <c r="P119" s="124">
        <v>1486.4798950497454</v>
      </c>
      <c r="Q119" s="124">
        <v>845.09979994266473</v>
      </c>
      <c r="R119" s="124">
        <v>409.14105870760847</v>
      </c>
      <c r="S119" s="124">
        <v>337.8618124076271</v>
      </c>
      <c r="T119" s="124">
        <v>0</v>
      </c>
      <c r="U119" s="124">
        <v>0</v>
      </c>
      <c r="V119" s="124">
        <v>0</v>
      </c>
      <c r="W119" s="124">
        <v>0</v>
      </c>
      <c r="X119" s="124">
        <v>0</v>
      </c>
      <c r="Y119" s="124">
        <v>0</v>
      </c>
      <c r="Z119" s="124">
        <v>0</v>
      </c>
      <c r="AA119" s="124">
        <v>0</v>
      </c>
      <c r="AB119" s="124">
        <v>0</v>
      </c>
      <c r="AC119" s="124">
        <v>0</v>
      </c>
      <c r="AD119" s="124">
        <v>0</v>
      </c>
      <c r="AE119" s="124">
        <v>0</v>
      </c>
      <c r="AF119" s="124">
        <v>0</v>
      </c>
      <c r="AG119" s="124">
        <v>0</v>
      </c>
      <c r="AH119" s="124">
        <v>0</v>
      </c>
      <c r="AI119" s="124">
        <v>0</v>
      </c>
      <c r="AJ119" s="124">
        <v>0</v>
      </c>
      <c r="AK119" s="124">
        <v>0</v>
      </c>
      <c r="AL119" s="124">
        <v>0</v>
      </c>
      <c r="AM119" s="124">
        <v>0</v>
      </c>
      <c r="AN119" s="124">
        <v>0</v>
      </c>
      <c r="AO119" s="124">
        <v>0</v>
      </c>
      <c r="AP119" s="124">
        <v>0</v>
      </c>
      <c r="AQ119" s="124">
        <v>0</v>
      </c>
      <c r="AR119" s="124">
        <v>0</v>
      </c>
      <c r="AS119" s="124">
        <v>0</v>
      </c>
      <c r="AT119" s="124">
        <v>0</v>
      </c>
      <c r="AU119" s="124">
        <v>0</v>
      </c>
      <c r="AV119" s="124">
        <v>0</v>
      </c>
      <c r="AW119" s="124">
        <v>0</v>
      </c>
      <c r="AX119" s="124">
        <v>0</v>
      </c>
      <c r="AY119" s="124">
        <v>0</v>
      </c>
    </row>
    <row r="120" spans="1:52" x14ac:dyDescent="0.2">
      <c r="A120" s="127"/>
      <c r="B120" s="147">
        <v>12</v>
      </c>
      <c r="C120" s="124">
        <v>0</v>
      </c>
      <c r="D120" s="124">
        <v>0</v>
      </c>
      <c r="E120" s="124">
        <v>0</v>
      </c>
      <c r="F120" s="124">
        <v>0</v>
      </c>
      <c r="G120" s="124">
        <v>0</v>
      </c>
      <c r="H120" s="124">
        <v>0</v>
      </c>
      <c r="I120" s="124">
        <v>0</v>
      </c>
      <c r="J120" s="124">
        <v>0</v>
      </c>
      <c r="K120" s="124">
        <v>1220.4347051559455</v>
      </c>
      <c r="L120" s="124">
        <v>3092.2752863380974</v>
      </c>
      <c r="M120" s="124">
        <v>4791.761818822486</v>
      </c>
      <c r="N120" s="124">
        <v>4694.7139395939421</v>
      </c>
      <c r="O120" s="124">
        <v>4595.0488466212591</v>
      </c>
      <c r="P120" s="124">
        <v>2505.6414696566899</v>
      </c>
      <c r="Q120" s="124">
        <v>1486.4798950497454</v>
      </c>
      <c r="R120" s="124">
        <v>719.57969499241017</v>
      </c>
      <c r="S120" s="124">
        <v>0</v>
      </c>
      <c r="T120" s="124">
        <v>0</v>
      </c>
      <c r="U120" s="124">
        <v>0</v>
      </c>
      <c r="V120" s="124">
        <v>0</v>
      </c>
      <c r="W120" s="124">
        <v>0</v>
      </c>
      <c r="X120" s="124">
        <v>0</v>
      </c>
      <c r="Y120" s="124">
        <v>0</v>
      </c>
      <c r="Z120" s="124">
        <v>0</v>
      </c>
      <c r="AA120" s="124">
        <v>0</v>
      </c>
      <c r="AB120" s="124">
        <v>0</v>
      </c>
      <c r="AC120" s="124">
        <v>0</v>
      </c>
      <c r="AD120" s="124">
        <v>0</v>
      </c>
      <c r="AE120" s="124">
        <v>0</v>
      </c>
      <c r="AF120" s="124">
        <v>0</v>
      </c>
      <c r="AG120" s="124">
        <v>0</v>
      </c>
      <c r="AH120" s="124">
        <v>0</v>
      </c>
      <c r="AI120" s="124">
        <v>0</v>
      </c>
      <c r="AJ120" s="124">
        <v>0</v>
      </c>
      <c r="AK120" s="124">
        <v>0</v>
      </c>
      <c r="AL120" s="124">
        <v>0</v>
      </c>
      <c r="AM120" s="124">
        <v>0</v>
      </c>
      <c r="AN120" s="124">
        <v>0</v>
      </c>
      <c r="AO120" s="124">
        <v>0</v>
      </c>
      <c r="AP120" s="124">
        <v>0</v>
      </c>
      <c r="AQ120" s="124">
        <v>0</v>
      </c>
      <c r="AR120" s="124">
        <v>0</v>
      </c>
      <c r="AS120" s="124">
        <v>0</v>
      </c>
      <c r="AT120" s="124">
        <v>0</v>
      </c>
      <c r="AU120" s="124">
        <v>0</v>
      </c>
      <c r="AV120" s="124">
        <v>0</v>
      </c>
      <c r="AW120" s="124">
        <v>0</v>
      </c>
      <c r="AX120" s="124">
        <v>0</v>
      </c>
      <c r="AY120" s="124">
        <v>0</v>
      </c>
    </row>
    <row r="121" spans="1:52" x14ac:dyDescent="0.2">
      <c r="A121" s="145"/>
      <c r="B121" s="149" t="s">
        <v>296</v>
      </c>
      <c r="C121" s="131">
        <v>0</v>
      </c>
      <c r="D121" s="142">
        <v>0</v>
      </c>
      <c r="E121" s="142">
        <v>0</v>
      </c>
      <c r="F121" s="142">
        <v>0</v>
      </c>
      <c r="G121" s="142">
        <v>0</v>
      </c>
      <c r="H121" s="142">
        <v>0</v>
      </c>
      <c r="I121" s="142">
        <v>0</v>
      </c>
      <c r="J121" s="142">
        <v>0</v>
      </c>
      <c r="K121" s="142">
        <v>0</v>
      </c>
      <c r="L121" s="142">
        <v>0</v>
      </c>
      <c r="M121" s="142">
        <v>1813.2752863380974</v>
      </c>
      <c r="N121" s="142">
        <v>3042.761818822486</v>
      </c>
      <c r="O121" s="142">
        <v>3228.7139395939421</v>
      </c>
      <c r="P121" s="142">
        <v>3261.0488466212591</v>
      </c>
      <c r="Q121" s="142">
        <v>951.64146965668988</v>
      </c>
      <c r="R121" s="142">
        <v>0</v>
      </c>
      <c r="S121" s="142">
        <v>0</v>
      </c>
      <c r="T121" s="142">
        <v>0</v>
      </c>
      <c r="U121" s="142">
        <v>0</v>
      </c>
      <c r="V121" s="142">
        <v>0</v>
      </c>
      <c r="W121" s="142">
        <v>0</v>
      </c>
      <c r="X121" s="142">
        <v>0</v>
      </c>
      <c r="Y121" s="142">
        <v>0</v>
      </c>
      <c r="Z121" s="142">
        <v>0</v>
      </c>
      <c r="AA121" s="142">
        <v>0</v>
      </c>
      <c r="AB121" s="142">
        <v>0</v>
      </c>
      <c r="AC121" s="142">
        <v>0</v>
      </c>
      <c r="AD121" s="142">
        <v>0</v>
      </c>
      <c r="AE121" s="142">
        <v>0</v>
      </c>
      <c r="AF121" s="142">
        <v>0</v>
      </c>
      <c r="AG121" s="142">
        <v>0</v>
      </c>
      <c r="AH121" s="142">
        <v>0</v>
      </c>
      <c r="AI121" s="142">
        <v>0</v>
      </c>
      <c r="AJ121" s="142">
        <v>0</v>
      </c>
      <c r="AK121" s="142">
        <v>0</v>
      </c>
      <c r="AL121" s="142">
        <v>0</v>
      </c>
      <c r="AM121" s="142">
        <v>0</v>
      </c>
      <c r="AN121" s="142">
        <v>0</v>
      </c>
      <c r="AO121" s="142">
        <v>0</v>
      </c>
      <c r="AP121" s="142">
        <v>0</v>
      </c>
      <c r="AQ121" s="142">
        <v>0</v>
      </c>
      <c r="AR121" s="142">
        <v>0</v>
      </c>
      <c r="AS121" s="142">
        <v>0</v>
      </c>
      <c r="AT121" s="142">
        <v>0</v>
      </c>
      <c r="AU121" s="142">
        <v>0</v>
      </c>
      <c r="AV121" s="142">
        <v>0</v>
      </c>
      <c r="AW121" s="142">
        <v>0</v>
      </c>
      <c r="AX121" s="142">
        <v>0</v>
      </c>
      <c r="AY121" s="142">
        <v>0</v>
      </c>
      <c r="AZ121" s="125">
        <f>SUM($D121:$AY121)</f>
        <v>12297.441361032474</v>
      </c>
    </row>
    <row r="122" spans="1:52" x14ac:dyDescent="0.2">
      <c r="A122" s="148" t="s">
        <v>123</v>
      </c>
      <c r="B122" s="136">
        <v>1</v>
      </c>
      <c r="C122" s="124">
        <v>5895.4553367938779</v>
      </c>
      <c r="D122" s="124">
        <v>1742.1703405964663</v>
      </c>
      <c r="E122" s="124">
        <v>1007.3512296560705</v>
      </c>
      <c r="F122" s="124">
        <v>1007.3512296560705</v>
      </c>
      <c r="G122" s="124">
        <v>1007.3512296560705</v>
      </c>
      <c r="H122" s="124">
        <v>1007.3512296560705</v>
      </c>
      <c r="I122" s="124">
        <v>1007.3512296560705</v>
      </c>
      <c r="J122" s="124">
        <v>1007.3512296560705</v>
      </c>
      <c r="K122" s="124">
        <v>1007.3512296560705</v>
      </c>
      <c r="L122" s="124">
        <v>1007.3512296560705</v>
      </c>
      <c r="M122" s="124">
        <v>1007.3512296560705</v>
      </c>
      <c r="N122" s="124">
        <v>1007.3512296560705</v>
      </c>
      <c r="O122" s="124">
        <v>1007.3512296560705</v>
      </c>
      <c r="P122" s="124">
        <v>1007.3512296560705</v>
      </c>
      <c r="Q122" s="124">
        <v>1007.3512296560705</v>
      </c>
      <c r="R122" s="124">
        <v>1007.3512296560705</v>
      </c>
      <c r="S122" s="124">
        <v>1007.3512296560705</v>
      </c>
      <c r="T122" s="124">
        <v>1007.3512296560705</v>
      </c>
      <c r="U122" s="124">
        <v>1007.3512296560705</v>
      </c>
      <c r="V122" s="124">
        <v>1007.3512296560705</v>
      </c>
      <c r="W122" s="124">
        <v>1007.3512296560705</v>
      </c>
      <c r="X122" s="124">
        <v>1007.3512296560705</v>
      </c>
      <c r="Y122" s="124">
        <v>1007.3512296560705</v>
      </c>
      <c r="Z122" s="124">
        <v>1007.3512296560705</v>
      </c>
      <c r="AA122" s="124">
        <v>1007.3512296560705</v>
      </c>
      <c r="AB122" s="124">
        <v>1007.3512296560705</v>
      </c>
      <c r="AC122" s="124">
        <v>1007.3512296560705</v>
      </c>
      <c r="AD122" s="124">
        <v>1007.3512296560705</v>
      </c>
      <c r="AE122" s="124">
        <v>1007.3512296560705</v>
      </c>
      <c r="AF122" s="124">
        <v>1007.3512296560705</v>
      </c>
      <c r="AG122" s="124">
        <v>1007.3512296560705</v>
      </c>
      <c r="AH122" s="124">
        <v>1007.3512296560705</v>
      </c>
      <c r="AI122" s="124">
        <v>1007.3512296560705</v>
      </c>
      <c r="AJ122" s="124">
        <v>1007.3512296560705</v>
      </c>
      <c r="AK122" s="124">
        <v>1007.3512296560705</v>
      </c>
      <c r="AL122" s="124">
        <v>1007.3512296560705</v>
      </c>
      <c r="AM122" s="124">
        <v>1007.3512296560705</v>
      </c>
      <c r="AN122" s="124">
        <v>1007.3512296560705</v>
      </c>
      <c r="AO122" s="124">
        <v>1007.3512296560705</v>
      </c>
      <c r="AP122" s="124">
        <v>1007.3512296560705</v>
      </c>
      <c r="AQ122" s="124">
        <v>1007.3512296560705</v>
      </c>
      <c r="AR122" s="124">
        <v>1007.3512296560705</v>
      </c>
      <c r="AS122" s="124">
        <v>1007.3512296560705</v>
      </c>
      <c r="AT122" s="124">
        <v>1007.3512296560705</v>
      </c>
      <c r="AU122" s="124">
        <v>1007.3512296560705</v>
      </c>
      <c r="AV122" s="124">
        <v>1007.3512296560705</v>
      </c>
      <c r="AW122" s="124">
        <v>1007.3512296560705</v>
      </c>
      <c r="AX122" s="124">
        <v>1007.3512296560705</v>
      </c>
      <c r="AY122" s="124">
        <v>1007.3512296560705</v>
      </c>
    </row>
    <row r="123" spans="1:52" x14ac:dyDescent="0.2">
      <c r="A123" s="127"/>
      <c r="B123" s="136">
        <v>2</v>
      </c>
      <c r="C123" s="124">
        <v>3182.6475905003654</v>
      </c>
      <c r="D123" s="124">
        <v>3343.6674899438881</v>
      </c>
      <c r="E123" s="124">
        <v>1034.5785924392771</v>
      </c>
      <c r="F123" s="124">
        <v>598.21017094846195</v>
      </c>
      <c r="G123" s="124">
        <v>0</v>
      </c>
      <c r="H123" s="124">
        <v>0</v>
      </c>
      <c r="I123" s="124">
        <v>0</v>
      </c>
      <c r="J123" s="124">
        <v>0</v>
      </c>
      <c r="K123" s="124">
        <v>0</v>
      </c>
      <c r="L123" s="124">
        <v>0</v>
      </c>
      <c r="M123" s="124">
        <v>0</v>
      </c>
      <c r="N123" s="124">
        <v>0</v>
      </c>
      <c r="O123" s="124">
        <v>0</v>
      </c>
      <c r="P123" s="124">
        <v>0</v>
      </c>
      <c r="Q123" s="124">
        <v>0</v>
      </c>
      <c r="R123" s="124">
        <v>0</v>
      </c>
      <c r="S123" s="124">
        <v>0</v>
      </c>
      <c r="T123" s="124">
        <v>0</v>
      </c>
      <c r="U123" s="124">
        <v>0</v>
      </c>
      <c r="V123" s="124">
        <v>0</v>
      </c>
      <c r="W123" s="124">
        <v>0</v>
      </c>
      <c r="X123" s="124">
        <v>0</v>
      </c>
      <c r="Y123" s="124">
        <v>0</v>
      </c>
      <c r="Z123" s="124">
        <v>0</v>
      </c>
      <c r="AA123" s="124">
        <v>0</v>
      </c>
      <c r="AB123" s="124">
        <v>0</v>
      </c>
      <c r="AC123" s="124">
        <v>0</v>
      </c>
      <c r="AD123" s="124">
        <v>0</v>
      </c>
      <c r="AE123" s="124">
        <v>0</v>
      </c>
      <c r="AF123" s="124">
        <v>0</v>
      </c>
      <c r="AG123" s="124">
        <v>0</v>
      </c>
      <c r="AH123" s="124">
        <v>0</v>
      </c>
      <c r="AI123" s="124">
        <v>0</v>
      </c>
      <c r="AJ123" s="124">
        <v>0</v>
      </c>
      <c r="AK123" s="124">
        <v>0</v>
      </c>
      <c r="AL123" s="124">
        <v>0</v>
      </c>
      <c r="AM123" s="124">
        <v>0</v>
      </c>
      <c r="AN123" s="124">
        <v>0</v>
      </c>
      <c r="AO123" s="124">
        <v>0</v>
      </c>
      <c r="AP123" s="124">
        <v>0</v>
      </c>
      <c r="AQ123" s="124">
        <v>0</v>
      </c>
      <c r="AR123" s="124">
        <v>0</v>
      </c>
      <c r="AS123" s="124">
        <v>0</v>
      </c>
      <c r="AT123" s="124">
        <v>0</v>
      </c>
      <c r="AU123" s="124">
        <v>0</v>
      </c>
      <c r="AV123" s="124">
        <v>0</v>
      </c>
      <c r="AW123" s="124">
        <v>0</v>
      </c>
      <c r="AX123" s="124">
        <v>0</v>
      </c>
      <c r="AY123" s="124">
        <v>0</v>
      </c>
    </row>
    <row r="124" spans="1:52" x14ac:dyDescent="0.2">
      <c r="A124" s="127"/>
      <c r="B124" s="136">
        <v>3</v>
      </c>
      <c r="C124" s="124">
        <v>1537.9462395996741</v>
      </c>
      <c r="D124" s="124">
        <v>1083.3328303287699</v>
      </c>
      <c r="E124" s="124">
        <v>1617.9505987731573</v>
      </c>
      <c r="F124" s="124">
        <v>475.16920449157089</v>
      </c>
      <c r="G124" s="124">
        <v>0</v>
      </c>
      <c r="H124" s="124">
        <v>0</v>
      </c>
      <c r="I124" s="124">
        <v>0</v>
      </c>
      <c r="J124" s="124">
        <v>0</v>
      </c>
      <c r="K124" s="124">
        <v>0</v>
      </c>
      <c r="L124" s="124">
        <v>0</v>
      </c>
      <c r="M124" s="124">
        <v>0</v>
      </c>
      <c r="N124" s="124">
        <v>0</v>
      </c>
      <c r="O124" s="124">
        <v>0</v>
      </c>
      <c r="P124" s="124">
        <v>0</v>
      </c>
      <c r="Q124" s="124">
        <v>0</v>
      </c>
      <c r="R124" s="124">
        <v>0</v>
      </c>
      <c r="S124" s="124">
        <v>0</v>
      </c>
      <c r="T124" s="124">
        <v>0</v>
      </c>
      <c r="U124" s="124">
        <v>0</v>
      </c>
      <c r="V124" s="124">
        <v>0</v>
      </c>
      <c r="W124" s="124">
        <v>0</v>
      </c>
      <c r="X124" s="124">
        <v>0</v>
      </c>
      <c r="Y124" s="124">
        <v>0</v>
      </c>
      <c r="Z124" s="124">
        <v>0</v>
      </c>
      <c r="AA124" s="124">
        <v>0</v>
      </c>
      <c r="AB124" s="124">
        <v>0</v>
      </c>
      <c r="AC124" s="124">
        <v>0</v>
      </c>
      <c r="AD124" s="124">
        <v>0</v>
      </c>
      <c r="AE124" s="124">
        <v>0</v>
      </c>
      <c r="AF124" s="124">
        <v>0</v>
      </c>
      <c r="AG124" s="124">
        <v>0</v>
      </c>
      <c r="AH124" s="124">
        <v>0</v>
      </c>
      <c r="AI124" s="124">
        <v>0</v>
      </c>
      <c r="AJ124" s="124">
        <v>0</v>
      </c>
      <c r="AK124" s="124">
        <v>0</v>
      </c>
      <c r="AL124" s="124">
        <v>0</v>
      </c>
      <c r="AM124" s="124">
        <v>0</v>
      </c>
      <c r="AN124" s="124">
        <v>0</v>
      </c>
      <c r="AO124" s="124">
        <v>0</v>
      </c>
      <c r="AP124" s="124">
        <v>0</v>
      </c>
      <c r="AQ124" s="124">
        <v>0</v>
      </c>
      <c r="AR124" s="124">
        <v>0</v>
      </c>
      <c r="AS124" s="124">
        <v>0</v>
      </c>
      <c r="AT124" s="124">
        <v>0</v>
      </c>
      <c r="AU124" s="124">
        <v>0</v>
      </c>
      <c r="AV124" s="124">
        <v>0</v>
      </c>
      <c r="AW124" s="124">
        <v>0</v>
      </c>
      <c r="AX124" s="124">
        <v>0</v>
      </c>
      <c r="AY124" s="124">
        <v>0</v>
      </c>
    </row>
    <row r="125" spans="1:52" x14ac:dyDescent="0.2">
      <c r="A125" s="127"/>
      <c r="B125" s="136">
        <v>4</v>
      </c>
      <c r="C125" s="124">
        <v>0</v>
      </c>
      <c r="D125" s="124">
        <v>0</v>
      </c>
      <c r="E125" s="124">
        <v>0</v>
      </c>
      <c r="F125" s="124">
        <v>0</v>
      </c>
      <c r="G125" s="124">
        <v>0</v>
      </c>
      <c r="H125" s="124">
        <v>0</v>
      </c>
      <c r="I125" s="124">
        <v>0</v>
      </c>
      <c r="J125" s="124">
        <v>0</v>
      </c>
      <c r="K125" s="124">
        <v>0</v>
      </c>
      <c r="L125" s="124">
        <v>0</v>
      </c>
      <c r="M125" s="124">
        <v>0</v>
      </c>
      <c r="N125" s="124">
        <v>0</v>
      </c>
      <c r="O125" s="124">
        <v>0</v>
      </c>
      <c r="P125" s="124">
        <v>0</v>
      </c>
      <c r="Q125" s="124">
        <v>0</v>
      </c>
      <c r="R125" s="124">
        <v>0</v>
      </c>
      <c r="S125" s="124">
        <v>0</v>
      </c>
      <c r="T125" s="124">
        <v>0</v>
      </c>
      <c r="U125" s="124">
        <v>0</v>
      </c>
      <c r="V125" s="124">
        <v>0</v>
      </c>
      <c r="W125" s="124">
        <v>0</v>
      </c>
      <c r="X125" s="124">
        <v>0</v>
      </c>
      <c r="Y125" s="124">
        <v>0</v>
      </c>
      <c r="Z125" s="124">
        <v>0</v>
      </c>
      <c r="AA125" s="124">
        <v>0</v>
      </c>
      <c r="AB125" s="124">
        <v>0</v>
      </c>
      <c r="AC125" s="124">
        <v>0</v>
      </c>
      <c r="AD125" s="124">
        <v>0</v>
      </c>
      <c r="AE125" s="124">
        <v>0</v>
      </c>
      <c r="AF125" s="124">
        <v>0</v>
      </c>
      <c r="AG125" s="124">
        <v>0</v>
      </c>
      <c r="AH125" s="124">
        <v>0</v>
      </c>
      <c r="AI125" s="124">
        <v>0</v>
      </c>
      <c r="AJ125" s="124">
        <v>0</v>
      </c>
      <c r="AK125" s="124">
        <v>0</v>
      </c>
      <c r="AL125" s="124">
        <v>0</v>
      </c>
      <c r="AM125" s="124">
        <v>0</v>
      </c>
      <c r="AN125" s="124">
        <v>0</v>
      </c>
      <c r="AO125" s="124">
        <v>0</v>
      </c>
      <c r="AP125" s="124">
        <v>0</v>
      </c>
      <c r="AQ125" s="124">
        <v>0</v>
      </c>
      <c r="AR125" s="124">
        <v>0</v>
      </c>
      <c r="AS125" s="124">
        <v>0</v>
      </c>
      <c r="AT125" s="124">
        <v>0</v>
      </c>
      <c r="AU125" s="124">
        <v>0</v>
      </c>
      <c r="AV125" s="124">
        <v>0</v>
      </c>
      <c r="AW125" s="124">
        <v>0</v>
      </c>
      <c r="AX125" s="124">
        <v>0</v>
      </c>
      <c r="AY125" s="124">
        <v>0</v>
      </c>
    </row>
    <row r="126" spans="1:52" x14ac:dyDescent="0.2">
      <c r="A126" s="127"/>
      <c r="B126" s="136">
        <v>5</v>
      </c>
      <c r="C126" s="124">
        <v>0</v>
      </c>
      <c r="D126" s="124">
        <v>0</v>
      </c>
      <c r="E126" s="124">
        <v>0</v>
      </c>
      <c r="F126" s="124">
        <v>0</v>
      </c>
      <c r="G126" s="124">
        <v>0</v>
      </c>
      <c r="H126" s="124">
        <v>0</v>
      </c>
      <c r="I126" s="124">
        <v>0</v>
      </c>
      <c r="J126" s="124">
        <v>0</v>
      </c>
      <c r="K126" s="124">
        <v>0</v>
      </c>
      <c r="L126" s="124">
        <v>0</v>
      </c>
      <c r="M126" s="124">
        <v>0</v>
      </c>
      <c r="N126" s="124">
        <v>0</v>
      </c>
      <c r="O126" s="124">
        <v>0</v>
      </c>
      <c r="P126" s="124">
        <v>0</v>
      </c>
      <c r="Q126" s="124">
        <v>0</v>
      </c>
      <c r="R126" s="124">
        <v>0</v>
      </c>
      <c r="S126" s="124">
        <v>0</v>
      </c>
      <c r="T126" s="124">
        <v>0</v>
      </c>
      <c r="U126" s="124">
        <v>0</v>
      </c>
      <c r="V126" s="124">
        <v>0</v>
      </c>
      <c r="W126" s="124">
        <v>0</v>
      </c>
      <c r="X126" s="124">
        <v>0</v>
      </c>
      <c r="Y126" s="124">
        <v>0</v>
      </c>
      <c r="Z126" s="124">
        <v>0</v>
      </c>
      <c r="AA126" s="124">
        <v>0</v>
      </c>
      <c r="AB126" s="124">
        <v>0</v>
      </c>
      <c r="AC126" s="124">
        <v>0</v>
      </c>
      <c r="AD126" s="124">
        <v>0</v>
      </c>
      <c r="AE126" s="124">
        <v>0</v>
      </c>
      <c r="AF126" s="124">
        <v>0</v>
      </c>
      <c r="AG126" s="124">
        <v>0</v>
      </c>
      <c r="AH126" s="124">
        <v>0</v>
      </c>
      <c r="AI126" s="124">
        <v>0</v>
      </c>
      <c r="AJ126" s="124">
        <v>0</v>
      </c>
      <c r="AK126" s="124">
        <v>0</v>
      </c>
      <c r="AL126" s="124">
        <v>0</v>
      </c>
      <c r="AM126" s="124">
        <v>0</v>
      </c>
      <c r="AN126" s="124">
        <v>0</v>
      </c>
      <c r="AO126" s="124">
        <v>0</v>
      </c>
      <c r="AP126" s="124">
        <v>0</v>
      </c>
      <c r="AQ126" s="124">
        <v>0</v>
      </c>
      <c r="AR126" s="124">
        <v>0</v>
      </c>
      <c r="AS126" s="124">
        <v>0</v>
      </c>
      <c r="AT126" s="124">
        <v>0</v>
      </c>
      <c r="AU126" s="124">
        <v>0</v>
      </c>
      <c r="AV126" s="124">
        <v>0</v>
      </c>
      <c r="AW126" s="124">
        <v>0</v>
      </c>
      <c r="AX126" s="124">
        <v>0</v>
      </c>
      <c r="AY126" s="124">
        <v>0</v>
      </c>
    </row>
    <row r="127" spans="1:52" x14ac:dyDescent="0.2">
      <c r="A127" s="127"/>
      <c r="B127" s="136">
        <v>6</v>
      </c>
      <c r="C127" s="124">
        <v>0</v>
      </c>
      <c r="D127" s="124">
        <v>0</v>
      </c>
      <c r="E127" s="124">
        <v>0</v>
      </c>
      <c r="F127" s="124">
        <v>0</v>
      </c>
      <c r="G127" s="124">
        <v>0</v>
      </c>
      <c r="H127" s="124">
        <v>0</v>
      </c>
      <c r="I127" s="124">
        <v>0</v>
      </c>
      <c r="J127" s="124">
        <v>0</v>
      </c>
      <c r="K127" s="124">
        <v>0</v>
      </c>
      <c r="L127" s="124">
        <v>0</v>
      </c>
      <c r="M127" s="124">
        <v>0</v>
      </c>
      <c r="N127" s="124">
        <v>0</v>
      </c>
      <c r="O127" s="124">
        <v>0</v>
      </c>
      <c r="P127" s="124">
        <v>0</v>
      </c>
      <c r="Q127" s="124">
        <v>0</v>
      </c>
      <c r="R127" s="124">
        <v>0</v>
      </c>
      <c r="S127" s="124">
        <v>0</v>
      </c>
      <c r="T127" s="124">
        <v>0</v>
      </c>
      <c r="U127" s="124">
        <v>0</v>
      </c>
      <c r="V127" s="124">
        <v>0</v>
      </c>
      <c r="W127" s="124">
        <v>0</v>
      </c>
      <c r="X127" s="124">
        <v>0</v>
      </c>
      <c r="Y127" s="124">
        <v>0</v>
      </c>
      <c r="Z127" s="124">
        <v>0</v>
      </c>
      <c r="AA127" s="124">
        <v>0</v>
      </c>
      <c r="AB127" s="124">
        <v>0</v>
      </c>
      <c r="AC127" s="124">
        <v>0</v>
      </c>
      <c r="AD127" s="124">
        <v>0</v>
      </c>
      <c r="AE127" s="124">
        <v>0</v>
      </c>
      <c r="AF127" s="124">
        <v>0</v>
      </c>
      <c r="AG127" s="124">
        <v>0</v>
      </c>
      <c r="AH127" s="124">
        <v>0</v>
      </c>
      <c r="AI127" s="124">
        <v>0</v>
      </c>
      <c r="AJ127" s="124">
        <v>0</v>
      </c>
      <c r="AK127" s="124">
        <v>0</v>
      </c>
      <c r="AL127" s="124">
        <v>0</v>
      </c>
      <c r="AM127" s="124">
        <v>0</v>
      </c>
      <c r="AN127" s="124">
        <v>0</v>
      </c>
      <c r="AO127" s="124">
        <v>0</v>
      </c>
      <c r="AP127" s="124">
        <v>0</v>
      </c>
      <c r="AQ127" s="124">
        <v>0</v>
      </c>
      <c r="AR127" s="124">
        <v>0</v>
      </c>
      <c r="AS127" s="124">
        <v>0</v>
      </c>
      <c r="AT127" s="124">
        <v>0</v>
      </c>
      <c r="AU127" s="124">
        <v>0</v>
      </c>
      <c r="AV127" s="124">
        <v>0</v>
      </c>
      <c r="AW127" s="124">
        <v>0</v>
      </c>
      <c r="AX127" s="124">
        <v>0</v>
      </c>
      <c r="AY127" s="124">
        <v>0</v>
      </c>
    </row>
    <row r="128" spans="1:52" x14ac:dyDescent="0.2">
      <c r="A128" s="127"/>
      <c r="B128" s="136">
        <v>7</v>
      </c>
      <c r="C128" s="124">
        <v>0</v>
      </c>
      <c r="D128" s="124">
        <v>0</v>
      </c>
      <c r="E128" s="124">
        <v>0</v>
      </c>
      <c r="F128" s="124">
        <v>0</v>
      </c>
      <c r="G128" s="124">
        <v>0</v>
      </c>
      <c r="H128" s="124">
        <v>0</v>
      </c>
      <c r="I128" s="124">
        <v>0</v>
      </c>
      <c r="J128" s="124">
        <v>0</v>
      </c>
      <c r="K128" s="124">
        <v>0</v>
      </c>
      <c r="L128" s="124">
        <v>0</v>
      </c>
      <c r="M128" s="124">
        <v>0</v>
      </c>
      <c r="N128" s="124">
        <v>0</v>
      </c>
      <c r="O128" s="124">
        <v>0</v>
      </c>
      <c r="P128" s="124">
        <v>0</v>
      </c>
      <c r="Q128" s="124">
        <v>0</v>
      </c>
      <c r="R128" s="124">
        <v>0</v>
      </c>
      <c r="S128" s="124">
        <v>0</v>
      </c>
      <c r="T128" s="124">
        <v>0</v>
      </c>
      <c r="U128" s="124">
        <v>0</v>
      </c>
      <c r="V128" s="124">
        <v>0</v>
      </c>
      <c r="W128" s="124">
        <v>0</v>
      </c>
      <c r="X128" s="124">
        <v>0</v>
      </c>
      <c r="Y128" s="124">
        <v>0</v>
      </c>
      <c r="Z128" s="124">
        <v>0</v>
      </c>
      <c r="AA128" s="124">
        <v>0</v>
      </c>
      <c r="AB128" s="124">
        <v>0</v>
      </c>
      <c r="AC128" s="124">
        <v>0</v>
      </c>
      <c r="AD128" s="124">
        <v>0</v>
      </c>
      <c r="AE128" s="124">
        <v>0</v>
      </c>
      <c r="AF128" s="124">
        <v>0</v>
      </c>
      <c r="AG128" s="124">
        <v>0</v>
      </c>
      <c r="AH128" s="124">
        <v>0</v>
      </c>
      <c r="AI128" s="124">
        <v>0</v>
      </c>
      <c r="AJ128" s="124">
        <v>0</v>
      </c>
      <c r="AK128" s="124">
        <v>0</v>
      </c>
      <c r="AL128" s="124">
        <v>0</v>
      </c>
      <c r="AM128" s="124">
        <v>0</v>
      </c>
      <c r="AN128" s="124">
        <v>0</v>
      </c>
      <c r="AO128" s="124">
        <v>0</v>
      </c>
      <c r="AP128" s="124">
        <v>0</v>
      </c>
      <c r="AQ128" s="124">
        <v>0</v>
      </c>
      <c r="AR128" s="124">
        <v>0</v>
      </c>
      <c r="AS128" s="124">
        <v>0</v>
      </c>
      <c r="AT128" s="124">
        <v>0</v>
      </c>
      <c r="AU128" s="124">
        <v>0</v>
      </c>
      <c r="AV128" s="124">
        <v>0</v>
      </c>
      <c r="AW128" s="124">
        <v>0</v>
      </c>
      <c r="AX128" s="124">
        <v>0</v>
      </c>
      <c r="AY128" s="124">
        <v>0</v>
      </c>
    </row>
    <row r="129" spans="1:51" x14ac:dyDescent="0.2">
      <c r="A129" s="127"/>
      <c r="B129" s="136">
        <v>8</v>
      </c>
      <c r="C129" s="124">
        <v>0</v>
      </c>
      <c r="D129" s="124">
        <v>0</v>
      </c>
      <c r="E129" s="124">
        <v>0</v>
      </c>
      <c r="F129" s="124">
        <v>0</v>
      </c>
      <c r="G129" s="124">
        <v>0</v>
      </c>
      <c r="H129" s="124">
        <v>0</v>
      </c>
      <c r="I129" s="124">
        <v>0</v>
      </c>
      <c r="J129" s="124">
        <v>0</v>
      </c>
      <c r="K129" s="124">
        <v>0</v>
      </c>
      <c r="L129" s="124">
        <v>0</v>
      </c>
      <c r="M129" s="124">
        <v>0</v>
      </c>
      <c r="N129" s="124">
        <v>0</v>
      </c>
      <c r="O129" s="124">
        <v>0</v>
      </c>
      <c r="P129" s="124">
        <v>0</v>
      </c>
      <c r="Q129" s="124">
        <v>0</v>
      </c>
      <c r="R129" s="124">
        <v>0</v>
      </c>
      <c r="S129" s="124">
        <v>0</v>
      </c>
      <c r="T129" s="124">
        <v>0</v>
      </c>
      <c r="U129" s="124">
        <v>0</v>
      </c>
      <c r="V129" s="124">
        <v>0</v>
      </c>
      <c r="W129" s="124">
        <v>0</v>
      </c>
      <c r="X129" s="124">
        <v>0</v>
      </c>
      <c r="Y129" s="124">
        <v>0</v>
      </c>
      <c r="Z129" s="124">
        <v>0</v>
      </c>
      <c r="AA129" s="124">
        <v>0</v>
      </c>
      <c r="AB129" s="124">
        <v>0</v>
      </c>
      <c r="AC129" s="124">
        <v>0</v>
      </c>
      <c r="AD129" s="124">
        <v>0</v>
      </c>
      <c r="AE129" s="124">
        <v>0</v>
      </c>
      <c r="AF129" s="124">
        <v>0</v>
      </c>
      <c r="AG129" s="124">
        <v>0</v>
      </c>
      <c r="AH129" s="124">
        <v>0</v>
      </c>
      <c r="AI129" s="124">
        <v>0</v>
      </c>
      <c r="AJ129" s="124">
        <v>0</v>
      </c>
      <c r="AK129" s="124">
        <v>0</v>
      </c>
      <c r="AL129" s="124">
        <v>0</v>
      </c>
      <c r="AM129" s="124">
        <v>0</v>
      </c>
      <c r="AN129" s="124">
        <v>0</v>
      </c>
      <c r="AO129" s="124">
        <v>0</v>
      </c>
      <c r="AP129" s="124">
        <v>0</v>
      </c>
      <c r="AQ129" s="124">
        <v>0</v>
      </c>
      <c r="AR129" s="124">
        <v>0</v>
      </c>
      <c r="AS129" s="124">
        <v>0</v>
      </c>
      <c r="AT129" s="124">
        <v>0</v>
      </c>
      <c r="AU129" s="124">
        <v>0</v>
      </c>
      <c r="AV129" s="124">
        <v>0</v>
      </c>
      <c r="AW129" s="124">
        <v>0</v>
      </c>
      <c r="AX129" s="124">
        <v>0</v>
      </c>
      <c r="AY129" s="124">
        <v>0</v>
      </c>
    </row>
    <row r="130" spans="1:51" x14ac:dyDescent="0.2">
      <c r="A130" s="127"/>
      <c r="B130" s="136">
        <v>9</v>
      </c>
      <c r="C130" s="124">
        <v>0</v>
      </c>
      <c r="D130" s="124">
        <v>0</v>
      </c>
      <c r="E130" s="124">
        <v>0</v>
      </c>
      <c r="F130" s="124">
        <v>0</v>
      </c>
      <c r="G130" s="124">
        <v>0</v>
      </c>
      <c r="H130" s="124">
        <v>0</v>
      </c>
      <c r="I130" s="124">
        <v>0</v>
      </c>
      <c r="J130" s="124">
        <v>0</v>
      </c>
      <c r="K130" s="124">
        <v>0</v>
      </c>
      <c r="L130" s="124">
        <v>0</v>
      </c>
      <c r="M130" s="124">
        <v>0</v>
      </c>
      <c r="N130" s="124">
        <v>0</v>
      </c>
      <c r="O130" s="124">
        <v>0</v>
      </c>
      <c r="P130" s="124">
        <v>0</v>
      </c>
      <c r="Q130" s="124">
        <v>0</v>
      </c>
      <c r="R130" s="124">
        <v>0</v>
      </c>
      <c r="S130" s="124">
        <v>0</v>
      </c>
      <c r="T130" s="124">
        <v>0</v>
      </c>
      <c r="U130" s="124">
        <v>0</v>
      </c>
      <c r="V130" s="124">
        <v>0</v>
      </c>
      <c r="W130" s="124">
        <v>0</v>
      </c>
      <c r="X130" s="124">
        <v>0</v>
      </c>
      <c r="Y130" s="124">
        <v>0</v>
      </c>
      <c r="Z130" s="124">
        <v>0</v>
      </c>
      <c r="AA130" s="124">
        <v>0</v>
      </c>
      <c r="AB130" s="124">
        <v>0</v>
      </c>
      <c r="AC130" s="124">
        <v>0</v>
      </c>
      <c r="AD130" s="124">
        <v>0</v>
      </c>
      <c r="AE130" s="124">
        <v>0</v>
      </c>
      <c r="AF130" s="124">
        <v>0</v>
      </c>
      <c r="AG130" s="124">
        <v>0</v>
      </c>
      <c r="AH130" s="124">
        <v>0</v>
      </c>
      <c r="AI130" s="124">
        <v>0</v>
      </c>
      <c r="AJ130" s="124">
        <v>0</v>
      </c>
      <c r="AK130" s="124">
        <v>0</v>
      </c>
      <c r="AL130" s="124">
        <v>0</v>
      </c>
      <c r="AM130" s="124">
        <v>0</v>
      </c>
      <c r="AN130" s="124">
        <v>0</v>
      </c>
      <c r="AO130" s="124">
        <v>0</v>
      </c>
      <c r="AP130" s="124">
        <v>0</v>
      </c>
      <c r="AQ130" s="124">
        <v>0</v>
      </c>
      <c r="AR130" s="124">
        <v>0</v>
      </c>
      <c r="AS130" s="124">
        <v>0</v>
      </c>
      <c r="AT130" s="124">
        <v>0</v>
      </c>
      <c r="AU130" s="124">
        <v>0</v>
      </c>
      <c r="AV130" s="124">
        <v>0</v>
      </c>
      <c r="AW130" s="124">
        <v>0</v>
      </c>
      <c r="AX130" s="124">
        <v>0</v>
      </c>
      <c r="AY130" s="124">
        <v>0</v>
      </c>
    </row>
    <row r="131" spans="1:51" x14ac:dyDescent="0.2">
      <c r="A131" s="127"/>
      <c r="B131" s="136">
        <v>10</v>
      </c>
      <c r="C131" s="124">
        <v>0</v>
      </c>
      <c r="D131" s="124">
        <v>0</v>
      </c>
      <c r="E131" s="124">
        <v>0</v>
      </c>
      <c r="F131" s="124">
        <v>0</v>
      </c>
      <c r="G131" s="124">
        <v>0</v>
      </c>
      <c r="H131" s="124">
        <v>0</v>
      </c>
      <c r="I131" s="124">
        <v>0</v>
      </c>
      <c r="J131" s="124">
        <v>0</v>
      </c>
      <c r="K131" s="124">
        <v>0</v>
      </c>
      <c r="L131" s="124">
        <v>0</v>
      </c>
      <c r="M131" s="124">
        <v>0</v>
      </c>
      <c r="N131" s="124">
        <v>0</v>
      </c>
      <c r="O131" s="124">
        <v>0</v>
      </c>
      <c r="P131" s="124">
        <v>0</v>
      </c>
      <c r="Q131" s="124">
        <v>0</v>
      </c>
      <c r="R131" s="124">
        <v>0</v>
      </c>
      <c r="S131" s="124">
        <v>0</v>
      </c>
      <c r="T131" s="124">
        <v>0</v>
      </c>
      <c r="U131" s="124">
        <v>0</v>
      </c>
      <c r="V131" s="124">
        <v>0</v>
      </c>
      <c r="W131" s="124">
        <v>0</v>
      </c>
      <c r="X131" s="124">
        <v>0</v>
      </c>
      <c r="Y131" s="124">
        <v>0</v>
      </c>
      <c r="Z131" s="124">
        <v>0</v>
      </c>
      <c r="AA131" s="124">
        <v>0</v>
      </c>
      <c r="AB131" s="124">
        <v>0</v>
      </c>
      <c r="AC131" s="124">
        <v>0</v>
      </c>
      <c r="AD131" s="124">
        <v>0</v>
      </c>
      <c r="AE131" s="124">
        <v>0</v>
      </c>
      <c r="AF131" s="124">
        <v>0</v>
      </c>
      <c r="AG131" s="124">
        <v>0</v>
      </c>
      <c r="AH131" s="124">
        <v>0</v>
      </c>
      <c r="AI131" s="124">
        <v>0</v>
      </c>
      <c r="AJ131" s="124">
        <v>0</v>
      </c>
      <c r="AK131" s="124">
        <v>0</v>
      </c>
      <c r="AL131" s="124">
        <v>0</v>
      </c>
      <c r="AM131" s="124">
        <v>0</v>
      </c>
      <c r="AN131" s="124">
        <v>0</v>
      </c>
      <c r="AO131" s="124">
        <v>0</v>
      </c>
      <c r="AP131" s="124">
        <v>0</v>
      </c>
      <c r="AQ131" s="124">
        <v>0</v>
      </c>
      <c r="AR131" s="124">
        <v>0</v>
      </c>
      <c r="AS131" s="124">
        <v>0</v>
      </c>
      <c r="AT131" s="124">
        <v>0</v>
      </c>
      <c r="AU131" s="124">
        <v>0</v>
      </c>
      <c r="AV131" s="124">
        <v>0</v>
      </c>
      <c r="AW131" s="124">
        <v>0</v>
      </c>
      <c r="AX131" s="124">
        <v>0</v>
      </c>
      <c r="AY131" s="124">
        <v>0</v>
      </c>
    </row>
    <row r="132" spans="1:51" x14ac:dyDescent="0.2">
      <c r="A132" s="127"/>
      <c r="B132" s="136">
        <v>11</v>
      </c>
      <c r="C132" s="124">
        <v>0</v>
      </c>
      <c r="D132" s="124">
        <v>0</v>
      </c>
      <c r="E132" s="124">
        <v>0</v>
      </c>
      <c r="F132" s="124">
        <v>0</v>
      </c>
      <c r="G132" s="124">
        <v>0</v>
      </c>
      <c r="H132" s="124">
        <v>0</v>
      </c>
      <c r="I132" s="124">
        <v>0</v>
      </c>
      <c r="J132" s="124">
        <v>0</v>
      </c>
      <c r="K132" s="124">
        <v>0</v>
      </c>
      <c r="L132" s="124">
        <v>0</v>
      </c>
      <c r="M132" s="124">
        <v>0</v>
      </c>
      <c r="N132" s="124">
        <v>0</v>
      </c>
      <c r="O132" s="124">
        <v>0</v>
      </c>
      <c r="P132" s="124">
        <v>0</v>
      </c>
      <c r="Q132" s="124">
        <v>0</v>
      </c>
      <c r="R132" s="124">
        <v>0</v>
      </c>
      <c r="S132" s="124">
        <v>0</v>
      </c>
      <c r="T132" s="124">
        <v>0</v>
      </c>
      <c r="U132" s="124">
        <v>0</v>
      </c>
      <c r="V132" s="124">
        <v>0</v>
      </c>
      <c r="W132" s="124">
        <v>0</v>
      </c>
      <c r="X132" s="124">
        <v>0</v>
      </c>
      <c r="Y132" s="124">
        <v>0</v>
      </c>
      <c r="Z132" s="124">
        <v>0</v>
      </c>
      <c r="AA132" s="124">
        <v>0</v>
      </c>
      <c r="AB132" s="124">
        <v>0</v>
      </c>
      <c r="AC132" s="124">
        <v>0</v>
      </c>
      <c r="AD132" s="124">
        <v>0</v>
      </c>
      <c r="AE132" s="124">
        <v>0</v>
      </c>
      <c r="AF132" s="124">
        <v>0</v>
      </c>
      <c r="AG132" s="124">
        <v>0</v>
      </c>
      <c r="AH132" s="124">
        <v>0</v>
      </c>
      <c r="AI132" s="124">
        <v>0</v>
      </c>
      <c r="AJ132" s="124">
        <v>0</v>
      </c>
      <c r="AK132" s="124">
        <v>0</v>
      </c>
      <c r="AL132" s="124">
        <v>0</v>
      </c>
      <c r="AM132" s="124">
        <v>0</v>
      </c>
      <c r="AN132" s="124">
        <v>0</v>
      </c>
      <c r="AO132" s="124">
        <v>0</v>
      </c>
      <c r="AP132" s="124">
        <v>0</v>
      </c>
      <c r="AQ132" s="124">
        <v>0</v>
      </c>
      <c r="AR132" s="124">
        <v>0</v>
      </c>
      <c r="AS132" s="124">
        <v>0</v>
      </c>
      <c r="AT132" s="124">
        <v>0</v>
      </c>
      <c r="AU132" s="124">
        <v>0</v>
      </c>
      <c r="AV132" s="124">
        <v>0</v>
      </c>
      <c r="AW132" s="124">
        <v>0</v>
      </c>
      <c r="AX132" s="124">
        <v>0</v>
      </c>
      <c r="AY132" s="124">
        <v>0</v>
      </c>
    </row>
    <row r="133" spans="1:51" x14ac:dyDescent="0.2">
      <c r="A133" s="127"/>
      <c r="B133" s="136">
        <v>12</v>
      </c>
      <c r="C133" s="124">
        <v>0</v>
      </c>
      <c r="D133" s="124">
        <v>0</v>
      </c>
      <c r="E133" s="124">
        <v>0</v>
      </c>
      <c r="F133" s="124">
        <v>0</v>
      </c>
      <c r="G133" s="124">
        <v>0</v>
      </c>
      <c r="H133" s="124">
        <v>0</v>
      </c>
      <c r="I133" s="124">
        <v>0</v>
      </c>
      <c r="J133" s="124">
        <v>0</v>
      </c>
      <c r="K133" s="124">
        <v>0</v>
      </c>
      <c r="L133" s="124">
        <v>0</v>
      </c>
      <c r="M133" s="124">
        <v>0</v>
      </c>
      <c r="N133" s="124">
        <v>0</v>
      </c>
      <c r="O133" s="124">
        <v>0</v>
      </c>
      <c r="P133" s="124">
        <v>0</v>
      </c>
      <c r="Q133" s="124">
        <v>0</v>
      </c>
      <c r="R133" s="124">
        <v>0</v>
      </c>
      <c r="S133" s="124">
        <v>0</v>
      </c>
      <c r="T133" s="124">
        <v>0</v>
      </c>
      <c r="U133" s="124">
        <v>0</v>
      </c>
      <c r="V133" s="124">
        <v>0</v>
      </c>
      <c r="W133" s="124">
        <v>0</v>
      </c>
      <c r="X133" s="124">
        <v>0</v>
      </c>
      <c r="Y133" s="124">
        <v>0</v>
      </c>
      <c r="Z133" s="124">
        <v>0</v>
      </c>
      <c r="AA133" s="124">
        <v>0</v>
      </c>
      <c r="AB133" s="124">
        <v>0</v>
      </c>
      <c r="AC133" s="124">
        <v>0</v>
      </c>
      <c r="AD133" s="124">
        <v>0</v>
      </c>
      <c r="AE133" s="124">
        <v>0</v>
      </c>
      <c r="AF133" s="124">
        <v>0</v>
      </c>
      <c r="AG133" s="124">
        <v>0</v>
      </c>
      <c r="AH133" s="124">
        <v>0</v>
      </c>
      <c r="AI133" s="124">
        <v>0</v>
      </c>
      <c r="AJ133" s="124">
        <v>0</v>
      </c>
      <c r="AK133" s="124">
        <v>0</v>
      </c>
      <c r="AL133" s="124">
        <v>0</v>
      </c>
      <c r="AM133" s="124">
        <v>0</v>
      </c>
      <c r="AN133" s="124">
        <v>0</v>
      </c>
      <c r="AO133" s="124">
        <v>0</v>
      </c>
      <c r="AP133" s="124">
        <v>0</v>
      </c>
      <c r="AQ133" s="124">
        <v>0</v>
      </c>
      <c r="AR133" s="124">
        <v>0</v>
      </c>
      <c r="AS133" s="124">
        <v>0</v>
      </c>
      <c r="AT133" s="124">
        <v>0</v>
      </c>
      <c r="AU133" s="124">
        <v>0</v>
      </c>
      <c r="AV133" s="124">
        <v>0</v>
      </c>
      <c r="AW133" s="124">
        <v>0</v>
      </c>
      <c r="AX133" s="124">
        <v>0</v>
      </c>
      <c r="AY133" s="124">
        <v>0</v>
      </c>
    </row>
    <row r="134" spans="1:51" x14ac:dyDescent="0.2">
      <c r="A134" s="127"/>
      <c r="B134" s="137">
        <v>13</v>
      </c>
      <c r="C134" s="124">
        <v>0</v>
      </c>
      <c r="D134" s="124">
        <v>0</v>
      </c>
      <c r="E134" s="124">
        <v>0</v>
      </c>
      <c r="F134" s="124">
        <v>0</v>
      </c>
      <c r="G134" s="124">
        <v>0</v>
      </c>
      <c r="H134" s="124">
        <v>0</v>
      </c>
      <c r="I134" s="124">
        <v>0</v>
      </c>
      <c r="J134" s="124">
        <v>0</v>
      </c>
      <c r="K134" s="124">
        <v>0</v>
      </c>
      <c r="L134" s="124">
        <v>0</v>
      </c>
      <c r="M134" s="124">
        <v>0</v>
      </c>
      <c r="N134" s="124">
        <v>0</v>
      </c>
      <c r="O134" s="124">
        <v>0</v>
      </c>
      <c r="P134" s="124">
        <v>0</v>
      </c>
      <c r="Q134" s="124">
        <v>0</v>
      </c>
      <c r="R134" s="124">
        <v>0</v>
      </c>
      <c r="S134" s="124">
        <v>0</v>
      </c>
      <c r="T134" s="124">
        <v>0</v>
      </c>
      <c r="U134" s="124">
        <v>0</v>
      </c>
      <c r="V134" s="124">
        <v>0</v>
      </c>
      <c r="W134" s="124">
        <v>0</v>
      </c>
      <c r="X134" s="124">
        <v>0</v>
      </c>
      <c r="Y134" s="124">
        <v>0</v>
      </c>
      <c r="Z134" s="124">
        <v>0</v>
      </c>
      <c r="AA134" s="124">
        <v>0</v>
      </c>
      <c r="AB134" s="124">
        <v>0</v>
      </c>
      <c r="AC134" s="124">
        <v>0</v>
      </c>
      <c r="AD134" s="124">
        <v>0</v>
      </c>
      <c r="AE134" s="124">
        <v>0</v>
      </c>
      <c r="AF134" s="124">
        <v>0</v>
      </c>
      <c r="AG134" s="124">
        <v>0</v>
      </c>
      <c r="AH134" s="124">
        <v>0</v>
      </c>
      <c r="AI134" s="124">
        <v>0</v>
      </c>
      <c r="AJ134" s="124">
        <v>0</v>
      </c>
      <c r="AK134" s="124">
        <v>0</v>
      </c>
      <c r="AL134" s="124">
        <v>0</v>
      </c>
      <c r="AM134" s="124">
        <v>0</v>
      </c>
      <c r="AN134" s="124">
        <v>0</v>
      </c>
      <c r="AO134" s="124">
        <v>0</v>
      </c>
      <c r="AP134" s="124">
        <v>0</v>
      </c>
      <c r="AQ134" s="124">
        <v>0</v>
      </c>
      <c r="AR134" s="124">
        <v>0</v>
      </c>
      <c r="AS134" s="124">
        <v>0</v>
      </c>
      <c r="AT134" s="124">
        <v>0</v>
      </c>
      <c r="AU134" s="124">
        <v>0</v>
      </c>
      <c r="AV134" s="124">
        <v>0</v>
      </c>
      <c r="AW134" s="124">
        <v>0</v>
      </c>
      <c r="AX134" s="124">
        <v>0</v>
      </c>
      <c r="AY134" s="124">
        <v>0</v>
      </c>
    </row>
    <row r="135" spans="1:51" x14ac:dyDescent="0.2">
      <c r="A135" s="127"/>
      <c r="B135" s="137">
        <v>14</v>
      </c>
      <c r="C135" s="124">
        <v>0</v>
      </c>
      <c r="D135" s="124">
        <v>0</v>
      </c>
      <c r="E135" s="124">
        <v>0</v>
      </c>
      <c r="F135" s="124">
        <v>0</v>
      </c>
      <c r="G135" s="124">
        <v>0</v>
      </c>
      <c r="H135" s="124">
        <v>0</v>
      </c>
      <c r="I135" s="124">
        <v>0</v>
      </c>
      <c r="J135" s="124">
        <v>0</v>
      </c>
      <c r="K135" s="124">
        <v>0</v>
      </c>
      <c r="L135" s="124">
        <v>0</v>
      </c>
      <c r="M135" s="124">
        <v>0</v>
      </c>
      <c r="N135" s="124">
        <v>0</v>
      </c>
      <c r="O135" s="124">
        <v>0</v>
      </c>
      <c r="P135" s="124">
        <v>0</v>
      </c>
      <c r="Q135" s="124">
        <v>0</v>
      </c>
      <c r="R135" s="124">
        <v>0</v>
      </c>
      <c r="S135" s="124">
        <v>0</v>
      </c>
      <c r="T135" s="124">
        <v>0</v>
      </c>
      <c r="U135" s="124">
        <v>0</v>
      </c>
      <c r="V135" s="124">
        <v>0</v>
      </c>
      <c r="W135" s="124">
        <v>0</v>
      </c>
      <c r="X135" s="124">
        <v>0</v>
      </c>
      <c r="Y135" s="124">
        <v>0</v>
      </c>
      <c r="Z135" s="124">
        <v>0</v>
      </c>
      <c r="AA135" s="124">
        <v>0</v>
      </c>
      <c r="AB135" s="124">
        <v>0</v>
      </c>
      <c r="AC135" s="124">
        <v>0</v>
      </c>
      <c r="AD135" s="124">
        <v>0</v>
      </c>
      <c r="AE135" s="124">
        <v>0</v>
      </c>
      <c r="AF135" s="124">
        <v>0</v>
      </c>
      <c r="AG135" s="124">
        <v>0</v>
      </c>
      <c r="AH135" s="124">
        <v>0</v>
      </c>
      <c r="AI135" s="124">
        <v>0</v>
      </c>
      <c r="AJ135" s="124">
        <v>0</v>
      </c>
      <c r="AK135" s="124">
        <v>0</v>
      </c>
      <c r="AL135" s="124">
        <v>0</v>
      </c>
      <c r="AM135" s="124">
        <v>0</v>
      </c>
      <c r="AN135" s="124">
        <v>0</v>
      </c>
      <c r="AO135" s="124">
        <v>0</v>
      </c>
      <c r="AP135" s="124">
        <v>0</v>
      </c>
      <c r="AQ135" s="124">
        <v>0</v>
      </c>
      <c r="AR135" s="124">
        <v>0</v>
      </c>
      <c r="AS135" s="124">
        <v>0</v>
      </c>
      <c r="AT135" s="124">
        <v>0</v>
      </c>
      <c r="AU135" s="124">
        <v>0</v>
      </c>
      <c r="AV135" s="124">
        <v>0</v>
      </c>
      <c r="AW135" s="124">
        <v>0</v>
      </c>
      <c r="AX135" s="124">
        <v>0</v>
      </c>
      <c r="AY135" s="124">
        <v>0</v>
      </c>
    </row>
    <row r="136" spans="1:51" x14ac:dyDescent="0.2">
      <c r="A136" s="127"/>
      <c r="B136" s="137">
        <v>15</v>
      </c>
      <c r="C136" s="124">
        <v>0</v>
      </c>
      <c r="D136" s="124">
        <v>0</v>
      </c>
      <c r="E136" s="124">
        <v>0</v>
      </c>
      <c r="F136" s="124">
        <v>0</v>
      </c>
      <c r="G136" s="124">
        <v>0</v>
      </c>
      <c r="H136" s="124">
        <v>0</v>
      </c>
      <c r="I136" s="124">
        <v>0</v>
      </c>
      <c r="J136" s="124">
        <v>0</v>
      </c>
      <c r="K136" s="124">
        <v>0</v>
      </c>
      <c r="L136" s="124">
        <v>0</v>
      </c>
      <c r="M136" s="124">
        <v>0</v>
      </c>
      <c r="N136" s="124">
        <v>0</v>
      </c>
      <c r="O136" s="124">
        <v>0</v>
      </c>
      <c r="P136" s="124">
        <v>0</v>
      </c>
      <c r="Q136" s="124">
        <v>0</v>
      </c>
      <c r="R136" s="124">
        <v>0</v>
      </c>
      <c r="S136" s="124">
        <v>0</v>
      </c>
      <c r="T136" s="124">
        <v>0</v>
      </c>
      <c r="U136" s="124">
        <v>0</v>
      </c>
      <c r="V136" s="124">
        <v>0</v>
      </c>
      <c r="W136" s="124">
        <v>0</v>
      </c>
      <c r="X136" s="124">
        <v>0</v>
      </c>
      <c r="Y136" s="124">
        <v>0</v>
      </c>
      <c r="Z136" s="124">
        <v>0</v>
      </c>
      <c r="AA136" s="124">
        <v>0</v>
      </c>
      <c r="AB136" s="124">
        <v>0</v>
      </c>
      <c r="AC136" s="124">
        <v>0</v>
      </c>
      <c r="AD136" s="124">
        <v>0</v>
      </c>
      <c r="AE136" s="124">
        <v>0</v>
      </c>
      <c r="AF136" s="124">
        <v>0</v>
      </c>
      <c r="AG136" s="124">
        <v>0</v>
      </c>
      <c r="AH136" s="124">
        <v>0</v>
      </c>
      <c r="AI136" s="124">
        <v>0</v>
      </c>
      <c r="AJ136" s="124">
        <v>0</v>
      </c>
      <c r="AK136" s="124">
        <v>0</v>
      </c>
      <c r="AL136" s="124">
        <v>0</v>
      </c>
      <c r="AM136" s="124">
        <v>0</v>
      </c>
      <c r="AN136" s="124">
        <v>0</v>
      </c>
      <c r="AO136" s="124">
        <v>0</v>
      </c>
      <c r="AP136" s="124">
        <v>0</v>
      </c>
      <c r="AQ136" s="124">
        <v>0</v>
      </c>
      <c r="AR136" s="124">
        <v>0</v>
      </c>
      <c r="AS136" s="124">
        <v>0</v>
      </c>
      <c r="AT136" s="124">
        <v>0</v>
      </c>
      <c r="AU136" s="124">
        <v>0</v>
      </c>
      <c r="AV136" s="124">
        <v>0</v>
      </c>
      <c r="AW136" s="124">
        <v>0</v>
      </c>
      <c r="AX136" s="124">
        <v>0</v>
      </c>
      <c r="AY136" s="124">
        <v>0</v>
      </c>
    </row>
    <row r="137" spans="1:51" x14ac:dyDescent="0.2">
      <c r="A137" s="127"/>
      <c r="B137" s="137">
        <v>16</v>
      </c>
      <c r="C137" s="124">
        <v>0</v>
      </c>
      <c r="D137" s="124">
        <v>0</v>
      </c>
      <c r="E137" s="124">
        <v>0</v>
      </c>
      <c r="F137" s="124">
        <v>0</v>
      </c>
      <c r="G137" s="124">
        <v>0</v>
      </c>
      <c r="H137" s="124">
        <v>0</v>
      </c>
      <c r="I137" s="124">
        <v>0</v>
      </c>
      <c r="J137" s="124">
        <v>0</v>
      </c>
      <c r="K137" s="124">
        <v>0</v>
      </c>
      <c r="L137" s="124">
        <v>0</v>
      </c>
      <c r="M137" s="124">
        <v>0</v>
      </c>
      <c r="N137" s="124">
        <v>0</v>
      </c>
      <c r="O137" s="124">
        <v>0</v>
      </c>
      <c r="P137" s="124">
        <v>0</v>
      </c>
      <c r="Q137" s="124">
        <v>0</v>
      </c>
      <c r="R137" s="124">
        <v>0</v>
      </c>
      <c r="S137" s="124">
        <v>0</v>
      </c>
      <c r="T137" s="124">
        <v>0</v>
      </c>
      <c r="U137" s="124">
        <v>0</v>
      </c>
      <c r="V137" s="124">
        <v>0</v>
      </c>
      <c r="W137" s="124">
        <v>0</v>
      </c>
      <c r="X137" s="124">
        <v>0</v>
      </c>
      <c r="Y137" s="124">
        <v>0</v>
      </c>
      <c r="Z137" s="124">
        <v>0</v>
      </c>
      <c r="AA137" s="124">
        <v>0</v>
      </c>
      <c r="AB137" s="124">
        <v>0</v>
      </c>
      <c r="AC137" s="124">
        <v>0</v>
      </c>
      <c r="AD137" s="124">
        <v>0</v>
      </c>
      <c r="AE137" s="124">
        <v>0</v>
      </c>
      <c r="AF137" s="124">
        <v>0</v>
      </c>
      <c r="AG137" s="124">
        <v>0</v>
      </c>
      <c r="AH137" s="124">
        <v>0</v>
      </c>
      <c r="AI137" s="124">
        <v>0</v>
      </c>
      <c r="AJ137" s="124">
        <v>0</v>
      </c>
      <c r="AK137" s="124">
        <v>0</v>
      </c>
      <c r="AL137" s="124">
        <v>0</v>
      </c>
      <c r="AM137" s="124">
        <v>0</v>
      </c>
      <c r="AN137" s="124">
        <v>0</v>
      </c>
      <c r="AO137" s="124">
        <v>0</v>
      </c>
      <c r="AP137" s="124">
        <v>0</v>
      </c>
      <c r="AQ137" s="124">
        <v>0</v>
      </c>
      <c r="AR137" s="124">
        <v>0</v>
      </c>
      <c r="AS137" s="124">
        <v>0</v>
      </c>
      <c r="AT137" s="124">
        <v>0</v>
      </c>
      <c r="AU137" s="124">
        <v>0</v>
      </c>
      <c r="AV137" s="124">
        <v>0</v>
      </c>
      <c r="AW137" s="124">
        <v>0</v>
      </c>
      <c r="AX137" s="124">
        <v>0</v>
      </c>
      <c r="AY137" s="124">
        <v>0</v>
      </c>
    </row>
    <row r="138" spans="1:51" x14ac:dyDescent="0.2">
      <c r="A138" s="127"/>
      <c r="B138" s="137">
        <v>17</v>
      </c>
      <c r="C138" s="124">
        <v>0</v>
      </c>
      <c r="D138" s="124">
        <v>0</v>
      </c>
      <c r="E138" s="124">
        <v>0</v>
      </c>
      <c r="F138" s="124">
        <v>0</v>
      </c>
      <c r="G138" s="124">
        <v>0</v>
      </c>
      <c r="H138" s="124">
        <v>0</v>
      </c>
      <c r="I138" s="124">
        <v>0</v>
      </c>
      <c r="J138" s="124">
        <v>0</v>
      </c>
      <c r="K138" s="124">
        <v>0</v>
      </c>
      <c r="L138" s="124">
        <v>0</v>
      </c>
      <c r="M138" s="124">
        <v>0</v>
      </c>
      <c r="N138" s="124">
        <v>0</v>
      </c>
      <c r="O138" s="124">
        <v>0</v>
      </c>
      <c r="P138" s="124">
        <v>0</v>
      </c>
      <c r="Q138" s="124">
        <v>0</v>
      </c>
      <c r="R138" s="124">
        <v>0</v>
      </c>
      <c r="S138" s="124">
        <v>0</v>
      </c>
      <c r="T138" s="124">
        <v>0</v>
      </c>
      <c r="U138" s="124">
        <v>0</v>
      </c>
      <c r="V138" s="124">
        <v>0</v>
      </c>
      <c r="W138" s="124">
        <v>0</v>
      </c>
      <c r="X138" s="124">
        <v>0</v>
      </c>
      <c r="Y138" s="124">
        <v>0</v>
      </c>
      <c r="Z138" s="124">
        <v>0</v>
      </c>
      <c r="AA138" s="124">
        <v>0</v>
      </c>
      <c r="AB138" s="124">
        <v>0</v>
      </c>
      <c r="AC138" s="124">
        <v>0</v>
      </c>
      <c r="AD138" s="124">
        <v>0</v>
      </c>
      <c r="AE138" s="124">
        <v>0</v>
      </c>
      <c r="AF138" s="124">
        <v>0</v>
      </c>
      <c r="AG138" s="124">
        <v>0</v>
      </c>
      <c r="AH138" s="124">
        <v>0</v>
      </c>
      <c r="AI138" s="124">
        <v>0</v>
      </c>
      <c r="AJ138" s="124">
        <v>0</v>
      </c>
      <c r="AK138" s="124">
        <v>0</v>
      </c>
      <c r="AL138" s="124">
        <v>0</v>
      </c>
      <c r="AM138" s="124">
        <v>0</v>
      </c>
      <c r="AN138" s="124">
        <v>0</v>
      </c>
      <c r="AO138" s="124">
        <v>0</v>
      </c>
      <c r="AP138" s="124">
        <v>0</v>
      </c>
      <c r="AQ138" s="124">
        <v>0</v>
      </c>
      <c r="AR138" s="124">
        <v>0</v>
      </c>
      <c r="AS138" s="124">
        <v>0</v>
      </c>
      <c r="AT138" s="124">
        <v>0</v>
      </c>
      <c r="AU138" s="124">
        <v>0</v>
      </c>
      <c r="AV138" s="124">
        <v>0</v>
      </c>
      <c r="AW138" s="124">
        <v>0</v>
      </c>
      <c r="AX138" s="124">
        <v>0</v>
      </c>
      <c r="AY138" s="124">
        <v>0</v>
      </c>
    </row>
    <row r="139" spans="1:51" x14ac:dyDescent="0.2">
      <c r="A139" s="127"/>
      <c r="B139" s="137">
        <v>18</v>
      </c>
      <c r="C139" s="124">
        <v>0</v>
      </c>
      <c r="D139" s="124">
        <v>0</v>
      </c>
      <c r="E139" s="124">
        <v>0</v>
      </c>
      <c r="F139" s="124">
        <v>0</v>
      </c>
      <c r="G139" s="124">
        <v>0</v>
      </c>
      <c r="H139" s="124">
        <v>0</v>
      </c>
      <c r="I139" s="124">
        <v>0</v>
      </c>
      <c r="J139" s="124">
        <v>0</v>
      </c>
      <c r="K139" s="124">
        <v>0</v>
      </c>
      <c r="L139" s="124">
        <v>0</v>
      </c>
      <c r="M139" s="124">
        <v>0</v>
      </c>
      <c r="N139" s="124">
        <v>0</v>
      </c>
      <c r="O139" s="124">
        <v>0</v>
      </c>
      <c r="P139" s="124">
        <v>0</v>
      </c>
      <c r="Q139" s="124">
        <v>0</v>
      </c>
      <c r="R139" s="124">
        <v>0</v>
      </c>
      <c r="S139" s="124">
        <v>0</v>
      </c>
      <c r="T139" s="124">
        <v>0</v>
      </c>
      <c r="U139" s="124">
        <v>0</v>
      </c>
      <c r="V139" s="124">
        <v>0</v>
      </c>
      <c r="W139" s="124">
        <v>0</v>
      </c>
      <c r="X139" s="124">
        <v>0</v>
      </c>
      <c r="Y139" s="124">
        <v>0</v>
      </c>
      <c r="Z139" s="124">
        <v>0</v>
      </c>
      <c r="AA139" s="124">
        <v>0</v>
      </c>
      <c r="AB139" s="124">
        <v>0</v>
      </c>
      <c r="AC139" s="124">
        <v>0</v>
      </c>
      <c r="AD139" s="124">
        <v>0</v>
      </c>
      <c r="AE139" s="124">
        <v>0</v>
      </c>
      <c r="AF139" s="124">
        <v>0</v>
      </c>
      <c r="AG139" s="124">
        <v>0</v>
      </c>
      <c r="AH139" s="124">
        <v>0</v>
      </c>
      <c r="AI139" s="124">
        <v>0</v>
      </c>
      <c r="AJ139" s="124">
        <v>0</v>
      </c>
      <c r="AK139" s="124">
        <v>0</v>
      </c>
      <c r="AL139" s="124">
        <v>0</v>
      </c>
      <c r="AM139" s="124">
        <v>0</v>
      </c>
      <c r="AN139" s="124">
        <v>0</v>
      </c>
      <c r="AO139" s="124">
        <v>0</v>
      </c>
      <c r="AP139" s="124">
        <v>0</v>
      </c>
      <c r="AQ139" s="124">
        <v>0</v>
      </c>
      <c r="AR139" s="124">
        <v>0</v>
      </c>
      <c r="AS139" s="124">
        <v>0</v>
      </c>
      <c r="AT139" s="124">
        <v>0</v>
      </c>
      <c r="AU139" s="124">
        <v>0</v>
      </c>
      <c r="AV139" s="124">
        <v>0</v>
      </c>
      <c r="AW139" s="124">
        <v>0</v>
      </c>
      <c r="AX139" s="124">
        <v>0</v>
      </c>
      <c r="AY139" s="124">
        <v>0</v>
      </c>
    </row>
    <row r="140" spans="1:51" x14ac:dyDescent="0.2">
      <c r="A140" s="127"/>
      <c r="B140" s="137">
        <v>19</v>
      </c>
      <c r="C140" s="124">
        <v>0</v>
      </c>
      <c r="D140" s="124">
        <v>0</v>
      </c>
      <c r="E140" s="124">
        <v>0</v>
      </c>
      <c r="F140" s="124">
        <v>0</v>
      </c>
      <c r="G140" s="124">
        <v>0</v>
      </c>
      <c r="H140" s="124">
        <v>0</v>
      </c>
      <c r="I140" s="124">
        <v>0</v>
      </c>
      <c r="J140" s="124">
        <v>0</v>
      </c>
      <c r="K140" s="124">
        <v>0</v>
      </c>
      <c r="L140" s="124">
        <v>0</v>
      </c>
      <c r="M140" s="124">
        <v>0</v>
      </c>
      <c r="N140" s="124">
        <v>0</v>
      </c>
      <c r="O140" s="124">
        <v>0</v>
      </c>
      <c r="P140" s="124">
        <v>0</v>
      </c>
      <c r="Q140" s="124">
        <v>0</v>
      </c>
      <c r="R140" s="124">
        <v>0</v>
      </c>
      <c r="S140" s="124">
        <v>0</v>
      </c>
      <c r="T140" s="124">
        <v>0</v>
      </c>
      <c r="U140" s="124">
        <v>0</v>
      </c>
      <c r="V140" s="124">
        <v>0</v>
      </c>
      <c r="W140" s="124">
        <v>0</v>
      </c>
      <c r="X140" s="124">
        <v>0</v>
      </c>
      <c r="Y140" s="124">
        <v>0</v>
      </c>
      <c r="Z140" s="124">
        <v>0</v>
      </c>
      <c r="AA140" s="124">
        <v>0</v>
      </c>
      <c r="AB140" s="124">
        <v>0</v>
      </c>
      <c r="AC140" s="124">
        <v>0</v>
      </c>
      <c r="AD140" s="124">
        <v>0</v>
      </c>
      <c r="AE140" s="124">
        <v>0</v>
      </c>
      <c r="AF140" s="124">
        <v>0</v>
      </c>
      <c r="AG140" s="124">
        <v>0</v>
      </c>
      <c r="AH140" s="124">
        <v>0</v>
      </c>
      <c r="AI140" s="124">
        <v>0</v>
      </c>
      <c r="AJ140" s="124">
        <v>0</v>
      </c>
      <c r="AK140" s="124">
        <v>0</v>
      </c>
      <c r="AL140" s="124">
        <v>0</v>
      </c>
      <c r="AM140" s="124">
        <v>0</v>
      </c>
      <c r="AN140" s="124">
        <v>0</v>
      </c>
      <c r="AO140" s="124">
        <v>0</v>
      </c>
      <c r="AP140" s="124">
        <v>0</v>
      </c>
      <c r="AQ140" s="124">
        <v>0</v>
      </c>
      <c r="AR140" s="124">
        <v>0</v>
      </c>
      <c r="AS140" s="124">
        <v>0</v>
      </c>
      <c r="AT140" s="124">
        <v>0</v>
      </c>
      <c r="AU140" s="124">
        <v>0</v>
      </c>
      <c r="AV140" s="124">
        <v>0</v>
      </c>
      <c r="AW140" s="124">
        <v>0</v>
      </c>
      <c r="AX140" s="124">
        <v>0</v>
      </c>
      <c r="AY140" s="124">
        <v>0</v>
      </c>
    </row>
    <row r="141" spans="1:51" x14ac:dyDescent="0.2">
      <c r="A141" s="127"/>
      <c r="B141" s="137">
        <v>20</v>
      </c>
      <c r="C141" s="124">
        <v>0</v>
      </c>
      <c r="D141" s="124">
        <v>0</v>
      </c>
      <c r="E141" s="124">
        <v>0</v>
      </c>
      <c r="F141" s="124">
        <v>0</v>
      </c>
      <c r="G141" s="124">
        <v>0</v>
      </c>
      <c r="H141" s="124">
        <v>0</v>
      </c>
      <c r="I141" s="124">
        <v>0</v>
      </c>
      <c r="J141" s="124">
        <v>0</v>
      </c>
      <c r="K141" s="124">
        <v>0</v>
      </c>
      <c r="L141" s="124">
        <v>0</v>
      </c>
      <c r="M141" s="124">
        <v>0</v>
      </c>
      <c r="N141" s="124">
        <v>0</v>
      </c>
      <c r="O141" s="124">
        <v>0</v>
      </c>
      <c r="P141" s="124">
        <v>0</v>
      </c>
      <c r="Q141" s="124">
        <v>0</v>
      </c>
      <c r="R141" s="124">
        <v>0</v>
      </c>
      <c r="S141" s="124">
        <v>0</v>
      </c>
      <c r="T141" s="124">
        <v>0</v>
      </c>
      <c r="U141" s="124">
        <v>0</v>
      </c>
      <c r="V141" s="124">
        <v>0</v>
      </c>
      <c r="W141" s="124">
        <v>0</v>
      </c>
      <c r="X141" s="124">
        <v>0</v>
      </c>
      <c r="Y141" s="124">
        <v>0</v>
      </c>
      <c r="Z141" s="124">
        <v>0</v>
      </c>
      <c r="AA141" s="124">
        <v>0</v>
      </c>
      <c r="AB141" s="124">
        <v>0</v>
      </c>
      <c r="AC141" s="124">
        <v>0</v>
      </c>
      <c r="AD141" s="124">
        <v>0</v>
      </c>
      <c r="AE141" s="124">
        <v>0</v>
      </c>
      <c r="AF141" s="124">
        <v>0</v>
      </c>
      <c r="AG141" s="124">
        <v>0</v>
      </c>
      <c r="AH141" s="124">
        <v>0</v>
      </c>
      <c r="AI141" s="124">
        <v>0</v>
      </c>
      <c r="AJ141" s="124">
        <v>0</v>
      </c>
      <c r="AK141" s="124">
        <v>0</v>
      </c>
      <c r="AL141" s="124">
        <v>0</v>
      </c>
      <c r="AM141" s="124">
        <v>0</v>
      </c>
      <c r="AN141" s="124">
        <v>0</v>
      </c>
      <c r="AO141" s="124">
        <v>0</v>
      </c>
      <c r="AP141" s="124">
        <v>0</v>
      </c>
      <c r="AQ141" s="124">
        <v>0</v>
      </c>
      <c r="AR141" s="124">
        <v>0</v>
      </c>
      <c r="AS141" s="124">
        <v>0</v>
      </c>
      <c r="AT141" s="124">
        <v>0</v>
      </c>
      <c r="AU141" s="124">
        <v>0</v>
      </c>
      <c r="AV141" s="124">
        <v>0</v>
      </c>
      <c r="AW141" s="124">
        <v>0</v>
      </c>
      <c r="AX141" s="124">
        <v>0</v>
      </c>
      <c r="AY141" s="124">
        <v>0</v>
      </c>
    </row>
    <row r="142" spans="1:51" x14ac:dyDescent="0.2">
      <c r="A142" s="127"/>
      <c r="B142" s="137">
        <v>21</v>
      </c>
      <c r="C142" s="124">
        <v>0</v>
      </c>
      <c r="D142" s="124">
        <v>0</v>
      </c>
      <c r="E142" s="124">
        <v>0</v>
      </c>
      <c r="F142" s="124">
        <v>0</v>
      </c>
      <c r="G142" s="124">
        <v>0</v>
      </c>
      <c r="H142" s="124">
        <v>0</v>
      </c>
      <c r="I142" s="124">
        <v>0</v>
      </c>
      <c r="J142" s="124">
        <v>0</v>
      </c>
      <c r="K142" s="124">
        <v>0</v>
      </c>
      <c r="L142" s="124">
        <v>0</v>
      </c>
      <c r="M142" s="124">
        <v>0</v>
      </c>
      <c r="N142" s="124">
        <v>0</v>
      </c>
      <c r="O142" s="124">
        <v>0</v>
      </c>
      <c r="P142" s="124">
        <v>0</v>
      </c>
      <c r="Q142" s="124">
        <v>0</v>
      </c>
      <c r="R142" s="124">
        <v>0</v>
      </c>
      <c r="S142" s="124">
        <v>0</v>
      </c>
      <c r="T142" s="124">
        <v>0</v>
      </c>
      <c r="U142" s="124">
        <v>0</v>
      </c>
      <c r="V142" s="124">
        <v>0</v>
      </c>
      <c r="W142" s="124">
        <v>0</v>
      </c>
      <c r="X142" s="124">
        <v>0</v>
      </c>
      <c r="Y142" s="124">
        <v>0</v>
      </c>
      <c r="Z142" s="124">
        <v>0</v>
      </c>
      <c r="AA142" s="124">
        <v>0</v>
      </c>
      <c r="AB142" s="124">
        <v>0</v>
      </c>
      <c r="AC142" s="124">
        <v>0</v>
      </c>
      <c r="AD142" s="124">
        <v>0</v>
      </c>
      <c r="AE142" s="124">
        <v>0</v>
      </c>
      <c r="AF142" s="124">
        <v>0</v>
      </c>
      <c r="AG142" s="124">
        <v>0</v>
      </c>
      <c r="AH142" s="124">
        <v>0</v>
      </c>
      <c r="AI142" s="124">
        <v>0</v>
      </c>
      <c r="AJ142" s="124">
        <v>0</v>
      </c>
      <c r="AK142" s="124">
        <v>0</v>
      </c>
      <c r="AL142" s="124">
        <v>0</v>
      </c>
      <c r="AM142" s="124">
        <v>0</v>
      </c>
      <c r="AN142" s="124">
        <v>0</v>
      </c>
      <c r="AO142" s="124">
        <v>0</v>
      </c>
      <c r="AP142" s="124">
        <v>0</v>
      </c>
      <c r="AQ142" s="124">
        <v>0</v>
      </c>
      <c r="AR142" s="124">
        <v>0</v>
      </c>
      <c r="AS142" s="124">
        <v>0</v>
      </c>
      <c r="AT142" s="124">
        <v>0</v>
      </c>
      <c r="AU142" s="124">
        <v>0</v>
      </c>
      <c r="AV142" s="124">
        <v>0</v>
      </c>
      <c r="AW142" s="124">
        <v>0</v>
      </c>
      <c r="AX142" s="124">
        <v>0</v>
      </c>
      <c r="AY142" s="124">
        <v>0</v>
      </c>
    </row>
    <row r="143" spans="1:51" x14ac:dyDescent="0.2">
      <c r="A143" s="127"/>
      <c r="B143" s="137">
        <v>22</v>
      </c>
      <c r="C143" s="124">
        <v>0</v>
      </c>
      <c r="D143" s="124">
        <v>0</v>
      </c>
      <c r="E143" s="124">
        <v>0</v>
      </c>
      <c r="F143" s="124">
        <v>0</v>
      </c>
      <c r="G143" s="124">
        <v>0</v>
      </c>
      <c r="H143" s="124">
        <v>0</v>
      </c>
      <c r="I143" s="124">
        <v>0</v>
      </c>
      <c r="J143" s="124">
        <v>0</v>
      </c>
      <c r="K143" s="124">
        <v>0</v>
      </c>
      <c r="L143" s="124">
        <v>0</v>
      </c>
      <c r="M143" s="124">
        <v>0</v>
      </c>
      <c r="N143" s="124">
        <v>0</v>
      </c>
      <c r="O143" s="124">
        <v>0</v>
      </c>
      <c r="P143" s="124">
        <v>0</v>
      </c>
      <c r="Q143" s="124">
        <v>0</v>
      </c>
      <c r="R143" s="124">
        <v>0</v>
      </c>
      <c r="S143" s="124">
        <v>0</v>
      </c>
      <c r="T143" s="124">
        <v>0</v>
      </c>
      <c r="U143" s="124">
        <v>0</v>
      </c>
      <c r="V143" s="124">
        <v>0</v>
      </c>
      <c r="W143" s="124">
        <v>0</v>
      </c>
      <c r="X143" s="124">
        <v>0</v>
      </c>
      <c r="Y143" s="124">
        <v>0</v>
      </c>
      <c r="Z143" s="124">
        <v>0</v>
      </c>
      <c r="AA143" s="124">
        <v>0</v>
      </c>
      <c r="AB143" s="124">
        <v>0</v>
      </c>
      <c r="AC143" s="124">
        <v>0</v>
      </c>
      <c r="AD143" s="124">
        <v>0</v>
      </c>
      <c r="AE143" s="124">
        <v>0</v>
      </c>
      <c r="AF143" s="124">
        <v>0</v>
      </c>
      <c r="AG143" s="124">
        <v>0</v>
      </c>
      <c r="AH143" s="124">
        <v>0</v>
      </c>
      <c r="AI143" s="124">
        <v>0</v>
      </c>
      <c r="AJ143" s="124">
        <v>0</v>
      </c>
      <c r="AK143" s="124">
        <v>0</v>
      </c>
      <c r="AL143" s="124">
        <v>0</v>
      </c>
      <c r="AM143" s="124">
        <v>0</v>
      </c>
      <c r="AN143" s="124">
        <v>0</v>
      </c>
      <c r="AO143" s="124">
        <v>0</v>
      </c>
      <c r="AP143" s="124">
        <v>0</v>
      </c>
      <c r="AQ143" s="124">
        <v>0</v>
      </c>
      <c r="AR143" s="124">
        <v>0</v>
      </c>
      <c r="AS143" s="124">
        <v>0</v>
      </c>
      <c r="AT143" s="124">
        <v>0</v>
      </c>
      <c r="AU143" s="124">
        <v>0</v>
      </c>
      <c r="AV143" s="124">
        <v>0</v>
      </c>
      <c r="AW143" s="124">
        <v>0</v>
      </c>
      <c r="AX143" s="124">
        <v>0</v>
      </c>
      <c r="AY143" s="124">
        <v>0</v>
      </c>
    </row>
    <row r="144" spans="1:51" x14ac:dyDescent="0.2">
      <c r="A144" s="127"/>
      <c r="B144" s="137">
        <v>23</v>
      </c>
      <c r="C144" s="124">
        <v>0</v>
      </c>
      <c r="D144" s="124">
        <v>0</v>
      </c>
      <c r="E144" s="124">
        <v>0</v>
      </c>
      <c r="F144" s="124">
        <v>0</v>
      </c>
      <c r="G144" s="124">
        <v>0</v>
      </c>
      <c r="H144" s="124">
        <v>0</v>
      </c>
      <c r="I144" s="124">
        <v>0</v>
      </c>
      <c r="J144" s="124">
        <v>0</v>
      </c>
      <c r="K144" s="124">
        <v>0</v>
      </c>
      <c r="L144" s="124">
        <v>0</v>
      </c>
      <c r="M144" s="124">
        <v>0</v>
      </c>
      <c r="N144" s="124">
        <v>0</v>
      </c>
      <c r="O144" s="124">
        <v>0</v>
      </c>
      <c r="P144" s="124">
        <v>0</v>
      </c>
      <c r="Q144" s="124">
        <v>0</v>
      </c>
      <c r="R144" s="124">
        <v>0</v>
      </c>
      <c r="S144" s="124">
        <v>0</v>
      </c>
      <c r="T144" s="124">
        <v>0</v>
      </c>
      <c r="U144" s="124">
        <v>0</v>
      </c>
      <c r="V144" s="124">
        <v>0</v>
      </c>
      <c r="W144" s="124">
        <v>0</v>
      </c>
      <c r="X144" s="124">
        <v>0</v>
      </c>
      <c r="Y144" s="124">
        <v>0</v>
      </c>
      <c r="Z144" s="124">
        <v>0</v>
      </c>
      <c r="AA144" s="124">
        <v>0</v>
      </c>
      <c r="AB144" s="124">
        <v>0</v>
      </c>
      <c r="AC144" s="124">
        <v>0</v>
      </c>
      <c r="AD144" s="124">
        <v>0</v>
      </c>
      <c r="AE144" s="124">
        <v>0</v>
      </c>
      <c r="AF144" s="124">
        <v>0</v>
      </c>
      <c r="AG144" s="124">
        <v>0</v>
      </c>
      <c r="AH144" s="124">
        <v>0</v>
      </c>
      <c r="AI144" s="124">
        <v>0</v>
      </c>
      <c r="AJ144" s="124">
        <v>0</v>
      </c>
      <c r="AK144" s="124">
        <v>0</v>
      </c>
      <c r="AL144" s="124">
        <v>0</v>
      </c>
      <c r="AM144" s="124">
        <v>0</v>
      </c>
      <c r="AN144" s="124">
        <v>0</v>
      </c>
      <c r="AO144" s="124">
        <v>0</v>
      </c>
      <c r="AP144" s="124">
        <v>0</v>
      </c>
      <c r="AQ144" s="124">
        <v>0</v>
      </c>
      <c r="AR144" s="124">
        <v>0</v>
      </c>
      <c r="AS144" s="124">
        <v>0</v>
      </c>
      <c r="AT144" s="124">
        <v>0</v>
      </c>
      <c r="AU144" s="124">
        <v>0</v>
      </c>
      <c r="AV144" s="124">
        <v>0</v>
      </c>
      <c r="AW144" s="124">
        <v>0</v>
      </c>
      <c r="AX144" s="124">
        <v>0</v>
      </c>
      <c r="AY144" s="124">
        <v>0</v>
      </c>
    </row>
    <row r="145" spans="1:51" x14ac:dyDescent="0.2">
      <c r="A145" s="127"/>
      <c r="B145" s="137">
        <v>24</v>
      </c>
      <c r="C145" s="124">
        <v>0</v>
      </c>
      <c r="D145" s="124">
        <v>0</v>
      </c>
      <c r="E145" s="124">
        <v>0</v>
      </c>
      <c r="F145" s="124">
        <v>0</v>
      </c>
      <c r="G145" s="124">
        <v>0</v>
      </c>
      <c r="H145" s="124">
        <v>0</v>
      </c>
      <c r="I145" s="124">
        <v>0</v>
      </c>
      <c r="J145" s="124">
        <v>0</v>
      </c>
      <c r="K145" s="124">
        <v>0</v>
      </c>
      <c r="L145" s="124">
        <v>0</v>
      </c>
      <c r="M145" s="124">
        <v>0</v>
      </c>
      <c r="N145" s="124">
        <v>0</v>
      </c>
      <c r="O145" s="124">
        <v>0</v>
      </c>
      <c r="P145" s="124">
        <v>0</v>
      </c>
      <c r="Q145" s="124">
        <v>0</v>
      </c>
      <c r="R145" s="124">
        <v>0</v>
      </c>
      <c r="S145" s="124">
        <v>0</v>
      </c>
      <c r="T145" s="124">
        <v>0</v>
      </c>
      <c r="U145" s="124">
        <v>0</v>
      </c>
      <c r="V145" s="124">
        <v>0</v>
      </c>
      <c r="W145" s="124">
        <v>0</v>
      </c>
      <c r="X145" s="124">
        <v>0</v>
      </c>
      <c r="Y145" s="124">
        <v>0</v>
      </c>
      <c r="Z145" s="124">
        <v>0</v>
      </c>
      <c r="AA145" s="124">
        <v>0</v>
      </c>
      <c r="AB145" s="124">
        <v>0</v>
      </c>
      <c r="AC145" s="124">
        <v>0</v>
      </c>
      <c r="AD145" s="124">
        <v>0</v>
      </c>
      <c r="AE145" s="124">
        <v>0</v>
      </c>
      <c r="AF145" s="124">
        <v>0</v>
      </c>
      <c r="AG145" s="124">
        <v>0</v>
      </c>
      <c r="AH145" s="124">
        <v>0</v>
      </c>
      <c r="AI145" s="124">
        <v>0</v>
      </c>
      <c r="AJ145" s="124">
        <v>0</v>
      </c>
      <c r="AK145" s="124">
        <v>0</v>
      </c>
      <c r="AL145" s="124">
        <v>0</v>
      </c>
      <c r="AM145" s="124">
        <v>0</v>
      </c>
      <c r="AN145" s="124">
        <v>0</v>
      </c>
      <c r="AO145" s="124">
        <v>0</v>
      </c>
      <c r="AP145" s="124">
        <v>0</v>
      </c>
      <c r="AQ145" s="124">
        <v>0</v>
      </c>
      <c r="AR145" s="124">
        <v>0</v>
      </c>
      <c r="AS145" s="124">
        <v>0</v>
      </c>
      <c r="AT145" s="124">
        <v>0</v>
      </c>
      <c r="AU145" s="124">
        <v>0</v>
      </c>
      <c r="AV145" s="124">
        <v>0</v>
      </c>
      <c r="AW145" s="124">
        <v>0</v>
      </c>
      <c r="AX145" s="124">
        <v>0</v>
      </c>
      <c r="AY145" s="124">
        <v>0</v>
      </c>
    </row>
    <row r="146" spans="1:51" x14ac:dyDescent="0.2">
      <c r="A146" s="127"/>
      <c r="B146" s="144">
        <v>25</v>
      </c>
      <c r="C146" s="124">
        <v>0</v>
      </c>
      <c r="D146" s="124">
        <v>0</v>
      </c>
      <c r="E146" s="124">
        <v>0</v>
      </c>
      <c r="F146" s="124">
        <v>0</v>
      </c>
      <c r="G146" s="124">
        <v>0</v>
      </c>
      <c r="H146" s="124">
        <v>0</v>
      </c>
      <c r="I146" s="124">
        <v>0</v>
      </c>
      <c r="J146" s="124">
        <v>0</v>
      </c>
      <c r="K146" s="124">
        <v>0</v>
      </c>
      <c r="L146" s="124">
        <v>0</v>
      </c>
      <c r="M146" s="124">
        <v>0</v>
      </c>
      <c r="N146" s="124">
        <v>0</v>
      </c>
      <c r="O146" s="124">
        <v>0</v>
      </c>
      <c r="P146" s="124">
        <v>0</v>
      </c>
      <c r="Q146" s="124">
        <v>0</v>
      </c>
      <c r="R146" s="124">
        <v>0</v>
      </c>
      <c r="S146" s="124">
        <v>0</v>
      </c>
      <c r="T146" s="124">
        <v>0</v>
      </c>
      <c r="U146" s="124">
        <v>0</v>
      </c>
      <c r="V146" s="124">
        <v>0</v>
      </c>
      <c r="W146" s="124">
        <v>0</v>
      </c>
      <c r="X146" s="124">
        <v>0</v>
      </c>
      <c r="Y146" s="124">
        <v>0</v>
      </c>
      <c r="Z146" s="124">
        <v>0</v>
      </c>
      <c r="AA146" s="124">
        <v>0</v>
      </c>
      <c r="AB146" s="124">
        <v>0</v>
      </c>
      <c r="AC146" s="124">
        <v>0</v>
      </c>
      <c r="AD146" s="124">
        <v>0</v>
      </c>
      <c r="AE146" s="124">
        <v>0</v>
      </c>
      <c r="AF146" s="124">
        <v>0</v>
      </c>
      <c r="AG146" s="124">
        <v>0</v>
      </c>
      <c r="AH146" s="124">
        <v>0</v>
      </c>
      <c r="AI146" s="124">
        <v>0</v>
      </c>
      <c r="AJ146" s="124">
        <v>0</v>
      </c>
      <c r="AK146" s="124">
        <v>0</v>
      </c>
      <c r="AL146" s="124">
        <v>0</v>
      </c>
      <c r="AM146" s="124">
        <v>0</v>
      </c>
      <c r="AN146" s="124">
        <v>0</v>
      </c>
      <c r="AO146" s="124">
        <v>0</v>
      </c>
      <c r="AP146" s="124">
        <v>0</v>
      </c>
      <c r="AQ146" s="124">
        <v>0</v>
      </c>
      <c r="AR146" s="124">
        <v>0</v>
      </c>
      <c r="AS146" s="124">
        <v>0</v>
      </c>
      <c r="AT146" s="124">
        <v>0</v>
      </c>
      <c r="AU146" s="124">
        <v>0</v>
      </c>
      <c r="AV146" s="124">
        <v>0</v>
      </c>
      <c r="AW146" s="124">
        <v>0</v>
      </c>
      <c r="AX146" s="124">
        <v>0</v>
      </c>
      <c r="AY146" s="124">
        <v>0</v>
      </c>
    </row>
    <row r="147" spans="1:51" x14ac:dyDescent="0.2">
      <c r="A147" s="127"/>
      <c r="B147" s="144">
        <v>26</v>
      </c>
      <c r="C147" s="124">
        <v>0</v>
      </c>
      <c r="D147" s="124">
        <v>0</v>
      </c>
      <c r="E147" s="124">
        <v>0</v>
      </c>
      <c r="F147" s="124">
        <v>0</v>
      </c>
      <c r="G147" s="124">
        <v>0</v>
      </c>
      <c r="H147" s="124">
        <v>0</v>
      </c>
      <c r="I147" s="124">
        <v>0</v>
      </c>
      <c r="J147" s="124">
        <v>0</v>
      </c>
      <c r="K147" s="124">
        <v>0</v>
      </c>
      <c r="L147" s="124">
        <v>0</v>
      </c>
      <c r="M147" s="124">
        <v>0</v>
      </c>
      <c r="N147" s="124">
        <v>0</v>
      </c>
      <c r="O147" s="124">
        <v>0</v>
      </c>
      <c r="P147" s="124">
        <v>0</v>
      </c>
      <c r="Q147" s="124">
        <v>0</v>
      </c>
      <c r="R147" s="124">
        <v>0</v>
      </c>
      <c r="S147" s="124">
        <v>0</v>
      </c>
      <c r="T147" s="124">
        <v>0</v>
      </c>
      <c r="U147" s="124">
        <v>0</v>
      </c>
      <c r="V147" s="124">
        <v>0</v>
      </c>
      <c r="W147" s="124">
        <v>0</v>
      </c>
      <c r="X147" s="124">
        <v>0</v>
      </c>
      <c r="Y147" s="124">
        <v>0</v>
      </c>
      <c r="Z147" s="124">
        <v>0</v>
      </c>
      <c r="AA147" s="124">
        <v>0</v>
      </c>
      <c r="AB147" s="124">
        <v>0</v>
      </c>
      <c r="AC147" s="124">
        <v>0</v>
      </c>
      <c r="AD147" s="124">
        <v>0</v>
      </c>
      <c r="AE147" s="124">
        <v>0</v>
      </c>
      <c r="AF147" s="124">
        <v>0</v>
      </c>
      <c r="AG147" s="124">
        <v>0</v>
      </c>
      <c r="AH147" s="124">
        <v>0</v>
      </c>
      <c r="AI147" s="124">
        <v>0</v>
      </c>
      <c r="AJ147" s="124">
        <v>0</v>
      </c>
      <c r="AK147" s="124">
        <v>0</v>
      </c>
      <c r="AL147" s="124">
        <v>0</v>
      </c>
      <c r="AM147" s="124">
        <v>0</v>
      </c>
      <c r="AN147" s="124">
        <v>0</v>
      </c>
      <c r="AO147" s="124">
        <v>0</v>
      </c>
      <c r="AP147" s="124">
        <v>0</v>
      </c>
      <c r="AQ147" s="124">
        <v>0</v>
      </c>
      <c r="AR147" s="124">
        <v>0</v>
      </c>
      <c r="AS147" s="124">
        <v>0</v>
      </c>
      <c r="AT147" s="124">
        <v>0</v>
      </c>
      <c r="AU147" s="124">
        <v>0</v>
      </c>
      <c r="AV147" s="124">
        <v>0</v>
      </c>
      <c r="AW147" s="124">
        <v>0</v>
      </c>
      <c r="AX147" s="124">
        <v>0</v>
      </c>
      <c r="AY147" s="124">
        <v>0</v>
      </c>
    </row>
    <row r="148" spans="1:51" x14ac:dyDescent="0.2">
      <c r="A148" s="127"/>
      <c r="B148" s="144">
        <v>27</v>
      </c>
      <c r="C148" s="124">
        <v>0</v>
      </c>
      <c r="D148" s="124">
        <v>0</v>
      </c>
      <c r="E148" s="124">
        <v>0</v>
      </c>
      <c r="F148" s="124">
        <v>0</v>
      </c>
      <c r="G148" s="124">
        <v>0</v>
      </c>
      <c r="H148" s="124">
        <v>0</v>
      </c>
      <c r="I148" s="124">
        <v>0</v>
      </c>
      <c r="J148" s="124">
        <v>0</v>
      </c>
      <c r="K148" s="124">
        <v>0</v>
      </c>
      <c r="L148" s="124">
        <v>0</v>
      </c>
      <c r="M148" s="124">
        <v>0</v>
      </c>
      <c r="N148" s="124">
        <v>0</v>
      </c>
      <c r="O148" s="124">
        <v>0</v>
      </c>
      <c r="P148" s="124">
        <v>0</v>
      </c>
      <c r="Q148" s="124">
        <v>0</v>
      </c>
      <c r="R148" s="124">
        <v>0</v>
      </c>
      <c r="S148" s="124">
        <v>0</v>
      </c>
      <c r="T148" s="124">
        <v>0</v>
      </c>
      <c r="U148" s="124">
        <v>0</v>
      </c>
      <c r="V148" s="124">
        <v>0</v>
      </c>
      <c r="W148" s="124">
        <v>0</v>
      </c>
      <c r="X148" s="124">
        <v>0</v>
      </c>
      <c r="Y148" s="124">
        <v>0</v>
      </c>
      <c r="Z148" s="124">
        <v>0</v>
      </c>
      <c r="AA148" s="124">
        <v>0</v>
      </c>
      <c r="AB148" s="124">
        <v>0</v>
      </c>
      <c r="AC148" s="124">
        <v>0</v>
      </c>
      <c r="AD148" s="124">
        <v>0</v>
      </c>
      <c r="AE148" s="124">
        <v>0</v>
      </c>
      <c r="AF148" s="124">
        <v>0</v>
      </c>
      <c r="AG148" s="124">
        <v>0</v>
      </c>
      <c r="AH148" s="124">
        <v>0</v>
      </c>
      <c r="AI148" s="124">
        <v>0</v>
      </c>
      <c r="AJ148" s="124">
        <v>0</v>
      </c>
      <c r="AK148" s="124">
        <v>0</v>
      </c>
      <c r="AL148" s="124">
        <v>0</v>
      </c>
      <c r="AM148" s="124">
        <v>0</v>
      </c>
      <c r="AN148" s="124">
        <v>0</v>
      </c>
      <c r="AO148" s="124">
        <v>0</v>
      </c>
      <c r="AP148" s="124">
        <v>0</v>
      </c>
      <c r="AQ148" s="124">
        <v>0</v>
      </c>
      <c r="AR148" s="124">
        <v>0</v>
      </c>
      <c r="AS148" s="124">
        <v>0</v>
      </c>
      <c r="AT148" s="124">
        <v>0</v>
      </c>
      <c r="AU148" s="124">
        <v>0</v>
      </c>
      <c r="AV148" s="124">
        <v>0</v>
      </c>
      <c r="AW148" s="124">
        <v>0</v>
      </c>
      <c r="AX148" s="124">
        <v>0</v>
      </c>
      <c r="AY148" s="124">
        <v>0</v>
      </c>
    </row>
    <row r="149" spans="1:51" x14ac:dyDescent="0.2">
      <c r="A149" s="127"/>
      <c r="B149" s="144">
        <v>28</v>
      </c>
      <c r="C149" s="124">
        <v>0</v>
      </c>
      <c r="D149" s="124">
        <v>0</v>
      </c>
      <c r="E149" s="124">
        <v>0</v>
      </c>
      <c r="F149" s="124">
        <v>0</v>
      </c>
      <c r="G149" s="124">
        <v>0</v>
      </c>
      <c r="H149" s="124">
        <v>0</v>
      </c>
      <c r="I149" s="124">
        <v>0</v>
      </c>
      <c r="J149" s="124">
        <v>0</v>
      </c>
      <c r="K149" s="124">
        <v>0</v>
      </c>
      <c r="L149" s="124">
        <v>0</v>
      </c>
      <c r="M149" s="124">
        <v>0</v>
      </c>
      <c r="N149" s="124">
        <v>0</v>
      </c>
      <c r="O149" s="124">
        <v>0</v>
      </c>
      <c r="P149" s="124">
        <v>0</v>
      </c>
      <c r="Q149" s="124">
        <v>0</v>
      </c>
      <c r="R149" s="124">
        <v>0</v>
      </c>
      <c r="S149" s="124">
        <v>0</v>
      </c>
      <c r="T149" s="124">
        <v>0</v>
      </c>
      <c r="U149" s="124">
        <v>0</v>
      </c>
      <c r="V149" s="124">
        <v>0</v>
      </c>
      <c r="W149" s="124">
        <v>0</v>
      </c>
      <c r="X149" s="124">
        <v>0</v>
      </c>
      <c r="Y149" s="124">
        <v>0</v>
      </c>
      <c r="Z149" s="124">
        <v>0</v>
      </c>
      <c r="AA149" s="124">
        <v>0</v>
      </c>
      <c r="AB149" s="124">
        <v>0</v>
      </c>
      <c r="AC149" s="124">
        <v>0</v>
      </c>
      <c r="AD149" s="124">
        <v>0</v>
      </c>
      <c r="AE149" s="124">
        <v>0</v>
      </c>
      <c r="AF149" s="124">
        <v>0</v>
      </c>
      <c r="AG149" s="124">
        <v>0</v>
      </c>
      <c r="AH149" s="124">
        <v>0</v>
      </c>
      <c r="AI149" s="124">
        <v>0</v>
      </c>
      <c r="AJ149" s="124">
        <v>0</v>
      </c>
      <c r="AK149" s="124">
        <v>0</v>
      </c>
      <c r="AL149" s="124">
        <v>0</v>
      </c>
      <c r="AM149" s="124">
        <v>0</v>
      </c>
      <c r="AN149" s="124">
        <v>0</v>
      </c>
      <c r="AO149" s="124">
        <v>0</v>
      </c>
      <c r="AP149" s="124">
        <v>0</v>
      </c>
      <c r="AQ149" s="124">
        <v>0</v>
      </c>
      <c r="AR149" s="124">
        <v>0</v>
      </c>
      <c r="AS149" s="124">
        <v>0</v>
      </c>
      <c r="AT149" s="124">
        <v>0</v>
      </c>
      <c r="AU149" s="124">
        <v>0</v>
      </c>
      <c r="AV149" s="124">
        <v>0</v>
      </c>
      <c r="AW149" s="124">
        <v>0</v>
      </c>
      <c r="AX149" s="124">
        <v>0</v>
      </c>
      <c r="AY149" s="124">
        <v>0</v>
      </c>
    </row>
    <row r="150" spans="1:51" x14ac:dyDescent="0.2">
      <c r="A150" s="127"/>
      <c r="B150" s="144">
        <v>29</v>
      </c>
      <c r="C150" s="124">
        <v>0</v>
      </c>
      <c r="D150" s="124">
        <v>0</v>
      </c>
      <c r="E150" s="124">
        <v>0</v>
      </c>
      <c r="F150" s="124">
        <v>0</v>
      </c>
      <c r="G150" s="124">
        <v>0</v>
      </c>
      <c r="H150" s="124">
        <v>0</v>
      </c>
      <c r="I150" s="124">
        <v>0</v>
      </c>
      <c r="J150" s="124">
        <v>0</v>
      </c>
      <c r="K150" s="124">
        <v>0</v>
      </c>
      <c r="L150" s="124">
        <v>0</v>
      </c>
      <c r="M150" s="124">
        <v>0</v>
      </c>
      <c r="N150" s="124">
        <v>0</v>
      </c>
      <c r="O150" s="124">
        <v>0</v>
      </c>
      <c r="P150" s="124">
        <v>0</v>
      </c>
      <c r="Q150" s="124">
        <v>0</v>
      </c>
      <c r="R150" s="124">
        <v>0</v>
      </c>
      <c r="S150" s="124">
        <v>0</v>
      </c>
      <c r="T150" s="124">
        <v>0</v>
      </c>
      <c r="U150" s="124">
        <v>0</v>
      </c>
      <c r="V150" s="124">
        <v>0</v>
      </c>
      <c r="W150" s="124">
        <v>0</v>
      </c>
      <c r="X150" s="124">
        <v>0</v>
      </c>
      <c r="Y150" s="124">
        <v>0</v>
      </c>
      <c r="Z150" s="124">
        <v>0</v>
      </c>
      <c r="AA150" s="124">
        <v>0</v>
      </c>
      <c r="AB150" s="124">
        <v>0</v>
      </c>
      <c r="AC150" s="124">
        <v>0</v>
      </c>
      <c r="AD150" s="124">
        <v>0</v>
      </c>
      <c r="AE150" s="124">
        <v>0</v>
      </c>
      <c r="AF150" s="124">
        <v>0</v>
      </c>
      <c r="AG150" s="124">
        <v>0</v>
      </c>
      <c r="AH150" s="124">
        <v>0</v>
      </c>
      <c r="AI150" s="124">
        <v>0</v>
      </c>
      <c r="AJ150" s="124">
        <v>0</v>
      </c>
      <c r="AK150" s="124">
        <v>0</v>
      </c>
      <c r="AL150" s="124">
        <v>0</v>
      </c>
      <c r="AM150" s="124">
        <v>0</v>
      </c>
      <c r="AN150" s="124">
        <v>0</v>
      </c>
      <c r="AO150" s="124">
        <v>0</v>
      </c>
      <c r="AP150" s="124">
        <v>0</v>
      </c>
      <c r="AQ150" s="124">
        <v>0</v>
      </c>
      <c r="AR150" s="124">
        <v>0</v>
      </c>
      <c r="AS150" s="124">
        <v>0</v>
      </c>
      <c r="AT150" s="124">
        <v>0</v>
      </c>
      <c r="AU150" s="124">
        <v>0</v>
      </c>
      <c r="AV150" s="124">
        <v>0</v>
      </c>
      <c r="AW150" s="124">
        <v>0</v>
      </c>
      <c r="AX150" s="124">
        <v>0</v>
      </c>
      <c r="AY150" s="124">
        <v>0</v>
      </c>
    </row>
    <row r="151" spans="1:51" x14ac:dyDescent="0.2">
      <c r="A151" s="127"/>
      <c r="B151" s="144">
        <v>30</v>
      </c>
      <c r="C151" s="124">
        <v>0</v>
      </c>
      <c r="D151" s="124">
        <v>0</v>
      </c>
      <c r="E151" s="124">
        <v>0</v>
      </c>
      <c r="F151" s="124">
        <v>0</v>
      </c>
      <c r="G151" s="124">
        <v>0</v>
      </c>
      <c r="H151" s="124">
        <v>0</v>
      </c>
      <c r="I151" s="124">
        <v>0</v>
      </c>
      <c r="J151" s="124">
        <v>0</v>
      </c>
      <c r="K151" s="124">
        <v>0</v>
      </c>
      <c r="L151" s="124">
        <v>0</v>
      </c>
      <c r="M151" s="124">
        <v>0</v>
      </c>
      <c r="N151" s="124">
        <v>0</v>
      </c>
      <c r="O151" s="124">
        <v>0</v>
      </c>
      <c r="P151" s="124">
        <v>0</v>
      </c>
      <c r="Q151" s="124">
        <v>0</v>
      </c>
      <c r="R151" s="124">
        <v>0</v>
      </c>
      <c r="S151" s="124">
        <v>0</v>
      </c>
      <c r="T151" s="124">
        <v>0</v>
      </c>
      <c r="U151" s="124">
        <v>0</v>
      </c>
      <c r="V151" s="124">
        <v>0</v>
      </c>
      <c r="W151" s="124">
        <v>0</v>
      </c>
      <c r="X151" s="124">
        <v>0</v>
      </c>
      <c r="Y151" s="124">
        <v>0</v>
      </c>
      <c r="Z151" s="124">
        <v>0</v>
      </c>
      <c r="AA151" s="124">
        <v>0</v>
      </c>
      <c r="AB151" s="124">
        <v>0</v>
      </c>
      <c r="AC151" s="124">
        <v>0</v>
      </c>
      <c r="AD151" s="124">
        <v>0</v>
      </c>
      <c r="AE151" s="124">
        <v>0</v>
      </c>
      <c r="AF151" s="124">
        <v>0</v>
      </c>
      <c r="AG151" s="124">
        <v>0</v>
      </c>
      <c r="AH151" s="124">
        <v>0</v>
      </c>
      <c r="AI151" s="124">
        <v>0</v>
      </c>
      <c r="AJ151" s="124">
        <v>0</v>
      </c>
      <c r="AK151" s="124">
        <v>0</v>
      </c>
      <c r="AL151" s="124">
        <v>0</v>
      </c>
      <c r="AM151" s="124">
        <v>0</v>
      </c>
      <c r="AN151" s="124">
        <v>0</v>
      </c>
      <c r="AO151" s="124">
        <v>0</v>
      </c>
      <c r="AP151" s="124">
        <v>0</v>
      </c>
      <c r="AQ151" s="124">
        <v>0</v>
      </c>
      <c r="AR151" s="124">
        <v>0</v>
      </c>
      <c r="AS151" s="124">
        <v>0</v>
      </c>
      <c r="AT151" s="124">
        <v>0</v>
      </c>
      <c r="AU151" s="124">
        <v>0</v>
      </c>
      <c r="AV151" s="124">
        <v>0</v>
      </c>
      <c r="AW151" s="124">
        <v>0</v>
      </c>
      <c r="AX151" s="124">
        <v>0</v>
      </c>
      <c r="AY151" s="124">
        <v>0</v>
      </c>
    </row>
    <row r="152" spans="1:51" x14ac:dyDescent="0.2">
      <c r="A152" s="127"/>
      <c r="B152" s="144">
        <v>31</v>
      </c>
      <c r="C152" s="124">
        <v>0</v>
      </c>
      <c r="D152" s="124">
        <v>0</v>
      </c>
      <c r="E152" s="124">
        <v>0</v>
      </c>
      <c r="F152" s="124">
        <v>0</v>
      </c>
      <c r="G152" s="124">
        <v>0</v>
      </c>
      <c r="H152" s="124">
        <v>0</v>
      </c>
      <c r="I152" s="124">
        <v>0</v>
      </c>
      <c r="J152" s="124">
        <v>0</v>
      </c>
      <c r="K152" s="124">
        <v>0</v>
      </c>
      <c r="L152" s="124">
        <v>0</v>
      </c>
      <c r="M152" s="124">
        <v>0</v>
      </c>
      <c r="N152" s="124">
        <v>0</v>
      </c>
      <c r="O152" s="124">
        <v>0</v>
      </c>
      <c r="P152" s="124">
        <v>0</v>
      </c>
      <c r="Q152" s="124">
        <v>0</v>
      </c>
      <c r="R152" s="124">
        <v>0</v>
      </c>
      <c r="S152" s="124">
        <v>0</v>
      </c>
      <c r="T152" s="124">
        <v>0</v>
      </c>
      <c r="U152" s="124">
        <v>0</v>
      </c>
      <c r="V152" s="124">
        <v>0</v>
      </c>
      <c r="W152" s="124">
        <v>0</v>
      </c>
      <c r="X152" s="124">
        <v>0</v>
      </c>
      <c r="Y152" s="124">
        <v>0</v>
      </c>
      <c r="Z152" s="124">
        <v>0</v>
      </c>
      <c r="AA152" s="124">
        <v>0</v>
      </c>
      <c r="AB152" s="124">
        <v>0</v>
      </c>
      <c r="AC152" s="124">
        <v>0</v>
      </c>
      <c r="AD152" s="124">
        <v>0</v>
      </c>
      <c r="AE152" s="124">
        <v>0</v>
      </c>
      <c r="AF152" s="124">
        <v>0</v>
      </c>
      <c r="AG152" s="124">
        <v>0</v>
      </c>
      <c r="AH152" s="124">
        <v>0</v>
      </c>
      <c r="AI152" s="124">
        <v>0</v>
      </c>
      <c r="AJ152" s="124">
        <v>0</v>
      </c>
      <c r="AK152" s="124">
        <v>0</v>
      </c>
      <c r="AL152" s="124">
        <v>0</v>
      </c>
      <c r="AM152" s="124">
        <v>0</v>
      </c>
      <c r="AN152" s="124">
        <v>0</v>
      </c>
      <c r="AO152" s="124">
        <v>0</v>
      </c>
      <c r="AP152" s="124">
        <v>0</v>
      </c>
      <c r="AQ152" s="124">
        <v>0</v>
      </c>
      <c r="AR152" s="124">
        <v>0</v>
      </c>
      <c r="AS152" s="124">
        <v>0</v>
      </c>
      <c r="AT152" s="124">
        <v>0</v>
      </c>
      <c r="AU152" s="124">
        <v>0</v>
      </c>
      <c r="AV152" s="124">
        <v>0</v>
      </c>
      <c r="AW152" s="124">
        <v>0</v>
      </c>
      <c r="AX152" s="124">
        <v>0</v>
      </c>
      <c r="AY152" s="124">
        <v>0</v>
      </c>
    </row>
    <row r="153" spans="1:51" x14ac:dyDescent="0.2">
      <c r="A153" s="127"/>
      <c r="B153" s="144">
        <v>32</v>
      </c>
      <c r="C153" s="124">
        <v>0</v>
      </c>
      <c r="D153" s="124">
        <v>0</v>
      </c>
      <c r="E153" s="124">
        <v>0</v>
      </c>
      <c r="F153" s="124">
        <v>0</v>
      </c>
      <c r="G153" s="124">
        <v>0</v>
      </c>
      <c r="H153" s="124">
        <v>0</v>
      </c>
      <c r="I153" s="124">
        <v>0</v>
      </c>
      <c r="J153" s="124">
        <v>0</v>
      </c>
      <c r="K153" s="124">
        <v>0</v>
      </c>
      <c r="L153" s="124">
        <v>0</v>
      </c>
      <c r="M153" s="124">
        <v>0</v>
      </c>
      <c r="N153" s="124">
        <v>0</v>
      </c>
      <c r="O153" s="124">
        <v>0</v>
      </c>
      <c r="P153" s="124">
        <v>0</v>
      </c>
      <c r="Q153" s="124">
        <v>0</v>
      </c>
      <c r="R153" s="124">
        <v>0</v>
      </c>
      <c r="S153" s="124">
        <v>0</v>
      </c>
      <c r="T153" s="124">
        <v>0</v>
      </c>
      <c r="U153" s="124">
        <v>0</v>
      </c>
      <c r="V153" s="124">
        <v>0</v>
      </c>
      <c r="W153" s="124">
        <v>0</v>
      </c>
      <c r="X153" s="124">
        <v>0</v>
      </c>
      <c r="Y153" s="124">
        <v>0</v>
      </c>
      <c r="Z153" s="124">
        <v>0</v>
      </c>
      <c r="AA153" s="124">
        <v>0</v>
      </c>
      <c r="AB153" s="124">
        <v>0</v>
      </c>
      <c r="AC153" s="124">
        <v>0</v>
      </c>
      <c r="AD153" s="124">
        <v>0</v>
      </c>
      <c r="AE153" s="124">
        <v>0</v>
      </c>
      <c r="AF153" s="124">
        <v>0</v>
      </c>
      <c r="AG153" s="124">
        <v>0</v>
      </c>
      <c r="AH153" s="124">
        <v>0</v>
      </c>
      <c r="AI153" s="124">
        <v>0</v>
      </c>
      <c r="AJ153" s="124">
        <v>0</v>
      </c>
      <c r="AK153" s="124">
        <v>0</v>
      </c>
      <c r="AL153" s="124">
        <v>0</v>
      </c>
      <c r="AM153" s="124">
        <v>0</v>
      </c>
      <c r="AN153" s="124">
        <v>0</v>
      </c>
      <c r="AO153" s="124">
        <v>0</v>
      </c>
      <c r="AP153" s="124">
        <v>0</v>
      </c>
      <c r="AQ153" s="124">
        <v>0</v>
      </c>
      <c r="AR153" s="124">
        <v>0</v>
      </c>
      <c r="AS153" s="124">
        <v>0</v>
      </c>
      <c r="AT153" s="124">
        <v>0</v>
      </c>
      <c r="AU153" s="124">
        <v>0</v>
      </c>
      <c r="AV153" s="124">
        <v>0</v>
      </c>
      <c r="AW153" s="124">
        <v>0</v>
      </c>
      <c r="AX153" s="124">
        <v>0</v>
      </c>
      <c r="AY153" s="124">
        <v>0</v>
      </c>
    </row>
    <row r="154" spans="1:51" x14ac:dyDescent="0.2">
      <c r="A154" s="127"/>
      <c r="B154" s="144">
        <v>33</v>
      </c>
      <c r="C154" s="124">
        <v>0</v>
      </c>
      <c r="D154" s="124">
        <v>0</v>
      </c>
      <c r="E154" s="124">
        <v>0</v>
      </c>
      <c r="F154" s="124">
        <v>0</v>
      </c>
      <c r="G154" s="124">
        <v>0</v>
      </c>
      <c r="H154" s="124">
        <v>0</v>
      </c>
      <c r="I154" s="124">
        <v>0</v>
      </c>
      <c r="J154" s="124">
        <v>0</v>
      </c>
      <c r="K154" s="124">
        <v>0</v>
      </c>
      <c r="L154" s="124">
        <v>0</v>
      </c>
      <c r="M154" s="124">
        <v>0</v>
      </c>
      <c r="N154" s="124">
        <v>0</v>
      </c>
      <c r="O154" s="124">
        <v>0</v>
      </c>
      <c r="P154" s="124">
        <v>0</v>
      </c>
      <c r="Q154" s="124">
        <v>0</v>
      </c>
      <c r="R154" s="124">
        <v>0</v>
      </c>
      <c r="S154" s="124">
        <v>0</v>
      </c>
      <c r="T154" s="124">
        <v>0</v>
      </c>
      <c r="U154" s="124">
        <v>0</v>
      </c>
      <c r="V154" s="124">
        <v>0</v>
      </c>
      <c r="W154" s="124">
        <v>0</v>
      </c>
      <c r="X154" s="124">
        <v>0</v>
      </c>
      <c r="Y154" s="124">
        <v>0</v>
      </c>
      <c r="Z154" s="124">
        <v>0</v>
      </c>
      <c r="AA154" s="124">
        <v>0</v>
      </c>
      <c r="AB154" s="124">
        <v>0</v>
      </c>
      <c r="AC154" s="124">
        <v>0</v>
      </c>
      <c r="AD154" s="124">
        <v>0</v>
      </c>
      <c r="AE154" s="124">
        <v>0</v>
      </c>
      <c r="AF154" s="124">
        <v>0</v>
      </c>
      <c r="AG154" s="124">
        <v>0</v>
      </c>
      <c r="AH154" s="124">
        <v>0</v>
      </c>
      <c r="AI154" s="124">
        <v>0</v>
      </c>
      <c r="AJ154" s="124">
        <v>0</v>
      </c>
      <c r="AK154" s="124">
        <v>0</v>
      </c>
      <c r="AL154" s="124">
        <v>0</v>
      </c>
      <c r="AM154" s="124">
        <v>0</v>
      </c>
      <c r="AN154" s="124">
        <v>0</v>
      </c>
      <c r="AO154" s="124">
        <v>0</v>
      </c>
      <c r="AP154" s="124">
        <v>0</v>
      </c>
      <c r="AQ154" s="124">
        <v>0</v>
      </c>
      <c r="AR154" s="124">
        <v>0</v>
      </c>
      <c r="AS154" s="124">
        <v>0</v>
      </c>
      <c r="AT154" s="124">
        <v>0</v>
      </c>
      <c r="AU154" s="124">
        <v>0</v>
      </c>
      <c r="AV154" s="124">
        <v>0</v>
      </c>
      <c r="AW154" s="124">
        <v>0</v>
      </c>
      <c r="AX154" s="124">
        <v>0</v>
      </c>
      <c r="AY154" s="124">
        <v>0</v>
      </c>
    </row>
    <row r="155" spans="1:51" x14ac:dyDescent="0.2">
      <c r="A155" s="127"/>
      <c r="B155" s="144">
        <v>34</v>
      </c>
      <c r="C155" s="124">
        <v>0</v>
      </c>
      <c r="D155" s="124">
        <v>0</v>
      </c>
      <c r="E155" s="124">
        <v>0</v>
      </c>
      <c r="F155" s="124">
        <v>0</v>
      </c>
      <c r="G155" s="124">
        <v>0</v>
      </c>
      <c r="H155" s="124">
        <v>0</v>
      </c>
      <c r="I155" s="124">
        <v>0</v>
      </c>
      <c r="J155" s="124">
        <v>0</v>
      </c>
      <c r="K155" s="124">
        <v>0</v>
      </c>
      <c r="L155" s="124">
        <v>0</v>
      </c>
      <c r="M155" s="124">
        <v>0</v>
      </c>
      <c r="N155" s="124">
        <v>0</v>
      </c>
      <c r="O155" s="124">
        <v>0</v>
      </c>
      <c r="P155" s="124">
        <v>0</v>
      </c>
      <c r="Q155" s="124">
        <v>0</v>
      </c>
      <c r="R155" s="124">
        <v>0</v>
      </c>
      <c r="S155" s="124">
        <v>0</v>
      </c>
      <c r="T155" s="124">
        <v>0</v>
      </c>
      <c r="U155" s="124">
        <v>0</v>
      </c>
      <c r="V155" s="124">
        <v>0</v>
      </c>
      <c r="W155" s="124">
        <v>0</v>
      </c>
      <c r="X155" s="124">
        <v>0</v>
      </c>
      <c r="Y155" s="124">
        <v>0</v>
      </c>
      <c r="Z155" s="124">
        <v>0</v>
      </c>
      <c r="AA155" s="124">
        <v>0</v>
      </c>
      <c r="AB155" s="124">
        <v>0</v>
      </c>
      <c r="AC155" s="124">
        <v>0</v>
      </c>
      <c r="AD155" s="124">
        <v>0</v>
      </c>
      <c r="AE155" s="124">
        <v>0</v>
      </c>
      <c r="AF155" s="124">
        <v>0</v>
      </c>
      <c r="AG155" s="124">
        <v>0</v>
      </c>
      <c r="AH155" s="124">
        <v>0</v>
      </c>
      <c r="AI155" s="124">
        <v>0</v>
      </c>
      <c r="AJ155" s="124">
        <v>0</v>
      </c>
      <c r="AK155" s="124">
        <v>0</v>
      </c>
      <c r="AL155" s="124">
        <v>0</v>
      </c>
      <c r="AM155" s="124">
        <v>0</v>
      </c>
      <c r="AN155" s="124">
        <v>0</v>
      </c>
      <c r="AO155" s="124">
        <v>0</v>
      </c>
      <c r="AP155" s="124">
        <v>0</v>
      </c>
      <c r="AQ155" s="124">
        <v>0</v>
      </c>
      <c r="AR155" s="124">
        <v>0</v>
      </c>
      <c r="AS155" s="124">
        <v>0</v>
      </c>
      <c r="AT155" s="124">
        <v>0</v>
      </c>
      <c r="AU155" s="124">
        <v>0</v>
      </c>
      <c r="AV155" s="124">
        <v>0</v>
      </c>
      <c r="AW155" s="124">
        <v>0</v>
      </c>
      <c r="AX155" s="124">
        <v>0</v>
      </c>
      <c r="AY155" s="124">
        <v>0</v>
      </c>
    </row>
    <row r="156" spans="1:51" x14ac:dyDescent="0.2">
      <c r="A156" s="127"/>
      <c r="B156" s="144">
        <v>35</v>
      </c>
      <c r="C156" s="124">
        <v>0</v>
      </c>
      <c r="D156" s="124">
        <v>0</v>
      </c>
      <c r="E156" s="124">
        <v>0</v>
      </c>
      <c r="F156" s="124">
        <v>0</v>
      </c>
      <c r="G156" s="124">
        <v>0</v>
      </c>
      <c r="H156" s="124">
        <v>0</v>
      </c>
      <c r="I156" s="124">
        <v>0</v>
      </c>
      <c r="J156" s="124">
        <v>0</v>
      </c>
      <c r="K156" s="124">
        <v>0</v>
      </c>
      <c r="L156" s="124">
        <v>0</v>
      </c>
      <c r="M156" s="124">
        <v>0</v>
      </c>
      <c r="N156" s="124">
        <v>0</v>
      </c>
      <c r="O156" s="124">
        <v>0</v>
      </c>
      <c r="P156" s="124">
        <v>0</v>
      </c>
      <c r="Q156" s="124">
        <v>0</v>
      </c>
      <c r="R156" s="124">
        <v>0</v>
      </c>
      <c r="S156" s="124">
        <v>0</v>
      </c>
      <c r="T156" s="124">
        <v>0</v>
      </c>
      <c r="U156" s="124">
        <v>0</v>
      </c>
      <c r="V156" s="124">
        <v>0</v>
      </c>
      <c r="W156" s="124">
        <v>0</v>
      </c>
      <c r="X156" s="124">
        <v>0</v>
      </c>
      <c r="Y156" s="124">
        <v>0</v>
      </c>
      <c r="Z156" s="124">
        <v>0</v>
      </c>
      <c r="AA156" s="124">
        <v>0</v>
      </c>
      <c r="AB156" s="124">
        <v>0</v>
      </c>
      <c r="AC156" s="124">
        <v>0</v>
      </c>
      <c r="AD156" s="124">
        <v>0</v>
      </c>
      <c r="AE156" s="124">
        <v>0</v>
      </c>
      <c r="AF156" s="124">
        <v>0</v>
      </c>
      <c r="AG156" s="124">
        <v>0</v>
      </c>
      <c r="AH156" s="124">
        <v>0</v>
      </c>
      <c r="AI156" s="124">
        <v>0</v>
      </c>
      <c r="AJ156" s="124">
        <v>0</v>
      </c>
      <c r="AK156" s="124">
        <v>0</v>
      </c>
      <c r="AL156" s="124">
        <v>0</v>
      </c>
      <c r="AM156" s="124">
        <v>0</v>
      </c>
      <c r="AN156" s="124">
        <v>0</v>
      </c>
      <c r="AO156" s="124">
        <v>0</v>
      </c>
      <c r="AP156" s="124">
        <v>0</v>
      </c>
      <c r="AQ156" s="124">
        <v>0</v>
      </c>
      <c r="AR156" s="124">
        <v>0</v>
      </c>
      <c r="AS156" s="124">
        <v>0</v>
      </c>
      <c r="AT156" s="124">
        <v>0</v>
      </c>
      <c r="AU156" s="124">
        <v>0</v>
      </c>
      <c r="AV156" s="124">
        <v>0</v>
      </c>
      <c r="AW156" s="124">
        <v>0</v>
      </c>
      <c r="AX156" s="124">
        <v>0</v>
      </c>
      <c r="AY156" s="124">
        <v>0</v>
      </c>
    </row>
    <row r="157" spans="1:51" x14ac:dyDescent="0.2">
      <c r="A157" s="127"/>
      <c r="B157" s="144">
        <v>36</v>
      </c>
      <c r="C157" s="124">
        <v>0</v>
      </c>
      <c r="D157" s="124">
        <v>0</v>
      </c>
      <c r="E157" s="124">
        <v>0</v>
      </c>
      <c r="F157" s="124">
        <v>0</v>
      </c>
      <c r="G157" s="124">
        <v>0</v>
      </c>
      <c r="H157" s="124">
        <v>0</v>
      </c>
      <c r="I157" s="124">
        <v>0</v>
      </c>
      <c r="J157" s="124">
        <v>0</v>
      </c>
      <c r="K157" s="124">
        <v>0</v>
      </c>
      <c r="L157" s="124">
        <v>0</v>
      </c>
      <c r="M157" s="124">
        <v>0</v>
      </c>
      <c r="N157" s="124">
        <v>0</v>
      </c>
      <c r="O157" s="124">
        <v>0</v>
      </c>
      <c r="P157" s="124">
        <v>0</v>
      </c>
      <c r="Q157" s="124">
        <v>0</v>
      </c>
      <c r="R157" s="124">
        <v>0</v>
      </c>
      <c r="S157" s="124">
        <v>0</v>
      </c>
      <c r="T157" s="124">
        <v>0</v>
      </c>
      <c r="U157" s="124">
        <v>0</v>
      </c>
      <c r="V157" s="124">
        <v>0</v>
      </c>
      <c r="W157" s="124">
        <v>0</v>
      </c>
      <c r="X157" s="124">
        <v>0</v>
      </c>
      <c r="Y157" s="124">
        <v>0</v>
      </c>
      <c r="Z157" s="124">
        <v>0</v>
      </c>
      <c r="AA157" s="124">
        <v>0</v>
      </c>
      <c r="AB157" s="124">
        <v>0</v>
      </c>
      <c r="AC157" s="124">
        <v>0</v>
      </c>
      <c r="AD157" s="124">
        <v>0</v>
      </c>
      <c r="AE157" s="124">
        <v>0</v>
      </c>
      <c r="AF157" s="124">
        <v>0</v>
      </c>
      <c r="AG157" s="124">
        <v>0</v>
      </c>
      <c r="AH157" s="124">
        <v>0</v>
      </c>
      <c r="AI157" s="124">
        <v>0</v>
      </c>
      <c r="AJ157" s="124">
        <v>0</v>
      </c>
      <c r="AK157" s="124">
        <v>0</v>
      </c>
      <c r="AL157" s="124">
        <v>0</v>
      </c>
      <c r="AM157" s="124">
        <v>0</v>
      </c>
      <c r="AN157" s="124">
        <v>0</v>
      </c>
      <c r="AO157" s="124">
        <v>0</v>
      </c>
      <c r="AP157" s="124">
        <v>0</v>
      </c>
      <c r="AQ157" s="124">
        <v>0</v>
      </c>
      <c r="AR157" s="124">
        <v>0</v>
      </c>
      <c r="AS157" s="124">
        <v>0</v>
      </c>
      <c r="AT157" s="124">
        <v>0</v>
      </c>
      <c r="AU157" s="124">
        <v>0</v>
      </c>
      <c r="AV157" s="124">
        <v>0</v>
      </c>
      <c r="AW157" s="124">
        <v>0</v>
      </c>
      <c r="AX157" s="124">
        <v>0</v>
      </c>
      <c r="AY157" s="124">
        <v>0</v>
      </c>
    </row>
    <row r="158" spans="1:51" x14ac:dyDescent="0.2">
      <c r="A158" s="127"/>
      <c r="B158" s="147">
        <v>37</v>
      </c>
      <c r="C158" s="124">
        <v>0</v>
      </c>
      <c r="D158" s="124">
        <v>0</v>
      </c>
      <c r="E158" s="124">
        <v>0</v>
      </c>
      <c r="F158" s="124">
        <v>0</v>
      </c>
      <c r="G158" s="124">
        <v>0</v>
      </c>
      <c r="H158" s="124">
        <v>0</v>
      </c>
      <c r="I158" s="124">
        <v>0</v>
      </c>
      <c r="J158" s="124">
        <v>0</v>
      </c>
      <c r="K158" s="124">
        <v>0</v>
      </c>
      <c r="L158" s="124">
        <v>0</v>
      </c>
      <c r="M158" s="124">
        <v>0</v>
      </c>
      <c r="N158" s="124">
        <v>0</v>
      </c>
      <c r="O158" s="124">
        <v>0</v>
      </c>
      <c r="P158" s="124">
        <v>0</v>
      </c>
      <c r="Q158" s="124">
        <v>0</v>
      </c>
      <c r="R158" s="124">
        <v>0</v>
      </c>
      <c r="S158" s="124">
        <v>0</v>
      </c>
      <c r="T158" s="124">
        <v>0</v>
      </c>
      <c r="U158" s="124">
        <v>0</v>
      </c>
      <c r="V158" s="124">
        <v>0</v>
      </c>
      <c r="W158" s="124">
        <v>0</v>
      </c>
      <c r="X158" s="124">
        <v>0</v>
      </c>
      <c r="Y158" s="124">
        <v>0</v>
      </c>
      <c r="Z158" s="124">
        <v>0</v>
      </c>
      <c r="AA158" s="124">
        <v>0</v>
      </c>
      <c r="AB158" s="124">
        <v>0</v>
      </c>
      <c r="AC158" s="124">
        <v>0</v>
      </c>
      <c r="AD158" s="124">
        <v>0</v>
      </c>
      <c r="AE158" s="124">
        <v>0</v>
      </c>
      <c r="AF158" s="124">
        <v>0</v>
      </c>
      <c r="AG158" s="124">
        <v>0</v>
      </c>
      <c r="AH158" s="124">
        <v>0</v>
      </c>
      <c r="AI158" s="124">
        <v>0</v>
      </c>
      <c r="AJ158" s="124">
        <v>0</v>
      </c>
      <c r="AK158" s="124">
        <v>0</v>
      </c>
      <c r="AL158" s="124">
        <v>0</v>
      </c>
      <c r="AM158" s="124">
        <v>0</v>
      </c>
      <c r="AN158" s="124">
        <v>0</v>
      </c>
      <c r="AO158" s="124">
        <v>0</v>
      </c>
      <c r="AP158" s="124">
        <v>0</v>
      </c>
      <c r="AQ158" s="124">
        <v>0</v>
      </c>
      <c r="AR158" s="124">
        <v>0</v>
      </c>
      <c r="AS158" s="124">
        <v>0</v>
      </c>
      <c r="AT158" s="124">
        <v>0</v>
      </c>
      <c r="AU158" s="124">
        <v>0</v>
      </c>
      <c r="AV158" s="124">
        <v>0</v>
      </c>
      <c r="AW158" s="124">
        <v>0</v>
      </c>
      <c r="AX158" s="124">
        <v>0</v>
      </c>
      <c r="AY158" s="124">
        <v>0</v>
      </c>
    </row>
    <row r="159" spans="1:51" x14ac:dyDescent="0.2">
      <c r="A159" s="127"/>
      <c r="B159" s="147">
        <v>38</v>
      </c>
      <c r="C159" s="124">
        <v>0</v>
      </c>
      <c r="D159" s="124">
        <v>0</v>
      </c>
      <c r="E159" s="124">
        <v>0</v>
      </c>
      <c r="F159" s="124">
        <v>0</v>
      </c>
      <c r="G159" s="124">
        <v>0</v>
      </c>
      <c r="H159" s="124">
        <v>0</v>
      </c>
      <c r="I159" s="124">
        <v>0</v>
      </c>
      <c r="J159" s="124">
        <v>0</v>
      </c>
      <c r="K159" s="124">
        <v>0</v>
      </c>
      <c r="L159" s="124">
        <v>0</v>
      </c>
      <c r="M159" s="124">
        <v>0</v>
      </c>
      <c r="N159" s="124">
        <v>0</v>
      </c>
      <c r="O159" s="124">
        <v>0</v>
      </c>
      <c r="P159" s="124">
        <v>0</v>
      </c>
      <c r="Q159" s="124">
        <v>0</v>
      </c>
      <c r="R159" s="124">
        <v>0</v>
      </c>
      <c r="S159" s="124">
        <v>0</v>
      </c>
      <c r="T159" s="124">
        <v>0</v>
      </c>
      <c r="U159" s="124">
        <v>0</v>
      </c>
      <c r="V159" s="124">
        <v>0</v>
      </c>
      <c r="W159" s="124">
        <v>0</v>
      </c>
      <c r="X159" s="124">
        <v>0</v>
      </c>
      <c r="Y159" s="124">
        <v>0</v>
      </c>
      <c r="Z159" s="124">
        <v>0</v>
      </c>
      <c r="AA159" s="124">
        <v>0</v>
      </c>
      <c r="AB159" s="124">
        <v>0</v>
      </c>
      <c r="AC159" s="124">
        <v>0</v>
      </c>
      <c r="AD159" s="124">
        <v>0</v>
      </c>
      <c r="AE159" s="124">
        <v>0</v>
      </c>
      <c r="AF159" s="124">
        <v>0</v>
      </c>
      <c r="AG159" s="124">
        <v>0</v>
      </c>
      <c r="AH159" s="124">
        <v>0</v>
      </c>
      <c r="AI159" s="124">
        <v>0</v>
      </c>
      <c r="AJ159" s="124">
        <v>0</v>
      </c>
      <c r="AK159" s="124">
        <v>0</v>
      </c>
      <c r="AL159" s="124">
        <v>0</v>
      </c>
      <c r="AM159" s="124">
        <v>0</v>
      </c>
      <c r="AN159" s="124">
        <v>0</v>
      </c>
      <c r="AO159" s="124">
        <v>0</v>
      </c>
      <c r="AP159" s="124">
        <v>0</v>
      </c>
      <c r="AQ159" s="124">
        <v>0</v>
      </c>
      <c r="AR159" s="124">
        <v>0</v>
      </c>
      <c r="AS159" s="124">
        <v>0</v>
      </c>
      <c r="AT159" s="124">
        <v>0</v>
      </c>
      <c r="AU159" s="124">
        <v>0</v>
      </c>
      <c r="AV159" s="124">
        <v>0</v>
      </c>
      <c r="AW159" s="124">
        <v>0</v>
      </c>
      <c r="AX159" s="124">
        <v>0</v>
      </c>
      <c r="AY159" s="124">
        <v>0</v>
      </c>
    </row>
    <row r="160" spans="1:51" x14ac:dyDescent="0.2">
      <c r="A160" s="127"/>
      <c r="B160" s="147">
        <v>39</v>
      </c>
      <c r="C160" s="124">
        <v>0</v>
      </c>
      <c r="D160" s="124">
        <v>0</v>
      </c>
      <c r="E160" s="124">
        <v>0</v>
      </c>
      <c r="F160" s="124">
        <v>0</v>
      </c>
      <c r="G160" s="124">
        <v>0</v>
      </c>
      <c r="H160" s="124">
        <v>0</v>
      </c>
      <c r="I160" s="124">
        <v>0</v>
      </c>
      <c r="J160" s="124">
        <v>0</v>
      </c>
      <c r="K160" s="124">
        <v>0</v>
      </c>
      <c r="L160" s="124">
        <v>0</v>
      </c>
      <c r="M160" s="124">
        <v>0</v>
      </c>
      <c r="N160" s="124">
        <v>0</v>
      </c>
      <c r="O160" s="124">
        <v>0</v>
      </c>
      <c r="P160" s="124">
        <v>0</v>
      </c>
      <c r="Q160" s="124">
        <v>0</v>
      </c>
      <c r="R160" s="124">
        <v>0</v>
      </c>
      <c r="S160" s="124">
        <v>0</v>
      </c>
      <c r="T160" s="124">
        <v>0</v>
      </c>
      <c r="U160" s="124">
        <v>0</v>
      </c>
      <c r="V160" s="124">
        <v>0</v>
      </c>
      <c r="W160" s="124">
        <v>0</v>
      </c>
      <c r="X160" s="124">
        <v>0</v>
      </c>
      <c r="Y160" s="124">
        <v>0</v>
      </c>
      <c r="Z160" s="124">
        <v>0</v>
      </c>
      <c r="AA160" s="124">
        <v>0</v>
      </c>
      <c r="AB160" s="124">
        <v>0</v>
      </c>
      <c r="AC160" s="124">
        <v>0</v>
      </c>
      <c r="AD160" s="124">
        <v>0</v>
      </c>
      <c r="AE160" s="124">
        <v>0</v>
      </c>
      <c r="AF160" s="124">
        <v>0</v>
      </c>
      <c r="AG160" s="124">
        <v>0</v>
      </c>
      <c r="AH160" s="124">
        <v>0</v>
      </c>
      <c r="AI160" s="124">
        <v>0</v>
      </c>
      <c r="AJ160" s="124">
        <v>0</v>
      </c>
      <c r="AK160" s="124">
        <v>0</v>
      </c>
      <c r="AL160" s="124">
        <v>0</v>
      </c>
      <c r="AM160" s="124">
        <v>0</v>
      </c>
      <c r="AN160" s="124">
        <v>0</v>
      </c>
      <c r="AO160" s="124">
        <v>0</v>
      </c>
      <c r="AP160" s="124">
        <v>0</v>
      </c>
      <c r="AQ160" s="124">
        <v>0</v>
      </c>
      <c r="AR160" s="124">
        <v>0</v>
      </c>
      <c r="AS160" s="124">
        <v>0</v>
      </c>
      <c r="AT160" s="124">
        <v>0</v>
      </c>
      <c r="AU160" s="124">
        <v>0</v>
      </c>
      <c r="AV160" s="124">
        <v>0</v>
      </c>
      <c r="AW160" s="124">
        <v>0</v>
      </c>
      <c r="AX160" s="124">
        <v>0</v>
      </c>
      <c r="AY160" s="124">
        <v>0</v>
      </c>
    </row>
    <row r="161" spans="1:52" x14ac:dyDescent="0.2">
      <c r="A161" s="127"/>
      <c r="B161" s="147">
        <v>40</v>
      </c>
      <c r="C161" s="124">
        <v>0</v>
      </c>
      <c r="D161" s="124">
        <v>0</v>
      </c>
      <c r="E161" s="124">
        <v>0</v>
      </c>
      <c r="F161" s="124">
        <v>0</v>
      </c>
      <c r="G161" s="124">
        <v>0</v>
      </c>
      <c r="H161" s="124">
        <v>0</v>
      </c>
      <c r="I161" s="124">
        <v>0</v>
      </c>
      <c r="J161" s="124">
        <v>0</v>
      </c>
      <c r="K161" s="124">
        <v>0</v>
      </c>
      <c r="L161" s="124">
        <v>0</v>
      </c>
      <c r="M161" s="124">
        <v>0</v>
      </c>
      <c r="N161" s="124">
        <v>0</v>
      </c>
      <c r="O161" s="124">
        <v>0</v>
      </c>
      <c r="P161" s="124">
        <v>0</v>
      </c>
      <c r="Q161" s="124">
        <v>0</v>
      </c>
      <c r="R161" s="124">
        <v>0</v>
      </c>
      <c r="S161" s="124">
        <v>0</v>
      </c>
      <c r="T161" s="124">
        <v>0</v>
      </c>
      <c r="U161" s="124">
        <v>0</v>
      </c>
      <c r="V161" s="124">
        <v>0</v>
      </c>
      <c r="W161" s="124">
        <v>0</v>
      </c>
      <c r="X161" s="124">
        <v>0</v>
      </c>
      <c r="Y161" s="124">
        <v>0</v>
      </c>
      <c r="Z161" s="124">
        <v>0</v>
      </c>
      <c r="AA161" s="124">
        <v>0</v>
      </c>
      <c r="AB161" s="124">
        <v>0</v>
      </c>
      <c r="AC161" s="124">
        <v>0</v>
      </c>
      <c r="AD161" s="124">
        <v>0</v>
      </c>
      <c r="AE161" s="124">
        <v>0</v>
      </c>
      <c r="AF161" s="124">
        <v>0</v>
      </c>
      <c r="AG161" s="124">
        <v>0</v>
      </c>
      <c r="AH161" s="124">
        <v>0</v>
      </c>
      <c r="AI161" s="124">
        <v>0</v>
      </c>
      <c r="AJ161" s="124">
        <v>0</v>
      </c>
      <c r="AK161" s="124">
        <v>0</v>
      </c>
      <c r="AL161" s="124">
        <v>0</v>
      </c>
      <c r="AM161" s="124">
        <v>0</v>
      </c>
      <c r="AN161" s="124">
        <v>0</v>
      </c>
      <c r="AO161" s="124">
        <v>0</v>
      </c>
      <c r="AP161" s="124">
        <v>0</v>
      </c>
      <c r="AQ161" s="124">
        <v>0</v>
      </c>
      <c r="AR161" s="124">
        <v>0</v>
      </c>
      <c r="AS161" s="124">
        <v>0</v>
      </c>
      <c r="AT161" s="124">
        <v>0</v>
      </c>
      <c r="AU161" s="124">
        <v>0</v>
      </c>
      <c r="AV161" s="124">
        <v>0</v>
      </c>
      <c r="AW161" s="124">
        <v>0</v>
      </c>
      <c r="AX161" s="124">
        <v>0</v>
      </c>
      <c r="AY161" s="124">
        <v>0</v>
      </c>
    </row>
    <row r="162" spans="1:52" x14ac:dyDescent="0.2">
      <c r="A162" s="127"/>
      <c r="B162" s="147">
        <v>41</v>
      </c>
      <c r="C162" s="124">
        <v>0</v>
      </c>
      <c r="D162" s="124">
        <v>0</v>
      </c>
      <c r="E162" s="124">
        <v>0</v>
      </c>
      <c r="F162" s="124">
        <v>0</v>
      </c>
      <c r="G162" s="124">
        <v>0</v>
      </c>
      <c r="H162" s="124">
        <v>0</v>
      </c>
      <c r="I162" s="124">
        <v>0</v>
      </c>
      <c r="J162" s="124">
        <v>0</v>
      </c>
      <c r="K162" s="124">
        <v>0</v>
      </c>
      <c r="L162" s="124">
        <v>0</v>
      </c>
      <c r="M162" s="124">
        <v>0</v>
      </c>
      <c r="N162" s="124">
        <v>0</v>
      </c>
      <c r="O162" s="124">
        <v>0</v>
      </c>
      <c r="P162" s="124">
        <v>0</v>
      </c>
      <c r="Q162" s="124">
        <v>0</v>
      </c>
      <c r="R162" s="124">
        <v>0</v>
      </c>
      <c r="S162" s="124">
        <v>0</v>
      </c>
      <c r="T162" s="124">
        <v>0</v>
      </c>
      <c r="U162" s="124">
        <v>0</v>
      </c>
      <c r="V162" s="124">
        <v>0</v>
      </c>
      <c r="W162" s="124">
        <v>0</v>
      </c>
      <c r="X162" s="124">
        <v>0</v>
      </c>
      <c r="Y162" s="124">
        <v>0</v>
      </c>
      <c r="Z162" s="124">
        <v>0</v>
      </c>
      <c r="AA162" s="124">
        <v>0</v>
      </c>
      <c r="AB162" s="124">
        <v>0</v>
      </c>
      <c r="AC162" s="124">
        <v>0</v>
      </c>
      <c r="AD162" s="124">
        <v>0</v>
      </c>
      <c r="AE162" s="124">
        <v>0</v>
      </c>
      <c r="AF162" s="124">
        <v>0</v>
      </c>
      <c r="AG162" s="124">
        <v>0</v>
      </c>
      <c r="AH162" s="124">
        <v>0</v>
      </c>
      <c r="AI162" s="124">
        <v>0</v>
      </c>
      <c r="AJ162" s="124">
        <v>0</v>
      </c>
      <c r="AK162" s="124">
        <v>0</v>
      </c>
      <c r="AL162" s="124">
        <v>0</v>
      </c>
      <c r="AM162" s="124">
        <v>0</v>
      </c>
      <c r="AN162" s="124">
        <v>0</v>
      </c>
      <c r="AO162" s="124">
        <v>0</v>
      </c>
      <c r="AP162" s="124">
        <v>0</v>
      </c>
      <c r="AQ162" s="124">
        <v>0</v>
      </c>
      <c r="AR162" s="124">
        <v>0</v>
      </c>
      <c r="AS162" s="124">
        <v>0</v>
      </c>
      <c r="AT162" s="124">
        <v>0</v>
      </c>
      <c r="AU162" s="124">
        <v>0</v>
      </c>
      <c r="AV162" s="124">
        <v>0</v>
      </c>
      <c r="AW162" s="124">
        <v>0</v>
      </c>
      <c r="AX162" s="124">
        <v>0</v>
      </c>
      <c r="AY162" s="124">
        <v>0</v>
      </c>
    </row>
    <row r="163" spans="1:52" x14ac:dyDescent="0.2">
      <c r="A163" s="127"/>
      <c r="B163" s="147">
        <v>42</v>
      </c>
      <c r="C163" s="124">
        <v>0</v>
      </c>
      <c r="D163" s="124">
        <v>0</v>
      </c>
      <c r="E163" s="124">
        <v>0</v>
      </c>
      <c r="F163" s="124">
        <v>0</v>
      </c>
      <c r="G163" s="124">
        <v>0</v>
      </c>
      <c r="H163" s="124">
        <v>0</v>
      </c>
      <c r="I163" s="124">
        <v>0</v>
      </c>
      <c r="J163" s="124">
        <v>0</v>
      </c>
      <c r="K163" s="124">
        <v>0</v>
      </c>
      <c r="L163" s="124">
        <v>0</v>
      </c>
      <c r="M163" s="124">
        <v>0</v>
      </c>
      <c r="N163" s="124">
        <v>0</v>
      </c>
      <c r="O163" s="124">
        <v>0</v>
      </c>
      <c r="P163" s="124">
        <v>0</v>
      </c>
      <c r="Q163" s="124">
        <v>0</v>
      </c>
      <c r="R163" s="124">
        <v>0</v>
      </c>
      <c r="S163" s="124">
        <v>0</v>
      </c>
      <c r="T163" s="124">
        <v>0</v>
      </c>
      <c r="U163" s="124">
        <v>0</v>
      </c>
      <c r="V163" s="124">
        <v>0</v>
      </c>
      <c r="W163" s="124">
        <v>0</v>
      </c>
      <c r="X163" s="124">
        <v>0</v>
      </c>
      <c r="Y163" s="124">
        <v>0</v>
      </c>
      <c r="Z163" s="124">
        <v>0</v>
      </c>
      <c r="AA163" s="124">
        <v>0</v>
      </c>
      <c r="AB163" s="124">
        <v>0</v>
      </c>
      <c r="AC163" s="124">
        <v>0</v>
      </c>
      <c r="AD163" s="124">
        <v>0</v>
      </c>
      <c r="AE163" s="124">
        <v>0</v>
      </c>
      <c r="AF163" s="124">
        <v>0</v>
      </c>
      <c r="AG163" s="124">
        <v>0</v>
      </c>
      <c r="AH163" s="124">
        <v>0</v>
      </c>
      <c r="AI163" s="124">
        <v>0</v>
      </c>
      <c r="AJ163" s="124">
        <v>0</v>
      </c>
      <c r="AK163" s="124">
        <v>0</v>
      </c>
      <c r="AL163" s="124">
        <v>0</v>
      </c>
      <c r="AM163" s="124">
        <v>0</v>
      </c>
      <c r="AN163" s="124">
        <v>0</v>
      </c>
      <c r="AO163" s="124">
        <v>0</v>
      </c>
      <c r="AP163" s="124">
        <v>0</v>
      </c>
      <c r="AQ163" s="124">
        <v>0</v>
      </c>
      <c r="AR163" s="124">
        <v>0</v>
      </c>
      <c r="AS163" s="124">
        <v>0</v>
      </c>
      <c r="AT163" s="124">
        <v>0</v>
      </c>
      <c r="AU163" s="124">
        <v>0</v>
      </c>
      <c r="AV163" s="124">
        <v>0</v>
      </c>
      <c r="AW163" s="124">
        <v>0</v>
      </c>
      <c r="AX163" s="124">
        <v>0</v>
      </c>
      <c r="AY163" s="124">
        <v>0</v>
      </c>
    </row>
    <row r="164" spans="1:52" x14ac:dyDescent="0.2">
      <c r="A164" s="127"/>
      <c r="B164" s="147">
        <v>43</v>
      </c>
      <c r="C164" s="124">
        <v>0</v>
      </c>
      <c r="D164" s="124">
        <v>0</v>
      </c>
      <c r="E164" s="124">
        <v>0</v>
      </c>
      <c r="F164" s="124">
        <v>0</v>
      </c>
      <c r="G164" s="124">
        <v>0</v>
      </c>
      <c r="H164" s="124">
        <v>0</v>
      </c>
      <c r="I164" s="124">
        <v>0</v>
      </c>
      <c r="J164" s="124">
        <v>0</v>
      </c>
      <c r="K164" s="124">
        <v>0</v>
      </c>
      <c r="L164" s="124">
        <v>0</v>
      </c>
      <c r="M164" s="124">
        <v>0</v>
      </c>
      <c r="N164" s="124">
        <v>0</v>
      </c>
      <c r="O164" s="124">
        <v>0</v>
      </c>
      <c r="P164" s="124">
        <v>0</v>
      </c>
      <c r="Q164" s="124">
        <v>0</v>
      </c>
      <c r="R164" s="124">
        <v>0</v>
      </c>
      <c r="S164" s="124">
        <v>0</v>
      </c>
      <c r="T164" s="124">
        <v>0</v>
      </c>
      <c r="U164" s="124">
        <v>0</v>
      </c>
      <c r="V164" s="124">
        <v>0</v>
      </c>
      <c r="W164" s="124">
        <v>0</v>
      </c>
      <c r="X164" s="124">
        <v>0</v>
      </c>
      <c r="Y164" s="124">
        <v>0</v>
      </c>
      <c r="Z164" s="124">
        <v>0</v>
      </c>
      <c r="AA164" s="124">
        <v>0</v>
      </c>
      <c r="AB164" s="124">
        <v>0</v>
      </c>
      <c r="AC164" s="124">
        <v>0</v>
      </c>
      <c r="AD164" s="124">
        <v>0</v>
      </c>
      <c r="AE164" s="124">
        <v>0</v>
      </c>
      <c r="AF164" s="124">
        <v>0</v>
      </c>
      <c r="AG164" s="124">
        <v>0</v>
      </c>
      <c r="AH164" s="124">
        <v>0</v>
      </c>
      <c r="AI164" s="124">
        <v>0</v>
      </c>
      <c r="AJ164" s="124">
        <v>0</v>
      </c>
      <c r="AK164" s="124">
        <v>0</v>
      </c>
      <c r="AL164" s="124">
        <v>0</v>
      </c>
      <c r="AM164" s="124">
        <v>0</v>
      </c>
      <c r="AN164" s="124">
        <v>0</v>
      </c>
      <c r="AO164" s="124">
        <v>0</v>
      </c>
      <c r="AP164" s="124">
        <v>0</v>
      </c>
      <c r="AQ164" s="124">
        <v>0</v>
      </c>
      <c r="AR164" s="124">
        <v>0</v>
      </c>
      <c r="AS164" s="124">
        <v>0</v>
      </c>
      <c r="AT164" s="124">
        <v>0</v>
      </c>
      <c r="AU164" s="124">
        <v>0</v>
      </c>
      <c r="AV164" s="124">
        <v>0</v>
      </c>
      <c r="AW164" s="124">
        <v>0</v>
      </c>
      <c r="AX164" s="124">
        <v>0</v>
      </c>
      <c r="AY164" s="124">
        <v>0</v>
      </c>
    </row>
    <row r="165" spans="1:52" x14ac:dyDescent="0.2">
      <c r="A165" s="127"/>
      <c r="B165" s="147">
        <v>44</v>
      </c>
      <c r="C165" s="124">
        <v>0</v>
      </c>
      <c r="D165" s="124">
        <v>0</v>
      </c>
      <c r="E165" s="124">
        <v>0</v>
      </c>
      <c r="F165" s="124">
        <v>0</v>
      </c>
      <c r="G165" s="124">
        <v>0</v>
      </c>
      <c r="H165" s="124">
        <v>0</v>
      </c>
      <c r="I165" s="124">
        <v>0</v>
      </c>
      <c r="J165" s="124">
        <v>0</v>
      </c>
      <c r="K165" s="124">
        <v>0</v>
      </c>
      <c r="L165" s="124">
        <v>0</v>
      </c>
      <c r="M165" s="124">
        <v>0</v>
      </c>
      <c r="N165" s="124">
        <v>0</v>
      </c>
      <c r="O165" s="124">
        <v>0</v>
      </c>
      <c r="P165" s="124">
        <v>0</v>
      </c>
      <c r="Q165" s="124">
        <v>0</v>
      </c>
      <c r="R165" s="124">
        <v>0</v>
      </c>
      <c r="S165" s="124">
        <v>0</v>
      </c>
      <c r="T165" s="124">
        <v>0</v>
      </c>
      <c r="U165" s="124">
        <v>0</v>
      </c>
      <c r="V165" s="124">
        <v>0</v>
      </c>
      <c r="W165" s="124">
        <v>0</v>
      </c>
      <c r="X165" s="124">
        <v>0</v>
      </c>
      <c r="Y165" s="124">
        <v>0</v>
      </c>
      <c r="Z165" s="124">
        <v>0</v>
      </c>
      <c r="AA165" s="124">
        <v>0</v>
      </c>
      <c r="AB165" s="124">
        <v>0</v>
      </c>
      <c r="AC165" s="124">
        <v>0</v>
      </c>
      <c r="AD165" s="124">
        <v>0</v>
      </c>
      <c r="AE165" s="124">
        <v>0</v>
      </c>
      <c r="AF165" s="124">
        <v>0</v>
      </c>
      <c r="AG165" s="124">
        <v>0</v>
      </c>
      <c r="AH165" s="124">
        <v>0</v>
      </c>
      <c r="AI165" s="124">
        <v>0</v>
      </c>
      <c r="AJ165" s="124">
        <v>0</v>
      </c>
      <c r="AK165" s="124">
        <v>0</v>
      </c>
      <c r="AL165" s="124">
        <v>0</v>
      </c>
      <c r="AM165" s="124">
        <v>0</v>
      </c>
      <c r="AN165" s="124">
        <v>0</v>
      </c>
      <c r="AO165" s="124">
        <v>0</v>
      </c>
      <c r="AP165" s="124">
        <v>0</v>
      </c>
      <c r="AQ165" s="124">
        <v>0</v>
      </c>
      <c r="AR165" s="124">
        <v>0</v>
      </c>
      <c r="AS165" s="124">
        <v>0</v>
      </c>
      <c r="AT165" s="124">
        <v>0</v>
      </c>
      <c r="AU165" s="124">
        <v>0</v>
      </c>
      <c r="AV165" s="124">
        <v>0</v>
      </c>
      <c r="AW165" s="124">
        <v>0</v>
      </c>
      <c r="AX165" s="124">
        <v>0</v>
      </c>
      <c r="AY165" s="124">
        <v>0</v>
      </c>
    </row>
    <row r="166" spans="1:52" x14ac:dyDescent="0.2">
      <c r="A166" s="127"/>
      <c r="B166" s="147">
        <v>45</v>
      </c>
      <c r="C166" s="124">
        <v>0</v>
      </c>
      <c r="D166" s="124">
        <v>0</v>
      </c>
      <c r="E166" s="124">
        <v>0</v>
      </c>
      <c r="F166" s="124">
        <v>0</v>
      </c>
      <c r="G166" s="124">
        <v>0</v>
      </c>
      <c r="H166" s="124">
        <v>0</v>
      </c>
      <c r="I166" s="124">
        <v>0</v>
      </c>
      <c r="J166" s="124">
        <v>0</v>
      </c>
      <c r="K166" s="124">
        <v>0</v>
      </c>
      <c r="L166" s="124">
        <v>0</v>
      </c>
      <c r="M166" s="124">
        <v>0</v>
      </c>
      <c r="N166" s="124">
        <v>0</v>
      </c>
      <c r="O166" s="124">
        <v>0</v>
      </c>
      <c r="P166" s="124">
        <v>0</v>
      </c>
      <c r="Q166" s="124">
        <v>0</v>
      </c>
      <c r="R166" s="124">
        <v>0</v>
      </c>
      <c r="S166" s="124">
        <v>0</v>
      </c>
      <c r="T166" s="124">
        <v>0</v>
      </c>
      <c r="U166" s="124">
        <v>0</v>
      </c>
      <c r="V166" s="124">
        <v>0</v>
      </c>
      <c r="W166" s="124">
        <v>0</v>
      </c>
      <c r="X166" s="124">
        <v>0</v>
      </c>
      <c r="Y166" s="124">
        <v>0</v>
      </c>
      <c r="Z166" s="124">
        <v>0</v>
      </c>
      <c r="AA166" s="124">
        <v>0</v>
      </c>
      <c r="AB166" s="124">
        <v>0</v>
      </c>
      <c r="AC166" s="124">
        <v>0</v>
      </c>
      <c r="AD166" s="124">
        <v>0</v>
      </c>
      <c r="AE166" s="124">
        <v>0</v>
      </c>
      <c r="AF166" s="124">
        <v>0</v>
      </c>
      <c r="AG166" s="124">
        <v>0</v>
      </c>
      <c r="AH166" s="124">
        <v>0</v>
      </c>
      <c r="AI166" s="124">
        <v>0</v>
      </c>
      <c r="AJ166" s="124">
        <v>0</v>
      </c>
      <c r="AK166" s="124">
        <v>0</v>
      </c>
      <c r="AL166" s="124">
        <v>0</v>
      </c>
      <c r="AM166" s="124">
        <v>0</v>
      </c>
      <c r="AN166" s="124">
        <v>0</v>
      </c>
      <c r="AO166" s="124">
        <v>0</v>
      </c>
      <c r="AP166" s="124">
        <v>0</v>
      </c>
      <c r="AQ166" s="124">
        <v>0</v>
      </c>
      <c r="AR166" s="124">
        <v>0</v>
      </c>
      <c r="AS166" s="124">
        <v>0</v>
      </c>
      <c r="AT166" s="124">
        <v>0</v>
      </c>
      <c r="AU166" s="124">
        <v>0</v>
      </c>
      <c r="AV166" s="124">
        <v>0</v>
      </c>
      <c r="AW166" s="124">
        <v>0</v>
      </c>
      <c r="AX166" s="124">
        <v>0</v>
      </c>
      <c r="AY166" s="124">
        <v>0</v>
      </c>
    </row>
    <row r="167" spans="1:52" x14ac:dyDescent="0.2">
      <c r="A167" s="127"/>
      <c r="B167" s="147">
        <v>46</v>
      </c>
      <c r="C167" s="124">
        <v>0</v>
      </c>
      <c r="D167" s="124">
        <v>0</v>
      </c>
      <c r="E167" s="124">
        <v>0</v>
      </c>
      <c r="F167" s="124">
        <v>0</v>
      </c>
      <c r="G167" s="124">
        <v>0</v>
      </c>
      <c r="H167" s="124">
        <v>0</v>
      </c>
      <c r="I167" s="124">
        <v>0</v>
      </c>
      <c r="J167" s="124">
        <v>0</v>
      </c>
      <c r="K167" s="124">
        <v>0</v>
      </c>
      <c r="L167" s="124">
        <v>0</v>
      </c>
      <c r="M167" s="124">
        <v>0</v>
      </c>
      <c r="N167" s="124">
        <v>0</v>
      </c>
      <c r="O167" s="124">
        <v>0</v>
      </c>
      <c r="P167" s="124">
        <v>0</v>
      </c>
      <c r="Q167" s="124">
        <v>0</v>
      </c>
      <c r="R167" s="124">
        <v>0</v>
      </c>
      <c r="S167" s="124">
        <v>0</v>
      </c>
      <c r="T167" s="124">
        <v>0</v>
      </c>
      <c r="U167" s="124">
        <v>0</v>
      </c>
      <c r="V167" s="124">
        <v>0</v>
      </c>
      <c r="W167" s="124">
        <v>0</v>
      </c>
      <c r="X167" s="124">
        <v>0</v>
      </c>
      <c r="Y167" s="124">
        <v>0</v>
      </c>
      <c r="Z167" s="124">
        <v>0</v>
      </c>
      <c r="AA167" s="124">
        <v>0</v>
      </c>
      <c r="AB167" s="124">
        <v>0</v>
      </c>
      <c r="AC167" s="124">
        <v>0</v>
      </c>
      <c r="AD167" s="124">
        <v>0</v>
      </c>
      <c r="AE167" s="124">
        <v>0</v>
      </c>
      <c r="AF167" s="124">
        <v>0</v>
      </c>
      <c r="AG167" s="124">
        <v>0</v>
      </c>
      <c r="AH167" s="124">
        <v>0</v>
      </c>
      <c r="AI167" s="124">
        <v>0</v>
      </c>
      <c r="AJ167" s="124">
        <v>0</v>
      </c>
      <c r="AK167" s="124">
        <v>0</v>
      </c>
      <c r="AL167" s="124">
        <v>0</v>
      </c>
      <c r="AM167" s="124">
        <v>0</v>
      </c>
      <c r="AN167" s="124">
        <v>0</v>
      </c>
      <c r="AO167" s="124">
        <v>0</v>
      </c>
      <c r="AP167" s="124">
        <v>0</v>
      </c>
      <c r="AQ167" s="124">
        <v>0</v>
      </c>
      <c r="AR167" s="124">
        <v>0</v>
      </c>
      <c r="AS167" s="124">
        <v>0</v>
      </c>
      <c r="AT167" s="124">
        <v>0</v>
      </c>
      <c r="AU167" s="124">
        <v>0</v>
      </c>
      <c r="AV167" s="124">
        <v>0</v>
      </c>
      <c r="AW167" s="124">
        <v>0</v>
      </c>
      <c r="AX167" s="124">
        <v>0</v>
      </c>
      <c r="AY167" s="124">
        <v>0</v>
      </c>
    </row>
    <row r="168" spans="1:52" x14ac:dyDescent="0.2">
      <c r="A168" s="127"/>
      <c r="B168" s="147">
        <v>47</v>
      </c>
      <c r="C168" s="124">
        <v>0</v>
      </c>
      <c r="D168" s="124">
        <v>0</v>
      </c>
      <c r="E168" s="124">
        <v>0</v>
      </c>
      <c r="F168" s="124">
        <v>0</v>
      </c>
      <c r="G168" s="124">
        <v>0</v>
      </c>
      <c r="H168" s="124">
        <v>0</v>
      </c>
      <c r="I168" s="124">
        <v>0</v>
      </c>
      <c r="J168" s="124">
        <v>0</v>
      </c>
      <c r="K168" s="124">
        <v>0</v>
      </c>
      <c r="L168" s="124">
        <v>0</v>
      </c>
      <c r="M168" s="124">
        <v>0</v>
      </c>
      <c r="N168" s="124">
        <v>0</v>
      </c>
      <c r="O168" s="124">
        <v>0</v>
      </c>
      <c r="P168" s="124">
        <v>0</v>
      </c>
      <c r="Q168" s="124">
        <v>0</v>
      </c>
      <c r="R168" s="124">
        <v>0</v>
      </c>
      <c r="S168" s="124">
        <v>0</v>
      </c>
      <c r="T168" s="124">
        <v>0</v>
      </c>
      <c r="U168" s="124">
        <v>0</v>
      </c>
      <c r="V168" s="124">
        <v>0</v>
      </c>
      <c r="W168" s="124">
        <v>0</v>
      </c>
      <c r="X168" s="124">
        <v>0</v>
      </c>
      <c r="Y168" s="124">
        <v>0</v>
      </c>
      <c r="Z168" s="124">
        <v>0</v>
      </c>
      <c r="AA168" s="124">
        <v>0</v>
      </c>
      <c r="AB168" s="124">
        <v>0</v>
      </c>
      <c r="AC168" s="124">
        <v>0</v>
      </c>
      <c r="AD168" s="124">
        <v>0</v>
      </c>
      <c r="AE168" s="124">
        <v>0</v>
      </c>
      <c r="AF168" s="124">
        <v>0</v>
      </c>
      <c r="AG168" s="124">
        <v>0</v>
      </c>
      <c r="AH168" s="124">
        <v>0</v>
      </c>
      <c r="AI168" s="124">
        <v>0</v>
      </c>
      <c r="AJ168" s="124">
        <v>0</v>
      </c>
      <c r="AK168" s="124">
        <v>0</v>
      </c>
      <c r="AL168" s="124">
        <v>0</v>
      </c>
      <c r="AM168" s="124">
        <v>0</v>
      </c>
      <c r="AN168" s="124">
        <v>0</v>
      </c>
      <c r="AO168" s="124">
        <v>0</v>
      </c>
      <c r="AP168" s="124">
        <v>0</v>
      </c>
      <c r="AQ168" s="124">
        <v>0</v>
      </c>
      <c r="AR168" s="124">
        <v>0</v>
      </c>
      <c r="AS168" s="124">
        <v>0</v>
      </c>
      <c r="AT168" s="124">
        <v>0</v>
      </c>
      <c r="AU168" s="124">
        <v>0</v>
      </c>
      <c r="AV168" s="124">
        <v>0</v>
      </c>
      <c r="AW168" s="124">
        <v>0</v>
      </c>
      <c r="AX168" s="124">
        <v>0</v>
      </c>
      <c r="AY168" s="124">
        <v>0</v>
      </c>
    </row>
    <row r="169" spans="1:52" x14ac:dyDescent="0.2">
      <c r="A169" s="127"/>
      <c r="B169" s="147">
        <v>48</v>
      </c>
      <c r="C169" s="124">
        <v>0</v>
      </c>
      <c r="D169" s="124">
        <v>0</v>
      </c>
      <c r="E169" s="124">
        <v>0</v>
      </c>
      <c r="F169" s="124">
        <v>0</v>
      </c>
      <c r="G169" s="124">
        <v>0</v>
      </c>
      <c r="H169" s="124">
        <v>0</v>
      </c>
      <c r="I169" s="124">
        <v>0</v>
      </c>
      <c r="J169" s="124">
        <v>0</v>
      </c>
      <c r="K169" s="124">
        <v>0</v>
      </c>
      <c r="L169" s="124">
        <v>0</v>
      </c>
      <c r="M169" s="124">
        <v>0</v>
      </c>
      <c r="N169" s="124">
        <v>0</v>
      </c>
      <c r="O169" s="124">
        <v>0</v>
      </c>
      <c r="P169" s="124">
        <v>0</v>
      </c>
      <c r="Q169" s="124">
        <v>0</v>
      </c>
      <c r="R169" s="124">
        <v>0</v>
      </c>
      <c r="S169" s="124">
        <v>0</v>
      </c>
      <c r="T169" s="124">
        <v>0</v>
      </c>
      <c r="U169" s="124">
        <v>0</v>
      </c>
      <c r="V169" s="124">
        <v>0</v>
      </c>
      <c r="W169" s="124">
        <v>0</v>
      </c>
      <c r="X169" s="124">
        <v>0</v>
      </c>
      <c r="Y169" s="124">
        <v>0</v>
      </c>
      <c r="Z169" s="124">
        <v>0</v>
      </c>
      <c r="AA169" s="124">
        <v>0</v>
      </c>
      <c r="AB169" s="124">
        <v>0</v>
      </c>
      <c r="AC169" s="124">
        <v>0</v>
      </c>
      <c r="AD169" s="124">
        <v>0</v>
      </c>
      <c r="AE169" s="124">
        <v>0</v>
      </c>
      <c r="AF169" s="124">
        <v>0</v>
      </c>
      <c r="AG169" s="124">
        <v>0</v>
      </c>
      <c r="AH169" s="124">
        <v>0</v>
      </c>
      <c r="AI169" s="124">
        <v>0</v>
      </c>
      <c r="AJ169" s="124">
        <v>0</v>
      </c>
      <c r="AK169" s="124">
        <v>0</v>
      </c>
      <c r="AL169" s="124">
        <v>0</v>
      </c>
      <c r="AM169" s="124">
        <v>0</v>
      </c>
      <c r="AN169" s="124">
        <v>0</v>
      </c>
      <c r="AO169" s="124">
        <v>0</v>
      </c>
      <c r="AP169" s="124">
        <v>0</v>
      </c>
      <c r="AQ169" s="124">
        <v>0</v>
      </c>
      <c r="AR169" s="124">
        <v>0</v>
      </c>
      <c r="AS169" s="124">
        <v>0</v>
      </c>
      <c r="AT169" s="124">
        <v>0</v>
      </c>
      <c r="AU169" s="124">
        <v>0</v>
      </c>
      <c r="AV169" s="124">
        <v>0</v>
      </c>
      <c r="AW169" s="124">
        <v>0</v>
      </c>
      <c r="AX169" s="124">
        <v>0</v>
      </c>
      <c r="AY169" s="124">
        <v>0</v>
      </c>
    </row>
    <row r="170" spans="1:52" x14ac:dyDescent="0.2">
      <c r="A170" s="145"/>
      <c r="B170" s="149" t="s">
        <v>296</v>
      </c>
      <c r="C170" s="131">
        <v>0</v>
      </c>
      <c r="D170" s="142">
        <v>0</v>
      </c>
      <c r="E170" s="142">
        <v>0</v>
      </c>
      <c r="F170" s="142">
        <v>0</v>
      </c>
      <c r="G170" s="142">
        <v>0</v>
      </c>
      <c r="H170" s="142">
        <v>0</v>
      </c>
      <c r="I170" s="142">
        <v>0</v>
      </c>
      <c r="J170" s="142">
        <v>0</v>
      </c>
      <c r="K170" s="142">
        <v>0</v>
      </c>
      <c r="L170" s="142">
        <v>0</v>
      </c>
      <c r="M170" s="142">
        <v>0</v>
      </c>
      <c r="N170" s="142">
        <v>0</v>
      </c>
      <c r="O170" s="142">
        <v>0</v>
      </c>
      <c r="P170" s="142">
        <v>0</v>
      </c>
      <c r="Q170" s="142">
        <v>0</v>
      </c>
      <c r="R170" s="142">
        <v>0</v>
      </c>
      <c r="S170" s="142">
        <v>0</v>
      </c>
      <c r="T170" s="142">
        <v>0</v>
      </c>
      <c r="U170" s="142">
        <v>0</v>
      </c>
      <c r="V170" s="142">
        <v>0</v>
      </c>
      <c r="W170" s="142">
        <v>0</v>
      </c>
      <c r="X170" s="142">
        <v>0</v>
      </c>
      <c r="Y170" s="142">
        <v>0</v>
      </c>
      <c r="Z170" s="142">
        <v>0</v>
      </c>
      <c r="AA170" s="142">
        <v>0</v>
      </c>
      <c r="AB170" s="142">
        <v>0</v>
      </c>
      <c r="AC170" s="142">
        <v>0</v>
      </c>
      <c r="AD170" s="142">
        <v>0</v>
      </c>
      <c r="AE170" s="142">
        <v>0</v>
      </c>
      <c r="AF170" s="142">
        <v>0</v>
      </c>
      <c r="AG170" s="142">
        <v>0</v>
      </c>
      <c r="AH170" s="142">
        <v>0</v>
      </c>
      <c r="AI170" s="142">
        <v>0</v>
      </c>
      <c r="AJ170" s="142">
        <v>0</v>
      </c>
      <c r="AK170" s="142">
        <v>0</v>
      </c>
      <c r="AL170" s="142">
        <v>0</v>
      </c>
      <c r="AM170" s="142">
        <v>0</v>
      </c>
      <c r="AN170" s="142">
        <v>0</v>
      </c>
      <c r="AO170" s="142">
        <v>0</v>
      </c>
      <c r="AP170" s="142">
        <v>0</v>
      </c>
      <c r="AQ170" s="142">
        <v>0</v>
      </c>
      <c r="AR170" s="142">
        <v>0</v>
      </c>
      <c r="AS170" s="142">
        <v>0</v>
      </c>
      <c r="AT170" s="142">
        <v>0</v>
      </c>
      <c r="AU170" s="142">
        <v>0</v>
      </c>
      <c r="AV170" s="142">
        <v>0</v>
      </c>
      <c r="AW170" s="142">
        <v>0</v>
      </c>
      <c r="AX170" s="142">
        <v>0</v>
      </c>
      <c r="AY170" s="142">
        <v>0</v>
      </c>
      <c r="AZ170" s="125">
        <f>SUM($D170:$AY170)</f>
        <v>0</v>
      </c>
    </row>
    <row r="172" spans="1:52" x14ac:dyDescent="0.2">
      <c r="A172" s="1" t="s">
        <v>124</v>
      </c>
      <c r="B172" s="150" t="s">
        <v>297</v>
      </c>
      <c r="C172" s="151">
        <v>0.4328398234016182</v>
      </c>
      <c r="D172" s="151">
        <v>0.40615531769122598</v>
      </c>
      <c r="E172" s="151">
        <v>0.40615531769122598</v>
      </c>
      <c r="F172" s="151">
        <v>0.40615531769122598</v>
      </c>
      <c r="G172" s="151">
        <v>0.40615531769122598</v>
      </c>
      <c r="H172" s="151">
        <v>0.40615531769122598</v>
      </c>
      <c r="I172" s="151">
        <v>0.40615531769122598</v>
      </c>
      <c r="J172" s="151">
        <v>0.40615531769122598</v>
      </c>
      <c r="K172" s="151">
        <v>0.40615531769122598</v>
      </c>
      <c r="L172" s="151">
        <v>0.40615531769122598</v>
      </c>
      <c r="M172" s="151">
        <v>0.40615531769122598</v>
      </c>
      <c r="N172" s="151">
        <v>0.40615531769122598</v>
      </c>
      <c r="O172" s="151">
        <v>0.40615531769122598</v>
      </c>
      <c r="P172" s="151">
        <v>0.40615531769122598</v>
      </c>
      <c r="Q172" s="151">
        <v>0.40615531769122598</v>
      </c>
      <c r="R172" s="151">
        <v>0.40615531769122598</v>
      </c>
      <c r="S172" s="151">
        <v>0.40615531769122598</v>
      </c>
      <c r="T172" s="151">
        <v>0.40615531769122598</v>
      </c>
      <c r="U172" s="151">
        <v>0.40615531769122598</v>
      </c>
      <c r="V172" s="151">
        <v>0.40615531769122598</v>
      </c>
      <c r="W172" s="151">
        <v>0.40615531769122598</v>
      </c>
      <c r="X172" s="151">
        <v>0.40615531769122598</v>
      </c>
      <c r="Y172" s="151">
        <v>0.40615531769122598</v>
      </c>
      <c r="Z172" s="151">
        <v>0.40615531769122598</v>
      </c>
      <c r="AA172" s="151">
        <v>0.40615531769122598</v>
      </c>
      <c r="AB172" s="151">
        <v>0.40615531769122598</v>
      </c>
      <c r="AC172" s="151">
        <v>0.40615531769122598</v>
      </c>
      <c r="AD172" s="151">
        <v>0.40615531769122598</v>
      </c>
      <c r="AE172" s="151">
        <v>0.40615531769122598</v>
      </c>
      <c r="AF172" s="151">
        <v>0.40615531769122598</v>
      </c>
      <c r="AG172" s="151">
        <v>0.40615531769122598</v>
      </c>
      <c r="AH172" s="151">
        <v>0.40615531769122598</v>
      </c>
      <c r="AI172" s="151">
        <v>0.40615531769122598</v>
      </c>
      <c r="AJ172" s="151">
        <v>0.40615531769122598</v>
      </c>
      <c r="AK172" s="151">
        <v>0.40615531769122598</v>
      </c>
      <c r="AL172" s="151">
        <v>0.40615531769122598</v>
      </c>
      <c r="AM172" s="151">
        <v>0.40615531769122598</v>
      </c>
      <c r="AN172" s="151">
        <v>0.40615531769122598</v>
      </c>
      <c r="AO172" s="151">
        <v>0.40615531769122598</v>
      </c>
      <c r="AP172" s="151">
        <v>0.40615531769122598</v>
      </c>
      <c r="AQ172" s="151">
        <v>0.40615531769122598</v>
      </c>
      <c r="AR172" s="151">
        <v>0.40615531769122598</v>
      </c>
      <c r="AS172" s="151">
        <v>0.40615531769122598</v>
      </c>
      <c r="AT172" s="151">
        <v>0.40615531769122598</v>
      </c>
      <c r="AU172" s="151">
        <v>0.40615531769122598</v>
      </c>
      <c r="AV172" s="151">
        <v>0.40615531769122598</v>
      </c>
      <c r="AW172" s="151">
        <v>0.40615531769122598</v>
      </c>
      <c r="AX172" s="151">
        <v>0.40615531769122598</v>
      </c>
      <c r="AY172" s="151">
        <v>0.40615531769122598</v>
      </c>
    </row>
    <row r="174" spans="1:52" x14ac:dyDescent="0.2">
      <c r="A174" s="1" t="s">
        <v>272</v>
      </c>
    </row>
    <row r="175" spans="1:52" x14ac:dyDescent="0.2">
      <c r="A175" s="152" t="s">
        <v>125</v>
      </c>
      <c r="B175" s="152" t="s">
        <v>298</v>
      </c>
      <c r="C175" s="141" t="s">
        <v>293</v>
      </c>
      <c r="D175" s="141">
        <f t="shared" ref="D175:AY175" si="1">SUM(D95:D98)</f>
        <v>1063.9864210775368</v>
      </c>
      <c r="E175" s="141">
        <f t="shared" si="1"/>
        <v>3614.3020829324369</v>
      </c>
      <c r="F175" s="141">
        <f t="shared" si="1"/>
        <v>5216.3273639272684</v>
      </c>
      <c r="G175" s="141">
        <f t="shared" si="1"/>
        <v>7714.3682845277826</v>
      </c>
      <c r="H175" s="141">
        <f t="shared" si="1"/>
        <v>9355.6835669289485</v>
      </c>
      <c r="I175" s="141">
        <f t="shared" si="1"/>
        <v>11667.992974786364</v>
      </c>
      <c r="J175" s="141">
        <f t="shared" si="1"/>
        <v>13548.474252786795</v>
      </c>
      <c r="K175" s="141">
        <f t="shared" si="1"/>
        <v>15835.492207299128</v>
      </c>
      <c r="L175" s="141">
        <f t="shared" si="1"/>
        <v>17935.922420781</v>
      </c>
      <c r="M175" s="141">
        <f t="shared" si="1"/>
        <v>19160.992973538156</v>
      </c>
      <c r="N175" s="141">
        <f t="shared" si="1"/>
        <v>19160.992973538156</v>
      </c>
      <c r="O175" s="141">
        <f t="shared" si="1"/>
        <v>19160.992973538156</v>
      </c>
      <c r="P175" s="141">
        <f t="shared" si="1"/>
        <v>19160.992973538156</v>
      </c>
      <c r="Q175" s="141">
        <f t="shared" si="1"/>
        <v>19160.992973538156</v>
      </c>
      <c r="R175" s="141">
        <f t="shared" si="1"/>
        <v>19160.992973538156</v>
      </c>
      <c r="S175" s="141">
        <f t="shared" si="1"/>
        <v>19160.992973538156</v>
      </c>
      <c r="T175" s="141">
        <f t="shared" si="1"/>
        <v>19160.992973538156</v>
      </c>
      <c r="U175" s="141">
        <f t="shared" si="1"/>
        <v>19160.992973538156</v>
      </c>
      <c r="V175" s="141">
        <f t="shared" si="1"/>
        <v>19160.992973538156</v>
      </c>
      <c r="W175" s="141">
        <f t="shared" si="1"/>
        <v>19160.992973538156</v>
      </c>
      <c r="X175" s="141">
        <f t="shared" si="1"/>
        <v>19160.992973538156</v>
      </c>
      <c r="Y175" s="141">
        <f t="shared" si="1"/>
        <v>19160.992973538156</v>
      </c>
      <c r="Z175" s="141">
        <f t="shared" si="1"/>
        <v>19160.992973538156</v>
      </c>
      <c r="AA175" s="141">
        <f t="shared" si="1"/>
        <v>19160.992973538156</v>
      </c>
      <c r="AB175" s="141">
        <f t="shared" si="1"/>
        <v>19160.992973538156</v>
      </c>
      <c r="AC175" s="141">
        <f t="shared" si="1"/>
        <v>19160.992973538156</v>
      </c>
      <c r="AD175" s="141">
        <f t="shared" si="1"/>
        <v>19160.992973538156</v>
      </c>
      <c r="AE175" s="141">
        <f t="shared" si="1"/>
        <v>19160.992973538156</v>
      </c>
      <c r="AF175" s="141">
        <f t="shared" si="1"/>
        <v>19160.992973538156</v>
      </c>
      <c r="AG175" s="141">
        <f t="shared" si="1"/>
        <v>19160.992973538156</v>
      </c>
      <c r="AH175" s="141">
        <f t="shared" si="1"/>
        <v>19160.992973538156</v>
      </c>
      <c r="AI175" s="141">
        <f t="shared" si="1"/>
        <v>19160.992973538156</v>
      </c>
      <c r="AJ175" s="141">
        <f t="shared" si="1"/>
        <v>19160.992973538156</v>
      </c>
      <c r="AK175" s="141">
        <f t="shared" si="1"/>
        <v>19160.992973538156</v>
      </c>
      <c r="AL175" s="141">
        <f t="shared" si="1"/>
        <v>19160.992973538156</v>
      </c>
      <c r="AM175" s="141">
        <f t="shared" si="1"/>
        <v>19160.992973538156</v>
      </c>
      <c r="AN175" s="141">
        <f t="shared" si="1"/>
        <v>19160.992973538156</v>
      </c>
      <c r="AO175" s="141">
        <f t="shared" si="1"/>
        <v>19160.992973538156</v>
      </c>
      <c r="AP175" s="141">
        <f t="shared" si="1"/>
        <v>19160.992973538156</v>
      </c>
      <c r="AQ175" s="141">
        <f t="shared" si="1"/>
        <v>19160.992973538156</v>
      </c>
      <c r="AR175" s="141">
        <f t="shared" si="1"/>
        <v>19160.992973538156</v>
      </c>
      <c r="AS175" s="141">
        <f t="shared" si="1"/>
        <v>19160.992973538156</v>
      </c>
      <c r="AT175" s="141">
        <f t="shared" si="1"/>
        <v>19160.992973538156</v>
      </c>
      <c r="AU175" s="141">
        <f t="shared" si="1"/>
        <v>19160.992973538156</v>
      </c>
      <c r="AV175" s="141">
        <f t="shared" si="1"/>
        <v>19160.992973538156</v>
      </c>
      <c r="AW175" s="141">
        <f t="shared" si="1"/>
        <v>19160.992973538156</v>
      </c>
      <c r="AX175" s="141">
        <f t="shared" si="1"/>
        <v>19160.992973538156</v>
      </c>
      <c r="AY175" s="141">
        <f t="shared" si="1"/>
        <v>19160.992973538156</v>
      </c>
    </row>
    <row r="176" spans="1:52" x14ac:dyDescent="0.2">
      <c r="A176" s="142"/>
      <c r="B176" s="153" t="s">
        <v>299</v>
      </c>
      <c r="C176" s="142" t="s">
        <v>293</v>
      </c>
      <c r="D176" s="142">
        <v>855</v>
      </c>
      <c r="E176" s="142">
        <v>1145</v>
      </c>
      <c r="F176" s="142">
        <v>1022</v>
      </c>
      <c r="G176" s="142">
        <v>889</v>
      </c>
      <c r="H176" s="142">
        <v>832</v>
      </c>
      <c r="I176" s="142">
        <v>997</v>
      </c>
      <c r="J176" s="142">
        <v>950</v>
      </c>
      <c r="K176" s="142">
        <v>766</v>
      </c>
      <c r="L176" s="142">
        <v>899</v>
      </c>
      <c r="M176" s="142">
        <v>770</v>
      </c>
      <c r="N176" s="142">
        <v>987</v>
      </c>
      <c r="O176" s="142">
        <v>931</v>
      </c>
      <c r="P176" s="142">
        <v>949</v>
      </c>
      <c r="Q176" s="142">
        <v>939</v>
      </c>
      <c r="R176" s="142">
        <v>985</v>
      </c>
      <c r="S176" s="142">
        <v>808</v>
      </c>
      <c r="T176" s="142">
        <v>1010</v>
      </c>
      <c r="U176" s="142">
        <v>977</v>
      </c>
      <c r="V176" s="142">
        <v>952</v>
      </c>
      <c r="W176" s="142">
        <v>974</v>
      </c>
      <c r="X176" s="142">
        <v>738</v>
      </c>
      <c r="Y176" s="142">
        <v>891</v>
      </c>
      <c r="Z176" s="142">
        <v>948</v>
      </c>
      <c r="AA176" s="142">
        <v>993</v>
      </c>
      <c r="AB176" s="142">
        <v>1075</v>
      </c>
      <c r="AC176" s="142">
        <v>962</v>
      </c>
      <c r="AD176" s="142">
        <v>1030</v>
      </c>
      <c r="AE176" s="142">
        <v>980</v>
      </c>
      <c r="AF176" s="142">
        <v>1007</v>
      </c>
      <c r="AG176" s="142">
        <v>1039</v>
      </c>
      <c r="AH176" s="142">
        <v>1044</v>
      </c>
      <c r="AI176" s="142">
        <v>1120</v>
      </c>
      <c r="AJ176" s="142">
        <v>999</v>
      </c>
      <c r="AK176" s="142">
        <v>1192</v>
      </c>
      <c r="AL176" s="142">
        <v>971</v>
      </c>
      <c r="AM176" s="142">
        <v>941</v>
      </c>
      <c r="AN176" s="142">
        <v>1035</v>
      </c>
      <c r="AO176" s="142">
        <v>1098</v>
      </c>
      <c r="AP176" s="142">
        <v>840</v>
      </c>
      <c r="AQ176" s="142">
        <v>1037</v>
      </c>
      <c r="AR176" s="142">
        <v>913</v>
      </c>
      <c r="AS176" s="142">
        <v>758</v>
      </c>
      <c r="AT176" s="142">
        <v>1028</v>
      </c>
      <c r="AU176" s="142">
        <v>1025</v>
      </c>
      <c r="AV176" s="142">
        <v>1039</v>
      </c>
      <c r="AW176" s="142">
        <v>881</v>
      </c>
      <c r="AX176" s="142">
        <v>1007</v>
      </c>
      <c r="AY176" s="142">
        <v>1006</v>
      </c>
    </row>
    <row r="177" spans="1:51" x14ac:dyDescent="0.2">
      <c r="A177" s="152" t="s">
        <v>133</v>
      </c>
      <c r="B177" s="152" t="s">
        <v>298</v>
      </c>
      <c r="C177" s="141" t="s">
        <v>293</v>
      </c>
      <c r="D177" s="141">
        <f t="shared" ref="D177:AY177" si="2">SUM(D100:D107)</f>
        <v>1000.2263525951716</v>
      </c>
      <c r="E177" s="141">
        <f t="shared" si="2"/>
        <v>95.226352595171647</v>
      </c>
      <c r="F177" s="141">
        <f t="shared" si="2"/>
        <v>24.892142701720985</v>
      </c>
      <c r="G177" s="141">
        <f t="shared" si="2"/>
        <v>0</v>
      </c>
      <c r="H177" s="141">
        <f t="shared" si="2"/>
        <v>0</v>
      </c>
      <c r="I177" s="141">
        <f t="shared" si="2"/>
        <v>0</v>
      </c>
      <c r="J177" s="141">
        <f t="shared" si="2"/>
        <v>0</v>
      </c>
      <c r="K177" s="141">
        <f t="shared" si="2"/>
        <v>0</v>
      </c>
      <c r="L177" s="141">
        <f t="shared" si="2"/>
        <v>0</v>
      </c>
      <c r="M177" s="141">
        <f t="shared" si="2"/>
        <v>0</v>
      </c>
      <c r="N177" s="141">
        <f t="shared" si="2"/>
        <v>0</v>
      </c>
      <c r="O177" s="141">
        <f t="shared" si="2"/>
        <v>0</v>
      </c>
      <c r="P177" s="141">
        <f t="shared" si="2"/>
        <v>0</v>
      </c>
      <c r="Q177" s="141">
        <f t="shared" si="2"/>
        <v>0</v>
      </c>
      <c r="R177" s="141">
        <f t="shared" si="2"/>
        <v>0</v>
      </c>
      <c r="S177" s="141">
        <f t="shared" si="2"/>
        <v>0</v>
      </c>
      <c r="T177" s="141">
        <f t="shared" si="2"/>
        <v>0</v>
      </c>
      <c r="U177" s="141">
        <f t="shared" si="2"/>
        <v>0</v>
      </c>
      <c r="V177" s="141">
        <f t="shared" si="2"/>
        <v>0</v>
      </c>
      <c r="W177" s="141">
        <f t="shared" si="2"/>
        <v>0</v>
      </c>
      <c r="X177" s="141">
        <f t="shared" si="2"/>
        <v>0</v>
      </c>
      <c r="Y177" s="141">
        <f t="shared" si="2"/>
        <v>0</v>
      </c>
      <c r="Z177" s="141">
        <f t="shared" si="2"/>
        <v>0</v>
      </c>
      <c r="AA177" s="141">
        <f t="shared" si="2"/>
        <v>0</v>
      </c>
      <c r="AB177" s="141">
        <f t="shared" si="2"/>
        <v>0</v>
      </c>
      <c r="AC177" s="141">
        <f t="shared" si="2"/>
        <v>0</v>
      </c>
      <c r="AD177" s="141">
        <f t="shared" si="2"/>
        <v>0</v>
      </c>
      <c r="AE177" s="141">
        <f t="shared" si="2"/>
        <v>0</v>
      </c>
      <c r="AF177" s="141">
        <f t="shared" si="2"/>
        <v>0</v>
      </c>
      <c r="AG177" s="141">
        <f t="shared" si="2"/>
        <v>0</v>
      </c>
      <c r="AH177" s="141">
        <f t="shared" si="2"/>
        <v>0</v>
      </c>
      <c r="AI177" s="141">
        <f t="shared" si="2"/>
        <v>0</v>
      </c>
      <c r="AJ177" s="141">
        <f t="shared" si="2"/>
        <v>0</v>
      </c>
      <c r="AK177" s="141">
        <f t="shared" si="2"/>
        <v>0</v>
      </c>
      <c r="AL177" s="141">
        <f t="shared" si="2"/>
        <v>0</v>
      </c>
      <c r="AM177" s="141">
        <f t="shared" si="2"/>
        <v>0</v>
      </c>
      <c r="AN177" s="141">
        <f t="shared" si="2"/>
        <v>0</v>
      </c>
      <c r="AO177" s="141">
        <f t="shared" si="2"/>
        <v>0</v>
      </c>
      <c r="AP177" s="141">
        <f t="shared" si="2"/>
        <v>0</v>
      </c>
      <c r="AQ177" s="141">
        <f t="shared" si="2"/>
        <v>0</v>
      </c>
      <c r="AR177" s="141">
        <f t="shared" si="2"/>
        <v>0</v>
      </c>
      <c r="AS177" s="141">
        <f t="shared" si="2"/>
        <v>0</v>
      </c>
      <c r="AT177" s="141">
        <f t="shared" si="2"/>
        <v>0</v>
      </c>
      <c r="AU177" s="141">
        <f t="shared" si="2"/>
        <v>0</v>
      </c>
      <c r="AV177" s="141">
        <f t="shared" si="2"/>
        <v>0</v>
      </c>
      <c r="AW177" s="141">
        <f t="shared" si="2"/>
        <v>0</v>
      </c>
      <c r="AX177" s="141">
        <f t="shared" si="2"/>
        <v>0</v>
      </c>
      <c r="AY177" s="141">
        <f t="shared" si="2"/>
        <v>0</v>
      </c>
    </row>
    <row r="178" spans="1:51" x14ac:dyDescent="0.2">
      <c r="A178" s="142"/>
      <c r="B178" s="153" t="s">
        <v>299</v>
      </c>
      <c r="C178" s="142" t="s">
        <v>293</v>
      </c>
      <c r="D178" s="142">
        <v>935</v>
      </c>
      <c r="E178" s="142">
        <v>95.226352595171647</v>
      </c>
      <c r="F178" s="142">
        <v>24.892142701720985</v>
      </c>
      <c r="G178" s="142">
        <v>0</v>
      </c>
      <c r="H178" s="142">
        <v>0</v>
      </c>
      <c r="I178" s="142">
        <v>0</v>
      </c>
      <c r="J178" s="142">
        <v>0</v>
      </c>
      <c r="K178" s="142">
        <v>0</v>
      </c>
      <c r="L178" s="142">
        <v>0</v>
      </c>
      <c r="M178" s="142">
        <v>0</v>
      </c>
      <c r="N178" s="142">
        <v>0</v>
      </c>
      <c r="O178" s="142">
        <v>0</v>
      </c>
      <c r="P178" s="142">
        <v>0</v>
      </c>
      <c r="Q178" s="142">
        <v>0</v>
      </c>
      <c r="R178" s="142">
        <v>0</v>
      </c>
      <c r="S178" s="142">
        <v>0</v>
      </c>
      <c r="T178" s="142">
        <v>0</v>
      </c>
      <c r="U178" s="142">
        <v>0</v>
      </c>
      <c r="V178" s="142">
        <v>0</v>
      </c>
      <c r="W178" s="142">
        <v>0</v>
      </c>
      <c r="X178" s="142">
        <v>0</v>
      </c>
      <c r="Y178" s="142">
        <v>0</v>
      </c>
      <c r="Z178" s="142">
        <v>0</v>
      </c>
      <c r="AA178" s="142">
        <v>0</v>
      </c>
      <c r="AB178" s="142">
        <v>0</v>
      </c>
      <c r="AC178" s="142">
        <v>0</v>
      </c>
      <c r="AD178" s="142">
        <v>0</v>
      </c>
      <c r="AE178" s="142">
        <v>0</v>
      </c>
      <c r="AF178" s="142">
        <v>0</v>
      </c>
      <c r="AG178" s="142">
        <v>0</v>
      </c>
      <c r="AH178" s="142">
        <v>0</v>
      </c>
      <c r="AI178" s="142">
        <v>0</v>
      </c>
      <c r="AJ178" s="142">
        <v>0</v>
      </c>
      <c r="AK178" s="142">
        <v>0</v>
      </c>
      <c r="AL178" s="142">
        <v>0</v>
      </c>
      <c r="AM178" s="142">
        <v>0</v>
      </c>
      <c r="AN178" s="142">
        <v>0</v>
      </c>
      <c r="AO178" s="142">
        <v>0</v>
      </c>
      <c r="AP178" s="142">
        <v>0</v>
      </c>
      <c r="AQ178" s="142">
        <v>0</v>
      </c>
      <c r="AR178" s="142">
        <v>0</v>
      </c>
      <c r="AS178" s="142">
        <v>0</v>
      </c>
      <c r="AT178" s="142">
        <v>0</v>
      </c>
      <c r="AU178" s="142">
        <v>0</v>
      </c>
      <c r="AV178" s="142">
        <v>0</v>
      </c>
      <c r="AW178" s="142">
        <v>0</v>
      </c>
      <c r="AX178" s="142">
        <v>0</v>
      </c>
      <c r="AY178" s="142">
        <v>0</v>
      </c>
    </row>
    <row r="179" spans="1:51" x14ac:dyDescent="0.2">
      <c r="A179" s="152" t="s">
        <v>134</v>
      </c>
      <c r="B179" s="152" t="s">
        <v>298</v>
      </c>
      <c r="C179" s="141" t="s">
        <v>293</v>
      </c>
      <c r="D179" s="141">
        <f t="shared" ref="D179:AY179" si="3">SUM(D109:D120)</f>
        <v>34766.616565458164</v>
      </c>
      <c r="E179" s="141">
        <f t="shared" si="3"/>
        <v>35630.591143603888</v>
      </c>
      <c r="F179" s="141">
        <f t="shared" si="3"/>
        <v>35678.049888274909</v>
      </c>
      <c r="G179" s="141">
        <f t="shared" si="3"/>
        <v>34278.280485816147</v>
      </c>
      <c r="H179" s="141">
        <f t="shared" si="3"/>
        <v>32636.965203414977</v>
      </c>
      <c r="I179" s="141">
        <f t="shared" si="3"/>
        <v>30324.655795557566</v>
      </c>
      <c r="J179" s="141">
        <f t="shared" si="3"/>
        <v>28444.174517557138</v>
      </c>
      <c r="K179" s="141">
        <f t="shared" si="3"/>
        <v>26157.156563044799</v>
      </c>
      <c r="L179" s="141">
        <f t="shared" si="3"/>
        <v>24056.726349562923</v>
      </c>
      <c r="M179" s="141">
        <f t="shared" si="3"/>
        <v>21373.592121932437</v>
      </c>
      <c r="N179" s="141">
        <f t="shared" si="3"/>
        <v>16990.971361817559</v>
      </c>
      <c r="O179" s="141">
        <f t="shared" si="3"/>
        <v>12705.398480931228</v>
      </c>
      <c r="P179" s="141">
        <f t="shared" si="3"/>
        <v>8519.4906930175748</v>
      </c>
      <c r="Q179" s="141">
        <f t="shared" si="3"/>
        <v>6422.9902820684947</v>
      </c>
      <c r="R179" s="141">
        <f t="shared" si="3"/>
        <v>5220.1313407761027</v>
      </c>
      <c r="S179" s="141">
        <f t="shared" si="3"/>
        <v>4429.2723994837115</v>
      </c>
      <c r="T179" s="141">
        <f t="shared" si="3"/>
        <v>3347.4134581913199</v>
      </c>
      <c r="U179" s="141">
        <f t="shared" si="3"/>
        <v>1955.5545168989283</v>
      </c>
      <c r="V179" s="141">
        <f t="shared" si="3"/>
        <v>623.69557560653675</v>
      </c>
      <c r="W179" s="141">
        <f t="shared" si="3"/>
        <v>409.14105870760847</v>
      </c>
      <c r="X179" s="141">
        <f t="shared" si="3"/>
        <v>409.14105870760847</v>
      </c>
      <c r="Y179" s="141">
        <f t="shared" si="3"/>
        <v>409.14105870760847</v>
      </c>
      <c r="Z179" s="141">
        <f t="shared" si="3"/>
        <v>409.14105870760847</v>
      </c>
      <c r="AA179" s="141">
        <f t="shared" si="3"/>
        <v>409.14105870760847</v>
      </c>
      <c r="AB179" s="141">
        <f t="shared" si="3"/>
        <v>409.14105870760847</v>
      </c>
      <c r="AC179" s="141">
        <f t="shared" si="3"/>
        <v>409.14105870760847</v>
      </c>
      <c r="AD179" s="141">
        <f t="shared" si="3"/>
        <v>409.14105870760847</v>
      </c>
      <c r="AE179" s="141">
        <f t="shared" si="3"/>
        <v>409.14105870760847</v>
      </c>
      <c r="AF179" s="141">
        <f t="shared" si="3"/>
        <v>409.14105870760847</v>
      </c>
      <c r="AG179" s="141">
        <f t="shared" si="3"/>
        <v>409.14105870760847</v>
      </c>
      <c r="AH179" s="141">
        <f t="shared" si="3"/>
        <v>409.14105870760847</v>
      </c>
      <c r="AI179" s="141">
        <f t="shared" si="3"/>
        <v>409.14105870760847</v>
      </c>
      <c r="AJ179" s="141">
        <f t="shared" si="3"/>
        <v>409.14105870760847</v>
      </c>
      <c r="AK179" s="141">
        <f t="shared" si="3"/>
        <v>409.14105870760847</v>
      </c>
      <c r="AL179" s="141">
        <f t="shared" si="3"/>
        <v>409.14105870760847</v>
      </c>
      <c r="AM179" s="141">
        <f t="shared" si="3"/>
        <v>409.14105870760847</v>
      </c>
      <c r="AN179" s="141">
        <f t="shared" si="3"/>
        <v>409.14105870760847</v>
      </c>
      <c r="AO179" s="141">
        <f t="shared" si="3"/>
        <v>409.14105870760847</v>
      </c>
      <c r="AP179" s="141">
        <f t="shared" si="3"/>
        <v>409.14105870760847</v>
      </c>
      <c r="AQ179" s="141">
        <f t="shared" si="3"/>
        <v>409.14105870760847</v>
      </c>
      <c r="AR179" s="141">
        <f t="shared" si="3"/>
        <v>409.14105870760847</v>
      </c>
      <c r="AS179" s="141">
        <f t="shared" si="3"/>
        <v>409.14105870760847</v>
      </c>
      <c r="AT179" s="141">
        <f t="shared" si="3"/>
        <v>409.14105870760847</v>
      </c>
      <c r="AU179" s="141">
        <f t="shared" si="3"/>
        <v>409.14105870760847</v>
      </c>
      <c r="AV179" s="141">
        <f t="shared" si="3"/>
        <v>409.14105870760847</v>
      </c>
      <c r="AW179" s="141">
        <f t="shared" si="3"/>
        <v>409.14105870760847</v>
      </c>
      <c r="AX179" s="141">
        <f t="shared" si="3"/>
        <v>409.14105870760847</v>
      </c>
      <c r="AY179" s="141">
        <f t="shared" si="3"/>
        <v>409.14105870760847</v>
      </c>
    </row>
    <row r="180" spans="1:51" x14ac:dyDescent="0.2">
      <c r="A180" s="142"/>
      <c r="B180" s="153" t="s">
        <v>299</v>
      </c>
      <c r="C180" s="142" t="s">
        <v>293</v>
      </c>
      <c r="D180" s="142">
        <v>1378</v>
      </c>
      <c r="E180" s="142">
        <v>1439.0211503787264</v>
      </c>
      <c r="F180" s="142">
        <v>1443.8396561398329</v>
      </c>
      <c r="G180" s="142">
        <v>1693</v>
      </c>
      <c r="H180" s="142">
        <v>1562</v>
      </c>
      <c r="I180" s="142">
        <v>1478</v>
      </c>
      <c r="J180" s="142">
        <v>1402</v>
      </c>
      <c r="K180" s="142">
        <v>1447</v>
      </c>
      <c r="L180" s="142">
        <v>1279</v>
      </c>
      <c r="M180" s="142">
        <v>1749</v>
      </c>
      <c r="N180" s="142">
        <v>1466</v>
      </c>
      <c r="O180" s="142">
        <v>1334</v>
      </c>
      <c r="P180" s="142">
        <v>1554</v>
      </c>
      <c r="Q180" s="142">
        <v>1612</v>
      </c>
      <c r="R180" s="142">
        <v>1200</v>
      </c>
      <c r="S180" s="142">
        <v>1491</v>
      </c>
      <c r="T180" s="142">
        <v>1801</v>
      </c>
      <c r="U180" s="142">
        <v>1741</v>
      </c>
      <c r="V180" s="142">
        <v>623.69557560653675</v>
      </c>
      <c r="W180" s="142">
        <v>409.14105870760847</v>
      </c>
      <c r="X180" s="142">
        <v>409.14105870760847</v>
      </c>
      <c r="Y180" s="142">
        <v>409.14105870760847</v>
      </c>
      <c r="Z180" s="142">
        <v>409.14105870760847</v>
      </c>
      <c r="AA180" s="142">
        <v>409.14105870760847</v>
      </c>
      <c r="AB180" s="142">
        <v>409.14105870760847</v>
      </c>
      <c r="AC180" s="142">
        <v>409.14105870760847</v>
      </c>
      <c r="AD180" s="142">
        <v>409.14105870760847</v>
      </c>
      <c r="AE180" s="142">
        <v>409.14105870760847</v>
      </c>
      <c r="AF180" s="142">
        <v>409.14105870760847</v>
      </c>
      <c r="AG180" s="142">
        <v>409.14105870760847</v>
      </c>
      <c r="AH180" s="142">
        <v>409.14105870760847</v>
      </c>
      <c r="AI180" s="142">
        <v>409.14105870760847</v>
      </c>
      <c r="AJ180" s="142">
        <v>409.14105870760847</v>
      </c>
      <c r="AK180" s="142">
        <v>409.14105870760847</v>
      </c>
      <c r="AL180" s="142">
        <v>409.14105870760847</v>
      </c>
      <c r="AM180" s="142">
        <v>409.14105870760847</v>
      </c>
      <c r="AN180" s="142">
        <v>409.14105870760847</v>
      </c>
      <c r="AO180" s="142">
        <v>409.14105870760847</v>
      </c>
      <c r="AP180" s="142">
        <v>409.14105870760847</v>
      </c>
      <c r="AQ180" s="142">
        <v>409.14105870760847</v>
      </c>
      <c r="AR180" s="142">
        <v>409.14105870760847</v>
      </c>
      <c r="AS180" s="142">
        <v>409.14105870760847</v>
      </c>
      <c r="AT180" s="142">
        <v>409.14105870760847</v>
      </c>
      <c r="AU180" s="142">
        <v>409.14105870760847</v>
      </c>
      <c r="AV180" s="142">
        <v>409.14105870760847</v>
      </c>
      <c r="AW180" s="142">
        <v>409.14105870760847</v>
      </c>
      <c r="AX180" s="142">
        <v>409.14105870760847</v>
      </c>
      <c r="AY180" s="142">
        <v>409.14105870760847</v>
      </c>
    </row>
    <row r="181" spans="1:51" x14ac:dyDescent="0.2">
      <c r="A181" s="152" t="s">
        <v>123</v>
      </c>
      <c r="B181" s="152" t="s">
        <v>298</v>
      </c>
      <c r="C181" s="141" t="s">
        <v>293</v>
      </c>
      <c r="D181" s="141">
        <f t="shared" ref="D181:AY181" si="4">(1-D172)*SUM(D122:D169)</f>
        <v>3663.5291912124344</v>
      </c>
      <c r="E181" s="141">
        <f t="shared" si="4"/>
        <v>2173.4005258187594</v>
      </c>
      <c r="F181" s="141">
        <f t="shared" si="4"/>
        <v>1235.6308051534386</v>
      </c>
      <c r="G181" s="141">
        <f t="shared" si="4"/>
        <v>598.21017094846195</v>
      </c>
      <c r="H181" s="141">
        <f t="shared" si="4"/>
        <v>598.21017094846195</v>
      </c>
      <c r="I181" s="141">
        <f t="shared" si="4"/>
        <v>598.21017094846195</v>
      </c>
      <c r="J181" s="141">
        <f t="shared" si="4"/>
        <v>598.21017094846195</v>
      </c>
      <c r="K181" s="141">
        <f t="shared" si="4"/>
        <v>598.21017094846195</v>
      </c>
      <c r="L181" s="141">
        <f t="shared" si="4"/>
        <v>598.21017094846195</v>
      </c>
      <c r="M181" s="141">
        <f t="shared" si="4"/>
        <v>598.21017094846195</v>
      </c>
      <c r="N181" s="141">
        <f t="shared" si="4"/>
        <v>598.21017094846195</v>
      </c>
      <c r="O181" s="141">
        <f t="shared" si="4"/>
        <v>598.21017094846195</v>
      </c>
      <c r="P181" s="141">
        <f t="shared" si="4"/>
        <v>598.21017094846195</v>
      </c>
      <c r="Q181" s="141">
        <f t="shared" si="4"/>
        <v>598.21017094846195</v>
      </c>
      <c r="R181" s="141">
        <f t="shared" si="4"/>
        <v>598.21017094846195</v>
      </c>
      <c r="S181" s="141">
        <f t="shared" si="4"/>
        <v>598.21017094846195</v>
      </c>
      <c r="T181" s="141">
        <f t="shared" si="4"/>
        <v>598.21017094846195</v>
      </c>
      <c r="U181" s="141">
        <f t="shared" si="4"/>
        <v>598.21017094846195</v>
      </c>
      <c r="V181" s="141">
        <f t="shared" si="4"/>
        <v>598.21017094846195</v>
      </c>
      <c r="W181" s="141">
        <f t="shared" si="4"/>
        <v>598.21017094846195</v>
      </c>
      <c r="X181" s="141">
        <f t="shared" si="4"/>
        <v>598.21017094846195</v>
      </c>
      <c r="Y181" s="141">
        <f t="shared" si="4"/>
        <v>598.21017094846195</v>
      </c>
      <c r="Z181" s="141">
        <f t="shared" si="4"/>
        <v>598.21017094846195</v>
      </c>
      <c r="AA181" s="141">
        <f t="shared" si="4"/>
        <v>598.21017094846195</v>
      </c>
      <c r="AB181" s="141">
        <f t="shared" si="4"/>
        <v>598.21017094846195</v>
      </c>
      <c r="AC181" s="141">
        <f t="shared" si="4"/>
        <v>598.21017094846195</v>
      </c>
      <c r="AD181" s="141">
        <f t="shared" si="4"/>
        <v>598.21017094846195</v>
      </c>
      <c r="AE181" s="141">
        <f t="shared" si="4"/>
        <v>598.21017094846195</v>
      </c>
      <c r="AF181" s="141">
        <f t="shared" si="4"/>
        <v>598.21017094846195</v>
      </c>
      <c r="AG181" s="141">
        <f t="shared" si="4"/>
        <v>598.21017094846195</v>
      </c>
      <c r="AH181" s="141">
        <f t="shared" si="4"/>
        <v>598.21017094846195</v>
      </c>
      <c r="AI181" s="141">
        <f t="shared" si="4"/>
        <v>598.21017094846195</v>
      </c>
      <c r="AJ181" s="141">
        <f t="shared" si="4"/>
        <v>598.21017094846195</v>
      </c>
      <c r="AK181" s="141">
        <f t="shared" si="4"/>
        <v>598.21017094846195</v>
      </c>
      <c r="AL181" s="141">
        <f t="shared" si="4"/>
        <v>598.21017094846195</v>
      </c>
      <c r="AM181" s="141">
        <f t="shared" si="4"/>
        <v>598.21017094846195</v>
      </c>
      <c r="AN181" s="141">
        <f t="shared" si="4"/>
        <v>598.21017094846195</v>
      </c>
      <c r="AO181" s="141">
        <f t="shared" si="4"/>
        <v>598.21017094846195</v>
      </c>
      <c r="AP181" s="141">
        <f t="shared" si="4"/>
        <v>598.21017094846195</v>
      </c>
      <c r="AQ181" s="141">
        <f t="shared" si="4"/>
        <v>598.21017094846195</v>
      </c>
      <c r="AR181" s="141">
        <f t="shared" si="4"/>
        <v>598.21017094846195</v>
      </c>
      <c r="AS181" s="141">
        <f t="shared" si="4"/>
        <v>598.21017094846195</v>
      </c>
      <c r="AT181" s="141">
        <f t="shared" si="4"/>
        <v>598.21017094846195</v>
      </c>
      <c r="AU181" s="141">
        <f t="shared" si="4"/>
        <v>598.21017094846195</v>
      </c>
      <c r="AV181" s="141">
        <f t="shared" si="4"/>
        <v>598.21017094846195</v>
      </c>
      <c r="AW181" s="141">
        <f t="shared" si="4"/>
        <v>598.21017094846195</v>
      </c>
      <c r="AX181" s="141">
        <f t="shared" si="4"/>
        <v>598.21017094846195</v>
      </c>
      <c r="AY181" s="141">
        <f t="shared" si="4"/>
        <v>598.21017094846195</v>
      </c>
    </row>
    <row r="182" spans="1:51" x14ac:dyDescent="0.2">
      <c r="A182" s="142"/>
      <c r="B182" s="153" t="s">
        <v>299</v>
      </c>
      <c r="C182" s="142" t="s">
        <v>293</v>
      </c>
      <c r="D182" s="142">
        <v>1011</v>
      </c>
      <c r="E182" s="142">
        <v>1100.0211503787264</v>
      </c>
      <c r="F182" s="142">
        <v>1235.6308051534386</v>
      </c>
      <c r="G182" s="142">
        <v>598.21017094846195</v>
      </c>
      <c r="H182" s="142">
        <v>598.21017094846195</v>
      </c>
      <c r="I182" s="142">
        <v>598.21017094846195</v>
      </c>
      <c r="J182" s="142">
        <v>598.21017094846195</v>
      </c>
      <c r="K182" s="142">
        <v>598.21017094846195</v>
      </c>
      <c r="L182" s="142">
        <v>598.21017094846195</v>
      </c>
      <c r="M182" s="142">
        <v>598.21017094846195</v>
      </c>
      <c r="N182" s="142">
        <v>598.21017094846195</v>
      </c>
      <c r="O182" s="142">
        <v>598.21017094846195</v>
      </c>
      <c r="P182" s="142">
        <v>598.21017094846195</v>
      </c>
      <c r="Q182" s="142">
        <v>598.21017094846195</v>
      </c>
      <c r="R182" s="142">
        <v>598.21017094846195</v>
      </c>
      <c r="S182" s="142">
        <v>598.21017094846195</v>
      </c>
      <c r="T182" s="142">
        <v>598.21017094846195</v>
      </c>
      <c r="U182" s="142">
        <v>598.21017094846195</v>
      </c>
      <c r="V182" s="142">
        <v>598.21017094846195</v>
      </c>
      <c r="W182" s="142">
        <v>598.21017094846195</v>
      </c>
      <c r="X182" s="142">
        <v>598.21017094846195</v>
      </c>
      <c r="Y182" s="142">
        <v>598.21017094846195</v>
      </c>
      <c r="Z182" s="142">
        <v>598.21017094846195</v>
      </c>
      <c r="AA182" s="142">
        <v>598.21017094846195</v>
      </c>
      <c r="AB182" s="142">
        <v>598.21017094846195</v>
      </c>
      <c r="AC182" s="142">
        <v>598.21017094846195</v>
      </c>
      <c r="AD182" s="142">
        <v>598.21017094846195</v>
      </c>
      <c r="AE182" s="142">
        <v>598.21017094846195</v>
      </c>
      <c r="AF182" s="142">
        <v>598.21017094846195</v>
      </c>
      <c r="AG182" s="142">
        <v>598.21017094846195</v>
      </c>
      <c r="AH182" s="142">
        <v>598.21017094846195</v>
      </c>
      <c r="AI182" s="142">
        <v>598.21017094846195</v>
      </c>
      <c r="AJ182" s="142">
        <v>598.21017094846195</v>
      </c>
      <c r="AK182" s="142">
        <v>598.21017094846195</v>
      </c>
      <c r="AL182" s="142">
        <v>598.21017094846195</v>
      </c>
      <c r="AM182" s="142">
        <v>598.21017094846195</v>
      </c>
      <c r="AN182" s="142">
        <v>598.21017094846195</v>
      </c>
      <c r="AO182" s="142">
        <v>598.21017094846195</v>
      </c>
      <c r="AP182" s="142">
        <v>598.21017094846195</v>
      </c>
      <c r="AQ182" s="142">
        <v>598.21017094846195</v>
      </c>
      <c r="AR182" s="142">
        <v>598.21017094846195</v>
      </c>
      <c r="AS182" s="142">
        <v>598.21017094846195</v>
      </c>
      <c r="AT182" s="142">
        <v>598.21017094846195</v>
      </c>
      <c r="AU182" s="142">
        <v>598.21017094846195</v>
      </c>
      <c r="AV182" s="142">
        <v>598.21017094846195</v>
      </c>
      <c r="AW182" s="142">
        <v>598.21017094846195</v>
      </c>
      <c r="AX182" s="142">
        <v>598.21017094846195</v>
      </c>
      <c r="AY182" s="142">
        <v>598.21017094846195</v>
      </c>
    </row>
    <row r="184" spans="1:51" x14ac:dyDescent="0.2">
      <c r="A184" s="1" t="s">
        <v>300</v>
      </c>
    </row>
    <row r="185" spans="1:51" x14ac:dyDescent="0.2">
      <c r="A185" s="143" t="s">
        <v>125</v>
      </c>
      <c r="B185" s="140">
        <v>1</v>
      </c>
      <c r="C185" s="141">
        <v>0</v>
      </c>
      <c r="D185" s="141">
        <v>855</v>
      </c>
      <c r="E185" s="141">
        <v>1145</v>
      </c>
      <c r="F185" s="141">
        <v>595.92087945727053</v>
      </c>
      <c r="G185" s="141">
        <v>0</v>
      </c>
      <c r="H185" s="141">
        <v>0</v>
      </c>
      <c r="I185" s="141">
        <v>0</v>
      </c>
      <c r="J185" s="141">
        <v>0</v>
      </c>
      <c r="K185" s="141">
        <v>0</v>
      </c>
      <c r="L185" s="141">
        <v>0</v>
      </c>
      <c r="M185" s="141">
        <v>0</v>
      </c>
      <c r="N185" s="141">
        <v>0</v>
      </c>
      <c r="O185" s="141">
        <v>0</v>
      </c>
      <c r="P185" s="141">
        <v>0</v>
      </c>
      <c r="Q185" s="141">
        <v>0</v>
      </c>
      <c r="R185" s="141">
        <v>0</v>
      </c>
      <c r="S185" s="141">
        <v>0</v>
      </c>
      <c r="T185" s="141">
        <v>0</v>
      </c>
      <c r="U185" s="141">
        <v>0</v>
      </c>
      <c r="V185" s="141">
        <v>0</v>
      </c>
      <c r="W185" s="141">
        <v>0</v>
      </c>
      <c r="X185" s="141">
        <v>0</v>
      </c>
      <c r="Y185" s="141">
        <v>0</v>
      </c>
      <c r="Z185" s="141">
        <v>0</v>
      </c>
      <c r="AA185" s="141">
        <v>0</v>
      </c>
      <c r="AB185" s="141">
        <v>0</v>
      </c>
      <c r="AC185" s="141">
        <v>0</v>
      </c>
      <c r="AD185" s="141">
        <v>0</v>
      </c>
      <c r="AE185" s="141">
        <v>0</v>
      </c>
      <c r="AF185" s="141">
        <v>0</v>
      </c>
      <c r="AG185" s="141">
        <v>0</v>
      </c>
      <c r="AH185" s="141">
        <v>0</v>
      </c>
      <c r="AI185" s="141">
        <v>0</v>
      </c>
      <c r="AJ185" s="141">
        <v>0</v>
      </c>
      <c r="AK185" s="141">
        <v>0</v>
      </c>
      <c r="AL185" s="141">
        <v>0</v>
      </c>
      <c r="AM185" s="141">
        <v>0</v>
      </c>
      <c r="AN185" s="141">
        <v>0</v>
      </c>
      <c r="AO185" s="141">
        <v>0</v>
      </c>
      <c r="AP185" s="141">
        <v>0</v>
      </c>
      <c r="AQ185" s="141">
        <v>0</v>
      </c>
      <c r="AR185" s="141">
        <v>0</v>
      </c>
      <c r="AS185" s="141">
        <v>0</v>
      </c>
      <c r="AT185" s="141">
        <v>0</v>
      </c>
      <c r="AU185" s="141">
        <v>0</v>
      </c>
      <c r="AV185" s="141">
        <v>0</v>
      </c>
      <c r="AW185" s="141">
        <v>0</v>
      </c>
      <c r="AX185" s="141">
        <v>0</v>
      </c>
      <c r="AY185" s="141">
        <v>0</v>
      </c>
    </row>
    <row r="186" spans="1:51" x14ac:dyDescent="0.2">
      <c r="A186" s="127"/>
      <c r="B186" s="137">
        <v>2</v>
      </c>
      <c r="C186" s="124">
        <v>0</v>
      </c>
      <c r="D186" s="124">
        <v>0</v>
      </c>
      <c r="E186" s="124">
        <v>0</v>
      </c>
      <c r="F186" s="124">
        <v>426.07912054272947</v>
      </c>
      <c r="G186" s="124">
        <v>889</v>
      </c>
      <c r="H186" s="124">
        <v>832</v>
      </c>
      <c r="I186" s="124">
        <v>0</v>
      </c>
      <c r="J186" s="124">
        <v>0</v>
      </c>
      <c r="K186" s="124">
        <v>0</v>
      </c>
      <c r="L186" s="124">
        <v>0</v>
      </c>
      <c r="M186" s="124">
        <v>0</v>
      </c>
      <c r="N186" s="124">
        <v>0</v>
      </c>
      <c r="O186" s="124">
        <v>0</v>
      </c>
      <c r="P186" s="124">
        <v>0</v>
      </c>
      <c r="Q186" s="124">
        <v>0</v>
      </c>
      <c r="R186" s="124">
        <v>0</v>
      </c>
      <c r="S186" s="124">
        <v>0</v>
      </c>
      <c r="T186" s="124">
        <v>0</v>
      </c>
      <c r="U186" s="124">
        <v>0</v>
      </c>
      <c r="V186" s="124">
        <v>0</v>
      </c>
      <c r="W186" s="124">
        <v>0</v>
      </c>
      <c r="X186" s="124">
        <v>0</v>
      </c>
      <c r="Y186" s="124">
        <v>0</v>
      </c>
      <c r="Z186" s="124">
        <v>0</v>
      </c>
      <c r="AA186" s="124">
        <v>0</v>
      </c>
      <c r="AB186" s="124">
        <v>0</v>
      </c>
      <c r="AC186" s="124">
        <v>0</v>
      </c>
      <c r="AD186" s="124">
        <v>0</v>
      </c>
      <c r="AE186" s="124">
        <v>0</v>
      </c>
      <c r="AF186" s="124">
        <v>0</v>
      </c>
      <c r="AG186" s="124">
        <v>0</v>
      </c>
      <c r="AH186" s="124">
        <v>0</v>
      </c>
      <c r="AI186" s="124">
        <v>0</v>
      </c>
      <c r="AJ186" s="124">
        <v>0</v>
      </c>
      <c r="AK186" s="124">
        <v>0</v>
      </c>
      <c r="AL186" s="124">
        <v>0</v>
      </c>
      <c r="AM186" s="124">
        <v>0</v>
      </c>
      <c r="AN186" s="124">
        <v>0</v>
      </c>
      <c r="AO186" s="124">
        <v>0</v>
      </c>
      <c r="AP186" s="124">
        <v>0</v>
      </c>
      <c r="AQ186" s="124">
        <v>0</v>
      </c>
      <c r="AR186" s="124">
        <v>0</v>
      </c>
      <c r="AS186" s="124">
        <v>0</v>
      </c>
      <c r="AT186" s="124">
        <v>0</v>
      </c>
      <c r="AU186" s="124">
        <v>0</v>
      </c>
      <c r="AV186" s="124">
        <v>0</v>
      </c>
      <c r="AW186" s="124">
        <v>0</v>
      </c>
      <c r="AX186" s="124">
        <v>0</v>
      </c>
      <c r="AY186" s="124">
        <v>0</v>
      </c>
    </row>
    <row r="187" spans="1:51" x14ac:dyDescent="0.2">
      <c r="A187" s="127"/>
      <c r="B187" s="144">
        <v>3</v>
      </c>
      <c r="C187" s="124">
        <v>0</v>
      </c>
      <c r="D187" s="124">
        <v>0</v>
      </c>
      <c r="E187" s="124">
        <v>0</v>
      </c>
      <c r="F187" s="124">
        <v>0</v>
      </c>
      <c r="G187" s="124">
        <v>0</v>
      </c>
      <c r="H187" s="124">
        <v>0</v>
      </c>
      <c r="I187" s="124">
        <v>997</v>
      </c>
      <c r="J187" s="124">
        <v>950</v>
      </c>
      <c r="K187" s="124">
        <v>0</v>
      </c>
      <c r="L187" s="124">
        <v>0</v>
      </c>
      <c r="M187" s="124">
        <v>0</v>
      </c>
      <c r="N187" s="124">
        <v>0</v>
      </c>
      <c r="O187" s="124">
        <v>0</v>
      </c>
      <c r="P187" s="124">
        <v>0</v>
      </c>
      <c r="Q187" s="124">
        <v>0</v>
      </c>
      <c r="R187" s="124">
        <v>0</v>
      </c>
      <c r="S187" s="124">
        <v>0</v>
      </c>
      <c r="T187" s="124">
        <v>0</v>
      </c>
      <c r="U187" s="124">
        <v>0</v>
      </c>
      <c r="V187" s="124">
        <v>0</v>
      </c>
      <c r="W187" s="124">
        <v>0</v>
      </c>
      <c r="X187" s="124">
        <v>0</v>
      </c>
      <c r="Y187" s="124">
        <v>0</v>
      </c>
      <c r="Z187" s="124">
        <v>0</v>
      </c>
      <c r="AA187" s="124">
        <v>0</v>
      </c>
      <c r="AB187" s="124">
        <v>0</v>
      </c>
      <c r="AC187" s="124">
        <v>0</v>
      </c>
      <c r="AD187" s="124">
        <v>0</v>
      </c>
      <c r="AE187" s="124">
        <v>0</v>
      </c>
      <c r="AF187" s="124">
        <v>0</v>
      </c>
      <c r="AG187" s="124">
        <v>0</v>
      </c>
      <c r="AH187" s="124">
        <v>0</v>
      </c>
      <c r="AI187" s="124">
        <v>0</v>
      </c>
      <c r="AJ187" s="124">
        <v>0</v>
      </c>
      <c r="AK187" s="124">
        <v>0</v>
      </c>
      <c r="AL187" s="124">
        <v>0</v>
      </c>
      <c r="AM187" s="124">
        <v>0</v>
      </c>
      <c r="AN187" s="124">
        <v>0</v>
      </c>
      <c r="AO187" s="124">
        <v>0</v>
      </c>
      <c r="AP187" s="124">
        <v>0</v>
      </c>
      <c r="AQ187" s="124">
        <v>0</v>
      </c>
      <c r="AR187" s="124">
        <v>0</v>
      </c>
      <c r="AS187" s="124">
        <v>0</v>
      </c>
      <c r="AT187" s="124">
        <v>0</v>
      </c>
      <c r="AU187" s="124">
        <v>0</v>
      </c>
      <c r="AV187" s="124">
        <v>0</v>
      </c>
      <c r="AW187" s="124">
        <v>0</v>
      </c>
      <c r="AX187" s="124">
        <v>0</v>
      </c>
      <c r="AY187" s="124">
        <v>0</v>
      </c>
    </row>
    <row r="188" spans="1:51" x14ac:dyDescent="0.2">
      <c r="A188" s="145"/>
      <c r="B188" s="146">
        <v>4</v>
      </c>
      <c r="C188" s="124">
        <v>0</v>
      </c>
      <c r="D188" s="124">
        <v>0</v>
      </c>
      <c r="E188" s="124">
        <v>0</v>
      </c>
      <c r="F188" s="124">
        <v>0</v>
      </c>
      <c r="G188" s="124">
        <v>0</v>
      </c>
      <c r="H188" s="124">
        <v>0</v>
      </c>
      <c r="I188" s="124">
        <v>0</v>
      </c>
      <c r="J188" s="124">
        <v>0</v>
      </c>
      <c r="K188" s="124">
        <v>766</v>
      </c>
      <c r="L188" s="124">
        <v>899</v>
      </c>
      <c r="M188" s="124">
        <v>770</v>
      </c>
      <c r="N188" s="124">
        <v>987</v>
      </c>
      <c r="O188" s="124">
        <v>931</v>
      </c>
      <c r="P188" s="124">
        <v>949</v>
      </c>
      <c r="Q188" s="124">
        <v>939</v>
      </c>
      <c r="R188" s="124">
        <v>985</v>
      </c>
      <c r="S188" s="124">
        <v>808</v>
      </c>
      <c r="T188" s="124">
        <v>1010</v>
      </c>
      <c r="U188" s="124">
        <v>977</v>
      </c>
      <c r="V188" s="124">
        <v>952</v>
      </c>
      <c r="W188" s="124">
        <v>974</v>
      </c>
      <c r="X188" s="124">
        <v>738</v>
      </c>
      <c r="Y188" s="124">
        <v>891</v>
      </c>
      <c r="Z188" s="124">
        <v>948</v>
      </c>
      <c r="AA188" s="124">
        <v>993</v>
      </c>
      <c r="AB188" s="124">
        <v>1075</v>
      </c>
      <c r="AC188" s="124">
        <v>962</v>
      </c>
      <c r="AD188" s="124">
        <v>1030</v>
      </c>
      <c r="AE188" s="124">
        <v>980</v>
      </c>
      <c r="AF188" s="124">
        <v>1007</v>
      </c>
      <c r="AG188" s="124">
        <v>1039</v>
      </c>
      <c r="AH188" s="124">
        <v>1044</v>
      </c>
      <c r="AI188" s="124">
        <v>1120</v>
      </c>
      <c r="AJ188" s="124">
        <v>999</v>
      </c>
      <c r="AK188" s="124">
        <v>1192</v>
      </c>
      <c r="AL188" s="124">
        <v>971</v>
      </c>
      <c r="AM188" s="124">
        <v>941</v>
      </c>
      <c r="AN188" s="124">
        <v>1035</v>
      </c>
      <c r="AO188" s="124">
        <v>1098</v>
      </c>
      <c r="AP188" s="124">
        <v>840</v>
      </c>
      <c r="AQ188" s="124">
        <v>1037</v>
      </c>
      <c r="AR188" s="124">
        <v>913</v>
      </c>
      <c r="AS188" s="124">
        <v>758</v>
      </c>
      <c r="AT188" s="124">
        <v>1028</v>
      </c>
      <c r="AU188" s="124">
        <v>1025</v>
      </c>
      <c r="AV188" s="124">
        <v>1039</v>
      </c>
      <c r="AW188" s="124">
        <v>881</v>
      </c>
      <c r="AX188" s="124">
        <v>1007</v>
      </c>
      <c r="AY188" s="124">
        <v>1006</v>
      </c>
    </row>
    <row r="189" spans="1:51" x14ac:dyDescent="0.2">
      <c r="A189" s="143" t="s">
        <v>133</v>
      </c>
      <c r="B189" s="140">
        <v>1</v>
      </c>
      <c r="C189" s="141">
        <v>724.38311426917357</v>
      </c>
      <c r="D189" s="141">
        <v>850.61091868349649</v>
      </c>
      <c r="E189" s="141">
        <v>30</v>
      </c>
      <c r="F189" s="141">
        <v>0</v>
      </c>
      <c r="G189" s="141">
        <v>0</v>
      </c>
      <c r="H189" s="141">
        <v>0</v>
      </c>
      <c r="I189" s="141">
        <v>0</v>
      </c>
      <c r="J189" s="141">
        <v>0</v>
      </c>
      <c r="K189" s="141">
        <v>0</v>
      </c>
      <c r="L189" s="141">
        <v>0</v>
      </c>
      <c r="M189" s="141">
        <v>0</v>
      </c>
      <c r="N189" s="141">
        <v>0</v>
      </c>
      <c r="O189" s="141">
        <v>0</v>
      </c>
      <c r="P189" s="141">
        <v>0</v>
      </c>
      <c r="Q189" s="141">
        <v>0</v>
      </c>
      <c r="R189" s="141">
        <v>0</v>
      </c>
      <c r="S189" s="141">
        <v>0</v>
      </c>
      <c r="T189" s="141">
        <v>0</v>
      </c>
      <c r="U189" s="141">
        <v>0</v>
      </c>
      <c r="V189" s="141">
        <v>0</v>
      </c>
      <c r="W189" s="141">
        <v>0</v>
      </c>
      <c r="X189" s="141">
        <v>0</v>
      </c>
      <c r="Y189" s="141">
        <v>0</v>
      </c>
      <c r="Z189" s="141">
        <v>0</v>
      </c>
      <c r="AA189" s="141">
        <v>0</v>
      </c>
      <c r="AB189" s="141">
        <v>0</v>
      </c>
      <c r="AC189" s="141">
        <v>0</v>
      </c>
      <c r="AD189" s="141">
        <v>0</v>
      </c>
      <c r="AE189" s="141">
        <v>0</v>
      </c>
      <c r="AF189" s="141">
        <v>0</v>
      </c>
      <c r="AG189" s="141">
        <v>0</v>
      </c>
      <c r="AH189" s="141">
        <v>0</v>
      </c>
      <c r="AI189" s="141">
        <v>0</v>
      </c>
      <c r="AJ189" s="141">
        <v>0</v>
      </c>
      <c r="AK189" s="141">
        <v>0</v>
      </c>
      <c r="AL189" s="141">
        <v>0</v>
      </c>
      <c r="AM189" s="141">
        <v>0</v>
      </c>
      <c r="AN189" s="141">
        <v>0</v>
      </c>
      <c r="AO189" s="141">
        <v>0</v>
      </c>
      <c r="AP189" s="141">
        <v>0</v>
      </c>
      <c r="AQ189" s="141">
        <v>0</v>
      </c>
      <c r="AR189" s="141">
        <v>0</v>
      </c>
      <c r="AS189" s="141">
        <v>0</v>
      </c>
      <c r="AT189" s="141">
        <v>0</v>
      </c>
      <c r="AU189" s="141">
        <v>0</v>
      </c>
      <c r="AV189" s="141">
        <v>0</v>
      </c>
      <c r="AW189" s="141">
        <v>0</v>
      </c>
      <c r="AX189" s="141">
        <v>0</v>
      </c>
      <c r="AY189" s="141">
        <v>0</v>
      </c>
    </row>
    <row r="190" spans="1:51" x14ac:dyDescent="0.2">
      <c r="A190" s="127"/>
      <c r="B190" s="136">
        <v>2</v>
      </c>
      <c r="C190" s="124">
        <v>0</v>
      </c>
      <c r="D190" s="124">
        <v>84.389081316503507</v>
      </c>
      <c r="E190" s="124">
        <v>65.226352595171647</v>
      </c>
      <c r="F190" s="124">
        <v>24.892142701720985</v>
      </c>
      <c r="G190" s="124">
        <v>0</v>
      </c>
      <c r="H190" s="124">
        <v>0</v>
      </c>
      <c r="I190" s="124">
        <v>0</v>
      </c>
      <c r="J190" s="124">
        <v>0</v>
      </c>
      <c r="K190" s="124">
        <v>0</v>
      </c>
      <c r="L190" s="124">
        <v>0</v>
      </c>
      <c r="M190" s="124">
        <v>0</v>
      </c>
      <c r="N190" s="124">
        <v>0</v>
      </c>
      <c r="O190" s="124">
        <v>0</v>
      </c>
      <c r="P190" s="124">
        <v>0</v>
      </c>
      <c r="Q190" s="124">
        <v>0</v>
      </c>
      <c r="R190" s="124">
        <v>0</v>
      </c>
      <c r="S190" s="124">
        <v>0</v>
      </c>
      <c r="T190" s="124">
        <v>0</v>
      </c>
      <c r="U190" s="124">
        <v>0</v>
      </c>
      <c r="V190" s="124">
        <v>0</v>
      </c>
      <c r="W190" s="124">
        <v>0</v>
      </c>
      <c r="X190" s="124">
        <v>0</v>
      </c>
      <c r="Y190" s="124">
        <v>0</v>
      </c>
      <c r="Z190" s="124">
        <v>0</v>
      </c>
      <c r="AA190" s="124">
        <v>0</v>
      </c>
      <c r="AB190" s="124">
        <v>0</v>
      </c>
      <c r="AC190" s="124">
        <v>0</v>
      </c>
      <c r="AD190" s="124">
        <v>0</v>
      </c>
      <c r="AE190" s="124">
        <v>0</v>
      </c>
      <c r="AF190" s="124">
        <v>0</v>
      </c>
      <c r="AG190" s="124">
        <v>0</v>
      </c>
      <c r="AH190" s="124">
        <v>0</v>
      </c>
      <c r="AI190" s="124">
        <v>0</v>
      </c>
      <c r="AJ190" s="124">
        <v>0</v>
      </c>
      <c r="AK190" s="124">
        <v>0</v>
      </c>
      <c r="AL190" s="124">
        <v>0</v>
      </c>
      <c r="AM190" s="124">
        <v>0</v>
      </c>
      <c r="AN190" s="124">
        <v>0</v>
      </c>
      <c r="AO190" s="124">
        <v>0</v>
      </c>
      <c r="AP190" s="124">
        <v>0</v>
      </c>
      <c r="AQ190" s="124">
        <v>0</v>
      </c>
      <c r="AR190" s="124">
        <v>0</v>
      </c>
      <c r="AS190" s="124">
        <v>0</v>
      </c>
      <c r="AT190" s="124">
        <v>0</v>
      </c>
      <c r="AU190" s="124">
        <v>0</v>
      </c>
      <c r="AV190" s="124">
        <v>0</v>
      </c>
      <c r="AW190" s="124">
        <v>0</v>
      </c>
      <c r="AX190" s="124">
        <v>0</v>
      </c>
      <c r="AY190" s="124">
        <v>0</v>
      </c>
    </row>
    <row r="191" spans="1:51" x14ac:dyDescent="0.2">
      <c r="A191" s="127"/>
      <c r="B191" s="137">
        <v>3</v>
      </c>
      <c r="C191" s="124">
        <v>0</v>
      </c>
      <c r="D191" s="124">
        <v>0</v>
      </c>
      <c r="E191" s="124">
        <v>0</v>
      </c>
      <c r="F191" s="124">
        <v>0</v>
      </c>
      <c r="G191" s="124">
        <v>0</v>
      </c>
      <c r="H191" s="124">
        <v>0</v>
      </c>
      <c r="I191" s="124">
        <v>0</v>
      </c>
      <c r="J191" s="124">
        <v>0</v>
      </c>
      <c r="K191" s="124">
        <v>0</v>
      </c>
      <c r="L191" s="124">
        <v>0</v>
      </c>
      <c r="M191" s="124">
        <v>0</v>
      </c>
      <c r="N191" s="124">
        <v>0</v>
      </c>
      <c r="O191" s="124">
        <v>0</v>
      </c>
      <c r="P191" s="124">
        <v>0</v>
      </c>
      <c r="Q191" s="124">
        <v>0</v>
      </c>
      <c r="R191" s="124">
        <v>0</v>
      </c>
      <c r="S191" s="124">
        <v>0</v>
      </c>
      <c r="T191" s="124">
        <v>0</v>
      </c>
      <c r="U191" s="124">
        <v>0</v>
      </c>
      <c r="V191" s="124">
        <v>0</v>
      </c>
      <c r="W191" s="124">
        <v>0</v>
      </c>
      <c r="X191" s="124">
        <v>0</v>
      </c>
      <c r="Y191" s="124">
        <v>0</v>
      </c>
      <c r="Z191" s="124">
        <v>0</v>
      </c>
      <c r="AA191" s="124">
        <v>0</v>
      </c>
      <c r="AB191" s="124">
        <v>0</v>
      </c>
      <c r="AC191" s="124">
        <v>0</v>
      </c>
      <c r="AD191" s="124">
        <v>0</v>
      </c>
      <c r="AE191" s="124">
        <v>0</v>
      </c>
      <c r="AF191" s="124">
        <v>0</v>
      </c>
      <c r="AG191" s="124">
        <v>0</v>
      </c>
      <c r="AH191" s="124">
        <v>0</v>
      </c>
      <c r="AI191" s="124">
        <v>0</v>
      </c>
      <c r="AJ191" s="124">
        <v>0</v>
      </c>
      <c r="AK191" s="124">
        <v>0</v>
      </c>
      <c r="AL191" s="124">
        <v>0</v>
      </c>
      <c r="AM191" s="124">
        <v>0</v>
      </c>
      <c r="AN191" s="124">
        <v>0</v>
      </c>
      <c r="AO191" s="124">
        <v>0</v>
      </c>
      <c r="AP191" s="124">
        <v>0</v>
      </c>
      <c r="AQ191" s="124">
        <v>0</v>
      </c>
      <c r="AR191" s="124">
        <v>0</v>
      </c>
      <c r="AS191" s="124">
        <v>0</v>
      </c>
      <c r="AT191" s="124">
        <v>0</v>
      </c>
      <c r="AU191" s="124">
        <v>0</v>
      </c>
      <c r="AV191" s="124">
        <v>0</v>
      </c>
      <c r="AW191" s="124">
        <v>0</v>
      </c>
      <c r="AX191" s="124">
        <v>0</v>
      </c>
      <c r="AY191" s="124">
        <v>0</v>
      </c>
    </row>
    <row r="192" spans="1:51" x14ac:dyDescent="0.2">
      <c r="A192" s="127"/>
      <c r="B192" s="137">
        <v>4</v>
      </c>
      <c r="C192" s="124">
        <v>0</v>
      </c>
      <c r="D192" s="124">
        <v>0</v>
      </c>
      <c r="E192" s="124">
        <v>0</v>
      </c>
      <c r="F192" s="124">
        <v>0</v>
      </c>
      <c r="G192" s="124">
        <v>0</v>
      </c>
      <c r="H192" s="124">
        <v>0</v>
      </c>
      <c r="I192" s="124">
        <v>0</v>
      </c>
      <c r="J192" s="124">
        <v>0</v>
      </c>
      <c r="K192" s="124">
        <v>0</v>
      </c>
      <c r="L192" s="124">
        <v>0</v>
      </c>
      <c r="M192" s="124">
        <v>0</v>
      </c>
      <c r="N192" s="124">
        <v>0</v>
      </c>
      <c r="O192" s="124">
        <v>0</v>
      </c>
      <c r="P192" s="124">
        <v>0</v>
      </c>
      <c r="Q192" s="124">
        <v>0</v>
      </c>
      <c r="R192" s="124">
        <v>0</v>
      </c>
      <c r="S192" s="124">
        <v>0</v>
      </c>
      <c r="T192" s="124">
        <v>0</v>
      </c>
      <c r="U192" s="124">
        <v>0</v>
      </c>
      <c r="V192" s="124">
        <v>0</v>
      </c>
      <c r="W192" s="124">
        <v>0</v>
      </c>
      <c r="X192" s="124">
        <v>0</v>
      </c>
      <c r="Y192" s="124">
        <v>0</v>
      </c>
      <c r="Z192" s="124">
        <v>0</v>
      </c>
      <c r="AA192" s="124">
        <v>0</v>
      </c>
      <c r="AB192" s="124">
        <v>0</v>
      </c>
      <c r="AC192" s="124">
        <v>0</v>
      </c>
      <c r="AD192" s="124">
        <v>0</v>
      </c>
      <c r="AE192" s="124">
        <v>0</v>
      </c>
      <c r="AF192" s="124">
        <v>0</v>
      </c>
      <c r="AG192" s="124">
        <v>0</v>
      </c>
      <c r="AH192" s="124">
        <v>0</v>
      </c>
      <c r="AI192" s="124">
        <v>0</v>
      </c>
      <c r="AJ192" s="124">
        <v>0</v>
      </c>
      <c r="AK192" s="124">
        <v>0</v>
      </c>
      <c r="AL192" s="124">
        <v>0</v>
      </c>
      <c r="AM192" s="124">
        <v>0</v>
      </c>
      <c r="AN192" s="124">
        <v>0</v>
      </c>
      <c r="AO192" s="124">
        <v>0</v>
      </c>
      <c r="AP192" s="124">
        <v>0</v>
      </c>
      <c r="AQ192" s="124">
        <v>0</v>
      </c>
      <c r="AR192" s="124">
        <v>0</v>
      </c>
      <c r="AS192" s="124">
        <v>0</v>
      </c>
      <c r="AT192" s="124">
        <v>0</v>
      </c>
      <c r="AU192" s="124">
        <v>0</v>
      </c>
      <c r="AV192" s="124">
        <v>0</v>
      </c>
      <c r="AW192" s="124">
        <v>0</v>
      </c>
      <c r="AX192" s="124">
        <v>0</v>
      </c>
      <c r="AY192" s="124">
        <v>0</v>
      </c>
    </row>
    <row r="193" spans="1:51" x14ac:dyDescent="0.2">
      <c r="A193" s="127"/>
      <c r="B193" s="144">
        <v>5</v>
      </c>
      <c r="C193" s="124">
        <v>0</v>
      </c>
      <c r="D193" s="124">
        <v>0</v>
      </c>
      <c r="E193" s="124">
        <v>0</v>
      </c>
      <c r="F193" s="124">
        <v>0</v>
      </c>
      <c r="G193" s="124">
        <v>0</v>
      </c>
      <c r="H193" s="124">
        <v>0</v>
      </c>
      <c r="I193" s="124">
        <v>0</v>
      </c>
      <c r="J193" s="124">
        <v>0</v>
      </c>
      <c r="K193" s="124">
        <v>0</v>
      </c>
      <c r="L193" s="124">
        <v>0</v>
      </c>
      <c r="M193" s="124">
        <v>0</v>
      </c>
      <c r="N193" s="124">
        <v>0</v>
      </c>
      <c r="O193" s="124">
        <v>0</v>
      </c>
      <c r="P193" s="124">
        <v>0</v>
      </c>
      <c r="Q193" s="124">
        <v>0</v>
      </c>
      <c r="R193" s="124">
        <v>0</v>
      </c>
      <c r="S193" s="124">
        <v>0</v>
      </c>
      <c r="T193" s="124">
        <v>0</v>
      </c>
      <c r="U193" s="124">
        <v>0</v>
      </c>
      <c r="V193" s="124">
        <v>0</v>
      </c>
      <c r="W193" s="124">
        <v>0</v>
      </c>
      <c r="X193" s="124">
        <v>0</v>
      </c>
      <c r="Y193" s="124">
        <v>0</v>
      </c>
      <c r="Z193" s="124">
        <v>0</v>
      </c>
      <c r="AA193" s="124">
        <v>0</v>
      </c>
      <c r="AB193" s="124">
        <v>0</v>
      </c>
      <c r="AC193" s="124">
        <v>0</v>
      </c>
      <c r="AD193" s="124">
        <v>0</v>
      </c>
      <c r="AE193" s="124">
        <v>0</v>
      </c>
      <c r="AF193" s="124">
        <v>0</v>
      </c>
      <c r="AG193" s="124">
        <v>0</v>
      </c>
      <c r="AH193" s="124">
        <v>0</v>
      </c>
      <c r="AI193" s="124">
        <v>0</v>
      </c>
      <c r="AJ193" s="124">
        <v>0</v>
      </c>
      <c r="AK193" s="124">
        <v>0</v>
      </c>
      <c r="AL193" s="124">
        <v>0</v>
      </c>
      <c r="AM193" s="124">
        <v>0</v>
      </c>
      <c r="AN193" s="124">
        <v>0</v>
      </c>
      <c r="AO193" s="124">
        <v>0</v>
      </c>
      <c r="AP193" s="124">
        <v>0</v>
      </c>
      <c r="AQ193" s="124">
        <v>0</v>
      </c>
      <c r="AR193" s="124">
        <v>0</v>
      </c>
      <c r="AS193" s="124">
        <v>0</v>
      </c>
      <c r="AT193" s="124">
        <v>0</v>
      </c>
      <c r="AU193" s="124">
        <v>0</v>
      </c>
      <c r="AV193" s="124">
        <v>0</v>
      </c>
      <c r="AW193" s="124">
        <v>0</v>
      </c>
      <c r="AX193" s="124">
        <v>0</v>
      </c>
      <c r="AY193" s="124">
        <v>0</v>
      </c>
    </row>
    <row r="194" spans="1:51" x14ac:dyDescent="0.2">
      <c r="A194" s="127"/>
      <c r="B194" s="144">
        <v>6</v>
      </c>
      <c r="C194" s="124">
        <v>0</v>
      </c>
      <c r="D194" s="124">
        <v>0</v>
      </c>
      <c r="E194" s="124">
        <v>0</v>
      </c>
      <c r="F194" s="124">
        <v>0</v>
      </c>
      <c r="G194" s="124">
        <v>0</v>
      </c>
      <c r="H194" s="124">
        <v>0</v>
      </c>
      <c r="I194" s="124">
        <v>0</v>
      </c>
      <c r="J194" s="124">
        <v>0</v>
      </c>
      <c r="K194" s="124">
        <v>0</v>
      </c>
      <c r="L194" s="124">
        <v>0</v>
      </c>
      <c r="M194" s="124">
        <v>0</v>
      </c>
      <c r="N194" s="124">
        <v>0</v>
      </c>
      <c r="O194" s="124">
        <v>0</v>
      </c>
      <c r="P194" s="124">
        <v>0</v>
      </c>
      <c r="Q194" s="124">
        <v>0</v>
      </c>
      <c r="R194" s="124">
        <v>0</v>
      </c>
      <c r="S194" s="124">
        <v>0</v>
      </c>
      <c r="T194" s="124">
        <v>0</v>
      </c>
      <c r="U194" s="124">
        <v>0</v>
      </c>
      <c r="V194" s="124">
        <v>0</v>
      </c>
      <c r="W194" s="124">
        <v>0</v>
      </c>
      <c r="X194" s="124">
        <v>0</v>
      </c>
      <c r="Y194" s="124">
        <v>0</v>
      </c>
      <c r="Z194" s="124">
        <v>0</v>
      </c>
      <c r="AA194" s="124">
        <v>0</v>
      </c>
      <c r="AB194" s="124">
        <v>0</v>
      </c>
      <c r="AC194" s="124">
        <v>0</v>
      </c>
      <c r="AD194" s="124">
        <v>0</v>
      </c>
      <c r="AE194" s="124">
        <v>0</v>
      </c>
      <c r="AF194" s="124">
        <v>0</v>
      </c>
      <c r="AG194" s="124">
        <v>0</v>
      </c>
      <c r="AH194" s="124">
        <v>0</v>
      </c>
      <c r="AI194" s="124">
        <v>0</v>
      </c>
      <c r="AJ194" s="124">
        <v>0</v>
      </c>
      <c r="AK194" s="124">
        <v>0</v>
      </c>
      <c r="AL194" s="124">
        <v>0</v>
      </c>
      <c r="AM194" s="124">
        <v>0</v>
      </c>
      <c r="AN194" s="124">
        <v>0</v>
      </c>
      <c r="AO194" s="124">
        <v>0</v>
      </c>
      <c r="AP194" s="124">
        <v>0</v>
      </c>
      <c r="AQ194" s="124">
        <v>0</v>
      </c>
      <c r="AR194" s="124">
        <v>0</v>
      </c>
      <c r="AS194" s="124">
        <v>0</v>
      </c>
      <c r="AT194" s="124">
        <v>0</v>
      </c>
      <c r="AU194" s="124">
        <v>0</v>
      </c>
      <c r="AV194" s="124">
        <v>0</v>
      </c>
      <c r="AW194" s="124">
        <v>0</v>
      </c>
      <c r="AX194" s="124">
        <v>0</v>
      </c>
      <c r="AY194" s="124">
        <v>0</v>
      </c>
    </row>
    <row r="195" spans="1:51" x14ac:dyDescent="0.2">
      <c r="A195" s="127"/>
      <c r="B195" s="147">
        <v>7</v>
      </c>
      <c r="C195" s="124">
        <v>0</v>
      </c>
      <c r="D195" s="124">
        <v>0</v>
      </c>
      <c r="E195" s="124">
        <v>0</v>
      </c>
      <c r="F195" s="124">
        <v>0</v>
      </c>
      <c r="G195" s="124">
        <v>0</v>
      </c>
      <c r="H195" s="124">
        <v>0</v>
      </c>
      <c r="I195" s="124">
        <v>0</v>
      </c>
      <c r="J195" s="124">
        <v>0</v>
      </c>
      <c r="K195" s="124">
        <v>0</v>
      </c>
      <c r="L195" s="124">
        <v>0</v>
      </c>
      <c r="M195" s="124">
        <v>0</v>
      </c>
      <c r="N195" s="124">
        <v>0</v>
      </c>
      <c r="O195" s="124">
        <v>0</v>
      </c>
      <c r="P195" s="124">
        <v>0</v>
      </c>
      <c r="Q195" s="124">
        <v>0</v>
      </c>
      <c r="R195" s="124">
        <v>0</v>
      </c>
      <c r="S195" s="124">
        <v>0</v>
      </c>
      <c r="T195" s="124">
        <v>0</v>
      </c>
      <c r="U195" s="124">
        <v>0</v>
      </c>
      <c r="V195" s="124">
        <v>0</v>
      </c>
      <c r="W195" s="124">
        <v>0</v>
      </c>
      <c r="X195" s="124">
        <v>0</v>
      </c>
      <c r="Y195" s="124">
        <v>0</v>
      </c>
      <c r="Z195" s="124">
        <v>0</v>
      </c>
      <c r="AA195" s="124">
        <v>0</v>
      </c>
      <c r="AB195" s="124">
        <v>0</v>
      </c>
      <c r="AC195" s="124">
        <v>0</v>
      </c>
      <c r="AD195" s="124">
        <v>0</v>
      </c>
      <c r="AE195" s="124">
        <v>0</v>
      </c>
      <c r="AF195" s="124">
        <v>0</v>
      </c>
      <c r="AG195" s="124">
        <v>0</v>
      </c>
      <c r="AH195" s="124">
        <v>0</v>
      </c>
      <c r="AI195" s="124">
        <v>0</v>
      </c>
      <c r="AJ195" s="124">
        <v>0</v>
      </c>
      <c r="AK195" s="124">
        <v>0</v>
      </c>
      <c r="AL195" s="124">
        <v>0</v>
      </c>
      <c r="AM195" s="124">
        <v>0</v>
      </c>
      <c r="AN195" s="124">
        <v>0</v>
      </c>
      <c r="AO195" s="124">
        <v>0</v>
      </c>
      <c r="AP195" s="124">
        <v>0</v>
      </c>
      <c r="AQ195" s="124">
        <v>0</v>
      </c>
      <c r="AR195" s="124">
        <v>0</v>
      </c>
      <c r="AS195" s="124">
        <v>0</v>
      </c>
      <c r="AT195" s="124">
        <v>0</v>
      </c>
      <c r="AU195" s="124">
        <v>0</v>
      </c>
      <c r="AV195" s="124">
        <v>0</v>
      </c>
      <c r="AW195" s="124">
        <v>0</v>
      </c>
      <c r="AX195" s="124">
        <v>0</v>
      </c>
      <c r="AY195" s="124">
        <v>0</v>
      </c>
    </row>
    <row r="196" spans="1:51" x14ac:dyDescent="0.2">
      <c r="A196" s="145"/>
      <c r="B196" s="146">
        <v>8</v>
      </c>
      <c r="C196" s="131">
        <v>0</v>
      </c>
      <c r="D196" s="131">
        <v>0</v>
      </c>
      <c r="E196" s="131">
        <v>0</v>
      </c>
      <c r="F196" s="131">
        <v>0</v>
      </c>
      <c r="G196" s="131">
        <v>0</v>
      </c>
      <c r="H196" s="131">
        <v>0</v>
      </c>
      <c r="I196" s="131">
        <v>0</v>
      </c>
      <c r="J196" s="131">
        <v>0</v>
      </c>
      <c r="K196" s="131">
        <v>0</v>
      </c>
      <c r="L196" s="131">
        <v>0</v>
      </c>
      <c r="M196" s="131">
        <v>0</v>
      </c>
      <c r="N196" s="131">
        <v>0</v>
      </c>
      <c r="O196" s="131">
        <v>0</v>
      </c>
      <c r="P196" s="131">
        <v>0</v>
      </c>
      <c r="Q196" s="131">
        <v>0</v>
      </c>
      <c r="R196" s="131">
        <v>0</v>
      </c>
      <c r="S196" s="131">
        <v>0</v>
      </c>
      <c r="T196" s="131">
        <v>0</v>
      </c>
      <c r="U196" s="131">
        <v>0</v>
      </c>
      <c r="V196" s="131">
        <v>0</v>
      </c>
      <c r="W196" s="131">
        <v>0</v>
      </c>
      <c r="X196" s="131">
        <v>0</v>
      </c>
      <c r="Y196" s="131">
        <v>0</v>
      </c>
      <c r="Z196" s="131">
        <v>0</v>
      </c>
      <c r="AA196" s="131">
        <v>0</v>
      </c>
      <c r="AB196" s="131">
        <v>0</v>
      </c>
      <c r="AC196" s="131">
        <v>0</v>
      </c>
      <c r="AD196" s="131">
        <v>0</v>
      </c>
      <c r="AE196" s="131">
        <v>0</v>
      </c>
      <c r="AF196" s="131">
        <v>0</v>
      </c>
      <c r="AG196" s="131">
        <v>0</v>
      </c>
      <c r="AH196" s="131">
        <v>0</v>
      </c>
      <c r="AI196" s="131">
        <v>0</v>
      </c>
      <c r="AJ196" s="131">
        <v>0</v>
      </c>
      <c r="AK196" s="131">
        <v>0</v>
      </c>
      <c r="AL196" s="131">
        <v>0</v>
      </c>
      <c r="AM196" s="131">
        <v>0</v>
      </c>
      <c r="AN196" s="131">
        <v>0</v>
      </c>
      <c r="AO196" s="131">
        <v>0</v>
      </c>
      <c r="AP196" s="131">
        <v>0</v>
      </c>
      <c r="AQ196" s="131">
        <v>0</v>
      </c>
      <c r="AR196" s="131">
        <v>0</v>
      </c>
      <c r="AS196" s="131">
        <v>0</v>
      </c>
      <c r="AT196" s="131">
        <v>0</v>
      </c>
      <c r="AU196" s="131">
        <v>0</v>
      </c>
      <c r="AV196" s="131">
        <v>0</v>
      </c>
      <c r="AW196" s="131">
        <v>0</v>
      </c>
      <c r="AX196" s="131">
        <v>0</v>
      </c>
      <c r="AY196" s="131">
        <v>0</v>
      </c>
    </row>
    <row r="197" spans="1:51" x14ac:dyDescent="0.2">
      <c r="A197" s="148" t="s">
        <v>134</v>
      </c>
      <c r="B197" s="136">
        <v>1</v>
      </c>
      <c r="C197" s="124">
        <v>0</v>
      </c>
      <c r="D197" s="124">
        <v>0</v>
      </c>
      <c r="E197" s="124">
        <v>0</v>
      </c>
      <c r="F197" s="124">
        <v>0</v>
      </c>
      <c r="G197" s="124">
        <v>0</v>
      </c>
      <c r="H197" s="124">
        <v>0</v>
      </c>
      <c r="I197" s="124">
        <v>0</v>
      </c>
      <c r="J197" s="124">
        <v>0</v>
      </c>
      <c r="K197" s="124">
        <v>0</v>
      </c>
      <c r="L197" s="124">
        <v>0</v>
      </c>
      <c r="M197" s="124">
        <v>0</v>
      </c>
      <c r="N197" s="124">
        <v>0</v>
      </c>
      <c r="O197" s="124">
        <v>0</v>
      </c>
      <c r="P197" s="124">
        <v>0</v>
      </c>
      <c r="Q197" s="124">
        <v>0</v>
      </c>
      <c r="R197" s="124">
        <v>0</v>
      </c>
      <c r="S197" s="124">
        <v>0</v>
      </c>
      <c r="T197" s="124">
        <v>0</v>
      </c>
      <c r="U197" s="124">
        <v>194.58654180868024</v>
      </c>
      <c r="V197" s="124">
        <v>409.14105870760847</v>
      </c>
      <c r="W197" s="124">
        <v>409.14105870760847</v>
      </c>
      <c r="X197" s="124">
        <v>409.14105870760847</v>
      </c>
      <c r="Y197" s="124">
        <v>409.14105870760847</v>
      </c>
      <c r="Z197" s="124">
        <v>409.14105870760847</v>
      </c>
      <c r="AA197" s="124">
        <v>409.14105870760847</v>
      </c>
      <c r="AB197" s="124">
        <v>409.14105870760847</v>
      </c>
      <c r="AC197" s="124">
        <v>409.14105870760847</v>
      </c>
      <c r="AD197" s="124">
        <v>409.14105870760847</v>
      </c>
      <c r="AE197" s="124">
        <v>409.14105870760847</v>
      </c>
      <c r="AF197" s="124">
        <v>409.14105870760847</v>
      </c>
      <c r="AG197" s="124">
        <v>409.14105870760847</v>
      </c>
      <c r="AH197" s="124">
        <v>409.14105870760847</v>
      </c>
      <c r="AI197" s="124">
        <v>409.14105870760847</v>
      </c>
      <c r="AJ197" s="124">
        <v>409.14105870760847</v>
      </c>
      <c r="AK197" s="124">
        <v>409.14105870760847</v>
      </c>
      <c r="AL197" s="124">
        <v>409.14105870760847</v>
      </c>
      <c r="AM197" s="124">
        <v>409.14105870760847</v>
      </c>
      <c r="AN197" s="124">
        <v>409.14105870760847</v>
      </c>
      <c r="AO197" s="124">
        <v>409.14105870760847</v>
      </c>
      <c r="AP197" s="124">
        <v>409.14105870760847</v>
      </c>
      <c r="AQ197" s="124">
        <v>409.14105870760847</v>
      </c>
      <c r="AR197" s="124">
        <v>409.14105870760847</v>
      </c>
      <c r="AS197" s="124">
        <v>409.14105870760847</v>
      </c>
      <c r="AT197" s="124">
        <v>409.14105870760847</v>
      </c>
      <c r="AU197" s="124">
        <v>409.14105870760847</v>
      </c>
      <c r="AV197" s="124">
        <v>409.14105870760847</v>
      </c>
      <c r="AW197" s="124">
        <v>409.14105870760847</v>
      </c>
      <c r="AX197" s="124">
        <v>409.14105870760847</v>
      </c>
      <c r="AY197" s="124">
        <v>409.14105870760847</v>
      </c>
    </row>
    <row r="198" spans="1:51" x14ac:dyDescent="0.2">
      <c r="A198" s="127"/>
      <c r="B198" s="136">
        <v>2</v>
      </c>
      <c r="C198" s="124">
        <v>0</v>
      </c>
      <c r="D198" s="124">
        <v>0</v>
      </c>
      <c r="E198" s="124">
        <v>0</v>
      </c>
      <c r="F198" s="124">
        <v>0</v>
      </c>
      <c r="G198" s="124">
        <v>0</v>
      </c>
      <c r="H198" s="124">
        <v>0</v>
      </c>
      <c r="I198" s="124">
        <v>0</v>
      </c>
      <c r="J198" s="124">
        <v>0</v>
      </c>
      <c r="K198" s="124">
        <v>0</v>
      </c>
      <c r="L198" s="124">
        <v>0</v>
      </c>
      <c r="M198" s="124">
        <v>0</v>
      </c>
      <c r="N198" s="124">
        <v>0</v>
      </c>
      <c r="O198" s="124">
        <v>0</v>
      </c>
      <c r="P198" s="124">
        <v>0</v>
      </c>
      <c r="Q198" s="124">
        <v>0</v>
      </c>
      <c r="R198" s="124">
        <v>0</v>
      </c>
      <c r="S198" s="124">
        <v>0</v>
      </c>
      <c r="T198" s="124">
        <v>0</v>
      </c>
      <c r="U198" s="124">
        <v>409.14105870760847</v>
      </c>
      <c r="V198" s="124">
        <v>214.55451689892823</v>
      </c>
      <c r="W198" s="124">
        <v>0</v>
      </c>
      <c r="X198" s="124">
        <v>0</v>
      </c>
      <c r="Y198" s="124">
        <v>0</v>
      </c>
      <c r="Z198" s="124">
        <v>0</v>
      </c>
      <c r="AA198" s="124">
        <v>0</v>
      </c>
      <c r="AB198" s="124">
        <v>0</v>
      </c>
      <c r="AC198" s="124">
        <v>0</v>
      </c>
      <c r="AD198" s="124">
        <v>0</v>
      </c>
      <c r="AE198" s="124">
        <v>0</v>
      </c>
      <c r="AF198" s="124">
        <v>0</v>
      </c>
      <c r="AG198" s="124">
        <v>0</v>
      </c>
      <c r="AH198" s="124">
        <v>0</v>
      </c>
      <c r="AI198" s="124">
        <v>0</v>
      </c>
      <c r="AJ198" s="124">
        <v>0</v>
      </c>
      <c r="AK198" s="124">
        <v>0</v>
      </c>
      <c r="AL198" s="124">
        <v>0</v>
      </c>
      <c r="AM198" s="124">
        <v>0</v>
      </c>
      <c r="AN198" s="124">
        <v>0</v>
      </c>
      <c r="AO198" s="124">
        <v>0</v>
      </c>
      <c r="AP198" s="124">
        <v>0</v>
      </c>
      <c r="AQ198" s="124">
        <v>0</v>
      </c>
      <c r="AR198" s="124">
        <v>0</v>
      </c>
      <c r="AS198" s="124">
        <v>0</v>
      </c>
      <c r="AT198" s="124">
        <v>0</v>
      </c>
      <c r="AU198" s="124">
        <v>0</v>
      </c>
      <c r="AV198" s="124">
        <v>0</v>
      </c>
      <c r="AW198" s="124">
        <v>0</v>
      </c>
      <c r="AX198" s="124">
        <v>0</v>
      </c>
      <c r="AY198" s="124">
        <v>0</v>
      </c>
    </row>
    <row r="199" spans="1:51" x14ac:dyDescent="0.2">
      <c r="A199" s="127"/>
      <c r="B199" s="136">
        <v>3</v>
      </c>
      <c r="C199" s="124">
        <v>0</v>
      </c>
      <c r="D199" s="124">
        <v>0</v>
      </c>
      <c r="E199" s="124">
        <v>0</v>
      </c>
      <c r="F199" s="124">
        <v>0</v>
      </c>
      <c r="G199" s="124">
        <v>0</v>
      </c>
      <c r="H199" s="124">
        <v>0</v>
      </c>
      <c r="I199" s="124">
        <v>0</v>
      </c>
      <c r="J199" s="124">
        <v>0</v>
      </c>
      <c r="K199" s="124">
        <v>0</v>
      </c>
      <c r="L199" s="124">
        <v>0</v>
      </c>
      <c r="M199" s="124">
        <v>0</v>
      </c>
      <c r="N199" s="124">
        <v>0</v>
      </c>
      <c r="O199" s="124">
        <v>0</v>
      </c>
      <c r="P199" s="124">
        <v>0</v>
      </c>
      <c r="Q199" s="124">
        <v>0</v>
      </c>
      <c r="R199" s="124">
        <v>0</v>
      </c>
      <c r="S199" s="124">
        <v>0</v>
      </c>
      <c r="T199" s="124">
        <v>0</v>
      </c>
      <c r="U199" s="124">
        <v>409.14105870760847</v>
      </c>
      <c r="V199" s="124">
        <v>0</v>
      </c>
      <c r="W199" s="124">
        <v>0</v>
      </c>
      <c r="X199" s="124">
        <v>0</v>
      </c>
      <c r="Y199" s="124">
        <v>0</v>
      </c>
      <c r="Z199" s="124">
        <v>0</v>
      </c>
      <c r="AA199" s="124">
        <v>0</v>
      </c>
      <c r="AB199" s="124">
        <v>0</v>
      </c>
      <c r="AC199" s="124">
        <v>0</v>
      </c>
      <c r="AD199" s="124">
        <v>0</v>
      </c>
      <c r="AE199" s="124">
        <v>0</v>
      </c>
      <c r="AF199" s="124">
        <v>0</v>
      </c>
      <c r="AG199" s="124">
        <v>0</v>
      </c>
      <c r="AH199" s="124">
        <v>0</v>
      </c>
      <c r="AI199" s="124">
        <v>0</v>
      </c>
      <c r="AJ199" s="124">
        <v>0</v>
      </c>
      <c r="AK199" s="124">
        <v>0</v>
      </c>
      <c r="AL199" s="124">
        <v>0</v>
      </c>
      <c r="AM199" s="124">
        <v>0</v>
      </c>
      <c r="AN199" s="124">
        <v>0</v>
      </c>
      <c r="AO199" s="124">
        <v>0</v>
      </c>
      <c r="AP199" s="124">
        <v>0</v>
      </c>
      <c r="AQ199" s="124">
        <v>0</v>
      </c>
      <c r="AR199" s="124">
        <v>0</v>
      </c>
      <c r="AS199" s="124">
        <v>0</v>
      </c>
      <c r="AT199" s="124">
        <v>0</v>
      </c>
      <c r="AU199" s="124">
        <v>0</v>
      </c>
      <c r="AV199" s="124">
        <v>0</v>
      </c>
      <c r="AW199" s="124">
        <v>0</v>
      </c>
      <c r="AX199" s="124">
        <v>0</v>
      </c>
      <c r="AY199" s="124">
        <v>0</v>
      </c>
    </row>
    <row r="200" spans="1:51" x14ac:dyDescent="0.2">
      <c r="A200" s="127"/>
      <c r="B200" s="137">
        <v>4</v>
      </c>
      <c r="C200" s="124">
        <v>0</v>
      </c>
      <c r="D200" s="124">
        <v>0</v>
      </c>
      <c r="E200" s="124">
        <v>0</v>
      </c>
      <c r="F200" s="124">
        <v>0</v>
      </c>
      <c r="G200" s="124">
        <v>0</v>
      </c>
      <c r="H200" s="124">
        <v>0</v>
      </c>
      <c r="I200" s="124">
        <v>0</v>
      </c>
      <c r="J200" s="124">
        <v>0</v>
      </c>
      <c r="K200" s="124">
        <v>0</v>
      </c>
      <c r="L200" s="124">
        <v>0</v>
      </c>
      <c r="M200" s="124">
        <v>0</v>
      </c>
      <c r="N200" s="124">
        <v>0</v>
      </c>
      <c r="O200" s="124">
        <v>0</v>
      </c>
      <c r="P200" s="124">
        <v>0</v>
      </c>
      <c r="Q200" s="124">
        <v>0</v>
      </c>
      <c r="R200" s="124">
        <v>0</v>
      </c>
      <c r="S200" s="124">
        <v>0</v>
      </c>
      <c r="T200" s="124">
        <v>90.150776639114042</v>
      </c>
      <c r="U200" s="124">
        <v>409.14105870760847</v>
      </c>
      <c r="V200" s="124">
        <v>0</v>
      </c>
      <c r="W200" s="124">
        <v>0</v>
      </c>
      <c r="X200" s="124">
        <v>0</v>
      </c>
      <c r="Y200" s="124">
        <v>0</v>
      </c>
      <c r="Z200" s="124">
        <v>0</v>
      </c>
      <c r="AA200" s="124">
        <v>0</v>
      </c>
      <c r="AB200" s="124">
        <v>0</v>
      </c>
      <c r="AC200" s="124">
        <v>0</v>
      </c>
      <c r="AD200" s="124">
        <v>0</v>
      </c>
      <c r="AE200" s="124">
        <v>0</v>
      </c>
      <c r="AF200" s="124">
        <v>0</v>
      </c>
      <c r="AG200" s="124">
        <v>0</v>
      </c>
      <c r="AH200" s="124">
        <v>0</v>
      </c>
      <c r="AI200" s="124">
        <v>0</v>
      </c>
      <c r="AJ200" s="124">
        <v>0</v>
      </c>
      <c r="AK200" s="124">
        <v>0</v>
      </c>
      <c r="AL200" s="124">
        <v>0</v>
      </c>
      <c r="AM200" s="124">
        <v>0</v>
      </c>
      <c r="AN200" s="124">
        <v>0</v>
      </c>
      <c r="AO200" s="124">
        <v>0</v>
      </c>
      <c r="AP200" s="124">
        <v>0</v>
      </c>
      <c r="AQ200" s="124">
        <v>0</v>
      </c>
      <c r="AR200" s="124">
        <v>0</v>
      </c>
      <c r="AS200" s="124">
        <v>0</v>
      </c>
      <c r="AT200" s="124">
        <v>0</v>
      </c>
      <c r="AU200" s="124">
        <v>0</v>
      </c>
      <c r="AV200" s="124">
        <v>0</v>
      </c>
      <c r="AW200" s="124">
        <v>0</v>
      </c>
      <c r="AX200" s="124">
        <v>0</v>
      </c>
      <c r="AY200" s="124">
        <v>0</v>
      </c>
    </row>
    <row r="201" spans="1:51" x14ac:dyDescent="0.2">
      <c r="A201" s="127"/>
      <c r="B201" s="137">
        <v>5</v>
      </c>
      <c r="C201" s="124">
        <v>0</v>
      </c>
      <c r="D201" s="124">
        <v>0</v>
      </c>
      <c r="E201" s="124">
        <v>0</v>
      </c>
      <c r="F201" s="124">
        <v>0</v>
      </c>
      <c r="G201" s="124">
        <v>0</v>
      </c>
      <c r="H201" s="124">
        <v>0</v>
      </c>
      <c r="I201" s="124">
        <v>0</v>
      </c>
      <c r="J201" s="124">
        <v>0</v>
      </c>
      <c r="K201" s="124">
        <v>0</v>
      </c>
      <c r="L201" s="124">
        <v>0</v>
      </c>
      <c r="M201" s="124">
        <v>0</v>
      </c>
      <c r="N201" s="124">
        <v>0</v>
      </c>
      <c r="O201" s="124">
        <v>0</v>
      </c>
      <c r="P201" s="124">
        <v>0</v>
      </c>
      <c r="Q201" s="124">
        <v>0</v>
      </c>
      <c r="R201" s="124">
        <v>0</v>
      </c>
      <c r="S201" s="124">
        <v>0</v>
      </c>
      <c r="T201" s="124">
        <v>409.14105870760847</v>
      </c>
      <c r="U201" s="124">
        <v>318.99028206849442</v>
      </c>
      <c r="V201" s="124">
        <v>0</v>
      </c>
      <c r="W201" s="124">
        <v>0</v>
      </c>
      <c r="X201" s="124">
        <v>0</v>
      </c>
      <c r="Y201" s="124">
        <v>0</v>
      </c>
      <c r="Z201" s="124">
        <v>0</v>
      </c>
      <c r="AA201" s="124">
        <v>0</v>
      </c>
      <c r="AB201" s="124">
        <v>0</v>
      </c>
      <c r="AC201" s="124">
        <v>0</v>
      </c>
      <c r="AD201" s="124">
        <v>0</v>
      </c>
      <c r="AE201" s="124">
        <v>0</v>
      </c>
      <c r="AF201" s="124">
        <v>0</v>
      </c>
      <c r="AG201" s="124">
        <v>0</v>
      </c>
      <c r="AH201" s="124">
        <v>0</v>
      </c>
      <c r="AI201" s="124">
        <v>0</v>
      </c>
      <c r="AJ201" s="124">
        <v>0</v>
      </c>
      <c r="AK201" s="124">
        <v>0</v>
      </c>
      <c r="AL201" s="124">
        <v>0</v>
      </c>
      <c r="AM201" s="124">
        <v>0</v>
      </c>
      <c r="AN201" s="124">
        <v>0</v>
      </c>
      <c r="AO201" s="124">
        <v>0</v>
      </c>
      <c r="AP201" s="124">
        <v>0</v>
      </c>
      <c r="AQ201" s="124">
        <v>0</v>
      </c>
      <c r="AR201" s="124">
        <v>0</v>
      </c>
      <c r="AS201" s="124">
        <v>0</v>
      </c>
      <c r="AT201" s="124">
        <v>0</v>
      </c>
      <c r="AU201" s="124">
        <v>0</v>
      </c>
      <c r="AV201" s="124">
        <v>0</v>
      </c>
      <c r="AW201" s="124">
        <v>0</v>
      </c>
      <c r="AX201" s="124">
        <v>0</v>
      </c>
      <c r="AY201" s="124">
        <v>0</v>
      </c>
    </row>
    <row r="202" spans="1:51" x14ac:dyDescent="0.2">
      <c r="A202" s="127"/>
      <c r="B202" s="137">
        <v>6</v>
      </c>
      <c r="C202" s="124">
        <v>0</v>
      </c>
      <c r="D202" s="124">
        <v>0</v>
      </c>
      <c r="E202" s="124">
        <v>0</v>
      </c>
      <c r="F202" s="124">
        <v>0</v>
      </c>
      <c r="G202" s="124">
        <v>0</v>
      </c>
      <c r="H202" s="124">
        <v>0</v>
      </c>
      <c r="I202" s="124">
        <v>0</v>
      </c>
      <c r="J202" s="124">
        <v>0</v>
      </c>
      <c r="K202" s="124">
        <v>0</v>
      </c>
      <c r="L202" s="124">
        <v>0</v>
      </c>
      <c r="M202" s="124">
        <v>0</v>
      </c>
      <c r="N202" s="124">
        <v>0</v>
      </c>
      <c r="O202" s="124">
        <v>0</v>
      </c>
      <c r="P202" s="124">
        <v>0</v>
      </c>
      <c r="Q202" s="124">
        <v>0</v>
      </c>
      <c r="R202" s="124">
        <v>0</v>
      </c>
      <c r="S202" s="124">
        <v>0</v>
      </c>
      <c r="T202" s="124">
        <v>409.14105870760847</v>
      </c>
      <c r="U202" s="124">
        <v>0</v>
      </c>
      <c r="V202" s="124">
        <v>0</v>
      </c>
      <c r="W202" s="124">
        <v>0</v>
      </c>
      <c r="X202" s="124">
        <v>0</v>
      </c>
      <c r="Y202" s="124">
        <v>0</v>
      </c>
      <c r="Z202" s="124">
        <v>0</v>
      </c>
      <c r="AA202" s="124">
        <v>0</v>
      </c>
      <c r="AB202" s="124">
        <v>0</v>
      </c>
      <c r="AC202" s="124">
        <v>0</v>
      </c>
      <c r="AD202" s="124">
        <v>0</v>
      </c>
      <c r="AE202" s="124">
        <v>0</v>
      </c>
      <c r="AF202" s="124">
        <v>0</v>
      </c>
      <c r="AG202" s="124">
        <v>0</v>
      </c>
      <c r="AH202" s="124">
        <v>0</v>
      </c>
      <c r="AI202" s="124">
        <v>0</v>
      </c>
      <c r="AJ202" s="124">
        <v>0</v>
      </c>
      <c r="AK202" s="124">
        <v>0</v>
      </c>
      <c r="AL202" s="124">
        <v>0</v>
      </c>
      <c r="AM202" s="124">
        <v>0</v>
      </c>
      <c r="AN202" s="124">
        <v>0</v>
      </c>
      <c r="AO202" s="124">
        <v>0</v>
      </c>
      <c r="AP202" s="124">
        <v>0</v>
      </c>
      <c r="AQ202" s="124">
        <v>0</v>
      </c>
      <c r="AR202" s="124">
        <v>0</v>
      </c>
      <c r="AS202" s="124">
        <v>0</v>
      </c>
      <c r="AT202" s="124">
        <v>0</v>
      </c>
      <c r="AU202" s="124">
        <v>0</v>
      </c>
      <c r="AV202" s="124">
        <v>0</v>
      </c>
      <c r="AW202" s="124">
        <v>0</v>
      </c>
      <c r="AX202" s="124">
        <v>0</v>
      </c>
      <c r="AY202" s="124">
        <v>0</v>
      </c>
    </row>
    <row r="203" spans="1:51" x14ac:dyDescent="0.2">
      <c r="A203" s="127"/>
      <c r="B203" s="144">
        <v>7</v>
      </c>
      <c r="C203" s="124">
        <v>1488</v>
      </c>
      <c r="D203" s="124">
        <v>0</v>
      </c>
      <c r="E203" s="124">
        <v>0</v>
      </c>
      <c r="F203" s="124">
        <v>0</v>
      </c>
      <c r="G203" s="124">
        <v>0</v>
      </c>
      <c r="H203" s="124">
        <v>0</v>
      </c>
      <c r="I203" s="124">
        <v>0</v>
      </c>
      <c r="J203" s="124">
        <v>0</v>
      </c>
      <c r="K203" s="124">
        <v>0</v>
      </c>
      <c r="L203" s="124">
        <v>0</v>
      </c>
      <c r="M203" s="124">
        <v>0</v>
      </c>
      <c r="N203" s="124">
        <v>0</v>
      </c>
      <c r="O203" s="124">
        <v>0</v>
      </c>
      <c r="P203" s="124">
        <v>0</v>
      </c>
      <c r="Q203" s="124">
        <v>0</v>
      </c>
      <c r="R203" s="124">
        <v>0</v>
      </c>
      <c r="S203" s="124">
        <v>0</v>
      </c>
      <c r="T203" s="124">
        <v>409.14105870760847</v>
      </c>
      <c r="U203" s="124">
        <v>0</v>
      </c>
      <c r="V203" s="124">
        <v>0</v>
      </c>
      <c r="W203" s="124">
        <v>0</v>
      </c>
      <c r="X203" s="124">
        <v>0</v>
      </c>
      <c r="Y203" s="124">
        <v>0</v>
      </c>
      <c r="Z203" s="124">
        <v>0</v>
      </c>
      <c r="AA203" s="124">
        <v>0</v>
      </c>
      <c r="AB203" s="124">
        <v>0</v>
      </c>
      <c r="AC203" s="124">
        <v>0</v>
      </c>
      <c r="AD203" s="124">
        <v>0</v>
      </c>
      <c r="AE203" s="124">
        <v>0</v>
      </c>
      <c r="AF203" s="124">
        <v>0</v>
      </c>
      <c r="AG203" s="124">
        <v>0</v>
      </c>
      <c r="AH203" s="124">
        <v>0</v>
      </c>
      <c r="AI203" s="124">
        <v>0</v>
      </c>
      <c r="AJ203" s="124">
        <v>0</v>
      </c>
      <c r="AK203" s="124">
        <v>0</v>
      </c>
      <c r="AL203" s="124">
        <v>0</v>
      </c>
      <c r="AM203" s="124">
        <v>0</v>
      </c>
      <c r="AN203" s="124">
        <v>0</v>
      </c>
      <c r="AO203" s="124">
        <v>0</v>
      </c>
      <c r="AP203" s="124">
        <v>0</v>
      </c>
      <c r="AQ203" s="124">
        <v>0</v>
      </c>
      <c r="AR203" s="124">
        <v>0</v>
      </c>
      <c r="AS203" s="124">
        <v>0</v>
      </c>
      <c r="AT203" s="124">
        <v>0</v>
      </c>
      <c r="AU203" s="124">
        <v>0</v>
      </c>
      <c r="AV203" s="124">
        <v>0</v>
      </c>
      <c r="AW203" s="124">
        <v>0</v>
      </c>
      <c r="AX203" s="124">
        <v>0</v>
      </c>
      <c r="AY203" s="124">
        <v>0</v>
      </c>
    </row>
    <row r="204" spans="1:51" x14ac:dyDescent="0.2">
      <c r="A204" s="127"/>
      <c r="B204" s="144">
        <v>8</v>
      </c>
      <c r="C204" s="124">
        <v>0</v>
      </c>
      <c r="D204" s="124">
        <v>1378</v>
      </c>
      <c r="E204" s="124">
        <v>628.63388331027079</v>
      </c>
      <c r="F204" s="124">
        <v>0</v>
      </c>
      <c r="G204" s="124">
        <v>0</v>
      </c>
      <c r="H204" s="124">
        <v>0</v>
      </c>
      <c r="I204" s="124">
        <v>0</v>
      </c>
      <c r="J204" s="124">
        <v>0</v>
      </c>
      <c r="K204" s="124">
        <v>0</v>
      </c>
      <c r="L204" s="124">
        <v>0</v>
      </c>
      <c r="M204" s="124">
        <v>0</v>
      </c>
      <c r="N204" s="124">
        <v>0</v>
      </c>
      <c r="O204" s="124">
        <v>0</v>
      </c>
      <c r="P204" s="124">
        <v>0</v>
      </c>
      <c r="Q204" s="124">
        <v>0</v>
      </c>
      <c r="R204" s="124">
        <v>0</v>
      </c>
      <c r="S204" s="124">
        <v>334.85607017715614</v>
      </c>
      <c r="T204" s="124">
        <v>409.14105870760847</v>
      </c>
      <c r="U204" s="124">
        <v>0</v>
      </c>
      <c r="V204" s="124">
        <v>0</v>
      </c>
      <c r="W204" s="124">
        <v>0</v>
      </c>
      <c r="X204" s="124">
        <v>0</v>
      </c>
      <c r="Y204" s="124">
        <v>0</v>
      </c>
      <c r="Z204" s="124">
        <v>0</v>
      </c>
      <c r="AA204" s="124">
        <v>0</v>
      </c>
      <c r="AB204" s="124">
        <v>0</v>
      </c>
      <c r="AC204" s="124">
        <v>0</v>
      </c>
      <c r="AD204" s="124">
        <v>0</v>
      </c>
      <c r="AE204" s="124">
        <v>0</v>
      </c>
      <c r="AF204" s="124">
        <v>0</v>
      </c>
      <c r="AG204" s="124">
        <v>0</v>
      </c>
      <c r="AH204" s="124">
        <v>0</v>
      </c>
      <c r="AI204" s="124">
        <v>0</v>
      </c>
      <c r="AJ204" s="124">
        <v>0</v>
      </c>
      <c r="AK204" s="124">
        <v>0</v>
      </c>
      <c r="AL204" s="124">
        <v>0</v>
      </c>
      <c r="AM204" s="124">
        <v>0</v>
      </c>
      <c r="AN204" s="124">
        <v>0</v>
      </c>
      <c r="AO204" s="124">
        <v>0</v>
      </c>
      <c r="AP204" s="124">
        <v>0</v>
      </c>
      <c r="AQ204" s="124">
        <v>0</v>
      </c>
      <c r="AR204" s="124">
        <v>0</v>
      </c>
      <c r="AS204" s="124">
        <v>0</v>
      </c>
      <c r="AT204" s="124">
        <v>0</v>
      </c>
      <c r="AU204" s="124">
        <v>0</v>
      </c>
      <c r="AV204" s="124">
        <v>0</v>
      </c>
      <c r="AW204" s="124">
        <v>0</v>
      </c>
      <c r="AX204" s="124">
        <v>0</v>
      </c>
      <c r="AY204" s="124">
        <v>0</v>
      </c>
    </row>
    <row r="205" spans="1:51" x14ac:dyDescent="0.2">
      <c r="A205" s="127"/>
      <c r="B205" s="144">
        <v>9</v>
      </c>
      <c r="C205" s="124">
        <v>0</v>
      </c>
      <c r="D205" s="124">
        <v>0</v>
      </c>
      <c r="E205" s="124">
        <v>810.38726706845557</v>
      </c>
      <c r="F205" s="124">
        <v>1443.8396561398329</v>
      </c>
      <c r="G205" s="124">
        <v>0</v>
      </c>
      <c r="H205" s="124">
        <v>0</v>
      </c>
      <c r="I205" s="124">
        <v>0</v>
      </c>
      <c r="J205" s="124">
        <v>0</v>
      </c>
      <c r="K205" s="124">
        <v>0</v>
      </c>
      <c r="L205" s="124">
        <v>0</v>
      </c>
      <c r="M205" s="124">
        <v>0</v>
      </c>
      <c r="N205" s="124">
        <v>0</v>
      </c>
      <c r="O205" s="124">
        <v>0</v>
      </c>
      <c r="P205" s="124">
        <v>0</v>
      </c>
      <c r="Q205" s="124">
        <v>0</v>
      </c>
      <c r="R205" s="124">
        <v>0</v>
      </c>
      <c r="S205" s="124">
        <v>409.14105870760847</v>
      </c>
      <c r="T205" s="124">
        <v>74.284988530452324</v>
      </c>
      <c r="U205" s="124">
        <v>0</v>
      </c>
      <c r="V205" s="124">
        <v>0</v>
      </c>
      <c r="W205" s="124">
        <v>0</v>
      </c>
      <c r="X205" s="124">
        <v>0</v>
      </c>
      <c r="Y205" s="124">
        <v>0</v>
      </c>
      <c r="Z205" s="124">
        <v>0</v>
      </c>
      <c r="AA205" s="124">
        <v>0</v>
      </c>
      <c r="AB205" s="124">
        <v>0</v>
      </c>
      <c r="AC205" s="124">
        <v>0</v>
      </c>
      <c r="AD205" s="124">
        <v>0</v>
      </c>
      <c r="AE205" s="124">
        <v>0</v>
      </c>
      <c r="AF205" s="124">
        <v>0</v>
      </c>
      <c r="AG205" s="124">
        <v>0</v>
      </c>
      <c r="AH205" s="124">
        <v>0</v>
      </c>
      <c r="AI205" s="124">
        <v>0</v>
      </c>
      <c r="AJ205" s="124">
        <v>0</v>
      </c>
      <c r="AK205" s="124">
        <v>0</v>
      </c>
      <c r="AL205" s="124">
        <v>0</v>
      </c>
      <c r="AM205" s="124">
        <v>0</v>
      </c>
      <c r="AN205" s="124">
        <v>0</v>
      </c>
      <c r="AO205" s="124">
        <v>0</v>
      </c>
      <c r="AP205" s="124">
        <v>0</v>
      </c>
      <c r="AQ205" s="124">
        <v>0</v>
      </c>
      <c r="AR205" s="124">
        <v>0</v>
      </c>
      <c r="AS205" s="124">
        <v>0</v>
      </c>
      <c r="AT205" s="124">
        <v>0</v>
      </c>
      <c r="AU205" s="124">
        <v>0</v>
      </c>
      <c r="AV205" s="124">
        <v>0</v>
      </c>
      <c r="AW205" s="124">
        <v>0</v>
      </c>
      <c r="AX205" s="124">
        <v>0</v>
      </c>
      <c r="AY205" s="124">
        <v>0</v>
      </c>
    </row>
    <row r="206" spans="1:51" x14ac:dyDescent="0.2">
      <c r="A206" s="127"/>
      <c r="B206" s="147">
        <v>10</v>
      </c>
      <c r="C206" s="124">
        <v>0</v>
      </c>
      <c r="D206" s="124">
        <v>0</v>
      </c>
      <c r="E206" s="124">
        <v>0</v>
      </c>
      <c r="F206" s="124">
        <v>0</v>
      </c>
      <c r="G206" s="124">
        <v>1693</v>
      </c>
      <c r="H206" s="124">
        <v>1562</v>
      </c>
      <c r="I206" s="124">
        <v>7.5026007395028955</v>
      </c>
      <c r="J206" s="124">
        <v>0</v>
      </c>
      <c r="K206" s="124">
        <v>0</v>
      </c>
      <c r="L206" s="124">
        <v>0</v>
      </c>
      <c r="M206" s="124">
        <v>0</v>
      </c>
      <c r="N206" s="124">
        <v>0</v>
      </c>
      <c r="O206" s="124">
        <v>0</v>
      </c>
      <c r="P206" s="124">
        <v>0</v>
      </c>
      <c r="Q206" s="124">
        <v>0</v>
      </c>
      <c r="R206" s="124">
        <v>71.279246299981367</v>
      </c>
      <c r="S206" s="124">
        <v>409.14105870760847</v>
      </c>
      <c r="T206" s="124">
        <v>0</v>
      </c>
      <c r="U206" s="124">
        <v>0</v>
      </c>
      <c r="V206" s="124">
        <v>0</v>
      </c>
      <c r="W206" s="124">
        <v>0</v>
      </c>
      <c r="X206" s="124">
        <v>0</v>
      </c>
      <c r="Y206" s="124">
        <v>0</v>
      </c>
      <c r="Z206" s="124">
        <v>0</v>
      </c>
      <c r="AA206" s="124">
        <v>0</v>
      </c>
      <c r="AB206" s="124">
        <v>0</v>
      </c>
      <c r="AC206" s="124">
        <v>0</v>
      </c>
      <c r="AD206" s="124">
        <v>0</v>
      </c>
      <c r="AE206" s="124">
        <v>0</v>
      </c>
      <c r="AF206" s="124">
        <v>0</v>
      </c>
      <c r="AG206" s="124">
        <v>0</v>
      </c>
      <c r="AH206" s="124">
        <v>0</v>
      </c>
      <c r="AI206" s="124">
        <v>0</v>
      </c>
      <c r="AJ206" s="124">
        <v>0</v>
      </c>
      <c r="AK206" s="124">
        <v>0</v>
      </c>
      <c r="AL206" s="124">
        <v>0</v>
      </c>
      <c r="AM206" s="124">
        <v>0</v>
      </c>
      <c r="AN206" s="124">
        <v>0</v>
      </c>
      <c r="AO206" s="124">
        <v>0</v>
      </c>
      <c r="AP206" s="124">
        <v>0</v>
      </c>
      <c r="AQ206" s="124">
        <v>0</v>
      </c>
      <c r="AR206" s="124">
        <v>0</v>
      </c>
      <c r="AS206" s="124">
        <v>0</v>
      </c>
      <c r="AT206" s="124">
        <v>0</v>
      </c>
      <c r="AU206" s="124">
        <v>0</v>
      </c>
      <c r="AV206" s="124">
        <v>0</v>
      </c>
      <c r="AW206" s="124">
        <v>0</v>
      </c>
      <c r="AX206" s="124">
        <v>0</v>
      </c>
      <c r="AY206" s="124">
        <v>0</v>
      </c>
    </row>
    <row r="207" spans="1:51" x14ac:dyDescent="0.2">
      <c r="A207" s="127"/>
      <c r="B207" s="147">
        <v>11</v>
      </c>
      <c r="C207" s="124">
        <v>0</v>
      </c>
      <c r="D207" s="124">
        <v>0</v>
      </c>
      <c r="E207" s="124">
        <v>0</v>
      </c>
      <c r="F207" s="124">
        <v>0</v>
      </c>
      <c r="G207" s="124">
        <v>0</v>
      </c>
      <c r="H207" s="124">
        <v>0</v>
      </c>
      <c r="I207" s="124">
        <v>1470.4973992604971</v>
      </c>
      <c r="J207" s="124">
        <v>1402</v>
      </c>
      <c r="K207" s="124">
        <v>226.56529484405451</v>
      </c>
      <c r="L207" s="124">
        <v>0</v>
      </c>
      <c r="M207" s="124">
        <v>0</v>
      </c>
      <c r="N207" s="124">
        <v>0</v>
      </c>
      <c r="O207" s="124">
        <v>0</v>
      </c>
      <c r="P207" s="124">
        <v>0</v>
      </c>
      <c r="Q207" s="124">
        <v>125.52010495025456</v>
      </c>
      <c r="R207" s="124">
        <v>409.14105870760847</v>
      </c>
      <c r="S207" s="124">
        <v>337.8618124076271</v>
      </c>
      <c r="T207" s="124">
        <v>0</v>
      </c>
      <c r="U207" s="124">
        <v>0</v>
      </c>
      <c r="V207" s="124">
        <v>0</v>
      </c>
      <c r="W207" s="124">
        <v>0</v>
      </c>
      <c r="X207" s="124">
        <v>0</v>
      </c>
      <c r="Y207" s="124">
        <v>0</v>
      </c>
      <c r="Z207" s="124">
        <v>0</v>
      </c>
      <c r="AA207" s="124">
        <v>0</v>
      </c>
      <c r="AB207" s="124">
        <v>0</v>
      </c>
      <c r="AC207" s="124">
        <v>0</v>
      </c>
      <c r="AD207" s="124">
        <v>0</v>
      </c>
      <c r="AE207" s="124">
        <v>0</v>
      </c>
      <c r="AF207" s="124">
        <v>0</v>
      </c>
      <c r="AG207" s="124">
        <v>0</v>
      </c>
      <c r="AH207" s="124">
        <v>0</v>
      </c>
      <c r="AI207" s="124">
        <v>0</v>
      </c>
      <c r="AJ207" s="124">
        <v>0</v>
      </c>
      <c r="AK207" s="124">
        <v>0</v>
      </c>
      <c r="AL207" s="124">
        <v>0</v>
      </c>
      <c r="AM207" s="124">
        <v>0</v>
      </c>
      <c r="AN207" s="124">
        <v>0</v>
      </c>
      <c r="AO207" s="124">
        <v>0</v>
      </c>
      <c r="AP207" s="124">
        <v>0</v>
      </c>
      <c r="AQ207" s="124">
        <v>0</v>
      </c>
      <c r="AR207" s="124">
        <v>0</v>
      </c>
      <c r="AS207" s="124">
        <v>0</v>
      </c>
      <c r="AT207" s="124">
        <v>0</v>
      </c>
      <c r="AU207" s="124">
        <v>0</v>
      </c>
      <c r="AV207" s="124">
        <v>0</v>
      </c>
      <c r="AW207" s="124">
        <v>0</v>
      </c>
      <c r="AX207" s="124">
        <v>0</v>
      </c>
      <c r="AY207" s="124">
        <v>0</v>
      </c>
    </row>
    <row r="208" spans="1:51" x14ac:dyDescent="0.2">
      <c r="A208" s="127"/>
      <c r="B208" s="147">
        <v>12</v>
      </c>
      <c r="C208" s="124">
        <v>0</v>
      </c>
      <c r="D208" s="124">
        <v>0</v>
      </c>
      <c r="E208" s="124">
        <v>0</v>
      </c>
      <c r="F208" s="124">
        <v>0</v>
      </c>
      <c r="G208" s="124">
        <v>0</v>
      </c>
      <c r="H208" s="124">
        <v>0</v>
      </c>
      <c r="I208" s="124">
        <v>0</v>
      </c>
      <c r="J208" s="124">
        <v>0</v>
      </c>
      <c r="K208" s="124">
        <v>1220.4347051559455</v>
      </c>
      <c r="L208" s="124">
        <v>1279</v>
      </c>
      <c r="M208" s="124">
        <v>1749</v>
      </c>
      <c r="N208" s="124">
        <v>1466</v>
      </c>
      <c r="O208" s="124">
        <v>1334</v>
      </c>
      <c r="P208" s="124">
        <v>1554</v>
      </c>
      <c r="Q208" s="124">
        <v>1486.4798950497454</v>
      </c>
      <c r="R208" s="124">
        <v>719.57969499241017</v>
      </c>
      <c r="S208" s="124">
        <v>0</v>
      </c>
      <c r="T208" s="124">
        <v>0</v>
      </c>
      <c r="U208" s="124">
        <v>0</v>
      </c>
      <c r="V208" s="124">
        <v>0</v>
      </c>
      <c r="W208" s="124">
        <v>0</v>
      </c>
      <c r="X208" s="124">
        <v>0</v>
      </c>
      <c r="Y208" s="124">
        <v>0</v>
      </c>
      <c r="Z208" s="124">
        <v>0</v>
      </c>
      <c r="AA208" s="124">
        <v>0</v>
      </c>
      <c r="AB208" s="124">
        <v>0</v>
      </c>
      <c r="AC208" s="124">
        <v>0</v>
      </c>
      <c r="AD208" s="124">
        <v>0</v>
      </c>
      <c r="AE208" s="124">
        <v>0</v>
      </c>
      <c r="AF208" s="124">
        <v>0</v>
      </c>
      <c r="AG208" s="124">
        <v>0</v>
      </c>
      <c r="AH208" s="124">
        <v>0</v>
      </c>
      <c r="AI208" s="124">
        <v>0</v>
      </c>
      <c r="AJ208" s="124">
        <v>0</v>
      </c>
      <c r="AK208" s="124">
        <v>0</v>
      </c>
      <c r="AL208" s="124">
        <v>0</v>
      </c>
      <c r="AM208" s="124">
        <v>0</v>
      </c>
      <c r="AN208" s="124">
        <v>0</v>
      </c>
      <c r="AO208" s="124">
        <v>0</v>
      </c>
      <c r="AP208" s="124">
        <v>0</v>
      </c>
      <c r="AQ208" s="124">
        <v>0</v>
      </c>
      <c r="AR208" s="124">
        <v>0</v>
      </c>
      <c r="AS208" s="124">
        <v>0</v>
      </c>
      <c r="AT208" s="124">
        <v>0</v>
      </c>
      <c r="AU208" s="124">
        <v>0</v>
      </c>
      <c r="AV208" s="124">
        <v>0</v>
      </c>
      <c r="AW208" s="124">
        <v>0</v>
      </c>
      <c r="AX208" s="124">
        <v>0</v>
      </c>
      <c r="AY208" s="124">
        <v>0</v>
      </c>
    </row>
    <row r="209" spans="1:51" x14ac:dyDescent="0.2">
      <c r="A209" s="143" t="s">
        <v>123</v>
      </c>
      <c r="B209" s="140">
        <v>1</v>
      </c>
      <c r="C209" s="141">
        <v>0</v>
      </c>
      <c r="D209" s="141">
        <v>0</v>
      </c>
      <c r="E209" s="141">
        <v>0</v>
      </c>
      <c r="F209" s="141">
        <v>598.21017094846195</v>
      </c>
      <c r="G209" s="141">
        <v>598.21017094846195</v>
      </c>
      <c r="H209" s="141">
        <v>598.21017094846195</v>
      </c>
      <c r="I209" s="141">
        <v>598.21017094846195</v>
      </c>
      <c r="J209" s="141">
        <v>598.21017094846195</v>
      </c>
      <c r="K209" s="141">
        <v>598.21017094846195</v>
      </c>
      <c r="L209" s="141">
        <v>598.21017094846195</v>
      </c>
      <c r="M209" s="141">
        <v>598.21017094846195</v>
      </c>
      <c r="N209" s="141">
        <v>598.21017094846195</v>
      </c>
      <c r="O209" s="141">
        <v>598.21017094846195</v>
      </c>
      <c r="P209" s="141">
        <v>598.21017094846195</v>
      </c>
      <c r="Q209" s="141">
        <v>598.21017094846195</v>
      </c>
      <c r="R209" s="141">
        <v>598.21017094846195</v>
      </c>
      <c r="S209" s="141">
        <v>598.21017094846195</v>
      </c>
      <c r="T209" s="141">
        <v>598.21017094846195</v>
      </c>
      <c r="U209" s="141">
        <v>598.21017094846195</v>
      </c>
      <c r="V209" s="141">
        <v>598.21017094846195</v>
      </c>
      <c r="W209" s="141">
        <v>598.21017094846195</v>
      </c>
      <c r="X209" s="141">
        <v>598.21017094846195</v>
      </c>
      <c r="Y209" s="141">
        <v>598.21017094846195</v>
      </c>
      <c r="Z209" s="141">
        <v>598.21017094846195</v>
      </c>
      <c r="AA209" s="141">
        <v>598.21017094846195</v>
      </c>
      <c r="AB209" s="141">
        <v>598.21017094846195</v>
      </c>
      <c r="AC209" s="141">
        <v>598.21017094846195</v>
      </c>
      <c r="AD209" s="141">
        <v>598.21017094846195</v>
      </c>
      <c r="AE209" s="141">
        <v>598.21017094846195</v>
      </c>
      <c r="AF209" s="141">
        <v>598.21017094846195</v>
      </c>
      <c r="AG209" s="141">
        <v>598.21017094846195</v>
      </c>
      <c r="AH209" s="141">
        <v>598.21017094846195</v>
      </c>
      <c r="AI209" s="141">
        <v>598.21017094846195</v>
      </c>
      <c r="AJ209" s="141">
        <v>598.21017094846195</v>
      </c>
      <c r="AK209" s="141">
        <v>598.21017094846195</v>
      </c>
      <c r="AL209" s="141">
        <v>598.21017094846195</v>
      </c>
      <c r="AM209" s="141">
        <v>598.21017094846195</v>
      </c>
      <c r="AN209" s="141">
        <v>598.21017094846195</v>
      </c>
      <c r="AO209" s="141">
        <v>598.21017094846195</v>
      </c>
      <c r="AP209" s="141">
        <v>598.21017094846195</v>
      </c>
      <c r="AQ209" s="141">
        <v>598.21017094846195</v>
      </c>
      <c r="AR209" s="141">
        <v>598.21017094846195</v>
      </c>
      <c r="AS209" s="141">
        <v>598.21017094846195</v>
      </c>
      <c r="AT209" s="141">
        <v>598.21017094846195</v>
      </c>
      <c r="AU209" s="141">
        <v>598.21017094846195</v>
      </c>
      <c r="AV209" s="141">
        <v>598.21017094846195</v>
      </c>
      <c r="AW209" s="141">
        <v>598.21017094846195</v>
      </c>
      <c r="AX209" s="141">
        <v>598.21017094846195</v>
      </c>
      <c r="AY209" s="141">
        <v>598.21017094846195</v>
      </c>
    </row>
    <row r="210" spans="1:51" x14ac:dyDescent="0.2">
      <c r="A210" s="127"/>
      <c r="B210" s="136">
        <v>2</v>
      </c>
      <c r="C210" s="124">
        <v>721.73813914983168</v>
      </c>
      <c r="D210" s="128">
        <v>367.66855953874676</v>
      </c>
      <c r="E210" s="128">
        <v>139.20979105899016</v>
      </c>
      <c r="F210" s="128">
        <v>355.24392892076673</v>
      </c>
      <c r="G210" s="128">
        <v>0</v>
      </c>
      <c r="H210" s="128">
        <v>0</v>
      </c>
      <c r="I210" s="128">
        <v>0</v>
      </c>
      <c r="J210" s="128">
        <v>0</v>
      </c>
      <c r="K210" s="128">
        <v>0</v>
      </c>
      <c r="L210" s="128">
        <v>0</v>
      </c>
      <c r="M210" s="128">
        <v>0</v>
      </c>
      <c r="N210" s="128">
        <v>0</v>
      </c>
      <c r="O210" s="128">
        <v>0</v>
      </c>
      <c r="P210" s="128">
        <v>0</v>
      </c>
      <c r="Q210" s="128">
        <v>0</v>
      </c>
      <c r="R210" s="128">
        <v>0</v>
      </c>
      <c r="S210" s="128">
        <v>0</v>
      </c>
      <c r="T210" s="128">
        <v>0</v>
      </c>
      <c r="U210" s="128">
        <v>0</v>
      </c>
      <c r="V210" s="128">
        <v>0</v>
      </c>
      <c r="W210" s="128">
        <v>0</v>
      </c>
      <c r="X210" s="128">
        <v>0</v>
      </c>
      <c r="Y210" s="128">
        <v>0</v>
      </c>
      <c r="Z210" s="128">
        <v>0</v>
      </c>
      <c r="AA210" s="128">
        <v>0</v>
      </c>
      <c r="AB210" s="128">
        <v>0</v>
      </c>
      <c r="AC210" s="128">
        <v>0</v>
      </c>
      <c r="AD210" s="128">
        <v>0</v>
      </c>
      <c r="AE210" s="128">
        <v>0</v>
      </c>
      <c r="AF210" s="128">
        <v>0</v>
      </c>
      <c r="AG210" s="128">
        <v>0</v>
      </c>
      <c r="AH210" s="128">
        <v>0</v>
      </c>
      <c r="AI210" s="128">
        <v>0</v>
      </c>
      <c r="AJ210" s="128">
        <v>0</v>
      </c>
      <c r="AK210" s="128">
        <v>0</v>
      </c>
      <c r="AL210" s="128">
        <v>0</v>
      </c>
      <c r="AM210" s="128">
        <v>0</v>
      </c>
      <c r="AN210" s="128">
        <v>0</v>
      </c>
      <c r="AO210" s="128">
        <v>0</v>
      </c>
      <c r="AP210" s="128">
        <v>0</v>
      </c>
      <c r="AQ210" s="128">
        <v>0</v>
      </c>
      <c r="AR210" s="128">
        <v>0</v>
      </c>
      <c r="AS210" s="128">
        <v>0</v>
      </c>
      <c r="AT210" s="128">
        <v>0</v>
      </c>
      <c r="AU210" s="128">
        <v>0</v>
      </c>
      <c r="AV210" s="128">
        <v>0</v>
      </c>
      <c r="AW210" s="128">
        <v>0</v>
      </c>
      <c r="AX210" s="128">
        <v>0</v>
      </c>
      <c r="AY210" s="128">
        <v>0</v>
      </c>
    </row>
    <row r="211" spans="1:51" x14ac:dyDescent="0.2">
      <c r="A211" s="127"/>
      <c r="B211" s="136">
        <v>3</v>
      </c>
      <c r="C211" s="124">
        <v>872.26186085016832</v>
      </c>
      <c r="D211" s="128">
        <v>643.33144046125324</v>
      </c>
      <c r="E211" s="128">
        <v>960.8113593197362</v>
      </c>
      <c r="F211" s="128">
        <v>282.17670528420979</v>
      </c>
      <c r="G211" s="128">
        <v>0</v>
      </c>
      <c r="H211" s="128">
        <v>0</v>
      </c>
      <c r="I211" s="128">
        <v>0</v>
      </c>
      <c r="J211" s="128">
        <v>0</v>
      </c>
      <c r="K211" s="128">
        <v>0</v>
      </c>
      <c r="L211" s="128">
        <v>0</v>
      </c>
      <c r="M211" s="128">
        <v>0</v>
      </c>
      <c r="N211" s="128">
        <v>0</v>
      </c>
      <c r="O211" s="128">
        <v>0</v>
      </c>
      <c r="P211" s="128">
        <v>0</v>
      </c>
      <c r="Q211" s="128">
        <v>0</v>
      </c>
      <c r="R211" s="128">
        <v>0</v>
      </c>
      <c r="S211" s="128">
        <v>0</v>
      </c>
      <c r="T211" s="128">
        <v>0</v>
      </c>
      <c r="U211" s="128">
        <v>0</v>
      </c>
      <c r="V211" s="128">
        <v>0</v>
      </c>
      <c r="W211" s="128">
        <v>0</v>
      </c>
      <c r="X211" s="128">
        <v>0</v>
      </c>
      <c r="Y211" s="128">
        <v>0</v>
      </c>
      <c r="Z211" s="128">
        <v>0</v>
      </c>
      <c r="AA211" s="128">
        <v>0</v>
      </c>
      <c r="AB211" s="128">
        <v>0</v>
      </c>
      <c r="AC211" s="128">
        <v>0</v>
      </c>
      <c r="AD211" s="128">
        <v>0</v>
      </c>
      <c r="AE211" s="128">
        <v>0</v>
      </c>
      <c r="AF211" s="128">
        <v>0</v>
      </c>
      <c r="AG211" s="128">
        <v>0</v>
      </c>
      <c r="AH211" s="128">
        <v>0</v>
      </c>
      <c r="AI211" s="128">
        <v>0</v>
      </c>
      <c r="AJ211" s="128">
        <v>0</v>
      </c>
      <c r="AK211" s="128">
        <v>0</v>
      </c>
      <c r="AL211" s="128">
        <v>0</v>
      </c>
      <c r="AM211" s="128">
        <v>0</v>
      </c>
      <c r="AN211" s="128">
        <v>0</v>
      </c>
      <c r="AO211" s="128">
        <v>0</v>
      </c>
      <c r="AP211" s="128">
        <v>0</v>
      </c>
      <c r="AQ211" s="128">
        <v>0</v>
      </c>
      <c r="AR211" s="128">
        <v>0</v>
      </c>
      <c r="AS211" s="128">
        <v>0</v>
      </c>
      <c r="AT211" s="128">
        <v>0</v>
      </c>
      <c r="AU211" s="128">
        <v>0</v>
      </c>
      <c r="AV211" s="128">
        <v>0</v>
      </c>
      <c r="AW211" s="128">
        <v>0</v>
      </c>
      <c r="AX211" s="128">
        <v>0</v>
      </c>
      <c r="AY211" s="128">
        <v>0</v>
      </c>
    </row>
    <row r="212" spans="1:51" x14ac:dyDescent="0.2">
      <c r="A212" s="127"/>
      <c r="B212" s="136">
        <v>4</v>
      </c>
      <c r="C212" s="124">
        <v>0</v>
      </c>
      <c r="D212" s="128">
        <v>0</v>
      </c>
      <c r="E212" s="128">
        <v>0</v>
      </c>
      <c r="F212" s="128">
        <v>0</v>
      </c>
      <c r="G212" s="128">
        <v>0</v>
      </c>
      <c r="H212" s="128">
        <v>0</v>
      </c>
      <c r="I212" s="128">
        <v>0</v>
      </c>
      <c r="J212" s="128">
        <v>0</v>
      </c>
      <c r="K212" s="128">
        <v>0</v>
      </c>
      <c r="L212" s="128">
        <v>0</v>
      </c>
      <c r="M212" s="128">
        <v>0</v>
      </c>
      <c r="N212" s="128">
        <v>0</v>
      </c>
      <c r="O212" s="128">
        <v>0</v>
      </c>
      <c r="P212" s="128">
        <v>0</v>
      </c>
      <c r="Q212" s="128">
        <v>0</v>
      </c>
      <c r="R212" s="128">
        <v>0</v>
      </c>
      <c r="S212" s="128">
        <v>0</v>
      </c>
      <c r="T212" s="128">
        <v>0</v>
      </c>
      <c r="U212" s="128">
        <v>0</v>
      </c>
      <c r="V212" s="128">
        <v>0</v>
      </c>
      <c r="W212" s="128">
        <v>0</v>
      </c>
      <c r="X212" s="128">
        <v>0</v>
      </c>
      <c r="Y212" s="128">
        <v>0</v>
      </c>
      <c r="Z212" s="128">
        <v>0</v>
      </c>
      <c r="AA212" s="128">
        <v>0</v>
      </c>
      <c r="AB212" s="128">
        <v>0</v>
      </c>
      <c r="AC212" s="128">
        <v>0</v>
      </c>
      <c r="AD212" s="128">
        <v>0</v>
      </c>
      <c r="AE212" s="128">
        <v>0</v>
      </c>
      <c r="AF212" s="128">
        <v>0</v>
      </c>
      <c r="AG212" s="128">
        <v>0</v>
      </c>
      <c r="AH212" s="128">
        <v>0</v>
      </c>
      <c r="AI212" s="128">
        <v>0</v>
      </c>
      <c r="AJ212" s="128">
        <v>0</v>
      </c>
      <c r="AK212" s="128">
        <v>0</v>
      </c>
      <c r="AL212" s="128">
        <v>0</v>
      </c>
      <c r="AM212" s="128">
        <v>0</v>
      </c>
      <c r="AN212" s="128">
        <v>0</v>
      </c>
      <c r="AO212" s="128">
        <v>0</v>
      </c>
      <c r="AP212" s="128">
        <v>0</v>
      </c>
      <c r="AQ212" s="128">
        <v>0</v>
      </c>
      <c r="AR212" s="128">
        <v>0</v>
      </c>
      <c r="AS212" s="128">
        <v>0</v>
      </c>
      <c r="AT212" s="128">
        <v>0</v>
      </c>
      <c r="AU212" s="128">
        <v>0</v>
      </c>
      <c r="AV212" s="128">
        <v>0</v>
      </c>
      <c r="AW212" s="128">
        <v>0</v>
      </c>
      <c r="AX212" s="128">
        <v>0</v>
      </c>
      <c r="AY212" s="128">
        <v>0</v>
      </c>
    </row>
    <row r="213" spans="1:51" x14ac:dyDescent="0.2">
      <c r="A213" s="127"/>
      <c r="B213" s="136">
        <v>5</v>
      </c>
      <c r="C213" s="124">
        <v>0</v>
      </c>
      <c r="D213" s="128">
        <v>0</v>
      </c>
      <c r="E213" s="128">
        <v>0</v>
      </c>
      <c r="F213" s="128">
        <v>0</v>
      </c>
      <c r="G213" s="128">
        <v>0</v>
      </c>
      <c r="H213" s="128">
        <v>0</v>
      </c>
      <c r="I213" s="128">
        <v>0</v>
      </c>
      <c r="J213" s="128">
        <v>0</v>
      </c>
      <c r="K213" s="128">
        <v>0</v>
      </c>
      <c r="L213" s="128">
        <v>0</v>
      </c>
      <c r="M213" s="128">
        <v>0</v>
      </c>
      <c r="N213" s="128">
        <v>0</v>
      </c>
      <c r="O213" s="128">
        <v>0</v>
      </c>
      <c r="P213" s="128">
        <v>0</v>
      </c>
      <c r="Q213" s="128">
        <v>0</v>
      </c>
      <c r="R213" s="128">
        <v>0</v>
      </c>
      <c r="S213" s="128">
        <v>0</v>
      </c>
      <c r="T213" s="128">
        <v>0</v>
      </c>
      <c r="U213" s="128">
        <v>0</v>
      </c>
      <c r="V213" s="128">
        <v>0</v>
      </c>
      <c r="W213" s="128">
        <v>0</v>
      </c>
      <c r="X213" s="128">
        <v>0</v>
      </c>
      <c r="Y213" s="128">
        <v>0</v>
      </c>
      <c r="Z213" s="128">
        <v>0</v>
      </c>
      <c r="AA213" s="128">
        <v>0</v>
      </c>
      <c r="AB213" s="128">
        <v>0</v>
      </c>
      <c r="AC213" s="128">
        <v>0</v>
      </c>
      <c r="AD213" s="128">
        <v>0</v>
      </c>
      <c r="AE213" s="128">
        <v>0</v>
      </c>
      <c r="AF213" s="128">
        <v>0</v>
      </c>
      <c r="AG213" s="128">
        <v>0</v>
      </c>
      <c r="AH213" s="128">
        <v>0</v>
      </c>
      <c r="AI213" s="128">
        <v>0</v>
      </c>
      <c r="AJ213" s="128">
        <v>0</v>
      </c>
      <c r="AK213" s="128">
        <v>0</v>
      </c>
      <c r="AL213" s="128">
        <v>0</v>
      </c>
      <c r="AM213" s="128">
        <v>0</v>
      </c>
      <c r="AN213" s="128">
        <v>0</v>
      </c>
      <c r="AO213" s="128">
        <v>0</v>
      </c>
      <c r="AP213" s="128">
        <v>0</v>
      </c>
      <c r="AQ213" s="128">
        <v>0</v>
      </c>
      <c r="AR213" s="128">
        <v>0</v>
      </c>
      <c r="AS213" s="128">
        <v>0</v>
      </c>
      <c r="AT213" s="128">
        <v>0</v>
      </c>
      <c r="AU213" s="128">
        <v>0</v>
      </c>
      <c r="AV213" s="128">
        <v>0</v>
      </c>
      <c r="AW213" s="128">
        <v>0</v>
      </c>
      <c r="AX213" s="128">
        <v>0</v>
      </c>
      <c r="AY213" s="128">
        <v>0</v>
      </c>
    </row>
    <row r="214" spans="1:51" x14ac:dyDescent="0.2">
      <c r="A214" s="127"/>
      <c r="B214" s="136">
        <v>6</v>
      </c>
      <c r="C214" s="124">
        <v>0</v>
      </c>
      <c r="D214" s="128">
        <v>0</v>
      </c>
      <c r="E214" s="128">
        <v>0</v>
      </c>
      <c r="F214" s="128">
        <v>0</v>
      </c>
      <c r="G214" s="128">
        <v>0</v>
      </c>
      <c r="H214" s="128">
        <v>0</v>
      </c>
      <c r="I214" s="128">
        <v>0</v>
      </c>
      <c r="J214" s="128">
        <v>0</v>
      </c>
      <c r="K214" s="128">
        <v>0</v>
      </c>
      <c r="L214" s="128">
        <v>0</v>
      </c>
      <c r="M214" s="128">
        <v>0</v>
      </c>
      <c r="N214" s="128">
        <v>0</v>
      </c>
      <c r="O214" s="128">
        <v>0</v>
      </c>
      <c r="P214" s="128">
        <v>0</v>
      </c>
      <c r="Q214" s="128">
        <v>0</v>
      </c>
      <c r="R214" s="128">
        <v>0</v>
      </c>
      <c r="S214" s="128">
        <v>0</v>
      </c>
      <c r="T214" s="128">
        <v>0</v>
      </c>
      <c r="U214" s="128">
        <v>0</v>
      </c>
      <c r="V214" s="128">
        <v>0</v>
      </c>
      <c r="W214" s="128">
        <v>0</v>
      </c>
      <c r="X214" s="128">
        <v>0</v>
      </c>
      <c r="Y214" s="128">
        <v>0</v>
      </c>
      <c r="Z214" s="128">
        <v>0</v>
      </c>
      <c r="AA214" s="128">
        <v>0</v>
      </c>
      <c r="AB214" s="128">
        <v>0</v>
      </c>
      <c r="AC214" s="128">
        <v>0</v>
      </c>
      <c r="AD214" s="128">
        <v>0</v>
      </c>
      <c r="AE214" s="128">
        <v>0</v>
      </c>
      <c r="AF214" s="128">
        <v>0</v>
      </c>
      <c r="AG214" s="128">
        <v>0</v>
      </c>
      <c r="AH214" s="128">
        <v>0</v>
      </c>
      <c r="AI214" s="128">
        <v>0</v>
      </c>
      <c r="AJ214" s="128">
        <v>0</v>
      </c>
      <c r="AK214" s="128">
        <v>0</v>
      </c>
      <c r="AL214" s="128">
        <v>0</v>
      </c>
      <c r="AM214" s="128">
        <v>0</v>
      </c>
      <c r="AN214" s="128">
        <v>0</v>
      </c>
      <c r="AO214" s="128">
        <v>0</v>
      </c>
      <c r="AP214" s="128">
        <v>0</v>
      </c>
      <c r="AQ214" s="128">
        <v>0</v>
      </c>
      <c r="AR214" s="128">
        <v>0</v>
      </c>
      <c r="AS214" s="128">
        <v>0</v>
      </c>
      <c r="AT214" s="128">
        <v>0</v>
      </c>
      <c r="AU214" s="128">
        <v>0</v>
      </c>
      <c r="AV214" s="128">
        <v>0</v>
      </c>
      <c r="AW214" s="128">
        <v>0</v>
      </c>
      <c r="AX214" s="128">
        <v>0</v>
      </c>
      <c r="AY214" s="128">
        <v>0</v>
      </c>
    </row>
    <row r="215" spans="1:51" x14ac:dyDescent="0.2">
      <c r="A215" s="127"/>
      <c r="B215" s="136">
        <v>7</v>
      </c>
      <c r="C215" s="124">
        <v>0</v>
      </c>
      <c r="D215" s="128">
        <v>0</v>
      </c>
      <c r="E215" s="128">
        <v>0</v>
      </c>
      <c r="F215" s="128">
        <v>0</v>
      </c>
      <c r="G215" s="128">
        <v>0</v>
      </c>
      <c r="H215" s="128">
        <v>0</v>
      </c>
      <c r="I215" s="128">
        <v>0</v>
      </c>
      <c r="J215" s="128">
        <v>0</v>
      </c>
      <c r="K215" s="128">
        <v>0</v>
      </c>
      <c r="L215" s="128">
        <v>0</v>
      </c>
      <c r="M215" s="128">
        <v>0</v>
      </c>
      <c r="N215" s="128">
        <v>0</v>
      </c>
      <c r="O215" s="128">
        <v>0</v>
      </c>
      <c r="P215" s="128">
        <v>0</v>
      </c>
      <c r="Q215" s="128">
        <v>0</v>
      </c>
      <c r="R215" s="128">
        <v>0</v>
      </c>
      <c r="S215" s="128">
        <v>0</v>
      </c>
      <c r="T215" s="128">
        <v>0</v>
      </c>
      <c r="U215" s="128">
        <v>0</v>
      </c>
      <c r="V215" s="128">
        <v>0</v>
      </c>
      <c r="W215" s="128">
        <v>0</v>
      </c>
      <c r="X215" s="128">
        <v>0</v>
      </c>
      <c r="Y215" s="128">
        <v>0</v>
      </c>
      <c r="Z215" s="128">
        <v>0</v>
      </c>
      <c r="AA215" s="128">
        <v>0</v>
      </c>
      <c r="AB215" s="128">
        <v>0</v>
      </c>
      <c r="AC215" s="128">
        <v>0</v>
      </c>
      <c r="AD215" s="128">
        <v>0</v>
      </c>
      <c r="AE215" s="128">
        <v>0</v>
      </c>
      <c r="AF215" s="128">
        <v>0</v>
      </c>
      <c r="AG215" s="128">
        <v>0</v>
      </c>
      <c r="AH215" s="128">
        <v>0</v>
      </c>
      <c r="AI215" s="128">
        <v>0</v>
      </c>
      <c r="AJ215" s="128">
        <v>0</v>
      </c>
      <c r="AK215" s="128">
        <v>0</v>
      </c>
      <c r="AL215" s="128">
        <v>0</v>
      </c>
      <c r="AM215" s="128">
        <v>0</v>
      </c>
      <c r="AN215" s="128">
        <v>0</v>
      </c>
      <c r="AO215" s="128">
        <v>0</v>
      </c>
      <c r="AP215" s="128">
        <v>0</v>
      </c>
      <c r="AQ215" s="128">
        <v>0</v>
      </c>
      <c r="AR215" s="128">
        <v>0</v>
      </c>
      <c r="AS215" s="128">
        <v>0</v>
      </c>
      <c r="AT215" s="128">
        <v>0</v>
      </c>
      <c r="AU215" s="128">
        <v>0</v>
      </c>
      <c r="AV215" s="128">
        <v>0</v>
      </c>
      <c r="AW215" s="128">
        <v>0</v>
      </c>
      <c r="AX215" s="128">
        <v>0</v>
      </c>
      <c r="AY215" s="128">
        <v>0</v>
      </c>
    </row>
    <row r="216" spans="1:51" x14ac:dyDescent="0.2">
      <c r="A216" s="127"/>
      <c r="B216" s="136">
        <v>8</v>
      </c>
      <c r="C216" s="124">
        <v>0</v>
      </c>
      <c r="D216" s="128">
        <v>0</v>
      </c>
      <c r="E216" s="128">
        <v>0</v>
      </c>
      <c r="F216" s="128">
        <v>0</v>
      </c>
      <c r="G216" s="128">
        <v>0</v>
      </c>
      <c r="H216" s="128">
        <v>0</v>
      </c>
      <c r="I216" s="128">
        <v>0</v>
      </c>
      <c r="J216" s="128">
        <v>0</v>
      </c>
      <c r="K216" s="128">
        <v>0</v>
      </c>
      <c r="L216" s="128">
        <v>0</v>
      </c>
      <c r="M216" s="128">
        <v>0</v>
      </c>
      <c r="N216" s="128">
        <v>0</v>
      </c>
      <c r="O216" s="128">
        <v>0</v>
      </c>
      <c r="P216" s="128">
        <v>0</v>
      </c>
      <c r="Q216" s="128">
        <v>0</v>
      </c>
      <c r="R216" s="128">
        <v>0</v>
      </c>
      <c r="S216" s="128">
        <v>0</v>
      </c>
      <c r="T216" s="128">
        <v>0</v>
      </c>
      <c r="U216" s="128">
        <v>0</v>
      </c>
      <c r="V216" s="128">
        <v>0</v>
      </c>
      <c r="W216" s="128">
        <v>0</v>
      </c>
      <c r="X216" s="128">
        <v>0</v>
      </c>
      <c r="Y216" s="128">
        <v>0</v>
      </c>
      <c r="Z216" s="128">
        <v>0</v>
      </c>
      <c r="AA216" s="128">
        <v>0</v>
      </c>
      <c r="AB216" s="128">
        <v>0</v>
      </c>
      <c r="AC216" s="128">
        <v>0</v>
      </c>
      <c r="AD216" s="128">
        <v>0</v>
      </c>
      <c r="AE216" s="128">
        <v>0</v>
      </c>
      <c r="AF216" s="128">
        <v>0</v>
      </c>
      <c r="AG216" s="128">
        <v>0</v>
      </c>
      <c r="AH216" s="128">
        <v>0</v>
      </c>
      <c r="AI216" s="128">
        <v>0</v>
      </c>
      <c r="AJ216" s="128">
        <v>0</v>
      </c>
      <c r="AK216" s="128">
        <v>0</v>
      </c>
      <c r="AL216" s="128">
        <v>0</v>
      </c>
      <c r="AM216" s="128">
        <v>0</v>
      </c>
      <c r="AN216" s="128">
        <v>0</v>
      </c>
      <c r="AO216" s="128">
        <v>0</v>
      </c>
      <c r="AP216" s="128">
        <v>0</v>
      </c>
      <c r="AQ216" s="128">
        <v>0</v>
      </c>
      <c r="AR216" s="128">
        <v>0</v>
      </c>
      <c r="AS216" s="128">
        <v>0</v>
      </c>
      <c r="AT216" s="128">
        <v>0</v>
      </c>
      <c r="AU216" s="128">
        <v>0</v>
      </c>
      <c r="AV216" s="128">
        <v>0</v>
      </c>
      <c r="AW216" s="128">
        <v>0</v>
      </c>
      <c r="AX216" s="128">
        <v>0</v>
      </c>
      <c r="AY216" s="128">
        <v>0</v>
      </c>
    </row>
    <row r="217" spans="1:51" x14ac:dyDescent="0.2">
      <c r="A217" s="127"/>
      <c r="B217" s="136">
        <v>9</v>
      </c>
      <c r="C217" s="124">
        <v>0</v>
      </c>
      <c r="D217" s="128">
        <v>0</v>
      </c>
      <c r="E217" s="128">
        <v>0</v>
      </c>
      <c r="F217" s="128">
        <v>0</v>
      </c>
      <c r="G217" s="128">
        <v>0</v>
      </c>
      <c r="H217" s="128">
        <v>0</v>
      </c>
      <c r="I217" s="128">
        <v>0</v>
      </c>
      <c r="J217" s="128">
        <v>0</v>
      </c>
      <c r="K217" s="128">
        <v>0</v>
      </c>
      <c r="L217" s="128">
        <v>0</v>
      </c>
      <c r="M217" s="128">
        <v>0</v>
      </c>
      <c r="N217" s="128">
        <v>0</v>
      </c>
      <c r="O217" s="128">
        <v>0</v>
      </c>
      <c r="P217" s="128">
        <v>0</v>
      </c>
      <c r="Q217" s="128">
        <v>0</v>
      </c>
      <c r="R217" s="128">
        <v>0</v>
      </c>
      <c r="S217" s="128">
        <v>0</v>
      </c>
      <c r="T217" s="128">
        <v>0</v>
      </c>
      <c r="U217" s="128">
        <v>0</v>
      </c>
      <c r="V217" s="128">
        <v>0</v>
      </c>
      <c r="W217" s="128">
        <v>0</v>
      </c>
      <c r="X217" s="128">
        <v>0</v>
      </c>
      <c r="Y217" s="128">
        <v>0</v>
      </c>
      <c r="Z217" s="128">
        <v>0</v>
      </c>
      <c r="AA217" s="128">
        <v>0</v>
      </c>
      <c r="AB217" s="128">
        <v>0</v>
      </c>
      <c r="AC217" s="128">
        <v>0</v>
      </c>
      <c r="AD217" s="128">
        <v>0</v>
      </c>
      <c r="AE217" s="128">
        <v>0</v>
      </c>
      <c r="AF217" s="128">
        <v>0</v>
      </c>
      <c r="AG217" s="128">
        <v>0</v>
      </c>
      <c r="AH217" s="128">
        <v>0</v>
      </c>
      <c r="AI217" s="128">
        <v>0</v>
      </c>
      <c r="AJ217" s="128">
        <v>0</v>
      </c>
      <c r="AK217" s="128">
        <v>0</v>
      </c>
      <c r="AL217" s="128">
        <v>0</v>
      </c>
      <c r="AM217" s="128">
        <v>0</v>
      </c>
      <c r="AN217" s="128">
        <v>0</v>
      </c>
      <c r="AO217" s="128">
        <v>0</v>
      </c>
      <c r="AP217" s="128">
        <v>0</v>
      </c>
      <c r="AQ217" s="128">
        <v>0</v>
      </c>
      <c r="AR217" s="128">
        <v>0</v>
      </c>
      <c r="AS217" s="128">
        <v>0</v>
      </c>
      <c r="AT217" s="128">
        <v>0</v>
      </c>
      <c r="AU217" s="128">
        <v>0</v>
      </c>
      <c r="AV217" s="128">
        <v>0</v>
      </c>
      <c r="AW217" s="128">
        <v>0</v>
      </c>
      <c r="AX217" s="128">
        <v>0</v>
      </c>
      <c r="AY217" s="128">
        <v>0</v>
      </c>
    </row>
    <row r="218" spans="1:51" x14ac:dyDescent="0.2">
      <c r="A218" s="127"/>
      <c r="B218" s="136">
        <v>10</v>
      </c>
      <c r="C218" s="124">
        <v>0</v>
      </c>
      <c r="D218" s="128">
        <v>0</v>
      </c>
      <c r="E218" s="128">
        <v>0</v>
      </c>
      <c r="F218" s="128">
        <v>0</v>
      </c>
      <c r="G218" s="128">
        <v>0</v>
      </c>
      <c r="H218" s="128">
        <v>0</v>
      </c>
      <c r="I218" s="128">
        <v>0</v>
      </c>
      <c r="J218" s="128">
        <v>0</v>
      </c>
      <c r="K218" s="128">
        <v>0</v>
      </c>
      <c r="L218" s="128">
        <v>0</v>
      </c>
      <c r="M218" s="128">
        <v>0</v>
      </c>
      <c r="N218" s="128">
        <v>0</v>
      </c>
      <c r="O218" s="128">
        <v>0</v>
      </c>
      <c r="P218" s="128">
        <v>0</v>
      </c>
      <c r="Q218" s="128">
        <v>0</v>
      </c>
      <c r="R218" s="128">
        <v>0</v>
      </c>
      <c r="S218" s="128">
        <v>0</v>
      </c>
      <c r="T218" s="128">
        <v>0</v>
      </c>
      <c r="U218" s="128">
        <v>0</v>
      </c>
      <c r="V218" s="128">
        <v>0</v>
      </c>
      <c r="W218" s="128">
        <v>0</v>
      </c>
      <c r="X218" s="128">
        <v>0</v>
      </c>
      <c r="Y218" s="128">
        <v>0</v>
      </c>
      <c r="Z218" s="128">
        <v>0</v>
      </c>
      <c r="AA218" s="128">
        <v>0</v>
      </c>
      <c r="AB218" s="128">
        <v>0</v>
      </c>
      <c r="AC218" s="128">
        <v>0</v>
      </c>
      <c r="AD218" s="128">
        <v>0</v>
      </c>
      <c r="AE218" s="128">
        <v>0</v>
      </c>
      <c r="AF218" s="128">
        <v>0</v>
      </c>
      <c r="AG218" s="128">
        <v>0</v>
      </c>
      <c r="AH218" s="128">
        <v>0</v>
      </c>
      <c r="AI218" s="128">
        <v>0</v>
      </c>
      <c r="AJ218" s="128">
        <v>0</v>
      </c>
      <c r="AK218" s="128">
        <v>0</v>
      </c>
      <c r="AL218" s="128">
        <v>0</v>
      </c>
      <c r="AM218" s="128">
        <v>0</v>
      </c>
      <c r="AN218" s="128">
        <v>0</v>
      </c>
      <c r="AO218" s="128">
        <v>0</v>
      </c>
      <c r="AP218" s="128">
        <v>0</v>
      </c>
      <c r="AQ218" s="128">
        <v>0</v>
      </c>
      <c r="AR218" s="128">
        <v>0</v>
      </c>
      <c r="AS218" s="128">
        <v>0</v>
      </c>
      <c r="AT218" s="128">
        <v>0</v>
      </c>
      <c r="AU218" s="128">
        <v>0</v>
      </c>
      <c r="AV218" s="128">
        <v>0</v>
      </c>
      <c r="AW218" s="128">
        <v>0</v>
      </c>
      <c r="AX218" s="128">
        <v>0</v>
      </c>
      <c r="AY218" s="128">
        <v>0</v>
      </c>
    </row>
    <row r="219" spans="1:51" x14ac:dyDescent="0.2">
      <c r="A219" s="127"/>
      <c r="B219" s="136">
        <v>11</v>
      </c>
      <c r="C219" s="124">
        <v>0</v>
      </c>
      <c r="D219" s="128">
        <v>0</v>
      </c>
      <c r="E219" s="128">
        <v>0</v>
      </c>
      <c r="F219" s="128">
        <v>0</v>
      </c>
      <c r="G219" s="128">
        <v>0</v>
      </c>
      <c r="H219" s="128">
        <v>0</v>
      </c>
      <c r="I219" s="128">
        <v>0</v>
      </c>
      <c r="J219" s="128">
        <v>0</v>
      </c>
      <c r="K219" s="128">
        <v>0</v>
      </c>
      <c r="L219" s="128">
        <v>0</v>
      </c>
      <c r="M219" s="128">
        <v>0</v>
      </c>
      <c r="N219" s="128">
        <v>0</v>
      </c>
      <c r="O219" s="128">
        <v>0</v>
      </c>
      <c r="P219" s="128">
        <v>0</v>
      </c>
      <c r="Q219" s="128">
        <v>0</v>
      </c>
      <c r="R219" s="128">
        <v>0</v>
      </c>
      <c r="S219" s="128">
        <v>0</v>
      </c>
      <c r="T219" s="128">
        <v>0</v>
      </c>
      <c r="U219" s="128">
        <v>0</v>
      </c>
      <c r="V219" s="128">
        <v>0</v>
      </c>
      <c r="W219" s="128">
        <v>0</v>
      </c>
      <c r="X219" s="128">
        <v>0</v>
      </c>
      <c r="Y219" s="128">
        <v>0</v>
      </c>
      <c r="Z219" s="128">
        <v>0</v>
      </c>
      <c r="AA219" s="128">
        <v>0</v>
      </c>
      <c r="AB219" s="128">
        <v>0</v>
      </c>
      <c r="AC219" s="128">
        <v>0</v>
      </c>
      <c r="AD219" s="128">
        <v>0</v>
      </c>
      <c r="AE219" s="128">
        <v>0</v>
      </c>
      <c r="AF219" s="128">
        <v>0</v>
      </c>
      <c r="AG219" s="128">
        <v>0</v>
      </c>
      <c r="AH219" s="128">
        <v>0</v>
      </c>
      <c r="AI219" s="128">
        <v>0</v>
      </c>
      <c r="AJ219" s="128">
        <v>0</v>
      </c>
      <c r="AK219" s="128">
        <v>0</v>
      </c>
      <c r="AL219" s="128">
        <v>0</v>
      </c>
      <c r="AM219" s="128">
        <v>0</v>
      </c>
      <c r="AN219" s="128">
        <v>0</v>
      </c>
      <c r="AO219" s="128">
        <v>0</v>
      </c>
      <c r="AP219" s="128">
        <v>0</v>
      </c>
      <c r="AQ219" s="128">
        <v>0</v>
      </c>
      <c r="AR219" s="128">
        <v>0</v>
      </c>
      <c r="AS219" s="128">
        <v>0</v>
      </c>
      <c r="AT219" s="128">
        <v>0</v>
      </c>
      <c r="AU219" s="128">
        <v>0</v>
      </c>
      <c r="AV219" s="128">
        <v>0</v>
      </c>
      <c r="AW219" s="128">
        <v>0</v>
      </c>
      <c r="AX219" s="128">
        <v>0</v>
      </c>
      <c r="AY219" s="128">
        <v>0</v>
      </c>
    </row>
    <row r="220" spans="1:51" x14ac:dyDescent="0.2">
      <c r="A220" s="127"/>
      <c r="B220" s="136">
        <v>12</v>
      </c>
      <c r="C220" s="124">
        <v>0</v>
      </c>
      <c r="D220" s="128">
        <v>0</v>
      </c>
      <c r="E220" s="128">
        <v>0</v>
      </c>
      <c r="F220" s="128">
        <v>0</v>
      </c>
      <c r="G220" s="128">
        <v>0</v>
      </c>
      <c r="H220" s="128">
        <v>0</v>
      </c>
      <c r="I220" s="128">
        <v>0</v>
      </c>
      <c r="J220" s="128">
        <v>0</v>
      </c>
      <c r="K220" s="128">
        <v>0</v>
      </c>
      <c r="L220" s="128">
        <v>0</v>
      </c>
      <c r="M220" s="128">
        <v>0</v>
      </c>
      <c r="N220" s="128">
        <v>0</v>
      </c>
      <c r="O220" s="128">
        <v>0</v>
      </c>
      <c r="P220" s="128">
        <v>0</v>
      </c>
      <c r="Q220" s="128">
        <v>0</v>
      </c>
      <c r="R220" s="128">
        <v>0</v>
      </c>
      <c r="S220" s="128">
        <v>0</v>
      </c>
      <c r="T220" s="128">
        <v>0</v>
      </c>
      <c r="U220" s="128">
        <v>0</v>
      </c>
      <c r="V220" s="128">
        <v>0</v>
      </c>
      <c r="W220" s="128">
        <v>0</v>
      </c>
      <c r="X220" s="128">
        <v>0</v>
      </c>
      <c r="Y220" s="128">
        <v>0</v>
      </c>
      <c r="Z220" s="128">
        <v>0</v>
      </c>
      <c r="AA220" s="128">
        <v>0</v>
      </c>
      <c r="AB220" s="128">
        <v>0</v>
      </c>
      <c r="AC220" s="128">
        <v>0</v>
      </c>
      <c r="AD220" s="128">
        <v>0</v>
      </c>
      <c r="AE220" s="128">
        <v>0</v>
      </c>
      <c r="AF220" s="128">
        <v>0</v>
      </c>
      <c r="AG220" s="128">
        <v>0</v>
      </c>
      <c r="AH220" s="128">
        <v>0</v>
      </c>
      <c r="AI220" s="128">
        <v>0</v>
      </c>
      <c r="AJ220" s="128">
        <v>0</v>
      </c>
      <c r="AK220" s="128">
        <v>0</v>
      </c>
      <c r="AL220" s="128">
        <v>0</v>
      </c>
      <c r="AM220" s="128">
        <v>0</v>
      </c>
      <c r="AN220" s="128">
        <v>0</v>
      </c>
      <c r="AO220" s="128">
        <v>0</v>
      </c>
      <c r="AP220" s="128">
        <v>0</v>
      </c>
      <c r="AQ220" s="128">
        <v>0</v>
      </c>
      <c r="AR220" s="128">
        <v>0</v>
      </c>
      <c r="AS220" s="128">
        <v>0</v>
      </c>
      <c r="AT220" s="128">
        <v>0</v>
      </c>
      <c r="AU220" s="128">
        <v>0</v>
      </c>
      <c r="AV220" s="128">
        <v>0</v>
      </c>
      <c r="AW220" s="128">
        <v>0</v>
      </c>
      <c r="AX220" s="128">
        <v>0</v>
      </c>
      <c r="AY220" s="128">
        <v>0</v>
      </c>
    </row>
    <row r="221" spans="1:51" x14ac:dyDescent="0.2">
      <c r="A221" s="127"/>
      <c r="B221" s="137">
        <v>13</v>
      </c>
      <c r="C221" s="124">
        <v>0</v>
      </c>
      <c r="D221" s="128">
        <v>0</v>
      </c>
      <c r="E221" s="128">
        <v>0</v>
      </c>
      <c r="F221" s="128">
        <v>0</v>
      </c>
      <c r="G221" s="128">
        <v>0</v>
      </c>
      <c r="H221" s="128">
        <v>0</v>
      </c>
      <c r="I221" s="128">
        <v>0</v>
      </c>
      <c r="J221" s="128">
        <v>0</v>
      </c>
      <c r="K221" s="128">
        <v>0</v>
      </c>
      <c r="L221" s="128">
        <v>0</v>
      </c>
      <c r="M221" s="128">
        <v>0</v>
      </c>
      <c r="N221" s="128">
        <v>0</v>
      </c>
      <c r="O221" s="128">
        <v>0</v>
      </c>
      <c r="P221" s="128">
        <v>0</v>
      </c>
      <c r="Q221" s="128">
        <v>0</v>
      </c>
      <c r="R221" s="128">
        <v>0</v>
      </c>
      <c r="S221" s="128">
        <v>0</v>
      </c>
      <c r="T221" s="128">
        <v>0</v>
      </c>
      <c r="U221" s="128">
        <v>0</v>
      </c>
      <c r="V221" s="128">
        <v>0</v>
      </c>
      <c r="W221" s="128">
        <v>0</v>
      </c>
      <c r="X221" s="128">
        <v>0</v>
      </c>
      <c r="Y221" s="128">
        <v>0</v>
      </c>
      <c r="Z221" s="128">
        <v>0</v>
      </c>
      <c r="AA221" s="128">
        <v>0</v>
      </c>
      <c r="AB221" s="128">
        <v>0</v>
      </c>
      <c r="AC221" s="128">
        <v>0</v>
      </c>
      <c r="AD221" s="128">
        <v>0</v>
      </c>
      <c r="AE221" s="128">
        <v>0</v>
      </c>
      <c r="AF221" s="128">
        <v>0</v>
      </c>
      <c r="AG221" s="128">
        <v>0</v>
      </c>
      <c r="AH221" s="128">
        <v>0</v>
      </c>
      <c r="AI221" s="128">
        <v>0</v>
      </c>
      <c r="AJ221" s="128">
        <v>0</v>
      </c>
      <c r="AK221" s="128">
        <v>0</v>
      </c>
      <c r="AL221" s="128">
        <v>0</v>
      </c>
      <c r="AM221" s="128">
        <v>0</v>
      </c>
      <c r="AN221" s="128">
        <v>0</v>
      </c>
      <c r="AO221" s="128">
        <v>0</v>
      </c>
      <c r="AP221" s="128">
        <v>0</v>
      </c>
      <c r="AQ221" s="128">
        <v>0</v>
      </c>
      <c r="AR221" s="128">
        <v>0</v>
      </c>
      <c r="AS221" s="128">
        <v>0</v>
      </c>
      <c r="AT221" s="128">
        <v>0</v>
      </c>
      <c r="AU221" s="128">
        <v>0</v>
      </c>
      <c r="AV221" s="128">
        <v>0</v>
      </c>
      <c r="AW221" s="128">
        <v>0</v>
      </c>
      <c r="AX221" s="128">
        <v>0</v>
      </c>
      <c r="AY221" s="128">
        <v>0</v>
      </c>
    </row>
    <row r="222" spans="1:51" x14ac:dyDescent="0.2">
      <c r="A222" s="127"/>
      <c r="B222" s="137">
        <v>14</v>
      </c>
      <c r="C222" s="124">
        <v>0</v>
      </c>
      <c r="D222" s="128">
        <v>0</v>
      </c>
      <c r="E222" s="128">
        <v>0</v>
      </c>
      <c r="F222" s="128">
        <v>0</v>
      </c>
      <c r="G222" s="128">
        <v>0</v>
      </c>
      <c r="H222" s="128">
        <v>0</v>
      </c>
      <c r="I222" s="128">
        <v>0</v>
      </c>
      <c r="J222" s="128">
        <v>0</v>
      </c>
      <c r="K222" s="128">
        <v>0</v>
      </c>
      <c r="L222" s="128">
        <v>0</v>
      </c>
      <c r="M222" s="128">
        <v>0</v>
      </c>
      <c r="N222" s="128">
        <v>0</v>
      </c>
      <c r="O222" s="128">
        <v>0</v>
      </c>
      <c r="P222" s="128">
        <v>0</v>
      </c>
      <c r="Q222" s="128">
        <v>0</v>
      </c>
      <c r="R222" s="128">
        <v>0</v>
      </c>
      <c r="S222" s="128">
        <v>0</v>
      </c>
      <c r="T222" s="128">
        <v>0</v>
      </c>
      <c r="U222" s="128">
        <v>0</v>
      </c>
      <c r="V222" s="128">
        <v>0</v>
      </c>
      <c r="W222" s="128">
        <v>0</v>
      </c>
      <c r="X222" s="128">
        <v>0</v>
      </c>
      <c r="Y222" s="128">
        <v>0</v>
      </c>
      <c r="Z222" s="128">
        <v>0</v>
      </c>
      <c r="AA222" s="128">
        <v>0</v>
      </c>
      <c r="AB222" s="128">
        <v>0</v>
      </c>
      <c r="AC222" s="128">
        <v>0</v>
      </c>
      <c r="AD222" s="128">
        <v>0</v>
      </c>
      <c r="AE222" s="128">
        <v>0</v>
      </c>
      <c r="AF222" s="128">
        <v>0</v>
      </c>
      <c r="AG222" s="128">
        <v>0</v>
      </c>
      <c r="AH222" s="128">
        <v>0</v>
      </c>
      <c r="AI222" s="128">
        <v>0</v>
      </c>
      <c r="AJ222" s="128">
        <v>0</v>
      </c>
      <c r="AK222" s="128">
        <v>0</v>
      </c>
      <c r="AL222" s="128">
        <v>0</v>
      </c>
      <c r="AM222" s="128">
        <v>0</v>
      </c>
      <c r="AN222" s="128">
        <v>0</v>
      </c>
      <c r="AO222" s="128">
        <v>0</v>
      </c>
      <c r="AP222" s="128">
        <v>0</v>
      </c>
      <c r="AQ222" s="128">
        <v>0</v>
      </c>
      <c r="AR222" s="128">
        <v>0</v>
      </c>
      <c r="AS222" s="128">
        <v>0</v>
      </c>
      <c r="AT222" s="128">
        <v>0</v>
      </c>
      <c r="AU222" s="128">
        <v>0</v>
      </c>
      <c r="AV222" s="128">
        <v>0</v>
      </c>
      <c r="AW222" s="128">
        <v>0</v>
      </c>
      <c r="AX222" s="128">
        <v>0</v>
      </c>
      <c r="AY222" s="128">
        <v>0</v>
      </c>
    </row>
    <row r="223" spans="1:51" x14ac:dyDescent="0.2">
      <c r="A223" s="127"/>
      <c r="B223" s="137">
        <v>15</v>
      </c>
      <c r="C223" s="124">
        <v>0</v>
      </c>
      <c r="D223" s="128">
        <v>0</v>
      </c>
      <c r="E223" s="128">
        <v>0</v>
      </c>
      <c r="F223" s="128">
        <v>0</v>
      </c>
      <c r="G223" s="128">
        <v>0</v>
      </c>
      <c r="H223" s="128">
        <v>0</v>
      </c>
      <c r="I223" s="128">
        <v>0</v>
      </c>
      <c r="J223" s="128">
        <v>0</v>
      </c>
      <c r="K223" s="128">
        <v>0</v>
      </c>
      <c r="L223" s="128">
        <v>0</v>
      </c>
      <c r="M223" s="128">
        <v>0</v>
      </c>
      <c r="N223" s="128">
        <v>0</v>
      </c>
      <c r="O223" s="128">
        <v>0</v>
      </c>
      <c r="P223" s="128">
        <v>0</v>
      </c>
      <c r="Q223" s="128">
        <v>0</v>
      </c>
      <c r="R223" s="128">
        <v>0</v>
      </c>
      <c r="S223" s="128">
        <v>0</v>
      </c>
      <c r="T223" s="128">
        <v>0</v>
      </c>
      <c r="U223" s="128">
        <v>0</v>
      </c>
      <c r="V223" s="128">
        <v>0</v>
      </c>
      <c r="W223" s="128">
        <v>0</v>
      </c>
      <c r="X223" s="128">
        <v>0</v>
      </c>
      <c r="Y223" s="128">
        <v>0</v>
      </c>
      <c r="Z223" s="128">
        <v>0</v>
      </c>
      <c r="AA223" s="128">
        <v>0</v>
      </c>
      <c r="AB223" s="128">
        <v>0</v>
      </c>
      <c r="AC223" s="128">
        <v>0</v>
      </c>
      <c r="AD223" s="128">
        <v>0</v>
      </c>
      <c r="AE223" s="128">
        <v>0</v>
      </c>
      <c r="AF223" s="128">
        <v>0</v>
      </c>
      <c r="AG223" s="128">
        <v>0</v>
      </c>
      <c r="AH223" s="128">
        <v>0</v>
      </c>
      <c r="AI223" s="128">
        <v>0</v>
      </c>
      <c r="AJ223" s="128">
        <v>0</v>
      </c>
      <c r="AK223" s="128">
        <v>0</v>
      </c>
      <c r="AL223" s="128">
        <v>0</v>
      </c>
      <c r="AM223" s="128">
        <v>0</v>
      </c>
      <c r="AN223" s="128">
        <v>0</v>
      </c>
      <c r="AO223" s="128">
        <v>0</v>
      </c>
      <c r="AP223" s="128">
        <v>0</v>
      </c>
      <c r="AQ223" s="128">
        <v>0</v>
      </c>
      <c r="AR223" s="128">
        <v>0</v>
      </c>
      <c r="AS223" s="128">
        <v>0</v>
      </c>
      <c r="AT223" s="128">
        <v>0</v>
      </c>
      <c r="AU223" s="128">
        <v>0</v>
      </c>
      <c r="AV223" s="128">
        <v>0</v>
      </c>
      <c r="AW223" s="128">
        <v>0</v>
      </c>
      <c r="AX223" s="128">
        <v>0</v>
      </c>
      <c r="AY223" s="128">
        <v>0</v>
      </c>
    </row>
    <row r="224" spans="1:51" x14ac:dyDescent="0.2">
      <c r="A224" s="127"/>
      <c r="B224" s="137">
        <v>16</v>
      </c>
      <c r="C224" s="124">
        <v>0</v>
      </c>
      <c r="D224" s="128">
        <v>0</v>
      </c>
      <c r="E224" s="128">
        <v>0</v>
      </c>
      <c r="F224" s="128">
        <v>0</v>
      </c>
      <c r="G224" s="128">
        <v>0</v>
      </c>
      <c r="H224" s="128">
        <v>0</v>
      </c>
      <c r="I224" s="128">
        <v>0</v>
      </c>
      <c r="J224" s="128">
        <v>0</v>
      </c>
      <c r="K224" s="128">
        <v>0</v>
      </c>
      <c r="L224" s="128">
        <v>0</v>
      </c>
      <c r="M224" s="128">
        <v>0</v>
      </c>
      <c r="N224" s="128">
        <v>0</v>
      </c>
      <c r="O224" s="128">
        <v>0</v>
      </c>
      <c r="P224" s="128">
        <v>0</v>
      </c>
      <c r="Q224" s="128">
        <v>0</v>
      </c>
      <c r="R224" s="128">
        <v>0</v>
      </c>
      <c r="S224" s="128">
        <v>0</v>
      </c>
      <c r="T224" s="128">
        <v>0</v>
      </c>
      <c r="U224" s="128">
        <v>0</v>
      </c>
      <c r="V224" s="128">
        <v>0</v>
      </c>
      <c r="W224" s="128">
        <v>0</v>
      </c>
      <c r="X224" s="128">
        <v>0</v>
      </c>
      <c r="Y224" s="128">
        <v>0</v>
      </c>
      <c r="Z224" s="128">
        <v>0</v>
      </c>
      <c r="AA224" s="128">
        <v>0</v>
      </c>
      <c r="AB224" s="128">
        <v>0</v>
      </c>
      <c r="AC224" s="128">
        <v>0</v>
      </c>
      <c r="AD224" s="128">
        <v>0</v>
      </c>
      <c r="AE224" s="128">
        <v>0</v>
      </c>
      <c r="AF224" s="128">
        <v>0</v>
      </c>
      <c r="AG224" s="128">
        <v>0</v>
      </c>
      <c r="AH224" s="128">
        <v>0</v>
      </c>
      <c r="AI224" s="128">
        <v>0</v>
      </c>
      <c r="AJ224" s="128">
        <v>0</v>
      </c>
      <c r="AK224" s="128">
        <v>0</v>
      </c>
      <c r="AL224" s="128">
        <v>0</v>
      </c>
      <c r="AM224" s="128">
        <v>0</v>
      </c>
      <c r="AN224" s="128">
        <v>0</v>
      </c>
      <c r="AO224" s="128">
        <v>0</v>
      </c>
      <c r="AP224" s="128">
        <v>0</v>
      </c>
      <c r="AQ224" s="128">
        <v>0</v>
      </c>
      <c r="AR224" s="128">
        <v>0</v>
      </c>
      <c r="AS224" s="128">
        <v>0</v>
      </c>
      <c r="AT224" s="128">
        <v>0</v>
      </c>
      <c r="AU224" s="128">
        <v>0</v>
      </c>
      <c r="AV224" s="128">
        <v>0</v>
      </c>
      <c r="AW224" s="128">
        <v>0</v>
      </c>
      <c r="AX224" s="128">
        <v>0</v>
      </c>
      <c r="AY224" s="128">
        <v>0</v>
      </c>
    </row>
    <row r="225" spans="1:51" x14ac:dyDescent="0.2">
      <c r="A225" s="127"/>
      <c r="B225" s="137">
        <v>17</v>
      </c>
      <c r="C225" s="124">
        <v>0</v>
      </c>
      <c r="D225" s="128">
        <v>0</v>
      </c>
      <c r="E225" s="128">
        <v>0</v>
      </c>
      <c r="F225" s="128">
        <v>0</v>
      </c>
      <c r="G225" s="128">
        <v>0</v>
      </c>
      <c r="H225" s="128">
        <v>0</v>
      </c>
      <c r="I225" s="128">
        <v>0</v>
      </c>
      <c r="J225" s="128">
        <v>0</v>
      </c>
      <c r="K225" s="128">
        <v>0</v>
      </c>
      <c r="L225" s="128">
        <v>0</v>
      </c>
      <c r="M225" s="128">
        <v>0</v>
      </c>
      <c r="N225" s="128">
        <v>0</v>
      </c>
      <c r="O225" s="128">
        <v>0</v>
      </c>
      <c r="P225" s="128">
        <v>0</v>
      </c>
      <c r="Q225" s="128">
        <v>0</v>
      </c>
      <c r="R225" s="128">
        <v>0</v>
      </c>
      <c r="S225" s="128">
        <v>0</v>
      </c>
      <c r="T225" s="128">
        <v>0</v>
      </c>
      <c r="U225" s="128">
        <v>0</v>
      </c>
      <c r="V225" s="128">
        <v>0</v>
      </c>
      <c r="W225" s="128">
        <v>0</v>
      </c>
      <c r="X225" s="128">
        <v>0</v>
      </c>
      <c r="Y225" s="128">
        <v>0</v>
      </c>
      <c r="Z225" s="128">
        <v>0</v>
      </c>
      <c r="AA225" s="128">
        <v>0</v>
      </c>
      <c r="AB225" s="128">
        <v>0</v>
      </c>
      <c r="AC225" s="128">
        <v>0</v>
      </c>
      <c r="AD225" s="128">
        <v>0</v>
      </c>
      <c r="AE225" s="128">
        <v>0</v>
      </c>
      <c r="AF225" s="128">
        <v>0</v>
      </c>
      <c r="AG225" s="128">
        <v>0</v>
      </c>
      <c r="AH225" s="128">
        <v>0</v>
      </c>
      <c r="AI225" s="128">
        <v>0</v>
      </c>
      <c r="AJ225" s="128">
        <v>0</v>
      </c>
      <c r="AK225" s="128">
        <v>0</v>
      </c>
      <c r="AL225" s="128">
        <v>0</v>
      </c>
      <c r="AM225" s="128">
        <v>0</v>
      </c>
      <c r="AN225" s="128">
        <v>0</v>
      </c>
      <c r="AO225" s="128">
        <v>0</v>
      </c>
      <c r="AP225" s="128">
        <v>0</v>
      </c>
      <c r="AQ225" s="128">
        <v>0</v>
      </c>
      <c r="AR225" s="128">
        <v>0</v>
      </c>
      <c r="AS225" s="128">
        <v>0</v>
      </c>
      <c r="AT225" s="128">
        <v>0</v>
      </c>
      <c r="AU225" s="128">
        <v>0</v>
      </c>
      <c r="AV225" s="128">
        <v>0</v>
      </c>
      <c r="AW225" s="128">
        <v>0</v>
      </c>
      <c r="AX225" s="128">
        <v>0</v>
      </c>
      <c r="AY225" s="128">
        <v>0</v>
      </c>
    </row>
    <row r="226" spans="1:51" x14ac:dyDescent="0.2">
      <c r="A226" s="127"/>
      <c r="B226" s="137">
        <v>18</v>
      </c>
      <c r="C226" s="124">
        <v>0</v>
      </c>
      <c r="D226" s="128">
        <v>0</v>
      </c>
      <c r="E226" s="128">
        <v>0</v>
      </c>
      <c r="F226" s="128">
        <v>0</v>
      </c>
      <c r="G226" s="128">
        <v>0</v>
      </c>
      <c r="H226" s="128">
        <v>0</v>
      </c>
      <c r="I226" s="128">
        <v>0</v>
      </c>
      <c r="J226" s="128">
        <v>0</v>
      </c>
      <c r="K226" s="128">
        <v>0</v>
      </c>
      <c r="L226" s="128">
        <v>0</v>
      </c>
      <c r="M226" s="128">
        <v>0</v>
      </c>
      <c r="N226" s="128">
        <v>0</v>
      </c>
      <c r="O226" s="128">
        <v>0</v>
      </c>
      <c r="P226" s="128">
        <v>0</v>
      </c>
      <c r="Q226" s="128">
        <v>0</v>
      </c>
      <c r="R226" s="128">
        <v>0</v>
      </c>
      <c r="S226" s="128">
        <v>0</v>
      </c>
      <c r="T226" s="128">
        <v>0</v>
      </c>
      <c r="U226" s="128">
        <v>0</v>
      </c>
      <c r="V226" s="128">
        <v>0</v>
      </c>
      <c r="W226" s="128">
        <v>0</v>
      </c>
      <c r="X226" s="128">
        <v>0</v>
      </c>
      <c r="Y226" s="128">
        <v>0</v>
      </c>
      <c r="Z226" s="128">
        <v>0</v>
      </c>
      <c r="AA226" s="128">
        <v>0</v>
      </c>
      <c r="AB226" s="128">
        <v>0</v>
      </c>
      <c r="AC226" s="128">
        <v>0</v>
      </c>
      <c r="AD226" s="128">
        <v>0</v>
      </c>
      <c r="AE226" s="128">
        <v>0</v>
      </c>
      <c r="AF226" s="128">
        <v>0</v>
      </c>
      <c r="AG226" s="128">
        <v>0</v>
      </c>
      <c r="AH226" s="128">
        <v>0</v>
      </c>
      <c r="AI226" s="128">
        <v>0</v>
      </c>
      <c r="AJ226" s="128">
        <v>0</v>
      </c>
      <c r="AK226" s="128">
        <v>0</v>
      </c>
      <c r="AL226" s="128">
        <v>0</v>
      </c>
      <c r="AM226" s="128">
        <v>0</v>
      </c>
      <c r="AN226" s="128">
        <v>0</v>
      </c>
      <c r="AO226" s="128">
        <v>0</v>
      </c>
      <c r="AP226" s="128">
        <v>0</v>
      </c>
      <c r="AQ226" s="128">
        <v>0</v>
      </c>
      <c r="AR226" s="128">
        <v>0</v>
      </c>
      <c r="AS226" s="128">
        <v>0</v>
      </c>
      <c r="AT226" s="128">
        <v>0</v>
      </c>
      <c r="AU226" s="128">
        <v>0</v>
      </c>
      <c r="AV226" s="128">
        <v>0</v>
      </c>
      <c r="AW226" s="128">
        <v>0</v>
      </c>
      <c r="AX226" s="128">
        <v>0</v>
      </c>
      <c r="AY226" s="128">
        <v>0</v>
      </c>
    </row>
    <row r="227" spans="1:51" x14ac:dyDescent="0.2">
      <c r="A227" s="127"/>
      <c r="B227" s="137">
        <v>19</v>
      </c>
      <c r="C227" s="124">
        <v>0</v>
      </c>
      <c r="D227" s="128">
        <v>0</v>
      </c>
      <c r="E227" s="128">
        <v>0</v>
      </c>
      <c r="F227" s="128">
        <v>0</v>
      </c>
      <c r="G227" s="128">
        <v>0</v>
      </c>
      <c r="H227" s="128">
        <v>0</v>
      </c>
      <c r="I227" s="128">
        <v>0</v>
      </c>
      <c r="J227" s="128">
        <v>0</v>
      </c>
      <c r="K227" s="128">
        <v>0</v>
      </c>
      <c r="L227" s="128">
        <v>0</v>
      </c>
      <c r="M227" s="128">
        <v>0</v>
      </c>
      <c r="N227" s="128">
        <v>0</v>
      </c>
      <c r="O227" s="128">
        <v>0</v>
      </c>
      <c r="P227" s="128">
        <v>0</v>
      </c>
      <c r="Q227" s="128">
        <v>0</v>
      </c>
      <c r="R227" s="128">
        <v>0</v>
      </c>
      <c r="S227" s="128">
        <v>0</v>
      </c>
      <c r="T227" s="128">
        <v>0</v>
      </c>
      <c r="U227" s="128">
        <v>0</v>
      </c>
      <c r="V227" s="128">
        <v>0</v>
      </c>
      <c r="W227" s="128">
        <v>0</v>
      </c>
      <c r="X227" s="128">
        <v>0</v>
      </c>
      <c r="Y227" s="128">
        <v>0</v>
      </c>
      <c r="Z227" s="128">
        <v>0</v>
      </c>
      <c r="AA227" s="128">
        <v>0</v>
      </c>
      <c r="AB227" s="128">
        <v>0</v>
      </c>
      <c r="AC227" s="128">
        <v>0</v>
      </c>
      <c r="AD227" s="128">
        <v>0</v>
      </c>
      <c r="AE227" s="128">
        <v>0</v>
      </c>
      <c r="AF227" s="128">
        <v>0</v>
      </c>
      <c r="AG227" s="128">
        <v>0</v>
      </c>
      <c r="AH227" s="128">
        <v>0</v>
      </c>
      <c r="AI227" s="128">
        <v>0</v>
      </c>
      <c r="AJ227" s="128">
        <v>0</v>
      </c>
      <c r="AK227" s="128">
        <v>0</v>
      </c>
      <c r="AL227" s="128">
        <v>0</v>
      </c>
      <c r="AM227" s="128">
        <v>0</v>
      </c>
      <c r="AN227" s="128">
        <v>0</v>
      </c>
      <c r="AO227" s="128">
        <v>0</v>
      </c>
      <c r="AP227" s="128">
        <v>0</v>
      </c>
      <c r="AQ227" s="128">
        <v>0</v>
      </c>
      <c r="AR227" s="128">
        <v>0</v>
      </c>
      <c r="AS227" s="128">
        <v>0</v>
      </c>
      <c r="AT227" s="128">
        <v>0</v>
      </c>
      <c r="AU227" s="128">
        <v>0</v>
      </c>
      <c r="AV227" s="128">
        <v>0</v>
      </c>
      <c r="AW227" s="128">
        <v>0</v>
      </c>
      <c r="AX227" s="128">
        <v>0</v>
      </c>
      <c r="AY227" s="128">
        <v>0</v>
      </c>
    </row>
    <row r="228" spans="1:51" x14ac:dyDescent="0.2">
      <c r="A228" s="127"/>
      <c r="B228" s="137">
        <v>20</v>
      </c>
      <c r="C228" s="124">
        <v>0</v>
      </c>
      <c r="D228" s="128">
        <v>0</v>
      </c>
      <c r="E228" s="128">
        <v>0</v>
      </c>
      <c r="F228" s="128">
        <v>0</v>
      </c>
      <c r="G228" s="128">
        <v>0</v>
      </c>
      <c r="H228" s="128">
        <v>0</v>
      </c>
      <c r="I228" s="128">
        <v>0</v>
      </c>
      <c r="J228" s="128">
        <v>0</v>
      </c>
      <c r="K228" s="128">
        <v>0</v>
      </c>
      <c r="L228" s="128">
        <v>0</v>
      </c>
      <c r="M228" s="128">
        <v>0</v>
      </c>
      <c r="N228" s="128">
        <v>0</v>
      </c>
      <c r="O228" s="128">
        <v>0</v>
      </c>
      <c r="P228" s="128">
        <v>0</v>
      </c>
      <c r="Q228" s="128">
        <v>0</v>
      </c>
      <c r="R228" s="128">
        <v>0</v>
      </c>
      <c r="S228" s="128">
        <v>0</v>
      </c>
      <c r="T228" s="128">
        <v>0</v>
      </c>
      <c r="U228" s="128">
        <v>0</v>
      </c>
      <c r="V228" s="128">
        <v>0</v>
      </c>
      <c r="W228" s="128">
        <v>0</v>
      </c>
      <c r="X228" s="128">
        <v>0</v>
      </c>
      <c r="Y228" s="128">
        <v>0</v>
      </c>
      <c r="Z228" s="128">
        <v>0</v>
      </c>
      <c r="AA228" s="128">
        <v>0</v>
      </c>
      <c r="AB228" s="128">
        <v>0</v>
      </c>
      <c r="AC228" s="128">
        <v>0</v>
      </c>
      <c r="AD228" s="128">
        <v>0</v>
      </c>
      <c r="AE228" s="128">
        <v>0</v>
      </c>
      <c r="AF228" s="128">
        <v>0</v>
      </c>
      <c r="AG228" s="128">
        <v>0</v>
      </c>
      <c r="AH228" s="128">
        <v>0</v>
      </c>
      <c r="AI228" s="128">
        <v>0</v>
      </c>
      <c r="AJ228" s="128">
        <v>0</v>
      </c>
      <c r="AK228" s="128">
        <v>0</v>
      </c>
      <c r="AL228" s="128">
        <v>0</v>
      </c>
      <c r="AM228" s="128">
        <v>0</v>
      </c>
      <c r="AN228" s="128">
        <v>0</v>
      </c>
      <c r="AO228" s="128">
        <v>0</v>
      </c>
      <c r="AP228" s="128">
        <v>0</v>
      </c>
      <c r="AQ228" s="128">
        <v>0</v>
      </c>
      <c r="AR228" s="128">
        <v>0</v>
      </c>
      <c r="AS228" s="128">
        <v>0</v>
      </c>
      <c r="AT228" s="128">
        <v>0</v>
      </c>
      <c r="AU228" s="128">
        <v>0</v>
      </c>
      <c r="AV228" s="128">
        <v>0</v>
      </c>
      <c r="AW228" s="128">
        <v>0</v>
      </c>
      <c r="AX228" s="128">
        <v>0</v>
      </c>
      <c r="AY228" s="128">
        <v>0</v>
      </c>
    </row>
    <row r="229" spans="1:51" x14ac:dyDescent="0.2">
      <c r="A229" s="127"/>
      <c r="B229" s="137">
        <v>21</v>
      </c>
      <c r="C229" s="124">
        <v>0</v>
      </c>
      <c r="D229" s="128">
        <v>0</v>
      </c>
      <c r="E229" s="128">
        <v>0</v>
      </c>
      <c r="F229" s="128">
        <v>0</v>
      </c>
      <c r="G229" s="128">
        <v>0</v>
      </c>
      <c r="H229" s="128">
        <v>0</v>
      </c>
      <c r="I229" s="128">
        <v>0</v>
      </c>
      <c r="J229" s="128">
        <v>0</v>
      </c>
      <c r="K229" s="128">
        <v>0</v>
      </c>
      <c r="L229" s="128">
        <v>0</v>
      </c>
      <c r="M229" s="128">
        <v>0</v>
      </c>
      <c r="N229" s="128">
        <v>0</v>
      </c>
      <c r="O229" s="128">
        <v>0</v>
      </c>
      <c r="P229" s="128">
        <v>0</v>
      </c>
      <c r="Q229" s="128">
        <v>0</v>
      </c>
      <c r="R229" s="128">
        <v>0</v>
      </c>
      <c r="S229" s="128">
        <v>0</v>
      </c>
      <c r="T229" s="128">
        <v>0</v>
      </c>
      <c r="U229" s="128">
        <v>0</v>
      </c>
      <c r="V229" s="128">
        <v>0</v>
      </c>
      <c r="W229" s="128">
        <v>0</v>
      </c>
      <c r="X229" s="128">
        <v>0</v>
      </c>
      <c r="Y229" s="128">
        <v>0</v>
      </c>
      <c r="Z229" s="128">
        <v>0</v>
      </c>
      <c r="AA229" s="128">
        <v>0</v>
      </c>
      <c r="AB229" s="128">
        <v>0</v>
      </c>
      <c r="AC229" s="128">
        <v>0</v>
      </c>
      <c r="AD229" s="128">
        <v>0</v>
      </c>
      <c r="AE229" s="128">
        <v>0</v>
      </c>
      <c r="AF229" s="128">
        <v>0</v>
      </c>
      <c r="AG229" s="128">
        <v>0</v>
      </c>
      <c r="AH229" s="128">
        <v>0</v>
      </c>
      <c r="AI229" s="128">
        <v>0</v>
      </c>
      <c r="AJ229" s="128">
        <v>0</v>
      </c>
      <c r="AK229" s="128">
        <v>0</v>
      </c>
      <c r="AL229" s="128">
        <v>0</v>
      </c>
      <c r="AM229" s="128">
        <v>0</v>
      </c>
      <c r="AN229" s="128">
        <v>0</v>
      </c>
      <c r="AO229" s="128">
        <v>0</v>
      </c>
      <c r="AP229" s="128">
        <v>0</v>
      </c>
      <c r="AQ229" s="128">
        <v>0</v>
      </c>
      <c r="AR229" s="128">
        <v>0</v>
      </c>
      <c r="AS229" s="128">
        <v>0</v>
      </c>
      <c r="AT229" s="128">
        <v>0</v>
      </c>
      <c r="AU229" s="128">
        <v>0</v>
      </c>
      <c r="AV229" s="128">
        <v>0</v>
      </c>
      <c r="AW229" s="128">
        <v>0</v>
      </c>
      <c r="AX229" s="128">
        <v>0</v>
      </c>
      <c r="AY229" s="128">
        <v>0</v>
      </c>
    </row>
    <row r="230" spans="1:51" x14ac:dyDescent="0.2">
      <c r="A230" s="127"/>
      <c r="B230" s="137">
        <v>22</v>
      </c>
      <c r="C230" s="124">
        <v>0</v>
      </c>
      <c r="D230" s="128">
        <v>0</v>
      </c>
      <c r="E230" s="128">
        <v>0</v>
      </c>
      <c r="F230" s="128">
        <v>0</v>
      </c>
      <c r="G230" s="128">
        <v>0</v>
      </c>
      <c r="H230" s="128">
        <v>0</v>
      </c>
      <c r="I230" s="128">
        <v>0</v>
      </c>
      <c r="J230" s="128">
        <v>0</v>
      </c>
      <c r="K230" s="128">
        <v>0</v>
      </c>
      <c r="L230" s="128">
        <v>0</v>
      </c>
      <c r="M230" s="128">
        <v>0</v>
      </c>
      <c r="N230" s="128">
        <v>0</v>
      </c>
      <c r="O230" s="128">
        <v>0</v>
      </c>
      <c r="P230" s="128">
        <v>0</v>
      </c>
      <c r="Q230" s="128">
        <v>0</v>
      </c>
      <c r="R230" s="128">
        <v>0</v>
      </c>
      <c r="S230" s="128">
        <v>0</v>
      </c>
      <c r="T230" s="128">
        <v>0</v>
      </c>
      <c r="U230" s="128">
        <v>0</v>
      </c>
      <c r="V230" s="128">
        <v>0</v>
      </c>
      <c r="W230" s="128">
        <v>0</v>
      </c>
      <c r="X230" s="128">
        <v>0</v>
      </c>
      <c r="Y230" s="128">
        <v>0</v>
      </c>
      <c r="Z230" s="128">
        <v>0</v>
      </c>
      <c r="AA230" s="128">
        <v>0</v>
      </c>
      <c r="AB230" s="128">
        <v>0</v>
      </c>
      <c r="AC230" s="128">
        <v>0</v>
      </c>
      <c r="AD230" s="128">
        <v>0</v>
      </c>
      <c r="AE230" s="128">
        <v>0</v>
      </c>
      <c r="AF230" s="128">
        <v>0</v>
      </c>
      <c r="AG230" s="128">
        <v>0</v>
      </c>
      <c r="AH230" s="128">
        <v>0</v>
      </c>
      <c r="AI230" s="128">
        <v>0</v>
      </c>
      <c r="AJ230" s="128">
        <v>0</v>
      </c>
      <c r="AK230" s="128">
        <v>0</v>
      </c>
      <c r="AL230" s="128">
        <v>0</v>
      </c>
      <c r="AM230" s="128">
        <v>0</v>
      </c>
      <c r="AN230" s="128">
        <v>0</v>
      </c>
      <c r="AO230" s="128">
        <v>0</v>
      </c>
      <c r="AP230" s="128">
        <v>0</v>
      </c>
      <c r="AQ230" s="128">
        <v>0</v>
      </c>
      <c r="AR230" s="128">
        <v>0</v>
      </c>
      <c r="AS230" s="128">
        <v>0</v>
      </c>
      <c r="AT230" s="128">
        <v>0</v>
      </c>
      <c r="AU230" s="128">
        <v>0</v>
      </c>
      <c r="AV230" s="128">
        <v>0</v>
      </c>
      <c r="AW230" s="128">
        <v>0</v>
      </c>
      <c r="AX230" s="128">
        <v>0</v>
      </c>
      <c r="AY230" s="128">
        <v>0</v>
      </c>
    </row>
    <row r="231" spans="1:51" x14ac:dyDescent="0.2">
      <c r="A231" s="127"/>
      <c r="B231" s="137">
        <v>23</v>
      </c>
      <c r="C231" s="124">
        <v>0</v>
      </c>
      <c r="D231" s="128">
        <v>0</v>
      </c>
      <c r="E231" s="128">
        <v>0</v>
      </c>
      <c r="F231" s="128">
        <v>0</v>
      </c>
      <c r="G231" s="128">
        <v>0</v>
      </c>
      <c r="H231" s="128">
        <v>0</v>
      </c>
      <c r="I231" s="128">
        <v>0</v>
      </c>
      <c r="J231" s="128">
        <v>0</v>
      </c>
      <c r="K231" s="128">
        <v>0</v>
      </c>
      <c r="L231" s="128">
        <v>0</v>
      </c>
      <c r="M231" s="128">
        <v>0</v>
      </c>
      <c r="N231" s="128">
        <v>0</v>
      </c>
      <c r="O231" s="128">
        <v>0</v>
      </c>
      <c r="P231" s="128">
        <v>0</v>
      </c>
      <c r="Q231" s="128">
        <v>0</v>
      </c>
      <c r="R231" s="128">
        <v>0</v>
      </c>
      <c r="S231" s="128">
        <v>0</v>
      </c>
      <c r="T231" s="128">
        <v>0</v>
      </c>
      <c r="U231" s="128">
        <v>0</v>
      </c>
      <c r="V231" s="128">
        <v>0</v>
      </c>
      <c r="W231" s="128">
        <v>0</v>
      </c>
      <c r="X231" s="128">
        <v>0</v>
      </c>
      <c r="Y231" s="128">
        <v>0</v>
      </c>
      <c r="Z231" s="128">
        <v>0</v>
      </c>
      <c r="AA231" s="128">
        <v>0</v>
      </c>
      <c r="AB231" s="128">
        <v>0</v>
      </c>
      <c r="AC231" s="128">
        <v>0</v>
      </c>
      <c r="AD231" s="128">
        <v>0</v>
      </c>
      <c r="AE231" s="128">
        <v>0</v>
      </c>
      <c r="AF231" s="128">
        <v>0</v>
      </c>
      <c r="AG231" s="128">
        <v>0</v>
      </c>
      <c r="AH231" s="128">
        <v>0</v>
      </c>
      <c r="AI231" s="128">
        <v>0</v>
      </c>
      <c r="AJ231" s="128">
        <v>0</v>
      </c>
      <c r="AK231" s="128">
        <v>0</v>
      </c>
      <c r="AL231" s="128">
        <v>0</v>
      </c>
      <c r="AM231" s="128">
        <v>0</v>
      </c>
      <c r="AN231" s="128">
        <v>0</v>
      </c>
      <c r="AO231" s="128">
        <v>0</v>
      </c>
      <c r="AP231" s="128">
        <v>0</v>
      </c>
      <c r="AQ231" s="128">
        <v>0</v>
      </c>
      <c r="AR231" s="128">
        <v>0</v>
      </c>
      <c r="AS231" s="128">
        <v>0</v>
      </c>
      <c r="AT231" s="128">
        <v>0</v>
      </c>
      <c r="AU231" s="128">
        <v>0</v>
      </c>
      <c r="AV231" s="128">
        <v>0</v>
      </c>
      <c r="AW231" s="128">
        <v>0</v>
      </c>
      <c r="AX231" s="128">
        <v>0</v>
      </c>
      <c r="AY231" s="128">
        <v>0</v>
      </c>
    </row>
    <row r="232" spans="1:51" x14ac:dyDescent="0.2">
      <c r="A232" s="127"/>
      <c r="B232" s="137">
        <v>24</v>
      </c>
      <c r="C232" s="124">
        <v>0</v>
      </c>
      <c r="D232" s="128">
        <v>0</v>
      </c>
      <c r="E232" s="128">
        <v>0</v>
      </c>
      <c r="F232" s="128">
        <v>0</v>
      </c>
      <c r="G232" s="128">
        <v>0</v>
      </c>
      <c r="H232" s="128">
        <v>0</v>
      </c>
      <c r="I232" s="128">
        <v>0</v>
      </c>
      <c r="J232" s="128">
        <v>0</v>
      </c>
      <c r="K232" s="128">
        <v>0</v>
      </c>
      <c r="L232" s="128">
        <v>0</v>
      </c>
      <c r="M232" s="128">
        <v>0</v>
      </c>
      <c r="N232" s="128">
        <v>0</v>
      </c>
      <c r="O232" s="128">
        <v>0</v>
      </c>
      <c r="P232" s="128">
        <v>0</v>
      </c>
      <c r="Q232" s="128">
        <v>0</v>
      </c>
      <c r="R232" s="128">
        <v>0</v>
      </c>
      <c r="S232" s="128">
        <v>0</v>
      </c>
      <c r="T232" s="128">
        <v>0</v>
      </c>
      <c r="U232" s="128">
        <v>0</v>
      </c>
      <c r="V232" s="128">
        <v>0</v>
      </c>
      <c r="W232" s="128">
        <v>0</v>
      </c>
      <c r="X232" s="128">
        <v>0</v>
      </c>
      <c r="Y232" s="128">
        <v>0</v>
      </c>
      <c r="Z232" s="128">
        <v>0</v>
      </c>
      <c r="AA232" s="128">
        <v>0</v>
      </c>
      <c r="AB232" s="128">
        <v>0</v>
      </c>
      <c r="AC232" s="128">
        <v>0</v>
      </c>
      <c r="AD232" s="128">
        <v>0</v>
      </c>
      <c r="AE232" s="128">
        <v>0</v>
      </c>
      <c r="AF232" s="128">
        <v>0</v>
      </c>
      <c r="AG232" s="128">
        <v>0</v>
      </c>
      <c r="AH232" s="128">
        <v>0</v>
      </c>
      <c r="AI232" s="128">
        <v>0</v>
      </c>
      <c r="AJ232" s="128">
        <v>0</v>
      </c>
      <c r="AK232" s="128">
        <v>0</v>
      </c>
      <c r="AL232" s="128">
        <v>0</v>
      </c>
      <c r="AM232" s="128">
        <v>0</v>
      </c>
      <c r="AN232" s="128">
        <v>0</v>
      </c>
      <c r="AO232" s="128">
        <v>0</v>
      </c>
      <c r="AP232" s="128">
        <v>0</v>
      </c>
      <c r="AQ232" s="128">
        <v>0</v>
      </c>
      <c r="AR232" s="128">
        <v>0</v>
      </c>
      <c r="AS232" s="128">
        <v>0</v>
      </c>
      <c r="AT232" s="128">
        <v>0</v>
      </c>
      <c r="AU232" s="128">
        <v>0</v>
      </c>
      <c r="AV232" s="128">
        <v>0</v>
      </c>
      <c r="AW232" s="128">
        <v>0</v>
      </c>
      <c r="AX232" s="128">
        <v>0</v>
      </c>
      <c r="AY232" s="128">
        <v>0</v>
      </c>
    </row>
    <row r="233" spans="1:51" x14ac:dyDescent="0.2">
      <c r="A233" s="127"/>
      <c r="B233" s="144">
        <v>25</v>
      </c>
      <c r="C233" s="124">
        <v>0</v>
      </c>
      <c r="D233" s="128">
        <v>0</v>
      </c>
      <c r="E233" s="128">
        <v>0</v>
      </c>
      <c r="F233" s="128">
        <v>0</v>
      </c>
      <c r="G233" s="128">
        <v>0</v>
      </c>
      <c r="H233" s="128">
        <v>0</v>
      </c>
      <c r="I233" s="128">
        <v>0</v>
      </c>
      <c r="J233" s="128">
        <v>0</v>
      </c>
      <c r="K233" s="128">
        <v>0</v>
      </c>
      <c r="L233" s="128">
        <v>0</v>
      </c>
      <c r="M233" s="128">
        <v>0</v>
      </c>
      <c r="N233" s="128">
        <v>0</v>
      </c>
      <c r="O233" s="128">
        <v>0</v>
      </c>
      <c r="P233" s="128">
        <v>0</v>
      </c>
      <c r="Q233" s="128">
        <v>0</v>
      </c>
      <c r="R233" s="128">
        <v>0</v>
      </c>
      <c r="S233" s="128">
        <v>0</v>
      </c>
      <c r="T233" s="128">
        <v>0</v>
      </c>
      <c r="U233" s="128">
        <v>0</v>
      </c>
      <c r="V233" s="128">
        <v>0</v>
      </c>
      <c r="W233" s="128">
        <v>0</v>
      </c>
      <c r="X233" s="128">
        <v>0</v>
      </c>
      <c r="Y233" s="128">
        <v>0</v>
      </c>
      <c r="Z233" s="128">
        <v>0</v>
      </c>
      <c r="AA233" s="128">
        <v>0</v>
      </c>
      <c r="AB233" s="128">
        <v>0</v>
      </c>
      <c r="AC233" s="128">
        <v>0</v>
      </c>
      <c r="AD233" s="128">
        <v>0</v>
      </c>
      <c r="AE233" s="128">
        <v>0</v>
      </c>
      <c r="AF233" s="128">
        <v>0</v>
      </c>
      <c r="AG233" s="128">
        <v>0</v>
      </c>
      <c r="AH233" s="128">
        <v>0</v>
      </c>
      <c r="AI233" s="128">
        <v>0</v>
      </c>
      <c r="AJ233" s="128">
        <v>0</v>
      </c>
      <c r="AK233" s="128">
        <v>0</v>
      </c>
      <c r="AL233" s="128">
        <v>0</v>
      </c>
      <c r="AM233" s="128">
        <v>0</v>
      </c>
      <c r="AN233" s="128">
        <v>0</v>
      </c>
      <c r="AO233" s="128">
        <v>0</v>
      </c>
      <c r="AP233" s="128">
        <v>0</v>
      </c>
      <c r="AQ233" s="128">
        <v>0</v>
      </c>
      <c r="AR233" s="128">
        <v>0</v>
      </c>
      <c r="AS233" s="128">
        <v>0</v>
      </c>
      <c r="AT233" s="128">
        <v>0</v>
      </c>
      <c r="AU233" s="128">
        <v>0</v>
      </c>
      <c r="AV233" s="128">
        <v>0</v>
      </c>
      <c r="AW233" s="128">
        <v>0</v>
      </c>
      <c r="AX233" s="128">
        <v>0</v>
      </c>
      <c r="AY233" s="128">
        <v>0</v>
      </c>
    </row>
    <row r="234" spans="1:51" x14ac:dyDescent="0.2">
      <c r="A234" s="127"/>
      <c r="B234" s="144">
        <v>26</v>
      </c>
      <c r="C234" s="124">
        <v>0</v>
      </c>
      <c r="D234" s="128">
        <v>0</v>
      </c>
      <c r="E234" s="128">
        <v>0</v>
      </c>
      <c r="F234" s="128">
        <v>0</v>
      </c>
      <c r="G234" s="128">
        <v>0</v>
      </c>
      <c r="H234" s="128">
        <v>0</v>
      </c>
      <c r="I234" s="128">
        <v>0</v>
      </c>
      <c r="J234" s="128">
        <v>0</v>
      </c>
      <c r="K234" s="128">
        <v>0</v>
      </c>
      <c r="L234" s="128">
        <v>0</v>
      </c>
      <c r="M234" s="128">
        <v>0</v>
      </c>
      <c r="N234" s="128">
        <v>0</v>
      </c>
      <c r="O234" s="128">
        <v>0</v>
      </c>
      <c r="P234" s="128">
        <v>0</v>
      </c>
      <c r="Q234" s="128">
        <v>0</v>
      </c>
      <c r="R234" s="128">
        <v>0</v>
      </c>
      <c r="S234" s="128">
        <v>0</v>
      </c>
      <c r="T234" s="128">
        <v>0</v>
      </c>
      <c r="U234" s="128">
        <v>0</v>
      </c>
      <c r="V234" s="128">
        <v>0</v>
      </c>
      <c r="W234" s="128">
        <v>0</v>
      </c>
      <c r="X234" s="128">
        <v>0</v>
      </c>
      <c r="Y234" s="128">
        <v>0</v>
      </c>
      <c r="Z234" s="128">
        <v>0</v>
      </c>
      <c r="AA234" s="128">
        <v>0</v>
      </c>
      <c r="AB234" s="128">
        <v>0</v>
      </c>
      <c r="AC234" s="128">
        <v>0</v>
      </c>
      <c r="AD234" s="128">
        <v>0</v>
      </c>
      <c r="AE234" s="128">
        <v>0</v>
      </c>
      <c r="AF234" s="128">
        <v>0</v>
      </c>
      <c r="AG234" s="128">
        <v>0</v>
      </c>
      <c r="AH234" s="128">
        <v>0</v>
      </c>
      <c r="AI234" s="128">
        <v>0</v>
      </c>
      <c r="AJ234" s="128">
        <v>0</v>
      </c>
      <c r="AK234" s="128">
        <v>0</v>
      </c>
      <c r="AL234" s="128">
        <v>0</v>
      </c>
      <c r="AM234" s="128">
        <v>0</v>
      </c>
      <c r="AN234" s="128">
        <v>0</v>
      </c>
      <c r="AO234" s="128">
        <v>0</v>
      </c>
      <c r="AP234" s="128">
        <v>0</v>
      </c>
      <c r="AQ234" s="128">
        <v>0</v>
      </c>
      <c r="AR234" s="128">
        <v>0</v>
      </c>
      <c r="AS234" s="128">
        <v>0</v>
      </c>
      <c r="AT234" s="128">
        <v>0</v>
      </c>
      <c r="AU234" s="128">
        <v>0</v>
      </c>
      <c r="AV234" s="128">
        <v>0</v>
      </c>
      <c r="AW234" s="128">
        <v>0</v>
      </c>
      <c r="AX234" s="128">
        <v>0</v>
      </c>
      <c r="AY234" s="128">
        <v>0</v>
      </c>
    </row>
    <row r="235" spans="1:51" x14ac:dyDescent="0.2">
      <c r="A235" s="127"/>
      <c r="B235" s="144">
        <v>27</v>
      </c>
      <c r="C235" s="124">
        <v>0</v>
      </c>
      <c r="D235" s="128">
        <v>0</v>
      </c>
      <c r="E235" s="128">
        <v>0</v>
      </c>
      <c r="F235" s="128">
        <v>0</v>
      </c>
      <c r="G235" s="128">
        <v>0</v>
      </c>
      <c r="H235" s="128">
        <v>0</v>
      </c>
      <c r="I235" s="128">
        <v>0</v>
      </c>
      <c r="J235" s="128">
        <v>0</v>
      </c>
      <c r="K235" s="128">
        <v>0</v>
      </c>
      <c r="L235" s="128">
        <v>0</v>
      </c>
      <c r="M235" s="128">
        <v>0</v>
      </c>
      <c r="N235" s="128">
        <v>0</v>
      </c>
      <c r="O235" s="128">
        <v>0</v>
      </c>
      <c r="P235" s="128">
        <v>0</v>
      </c>
      <c r="Q235" s="128">
        <v>0</v>
      </c>
      <c r="R235" s="128">
        <v>0</v>
      </c>
      <c r="S235" s="128">
        <v>0</v>
      </c>
      <c r="T235" s="128">
        <v>0</v>
      </c>
      <c r="U235" s="128">
        <v>0</v>
      </c>
      <c r="V235" s="128">
        <v>0</v>
      </c>
      <c r="W235" s="128">
        <v>0</v>
      </c>
      <c r="X235" s="128">
        <v>0</v>
      </c>
      <c r="Y235" s="128">
        <v>0</v>
      </c>
      <c r="Z235" s="128">
        <v>0</v>
      </c>
      <c r="AA235" s="128">
        <v>0</v>
      </c>
      <c r="AB235" s="128">
        <v>0</v>
      </c>
      <c r="AC235" s="128">
        <v>0</v>
      </c>
      <c r="AD235" s="128">
        <v>0</v>
      </c>
      <c r="AE235" s="128">
        <v>0</v>
      </c>
      <c r="AF235" s="128">
        <v>0</v>
      </c>
      <c r="AG235" s="128">
        <v>0</v>
      </c>
      <c r="AH235" s="128">
        <v>0</v>
      </c>
      <c r="AI235" s="128">
        <v>0</v>
      </c>
      <c r="AJ235" s="128">
        <v>0</v>
      </c>
      <c r="AK235" s="128">
        <v>0</v>
      </c>
      <c r="AL235" s="128">
        <v>0</v>
      </c>
      <c r="AM235" s="128">
        <v>0</v>
      </c>
      <c r="AN235" s="128">
        <v>0</v>
      </c>
      <c r="AO235" s="128">
        <v>0</v>
      </c>
      <c r="AP235" s="128">
        <v>0</v>
      </c>
      <c r="AQ235" s="128">
        <v>0</v>
      </c>
      <c r="AR235" s="128">
        <v>0</v>
      </c>
      <c r="AS235" s="128">
        <v>0</v>
      </c>
      <c r="AT235" s="128">
        <v>0</v>
      </c>
      <c r="AU235" s="128">
        <v>0</v>
      </c>
      <c r="AV235" s="128">
        <v>0</v>
      </c>
      <c r="AW235" s="128">
        <v>0</v>
      </c>
      <c r="AX235" s="128">
        <v>0</v>
      </c>
      <c r="AY235" s="128">
        <v>0</v>
      </c>
    </row>
    <row r="236" spans="1:51" x14ac:dyDescent="0.2">
      <c r="A236" s="127"/>
      <c r="B236" s="144">
        <v>28</v>
      </c>
      <c r="C236" s="124">
        <v>0</v>
      </c>
      <c r="D236" s="128">
        <v>0</v>
      </c>
      <c r="E236" s="128">
        <v>0</v>
      </c>
      <c r="F236" s="128">
        <v>0</v>
      </c>
      <c r="G236" s="128">
        <v>0</v>
      </c>
      <c r="H236" s="128">
        <v>0</v>
      </c>
      <c r="I236" s="128">
        <v>0</v>
      </c>
      <c r="J236" s="128">
        <v>0</v>
      </c>
      <c r="K236" s="128">
        <v>0</v>
      </c>
      <c r="L236" s="128">
        <v>0</v>
      </c>
      <c r="M236" s="128">
        <v>0</v>
      </c>
      <c r="N236" s="128">
        <v>0</v>
      </c>
      <c r="O236" s="128">
        <v>0</v>
      </c>
      <c r="P236" s="128">
        <v>0</v>
      </c>
      <c r="Q236" s="128">
        <v>0</v>
      </c>
      <c r="R236" s="128">
        <v>0</v>
      </c>
      <c r="S236" s="128">
        <v>0</v>
      </c>
      <c r="T236" s="128">
        <v>0</v>
      </c>
      <c r="U236" s="128">
        <v>0</v>
      </c>
      <c r="V236" s="128">
        <v>0</v>
      </c>
      <c r="W236" s="128">
        <v>0</v>
      </c>
      <c r="X236" s="128">
        <v>0</v>
      </c>
      <c r="Y236" s="128">
        <v>0</v>
      </c>
      <c r="Z236" s="128">
        <v>0</v>
      </c>
      <c r="AA236" s="128">
        <v>0</v>
      </c>
      <c r="AB236" s="128">
        <v>0</v>
      </c>
      <c r="AC236" s="128">
        <v>0</v>
      </c>
      <c r="AD236" s="128">
        <v>0</v>
      </c>
      <c r="AE236" s="128">
        <v>0</v>
      </c>
      <c r="AF236" s="128">
        <v>0</v>
      </c>
      <c r="AG236" s="128">
        <v>0</v>
      </c>
      <c r="AH236" s="128">
        <v>0</v>
      </c>
      <c r="AI236" s="128">
        <v>0</v>
      </c>
      <c r="AJ236" s="128">
        <v>0</v>
      </c>
      <c r="AK236" s="128">
        <v>0</v>
      </c>
      <c r="AL236" s="128">
        <v>0</v>
      </c>
      <c r="AM236" s="128">
        <v>0</v>
      </c>
      <c r="AN236" s="128">
        <v>0</v>
      </c>
      <c r="AO236" s="128">
        <v>0</v>
      </c>
      <c r="AP236" s="128">
        <v>0</v>
      </c>
      <c r="AQ236" s="128">
        <v>0</v>
      </c>
      <c r="AR236" s="128">
        <v>0</v>
      </c>
      <c r="AS236" s="128">
        <v>0</v>
      </c>
      <c r="AT236" s="128">
        <v>0</v>
      </c>
      <c r="AU236" s="128">
        <v>0</v>
      </c>
      <c r="AV236" s="128">
        <v>0</v>
      </c>
      <c r="AW236" s="128">
        <v>0</v>
      </c>
      <c r="AX236" s="128">
        <v>0</v>
      </c>
      <c r="AY236" s="128">
        <v>0</v>
      </c>
    </row>
    <row r="237" spans="1:51" x14ac:dyDescent="0.2">
      <c r="A237" s="127"/>
      <c r="B237" s="144">
        <v>29</v>
      </c>
      <c r="C237" s="124">
        <v>0</v>
      </c>
      <c r="D237" s="128">
        <v>0</v>
      </c>
      <c r="E237" s="128">
        <v>0</v>
      </c>
      <c r="F237" s="128">
        <v>0</v>
      </c>
      <c r="G237" s="128">
        <v>0</v>
      </c>
      <c r="H237" s="128">
        <v>0</v>
      </c>
      <c r="I237" s="128">
        <v>0</v>
      </c>
      <c r="J237" s="128">
        <v>0</v>
      </c>
      <c r="K237" s="128">
        <v>0</v>
      </c>
      <c r="L237" s="128">
        <v>0</v>
      </c>
      <c r="M237" s="128">
        <v>0</v>
      </c>
      <c r="N237" s="128">
        <v>0</v>
      </c>
      <c r="O237" s="128">
        <v>0</v>
      </c>
      <c r="P237" s="128">
        <v>0</v>
      </c>
      <c r="Q237" s="128">
        <v>0</v>
      </c>
      <c r="R237" s="128">
        <v>0</v>
      </c>
      <c r="S237" s="128">
        <v>0</v>
      </c>
      <c r="T237" s="128">
        <v>0</v>
      </c>
      <c r="U237" s="128">
        <v>0</v>
      </c>
      <c r="V237" s="128">
        <v>0</v>
      </c>
      <c r="W237" s="128">
        <v>0</v>
      </c>
      <c r="X237" s="128">
        <v>0</v>
      </c>
      <c r="Y237" s="128">
        <v>0</v>
      </c>
      <c r="Z237" s="128">
        <v>0</v>
      </c>
      <c r="AA237" s="128">
        <v>0</v>
      </c>
      <c r="AB237" s="128">
        <v>0</v>
      </c>
      <c r="AC237" s="128">
        <v>0</v>
      </c>
      <c r="AD237" s="128">
        <v>0</v>
      </c>
      <c r="AE237" s="128">
        <v>0</v>
      </c>
      <c r="AF237" s="128">
        <v>0</v>
      </c>
      <c r="AG237" s="128">
        <v>0</v>
      </c>
      <c r="AH237" s="128">
        <v>0</v>
      </c>
      <c r="AI237" s="128">
        <v>0</v>
      </c>
      <c r="AJ237" s="128">
        <v>0</v>
      </c>
      <c r="AK237" s="128">
        <v>0</v>
      </c>
      <c r="AL237" s="128">
        <v>0</v>
      </c>
      <c r="AM237" s="128">
        <v>0</v>
      </c>
      <c r="AN237" s="128">
        <v>0</v>
      </c>
      <c r="AO237" s="128">
        <v>0</v>
      </c>
      <c r="AP237" s="128">
        <v>0</v>
      </c>
      <c r="AQ237" s="128">
        <v>0</v>
      </c>
      <c r="AR237" s="128">
        <v>0</v>
      </c>
      <c r="AS237" s="128">
        <v>0</v>
      </c>
      <c r="AT237" s="128">
        <v>0</v>
      </c>
      <c r="AU237" s="128">
        <v>0</v>
      </c>
      <c r="AV237" s="128">
        <v>0</v>
      </c>
      <c r="AW237" s="128">
        <v>0</v>
      </c>
      <c r="AX237" s="128">
        <v>0</v>
      </c>
      <c r="AY237" s="128">
        <v>0</v>
      </c>
    </row>
    <row r="238" spans="1:51" x14ac:dyDescent="0.2">
      <c r="A238" s="127"/>
      <c r="B238" s="144">
        <v>30</v>
      </c>
      <c r="C238" s="124">
        <v>0</v>
      </c>
      <c r="D238" s="128">
        <v>0</v>
      </c>
      <c r="E238" s="128">
        <v>0</v>
      </c>
      <c r="F238" s="128">
        <v>0</v>
      </c>
      <c r="G238" s="128">
        <v>0</v>
      </c>
      <c r="H238" s="128">
        <v>0</v>
      </c>
      <c r="I238" s="128">
        <v>0</v>
      </c>
      <c r="J238" s="128">
        <v>0</v>
      </c>
      <c r="K238" s="128">
        <v>0</v>
      </c>
      <c r="L238" s="128">
        <v>0</v>
      </c>
      <c r="M238" s="128">
        <v>0</v>
      </c>
      <c r="N238" s="128">
        <v>0</v>
      </c>
      <c r="O238" s="128">
        <v>0</v>
      </c>
      <c r="P238" s="128">
        <v>0</v>
      </c>
      <c r="Q238" s="128">
        <v>0</v>
      </c>
      <c r="R238" s="128">
        <v>0</v>
      </c>
      <c r="S238" s="128">
        <v>0</v>
      </c>
      <c r="T238" s="128">
        <v>0</v>
      </c>
      <c r="U238" s="128">
        <v>0</v>
      </c>
      <c r="V238" s="128">
        <v>0</v>
      </c>
      <c r="W238" s="128">
        <v>0</v>
      </c>
      <c r="X238" s="128">
        <v>0</v>
      </c>
      <c r="Y238" s="128">
        <v>0</v>
      </c>
      <c r="Z238" s="128">
        <v>0</v>
      </c>
      <c r="AA238" s="128">
        <v>0</v>
      </c>
      <c r="AB238" s="128">
        <v>0</v>
      </c>
      <c r="AC238" s="128">
        <v>0</v>
      </c>
      <c r="AD238" s="128">
        <v>0</v>
      </c>
      <c r="AE238" s="128">
        <v>0</v>
      </c>
      <c r="AF238" s="128">
        <v>0</v>
      </c>
      <c r="AG238" s="128">
        <v>0</v>
      </c>
      <c r="AH238" s="128">
        <v>0</v>
      </c>
      <c r="AI238" s="128">
        <v>0</v>
      </c>
      <c r="AJ238" s="128">
        <v>0</v>
      </c>
      <c r="AK238" s="128">
        <v>0</v>
      </c>
      <c r="AL238" s="128">
        <v>0</v>
      </c>
      <c r="AM238" s="128">
        <v>0</v>
      </c>
      <c r="AN238" s="128">
        <v>0</v>
      </c>
      <c r="AO238" s="128">
        <v>0</v>
      </c>
      <c r="AP238" s="128">
        <v>0</v>
      </c>
      <c r="AQ238" s="128">
        <v>0</v>
      </c>
      <c r="AR238" s="128">
        <v>0</v>
      </c>
      <c r="AS238" s="128">
        <v>0</v>
      </c>
      <c r="AT238" s="128">
        <v>0</v>
      </c>
      <c r="AU238" s="128">
        <v>0</v>
      </c>
      <c r="AV238" s="128">
        <v>0</v>
      </c>
      <c r="AW238" s="128">
        <v>0</v>
      </c>
      <c r="AX238" s="128">
        <v>0</v>
      </c>
      <c r="AY238" s="128">
        <v>0</v>
      </c>
    </row>
    <row r="239" spans="1:51" x14ac:dyDescent="0.2">
      <c r="A239" s="127"/>
      <c r="B239" s="144">
        <v>31</v>
      </c>
      <c r="C239" s="124">
        <v>0</v>
      </c>
      <c r="D239" s="128">
        <v>0</v>
      </c>
      <c r="E239" s="128">
        <v>0</v>
      </c>
      <c r="F239" s="128">
        <v>0</v>
      </c>
      <c r="G239" s="128">
        <v>0</v>
      </c>
      <c r="H239" s="128">
        <v>0</v>
      </c>
      <c r="I239" s="128">
        <v>0</v>
      </c>
      <c r="J239" s="128">
        <v>0</v>
      </c>
      <c r="K239" s="128">
        <v>0</v>
      </c>
      <c r="L239" s="128">
        <v>0</v>
      </c>
      <c r="M239" s="128">
        <v>0</v>
      </c>
      <c r="N239" s="128">
        <v>0</v>
      </c>
      <c r="O239" s="128">
        <v>0</v>
      </c>
      <c r="P239" s="128">
        <v>0</v>
      </c>
      <c r="Q239" s="128">
        <v>0</v>
      </c>
      <c r="R239" s="128">
        <v>0</v>
      </c>
      <c r="S239" s="128">
        <v>0</v>
      </c>
      <c r="T239" s="128">
        <v>0</v>
      </c>
      <c r="U239" s="128">
        <v>0</v>
      </c>
      <c r="V239" s="128">
        <v>0</v>
      </c>
      <c r="W239" s="128">
        <v>0</v>
      </c>
      <c r="X239" s="128">
        <v>0</v>
      </c>
      <c r="Y239" s="128">
        <v>0</v>
      </c>
      <c r="Z239" s="128">
        <v>0</v>
      </c>
      <c r="AA239" s="128">
        <v>0</v>
      </c>
      <c r="AB239" s="128">
        <v>0</v>
      </c>
      <c r="AC239" s="128">
        <v>0</v>
      </c>
      <c r="AD239" s="128">
        <v>0</v>
      </c>
      <c r="AE239" s="128">
        <v>0</v>
      </c>
      <c r="AF239" s="128">
        <v>0</v>
      </c>
      <c r="AG239" s="128">
        <v>0</v>
      </c>
      <c r="AH239" s="128">
        <v>0</v>
      </c>
      <c r="AI239" s="128">
        <v>0</v>
      </c>
      <c r="AJ239" s="128">
        <v>0</v>
      </c>
      <c r="AK239" s="128">
        <v>0</v>
      </c>
      <c r="AL239" s="128">
        <v>0</v>
      </c>
      <c r="AM239" s="128">
        <v>0</v>
      </c>
      <c r="AN239" s="128">
        <v>0</v>
      </c>
      <c r="AO239" s="128">
        <v>0</v>
      </c>
      <c r="AP239" s="128">
        <v>0</v>
      </c>
      <c r="AQ239" s="128">
        <v>0</v>
      </c>
      <c r="AR239" s="128">
        <v>0</v>
      </c>
      <c r="AS239" s="128">
        <v>0</v>
      </c>
      <c r="AT239" s="128">
        <v>0</v>
      </c>
      <c r="AU239" s="128">
        <v>0</v>
      </c>
      <c r="AV239" s="128">
        <v>0</v>
      </c>
      <c r="AW239" s="128">
        <v>0</v>
      </c>
      <c r="AX239" s="128">
        <v>0</v>
      </c>
      <c r="AY239" s="128">
        <v>0</v>
      </c>
    </row>
    <row r="240" spans="1:51" x14ac:dyDescent="0.2">
      <c r="A240" s="127"/>
      <c r="B240" s="144">
        <v>32</v>
      </c>
      <c r="C240" s="124">
        <v>0</v>
      </c>
      <c r="D240" s="128">
        <v>0</v>
      </c>
      <c r="E240" s="128">
        <v>0</v>
      </c>
      <c r="F240" s="128">
        <v>0</v>
      </c>
      <c r="G240" s="128">
        <v>0</v>
      </c>
      <c r="H240" s="128">
        <v>0</v>
      </c>
      <c r="I240" s="128">
        <v>0</v>
      </c>
      <c r="J240" s="128">
        <v>0</v>
      </c>
      <c r="K240" s="128">
        <v>0</v>
      </c>
      <c r="L240" s="128">
        <v>0</v>
      </c>
      <c r="M240" s="128">
        <v>0</v>
      </c>
      <c r="N240" s="128">
        <v>0</v>
      </c>
      <c r="O240" s="128">
        <v>0</v>
      </c>
      <c r="P240" s="128">
        <v>0</v>
      </c>
      <c r="Q240" s="128">
        <v>0</v>
      </c>
      <c r="R240" s="128">
        <v>0</v>
      </c>
      <c r="S240" s="128">
        <v>0</v>
      </c>
      <c r="T240" s="128">
        <v>0</v>
      </c>
      <c r="U240" s="128">
        <v>0</v>
      </c>
      <c r="V240" s="128">
        <v>0</v>
      </c>
      <c r="W240" s="128">
        <v>0</v>
      </c>
      <c r="X240" s="128">
        <v>0</v>
      </c>
      <c r="Y240" s="128">
        <v>0</v>
      </c>
      <c r="Z240" s="128">
        <v>0</v>
      </c>
      <c r="AA240" s="128">
        <v>0</v>
      </c>
      <c r="AB240" s="128">
        <v>0</v>
      </c>
      <c r="AC240" s="128">
        <v>0</v>
      </c>
      <c r="AD240" s="128">
        <v>0</v>
      </c>
      <c r="AE240" s="128">
        <v>0</v>
      </c>
      <c r="AF240" s="128">
        <v>0</v>
      </c>
      <c r="AG240" s="128">
        <v>0</v>
      </c>
      <c r="AH240" s="128">
        <v>0</v>
      </c>
      <c r="AI240" s="128">
        <v>0</v>
      </c>
      <c r="AJ240" s="128">
        <v>0</v>
      </c>
      <c r="AK240" s="128">
        <v>0</v>
      </c>
      <c r="AL240" s="128">
        <v>0</v>
      </c>
      <c r="AM240" s="128">
        <v>0</v>
      </c>
      <c r="AN240" s="128">
        <v>0</v>
      </c>
      <c r="AO240" s="128">
        <v>0</v>
      </c>
      <c r="AP240" s="128">
        <v>0</v>
      </c>
      <c r="AQ240" s="128">
        <v>0</v>
      </c>
      <c r="AR240" s="128">
        <v>0</v>
      </c>
      <c r="AS240" s="128">
        <v>0</v>
      </c>
      <c r="AT240" s="128">
        <v>0</v>
      </c>
      <c r="AU240" s="128">
        <v>0</v>
      </c>
      <c r="AV240" s="128">
        <v>0</v>
      </c>
      <c r="AW240" s="128">
        <v>0</v>
      </c>
      <c r="AX240" s="128">
        <v>0</v>
      </c>
      <c r="AY240" s="128">
        <v>0</v>
      </c>
    </row>
    <row r="241" spans="1:51" x14ac:dyDescent="0.2">
      <c r="A241" s="127"/>
      <c r="B241" s="144">
        <v>33</v>
      </c>
      <c r="C241" s="124">
        <v>0</v>
      </c>
      <c r="D241" s="128">
        <v>0</v>
      </c>
      <c r="E241" s="128">
        <v>0</v>
      </c>
      <c r="F241" s="128">
        <v>0</v>
      </c>
      <c r="G241" s="128">
        <v>0</v>
      </c>
      <c r="H241" s="128">
        <v>0</v>
      </c>
      <c r="I241" s="128">
        <v>0</v>
      </c>
      <c r="J241" s="128">
        <v>0</v>
      </c>
      <c r="K241" s="128">
        <v>0</v>
      </c>
      <c r="L241" s="128">
        <v>0</v>
      </c>
      <c r="M241" s="128">
        <v>0</v>
      </c>
      <c r="N241" s="128">
        <v>0</v>
      </c>
      <c r="O241" s="128">
        <v>0</v>
      </c>
      <c r="P241" s="128">
        <v>0</v>
      </c>
      <c r="Q241" s="128">
        <v>0</v>
      </c>
      <c r="R241" s="128">
        <v>0</v>
      </c>
      <c r="S241" s="128">
        <v>0</v>
      </c>
      <c r="T241" s="128">
        <v>0</v>
      </c>
      <c r="U241" s="128">
        <v>0</v>
      </c>
      <c r="V241" s="128">
        <v>0</v>
      </c>
      <c r="W241" s="128">
        <v>0</v>
      </c>
      <c r="X241" s="128">
        <v>0</v>
      </c>
      <c r="Y241" s="128">
        <v>0</v>
      </c>
      <c r="Z241" s="128">
        <v>0</v>
      </c>
      <c r="AA241" s="128">
        <v>0</v>
      </c>
      <c r="AB241" s="128">
        <v>0</v>
      </c>
      <c r="AC241" s="128">
        <v>0</v>
      </c>
      <c r="AD241" s="128">
        <v>0</v>
      </c>
      <c r="AE241" s="128">
        <v>0</v>
      </c>
      <c r="AF241" s="128">
        <v>0</v>
      </c>
      <c r="AG241" s="128">
        <v>0</v>
      </c>
      <c r="AH241" s="128">
        <v>0</v>
      </c>
      <c r="AI241" s="128">
        <v>0</v>
      </c>
      <c r="AJ241" s="128">
        <v>0</v>
      </c>
      <c r="AK241" s="128">
        <v>0</v>
      </c>
      <c r="AL241" s="128">
        <v>0</v>
      </c>
      <c r="AM241" s="128">
        <v>0</v>
      </c>
      <c r="AN241" s="128">
        <v>0</v>
      </c>
      <c r="AO241" s="128">
        <v>0</v>
      </c>
      <c r="AP241" s="128">
        <v>0</v>
      </c>
      <c r="AQ241" s="128">
        <v>0</v>
      </c>
      <c r="AR241" s="128">
        <v>0</v>
      </c>
      <c r="AS241" s="128">
        <v>0</v>
      </c>
      <c r="AT241" s="128">
        <v>0</v>
      </c>
      <c r="AU241" s="128">
        <v>0</v>
      </c>
      <c r="AV241" s="128">
        <v>0</v>
      </c>
      <c r="AW241" s="128">
        <v>0</v>
      </c>
      <c r="AX241" s="128">
        <v>0</v>
      </c>
      <c r="AY241" s="128">
        <v>0</v>
      </c>
    </row>
    <row r="242" spans="1:51" x14ac:dyDescent="0.2">
      <c r="A242" s="127"/>
      <c r="B242" s="144">
        <v>34</v>
      </c>
      <c r="C242" s="124">
        <v>0</v>
      </c>
      <c r="D242" s="128">
        <v>0</v>
      </c>
      <c r="E242" s="128">
        <v>0</v>
      </c>
      <c r="F242" s="128">
        <v>0</v>
      </c>
      <c r="G242" s="128">
        <v>0</v>
      </c>
      <c r="H242" s="128">
        <v>0</v>
      </c>
      <c r="I242" s="128">
        <v>0</v>
      </c>
      <c r="J242" s="128">
        <v>0</v>
      </c>
      <c r="K242" s="128">
        <v>0</v>
      </c>
      <c r="L242" s="128">
        <v>0</v>
      </c>
      <c r="M242" s="128">
        <v>0</v>
      </c>
      <c r="N242" s="128">
        <v>0</v>
      </c>
      <c r="O242" s="128">
        <v>0</v>
      </c>
      <c r="P242" s="128">
        <v>0</v>
      </c>
      <c r="Q242" s="128">
        <v>0</v>
      </c>
      <c r="R242" s="128">
        <v>0</v>
      </c>
      <c r="S242" s="128">
        <v>0</v>
      </c>
      <c r="T242" s="128">
        <v>0</v>
      </c>
      <c r="U242" s="128">
        <v>0</v>
      </c>
      <c r="V242" s="128">
        <v>0</v>
      </c>
      <c r="W242" s="128">
        <v>0</v>
      </c>
      <c r="X242" s="128">
        <v>0</v>
      </c>
      <c r="Y242" s="128">
        <v>0</v>
      </c>
      <c r="Z242" s="128">
        <v>0</v>
      </c>
      <c r="AA242" s="128">
        <v>0</v>
      </c>
      <c r="AB242" s="128">
        <v>0</v>
      </c>
      <c r="AC242" s="128">
        <v>0</v>
      </c>
      <c r="AD242" s="128">
        <v>0</v>
      </c>
      <c r="AE242" s="128">
        <v>0</v>
      </c>
      <c r="AF242" s="128">
        <v>0</v>
      </c>
      <c r="AG242" s="128">
        <v>0</v>
      </c>
      <c r="AH242" s="128">
        <v>0</v>
      </c>
      <c r="AI242" s="128">
        <v>0</v>
      </c>
      <c r="AJ242" s="128">
        <v>0</v>
      </c>
      <c r="AK242" s="128">
        <v>0</v>
      </c>
      <c r="AL242" s="128">
        <v>0</v>
      </c>
      <c r="AM242" s="128">
        <v>0</v>
      </c>
      <c r="AN242" s="128">
        <v>0</v>
      </c>
      <c r="AO242" s="128">
        <v>0</v>
      </c>
      <c r="AP242" s="128">
        <v>0</v>
      </c>
      <c r="AQ242" s="128">
        <v>0</v>
      </c>
      <c r="AR242" s="128">
        <v>0</v>
      </c>
      <c r="AS242" s="128">
        <v>0</v>
      </c>
      <c r="AT242" s="128">
        <v>0</v>
      </c>
      <c r="AU242" s="128">
        <v>0</v>
      </c>
      <c r="AV242" s="128">
        <v>0</v>
      </c>
      <c r="AW242" s="128">
        <v>0</v>
      </c>
      <c r="AX242" s="128">
        <v>0</v>
      </c>
      <c r="AY242" s="128">
        <v>0</v>
      </c>
    </row>
    <row r="243" spans="1:51" x14ac:dyDescent="0.2">
      <c r="A243" s="127"/>
      <c r="B243" s="144">
        <v>35</v>
      </c>
      <c r="C243" s="124">
        <v>0</v>
      </c>
      <c r="D243" s="128">
        <v>0</v>
      </c>
      <c r="E243" s="128">
        <v>0</v>
      </c>
      <c r="F243" s="128">
        <v>0</v>
      </c>
      <c r="G243" s="128">
        <v>0</v>
      </c>
      <c r="H243" s="128">
        <v>0</v>
      </c>
      <c r="I243" s="128">
        <v>0</v>
      </c>
      <c r="J243" s="128">
        <v>0</v>
      </c>
      <c r="K243" s="128">
        <v>0</v>
      </c>
      <c r="L243" s="128">
        <v>0</v>
      </c>
      <c r="M243" s="128">
        <v>0</v>
      </c>
      <c r="N243" s="128">
        <v>0</v>
      </c>
      <c r="O243" s="128">
        <v>0</v>
      </c>
      <c r="P243" s="128">
        <v>0</v>
      </c>
      <c r="Q243" s="128">
        <v>0</v>
      </c>
      <c r="R243" s="128">
        <v>0</v>
      </c>
      <c r="S243" s="128">
        <v>0</v>
      </c>
      <c r="T243" s="128">
        <v>0</v>
      </c>
      <c r="U243" s="128">
        <v>0</v>
      </c>
      <c r="V243" s="128">
        <v>0</v>
      </c>
      <c r="W243" s="128">
        <v>0</v>
      </c>
      <c r="X243" s="128">
        <v>0</v>
      </c>
      <c r="Y243" s="128">
        <v>0</v>
      </c>
      <c r="Z243" s="128">
        <v>0</v>
      </c>
      <c r="AA243" s="128">
        <v>0</v>
      </c>
      <c r="AB243" s="128">
        <v>0</v>
      </c>
      <c r="AC243" s="128">
        <v>0</v>
      </c>
      <c r="AD243" s="128">
        <v>0</v>
      </c>
      <c r="AE243" s="128">
        <v>0</v>
      </c>
      <c r="AF243" s="128">
        <v>0</v>
      </c>
      <c r="AG243" s="128">
        <v>0</v>
      </c>
      <c r="AH243" s="128">
        <v>0</v>
      </c>
      <c r="AI243" s="128">
        <v>0</v>
      </c>
      <c r="AJ243" s="128">
        <v>0</v>
      </c>
      <c r="AK243" s="128">
        <v>0</v>
      </c>
      <c r="AL243" s="128">
        <v>0</v>
      </c>
      <c r="AM243" s="128">
        <v>0</v>
      </c>
      <c r="AN243" s="128">
        <v>0</v>
      </c>
      <c r="AO243" s="128">
        <v>0</v>
      </c>
      <c r="AP243" s="128">
        <v>0</v>
      </c>
      <c r="AQ243" s="128">
        <v>0</v>
      </c>
      <c r="AR243" s="128">
        <v>0</v>
      </c>
      <c r="AS243" s="128">
        <v>0</v>
      </c>
      <c r="AT243" s="128">
        <v>0</v>
      </c>
      <c r="AU243" s="128">
        <v>0</v>
      </c>
      <c r="AV243" s="128">
        <v>0</v>
      </c>
      <c r="AW243" s="128">
        <v>0</v>
      </c>
      <c r="AX243" s="128">
        <v>0</v>
      </c>
      <c r="AY243" s="128">
        <v>0</v>
      </c>
    </row>
    <row r="244" spans="1:51" x14ac:dyDescent="0.2">
      <c r="A244" s="127"/>
      <c r="B244" s="144">
        <v>36</v>
      </c>
      <c r="C244" s="124">
        <v>0</v>
      </c>
      <c r="D244" s="128">
        <v>0</v>
      </c>
      <c r="E244" s="128">
        <v>0</v>
      </c>
      <c r="F244" s="128">
        <v>0</v>
      </c>
      <c r="G244" s="128">
        <v>0</v>
      </c>
      <c r="H244" s="128">
        <v>0</v>
      </c>
      <c r="I244" s="128">
        <v>0</v>
      </c>
      <c r="J244" s="128">
        <v>0</v>
      </c>
      <c r="K244" s="128">
        <v>0</v>
      </c>
      <c r="L244" s="128">
        <v>0</v>
      </c>
      <c r="M244" s="128">
        <v>0</v>
      </c>
      <c r="N244" s="128">
        <v>0</v>
      </c>
      <c r="O244" s="128">
        <v>0</v>
      </c>
      <c r="P244" s="128">
        <v>0</v>
      </c>
      <c r="Q244" s="128">
        <v>0</v>
      </c>
      <c r="R244" s="128">
        <v>0</v>
      </c>
      <c r="S244" s="128">
        <v>0</v>
      </c>
      <c r="T244" s="128">
        <v>0</v>
      </c>
      <c r="U244" s="128">
        <v>0</v>
      </c>
      <c r="V244" s="128">
        <v>0</v>
      </c>
      <c r="W244" s="128">
        <v>0</v>
      </c>
      <c r="X244" s="128">
        <v>0</v>
      </c>
      <c r="Y244" s="128">
        <v>0</v>
      </c>
      <c r="Z244" s="128">
        <v>0</v>
      </c>
      <c r="AA244" s="128">
        <v>0</v>
      </c>
      <c r="AB244" s="128">
        <v>0</v>
      </c>
      <c r="AC244" s="128">
        <v>0</v>
      </c>
      <c r="AD244" s="128">
        <v>0</v>
      </c>
      <c r="AE244" s="128">
        <v>0</v>
      </c>
      <c r="AF244" s="128">
        <v>0</v>
      </c>
      <c r="AG244" s="128">
        <v>0</v>
      </c>
      <c r="AH244" s="128">
        <v>0</v>
      </c>
      <c r="AI244" s="128">
        <v>0</v>
      </c>
      <c r="AJ244" s="128">
        <v>0</v>
      </c>
      <c r="AK244" s="128">
        <v>0</v>
      </c>
      <c r="AL244" s="128">
        <v>0</v>
      </c>
      <c r="AM244" s="128">
        <v>0</v>
      </c>
      <c r="AN244" s="128">
        <v>0</v>
      </c>
      <c r="AO244" s="128">
        <v>0</v>
      </c>
      <c r="AP244" s="128">
        <v>0</v>
      </c>
      <c r="AQ244" s="128">
        <v>0</v>
      </c>
      <c r="AR244" s="128">
        <v>0</v>
      </c>
      <c r="AS244" s="128">
        <v>0</v>
      </c>
      <c r="AT244" s="128">
        <v>0</v>
      </c>
      <c r="AU244" s="128">
        <v>0</v>
      </c>
      <c r="AV244" s="128">
        <v>0</v>
      </c>
      <c r="AW244" s="128">
        <v>0</v>
      </c>
      <c r="AX244" s="128">
        <v>0</v>
      </c>
      <c r="AY244" s="128">
        <v>0</v>
      </c>
    </row>
    <row r="245" spans="1:51" x14ac:dyDescent="0.2">
      <c r="A245" s="127"/>
      <c r="B245" s="147">
        <v>37</v>
      </c>
      <c r="C245" s="124">
        <v>0</v>
      </c>
      <c r="D245" s="128">
        <v>0</v>
      </c>
      <c r="E245" s="128">
        <v>0</v>
      </c>
      <c r="F245" s="128">
        <v>0</v>
      </c>
      <c r="G245" s="128">
        <v>0</v>
      </c>
      <c r="H245" s="128">
        <v>0</v>
      </c>
      <c r="I245" s="128">
        <v>0</v>
      </c>
      <c r="J245" s="128">
        <v>0</v>
      </c>
      <c r="K245" s="128">
        <v>0</v>
      </c>
      <c r="L245" s="128">
        <v>0</v>
      </c>
      <c r="M245" s="128">
        <v>0</v>
      </c>
      <c r="N245" s="128">
        <v>0</v>
      </c>
      <c r="O245" s="128">
        <v>0</v>
      </c>
      <c r="P245" s="128">
        <v>0</v>
      </c>
      <c r="Q245" s="128">
        <v>0</v>
      </c>
      <c r="R245" s="128">
        <v>0</v>
      </c>
      <c r="S245" s="128">
        <v>0</v>
      </c>
      <c r="T245" s="128">
        <v>0</v>
      </c>
      <c r="U245" s="128">
        <v>0</v>
      </c>
      <c r="V245" s="128">
        <v>0</v>
      </c>
      <c r="W245" s="128">
        <v>0</v>
      </c>
      <c r="X245" s="128">
        <v>0</v>
      </c>
      <c r="Y245" s="128">
        <v>0</v>
      </c>
      <c r="Z245" s="128">
        <v>0</v>
      </c>
      <c r="AA245" s="128">
        <v>0</v>
      </c>
      <c r="AB245" s="128">
        <v>0</v>
      </c>
      <c r="AC245" s="128">
        <v>0</v>
      </c>
      <c r="AD245" s="128">
        <v>0</v>
      </c>
      <c r="AE245" s="128">
        <v>0</v>
      </c>
      <c r="AF245" s="128">
        <v>0</v>
      </c>
      <c r="AG245" s="128">
        <v>0</v>
      </c>
      <c r="AH245" s="128">
        <v>0</v>
      </c>
      <c r="AI245" s="128">
        <v>0</v>
      </c>
      <c r="AJ245" s="128">
        <v>0</v>
      </c>
      <c r="AK245" s="128">
        <v>0</v>
      </c>
      <c r="AL245" s="128">
        <v>0</v>
      </c>
      <c r="AM245" s="128">
        <v>0</v>
      </c>
      <c r="AN245" s="128">
        <v>0</v>
      </c>
      <c r="AO245" s="128">
        <v>0</v>
      </c>
      <c r="AP245" s="128">
        <v>0</v>
      </c>
      <c r="AQ245" s="128">
        <v>0</v>
      </c>
      <c r="AR245" s="128">
        <v>0</v>
      </c>
      <c r="AS245" s="128">
        <v>0</v>
      </c>
      <c r="AT245" s="128">
        <v>0</v>
      </c>
      <c r="AU245" s="128">
        <v>0</v>
      </c>
      <c r="AV245" s="128">
        <v>0</v>
      </c>
      <c r="AW245" s="128">
        <v>0</v>
      </c>
      <c r="AX245" s="128">
        <v>0</v>
      </c>
      <c r="AY245" s="128">
        <v>0</v>
      </c>
    </row>
    <row r="246" spans="1:51" x14ac:dyDescent="0.2">
      <c r="A246" s="127"/>
      <c r="B246" s="147">
        <v>38</v>
      </c>
      <c r="C246" s="124">
        <v>0</v>
      </c>
      <c r="D246" s="128">
        <v>0</v>
      </c>
      <c r="E246" s="128">
        <v>0</v>
      </c>
      <c r="F246" s="128">
        <v>0</v>
      </c>
      <c r="G246" s="128">
        <v>0</v>
      </c>
      <c r="H246" s="128">
        <v>0</v>
      </c>
      <c r="I246" s="128">
        <v>0</v>
      </c>
      <c r="J246" s="128">
        <v>0</v>
      </c>
      <c r="K246" s="128">
        <v>0</v>
      </c>
      <c r="L246" s="128">
        <v>0</v>
      </c>
      <c r="M246" s="128">
        <v>0</v>
      </c>
      <c r="N246" s="128">
        <v>0</v>
      </c>
      <c r="O246" s="128">
        <v>0</v>
      </c>
      <c r="P246" s="128">
        <v>0</v>
      </c>
      <c r="Q246" s="128">
        <v>0</v>
      </c>
      <c r="R246" s="128">
        <v>0</v>
      </c>
      <c r="S246" s="128">
        <v>0</v>
      </c>
      <c r="T246" s="128">
        <v>0</v>
      </c>
      <c r="U246" s="128">
        <v>0</v>
      </c>
      <c r="V246" s="128">
        <v>0</v>
      </c>
      <c r="W246" s="128">
        <v>0</v>
      </c>
      <c r="X246" s="128">
        <v>0</v>
      </c>
      <c r="Y246" s="128">
        <v>0</v>
      </c>
      <c r="Z246" s="128">
        <v>0</v>
      </c>
      <c r="AA246" s="128">
        <v>0</v>
      </c>
      <c r="AB246" s="128">
        <v>0</v>
      </c>
      <c r="AC246" s="128">
        <v>0</v>
      </c>
      <c r="AD246" s="128">
        <v>0</v>
      </c>
      <c r="AE246" s="128">
        <v>0</v>
      </c>
      <c r="AF246" s="128">
        <v>0</v>
      </c>
      <c r="AG246" s="128">
        <v>0</v>
      </c>
      <c r="AH246" s="128">
        <v>0</v>
      </c>
      <c r="AI246" s="128">
        <v>0</v>
      </c>
      <c r="AJ246" s="128">
        <v>0</v>
      </c>
      <c r="AK246" s="128">
        <v>0</v>
      </c>
      <c r="AL246" s="128">
        <v>0</v>
      </c>
      <c r="AM246" s="128">
        <v>0</v>
      </c>
      <c r="AN246" s="128">
        <v>0</v>
      </c>
      <c r="AO246" s="128">
        <v>0</v>
      </c>
      <c r="AP246" s="128">
        <v>0</v>
      </c>
      <c r="AQ246" s="128">
        <v>0</v>
      </c>
      <c r="AR246" s="128">
        <v>0</v>
      </c>
      <c r="AS246" s="128">
        <v>0</v>
      </c>
      <c r="AT246" s="128">
        <v>0</v>
      </c>
      <c r="AU246" s="128">
        <v>0</v>
      </c>
      <c r="AV246" s="128">
        <v>0</v>
      </c>
      <c r="AW246" s="128">
        <v>0</v>
      </c>
      <c r="AX246" s="128">
        <v>0</v>
      </c>
      <c r="AY246" s="128">
        <v>0</v>
      </c>
    </row>
    <row r="247" spans="1:51" x14ac:dyDescent="0.2">
      <c r="A247" s="127"/>
      <c r="B247" s="147">
        <v>39</v>
      </c>
      <c r="C247" s="124">
        <v>0</v>
      </c>
      <c r="D247" s="128">
        <v>0</v>
      </c>
      <c r="E247" s="128">
        <v>0</v>
      </c>
      <c r="F247" s="128">
        <v>0</v>
      </c>
      <c r="G247" s="128">
        <v>0</v>
      </c>
      <c r="H247" s="128">
        <v>0</v>
      </c>
      <c r="I247" s="128">
        <v>0</v>
      </c>
      <c r="J247" s="128">
        <v>0</v>
      </c>
      <c r="K247" s="128">
        <v>0</v>
      </c>
      <c r="L247" s="128">
        <v>0</v>
      </c>
      <c r="M247" s="128">
        <v>0</v>
      </c>
      <c r="N247" s="128">
        <v>0</v>
      </c>
      <c r="O247" s="128">
        <v>0</v>
      </c>
      <c r="P247" s="128">
        <v>0</v>
      </c>
      <c r="Q247" s="128">
        <v>0</v>
      </c>
      <c r="R247" s="128">
        <v>0</v>
      </c>
      <c r="S247" s="128">
        <v>0</v>
      </c>
      <c r="T247" s="128">
        <v>0</v>
      </c>
      <c r="U247" s="128">
        <v>0</v>
      </c>
      <c r="V247" s="128">
        <v>0</v>
      </c>
      <c r="W247" s="128">
        <v>0</v>
      </c>
      <c r="X247" s="128">
        <v>0</v>
      </c>
      <c r="Y247" s="128">
        <v>0</v>
      </c>
      <c r="Z247" s="128">
        <v>0</v>
      </c>
      <c r="AA247" s="128">
        <v>0</v>
      </c>
      <c r="AB247" s="128">
        <v>0</v>
      </c>
      <c r="AC247" s="128">
        <v>0</v>
      </c>
      <c r="AD247" s="128">
        <v>0</v>
      </c>
      <c r="AE247" s="128">
        <v>0</v>
      </c>
      <c r="AF247" s="128">
        <v>0</v>
      </c>
      <c r="AG247" s="128">
        <v>0</v>
      </c>
      <c r="AH247" s="128">
        <v>0</v>
      </c>
      <c r="AI247" s="128">
        <v>0</v>
      </c>
      <c r="AJ247" s="128">
        <v>0</v>
      </c>
      <c r="AK247" s="128">
        <v>0</v>
      </c>
      <c r="AL247" s="128">
        <v>0</v>
      </c>
      <c r="AM247" s="128">
        <v>0</v>
      </c>
      <c r="AN247" s="128">
        <v>0</v>
      </c>
      <c r="AO247" s="128">
        <v>0</v>
      </c>
      <c r="AP247" s="128">
        <v>0</v>
      </c>
      <c r="AQ247" s="128">
        <v>0</v>
      </c>
      <c r="AR247" s="128">
        <v>0</v>
      </c>
      <c r="AS247" s="128">
        <v>0</v>
      </c>
      <c r="AT247" s="128">
        <v>0</v>
      </c>
      <c r="AU247" s="128">
        <v>0</v>
      </c>
      <c r="AV247" s="128">
        <v>0</v>
      </c>
      <c r="AW247" s="128">
        <v>0</v>
      </c>
      <c r="AX247" s="128">
        <v>0</v>
      </c>
      <c r="AY247" s="128">
        <v>0</v>
      </c>
    </row>
    <row r="248" spans="1:51" x14ac:dyDescent="0.2">
      <c r="A248" s="127"/>
      <c r="B248" s="147">
        <v>40</v>
      </c>
      <c r="C248" s="124">
        <v>0</v>
      </c>
      <c r="D248" s="128">
        <v>0</v>
      </c>
      <c r="E248" s="128">
        <v>0</v>
      </c>
      <c r="F248" s="128">
        <v>0</v>
      </c>
      <c r="G248" s="128">
        <v>0</v>
      </c>
      <c r="H248" s="128">
        <v>0</v>
      </c>
      <c r="I248" s="128">
        <v>0</v>
      </c>
      <c r="J248" s="128">
        <v>0</v>
      </c>
      <c r="K248" s="128">
        <v>0</v>
      </c>
      <c r="L248" s="128">
        <v>0</v>
      </c>
      <c r="M248" s="128">
        <v>0</v>
      </c>
      <c r="N248" s="128">
        <v>0</v>
      </c>
      <c r="O248" s="128">
        <v>0</v>
      </c>
      <c r="P248" s="128">
        <v>0</v>
      </c>
      <c r="Q248" s="128">
        <v>0</v>
      </c>
      <c r="R248" s="128">
        <v>0</v>
      </c>
      <c r="S248" s="128">
        <v>0</v>
      </c>
      <c r="T248" s="128">
        <v>0</v>
      </c>
      <c r="U248" s="128">
        <v>0</v>
      </c>
      <c r="V248" s="128">
        <v>0</v>
      </c>
      <c r="W248" s="128">
        <v>0</v>
      </c>
      <c r="X248" s="128">
        <v>0</v>
      </c>
      <c r="Y248" s="128">
        <v>0</v>
      </c>
      <c r="Z248" s="128">
        <v>0</v>
      </c>
      <c r="AA248" s="128">
        <v>0</v>
      </c>
      <c r="AB248" s="128">
        <v>0</v>
      </c>
      <c r="AC248" s="128">
        <v>0</v>
      </c>
      <c r="AD248" s="128">
        <v>0</v>
      </c>
      <c r="AE248" s="128">
        <v>0</v>
      </c>
      <c r="AF248" s="128">
        <v>0</v>
      </c>
      <c r="AG248" s="128">
        <v>0</v>
      </c>
      <c r="AH248" s="128">
        <v>0</v>
      </c>
      <c r="AI248" s="128">
        <v>0</v>
      </c>
      <c r="AJ248" s="128">
        <v>0</v>
      </c>
      <c r="AK248" s="128">
        <v>0</v>
      </c>
      <c r="AL248" s="128">
        <v>0</v>
      </c>
      <c r="AM248" s="128">
        <v>0</v>
      </c>
      <c r="AN248" s="128">
        <v>0</v>
      </c>
      <c r="AO248" s="128">
        <v>0</v>
      </c>
      <c r="AP248" s="128">
        <v>0</v>
      </c>
      <c r="AQ248" s="128">
        <v>0</v>
      </c>
      <c r="AR248" s="128">
        <v>0</v>
      </c>
      <c r="AS248" s="128">
        <v>0</v>
      </c>
      <c r="AT248" s="128">
        <v>0</v>
      </c>
      <c r="AU248" s="128">
        <v>0</v>
      </c>
      <c r="AV248" s="128">
        <v>0</v>
      </c>
      <c r="AW248" s="128">
        <v>0</v>
      </c>
      <c r="AX248" s="128">
        <v>0</v>
      </c>
      <c r="AY248" s="128">
        <v>0</v>
      </c>
    </row>
    <row r="249" spans="1:51" x14ac:dyDescent="0.2">
      <c r="A249" s="127"/>
      <c r="B249" s="147">
        <v>41</v>
      </c>
      <c r="C249" s="124">
        <v>0</v>
      </c>
      <c r="D249" s="128">
        <v>0</v>
      </c>
      <c r="E249" s="128">
        <v>0</v>
      </c>
      <c r="F249" s="128">
        <v>0</v>
      </c>
      <c r="G249" s="128">
        <v>0</v>
      </c>
      <c r="H249" s="128">
        <v>0</v>
      </c>
      <c r="I249" s="128">
        <v>0</v>
      </c>
      <c r="J249" s="128">
        <v>0</v>
      </c>
      <c r="K249" s="128">
        <v>0</v>
      </c>
      <c r="L249" s="128">
        <v>0</v>
      </c>
      <c r="M249" s="128">
        <v>0</v>
      </c>
      <c r="N249" s="128">
        <v>0</v>
      </c>
      <c r="O249" s="128">
        <v>0</v>
      </c>
      <c r="P249" s="128">
        <v>0</v>
      </c>
      <c r="Q249" s="128">
        <v>0</v>
      </c>
      <c r="R249" s="128">
        <v>0</v>
      </c>
      <c r="S249" s="128">
        <v>0</v>
      </c>
      <c r="T249" s="128">
        <v>0</v>
      </c>
      <c r="U249" s="128">
        <v>0</v>
      </c>
      <c r="V249" s="128">
        <v>0</v>
      </c>
      <c r="W249" s="128">
        <v>0</v>
      </c>
      <c r="X249" s="128">
        <v>0</v>
      </c>
      <c r="Y249" s="128">
        <v>0</v>
      </c>
      <c r="Z249" s="128">
        <v>0</v>
      </c>
      <c r="AA249" s="128">
        <v>0</v>
      </c>
      <c r="AB249" s="128">
        <v>0</v>
      </c>
      <c r="AC249" s="128">
        <v>0</v>
      </c>
      <c r="AD249" s="128">
        <v>0</v>
      </c>
      <c r="AE249" s="128">
        <v>0</v>
      </c>
      <c r="AF249" s="128">
        <v>0</v>
      </c>
      <c r="AG249" s="128">
        <v>0</v>
      </c>
      <c r="AH249" s="128">
        <v>0</v>
      </c>
      <c r="AI249" s="128">
        <v>0</v>
      </c>
      <c r="AJ249" s="128">
        <v>0</v>
      </c>
      <c r="AK249" s="128">
        <v>0</v>
      </c>
      <c r="AL249" s="128">
        <v>0</v>
      </c>
      <c r="AM249" s="128">
        <v>0</v>
      </c>
      <c r="AN249" s="128">
        <v>0</v>
      </c>
      <c r="AO249" s="128">
        <v>0</v>
      </c>
      <c r="AP249" s="128">
        <v>0</v>
      </c>
      <c r="AQ249" s="128">
        <v>0</v>
      </c>
      <c r="AR249" s="128">
        <v>0</v>
      </c>
      <c r="AS249" s="128">
        <v>0</v>
      </c>
      <c r="AT249" s="128">
        <v>0</v>
      </c>
      <c r="AU249" s="128">
        <v>0</v>
      </c>
      <c r="AV249" s="128">
        <v>0</v>
      </c>
      <c r="AW249" s="128">
        <v>0</v>
      </c>
      <c r="AX249" s="128">
        <v>0</v>
      </c>
      <c r="AY249" s="128">
        <v>0</v>
      </c>
    </row>
    <row r="250" spans="1:51" x14ac:dyDescent="0.2">
      <c r="A250" s="127"/>
      <c r="B250" s="147">
        <v>42</v>
      </c>
      <c r="C250" s="124">
        <v>0</v>
      </c>
      <c r="D250" s="128">
        <v>0</v>
      </c>
      <c r="E250" s="128">
        <v>0</v>
      </c>
      <c r="F250" s="128">
        <v>0</v>
      </c>
      <c r="G250" s="128">
        <v>0</v>
      </c>
      <c r="H250" s="128">
        <v>0</v>
      </c>
      <c r="I250" s="128">
        <v>0</v>
      </c>
      <c r="J250" s="128">
        <v>0</v>
      </c>
      <c r="K250" s="128">
        <v>0</v>
      </c>
      <c r="L250" s="128">
        <v>0</v>
      </c>
      <c r="M250" s="128">
        <v>0</v>
      </c>
      <c r="N250" s="128">
        <v>0</v>
      </c>
      <c r="O250" s="128">
        <v>0</v>
      </c>
      <c r="P250" s="128">
        <v>0</v>
      </c>
      <c r="Q250" s="128">
        <v>0</v>
      </c>
      <c r="R250" s="128">
        <v>0</v>
      </c>
      <c r="S250" s="128">
        <v>0</v>
      </c>
      <c r="T250" s="128">
        <v>0</v>
      </c>
      <c r="U250" s="128">
        <v>0</v>
      </c>
      <c r="V250" s="128">
        <v>0</v>
      </c>
      <c r="W250" s="128">
        <v>0</v>
      </c>
      <c r="X250" s="128">
        <v>0</v>
      </c>
      <c r="Y250" s="128">
        <v>0</v>
      </c>
      <c r="Z250" s="128">
        <v>0</v>
      </c>
      <c r="AA250" s="128">
        <v>0</v>
      </c>
      <c r="AB250" s="128">
        <v>0</v>
      </c>
      <c r="AC250" s="128">
        <v>0</v>
      </c>
      <c r="AD250" s="128">
        <v>0</v>
      </c>
      <c r="AE250" s="128">
        <v>0</v>
      </c>
      <c r="AF250" s="128">
        <v>0</v>
      </c>
      <c r="AG250" s="128">
        <v>0</v>
      </c>
      <c r="AH250" s="128">
        <v>0</v>
      </c>
      <c r="AI250" s="128">
        <v>0</v>
      </c>
      <c r="AJ250" s="128">
        <v>0</v>
      </c>
      <c r="AK250" s="128">
        <v>0</v>
      </c>
      <c r="AL250" s="128">
        <v>0</v>
      </c>
      <c r="AM250" s="128">
        <v>0</v>
      </c>
      <c r="AN250" s="128">
        <v>0</v>
      </c>
      <c r="AO250" s="128">
        <v>0</v>
      </c>
      <c r="AP250" s="128">
        <v>0</v>
      </c>
      <c r="AQ250" s="128">
        <v>0</v>
      </c>
      <c r="AR250" s="128">
        <v>0</v>
      </c>
      <c r="AS250" s="128">
        <v>0</v>
      </c>
      <c r="AT250" s="128">
        <v>0</v>
      </c>
      <c r="AU250" s="128">
        <v>0</v>
      </c>
      <c r="AV250" s="128">
        <v>0</v>
      </c>
      <c r="AW250" s="128">
        <v>0</v>
      </c>
      <c r="AX250" s="128">
        <v>0</v>
      </c>
      <c r="AY250" s="128">
        <v>0</v>
      </c>
    </row>
    <row r="251" spans="1:51" x14ac:dyDescent="0.2">
      <c r="A251" s="127"/>
      <c r="B251" s="147">
        <v>43</v>
      </c>
      <c r="C251" s="124">
        <v>0</v>
      </c>
      <c r="D251" s="128">
        <v>0</v>
      </c>
      <c r="E251" s="128">
        <v>0</v>
      </c>
      <c r="F251" s="128">
        <v>0</v>
      </c>
      <c r="G251" s="128">
        <v>0</v>
      </c>
      <c r="H251" s="128">
        <v>0</v>
      </c>
      <c r="I251" s="128">
        <v>0</v>
      </c>
      <c r="J251" s="128">
        <v>0</v>
      </c>
      <c r="K251" s="128">
        <v>0</v>
      </c>
      <c r="L251" s="128">
        <v>0</v>
      </c>
      <c r="M251" s="128">
        <v>0</v>
      </c>
      <c r="N251" s="128">
        <v>0</v>
      </c>
      <c r="O251" s="128">
        <v>0</v>
      </c>
      <c r="P251" s="128">
        <v>0</v>
      </c>
      <c r="Q251" s="128">
        <v>0</v>
      </c>
      <c r="R251" s="128">
        <v>0</v>
      </c>
      <c r="S251" s="128">
        <v>0</v>
      </c>
      <c r="T251" s="128">
        <v>0</v>
      </c>
      <c r="U251" s="128">
        <v>0</v>
      </c>
      <c r="V251" s="128">
        <v>0</v>
      </c>
      <c r="W251" s="128">
        <v>0</v>
      </c>
      <c r="X251" s="128">
        <v>0</v>
      </c>
      <c r="Y251" s="128">
        <v>0</v>
      </c>
      <c r="Z251" s="128">
        <v>0</v>
      </c>
      <c r="AA251" s="128">
        <v>0</v>
      </c>
      <c r="AB251" s="128">
        <v>0</v>
      </c>
      <c r="AC251" s="128">
        <v>0</v>
      </c>
      <c r="AD251" s="128">
        <v>0</v>
      </c>
      <c r="AE251" s="128">
        <v>0</v>
      </c>
      <c r="AF251" s="128">
        <v>0</v>
      </c>
      <c r="AG251" s="128">
        <v>0</v>
      </c>
      <c r="AH251" s="128">
        <v>0</v>
      </c>
      <c r="AI251" s="128">
        <v>0</v>
      </c>
      <c r="AJ251" s="128">
        <v>0</v>
      </c>
      <c r="AK251" s="128">
        <v>0</v>
      </c>
      <c r="AL251" s="128">
        <v>0</v>
      </c>
      <c r="AM251" s="128">
        <v>0</v>
      </c>
      <c r="AN251" s="128">
        <v>0</v>
      </c>
      <c r="AO251" s="128">
        <v>0</v>
      </c>
      <c r="AP251" s="128">
        <v>0</v>
      </c>
      <c r="AQ251" s="128">
        <v>0</v>
      </c>
      <c r="AR251" s="128">
        <v>0</v>
      </c>
      <c r="AS251" s="128">
        <v>0</v>
      </c>
      <c r="AT251" s="128">
        <v>0</v>
      </c>
      <c r="AU251" s="128">
        <v>0</v>
      </c>
      <c r="AV251" s="128">
        <v>0</v>
      </c>
      <c r="AW251" s="128">
        <v>0</v>
      </c>
      <c r="AX251" s="128">
        <v>0</v>
      </c>
      <c r="AY251" s="128">
        <v>0</v>
      </c>
    </row>
    <row r="252" spans="1:51" x14ac:dyDescent="0.2">
      <c r="A252" s="127"/>
      <c r="B252" s="147">
        <v>44</v>
      </c>
      <c r="C252" s="124">
        <v>0</v>
      </c>
      <c r="D252" s="128">
        <v>0</v>
      </c>
      <c r="E252" s="128">
        <v>0</v>
      </c>
      <c r="F252" s="128">
        <v>0</v>
      </c>
      <c r="G252" s="128">
        <v>0</v>
      </c>
      <c r="H252" s="128">
        <v>0</v>
      </c>
      <c r="I252" s="128">
        <v>0</v>
      </c>
      <c r="J252" s="128">
        <v>0</v>
      </c>
      <c r="K252" s="128">
        <v>0</v>
      </c>
      <c r="L252" s="128">
        <v>0</v>
      </c>
      <c r="M252" s="128">
        <v>0</v>
      </c>
      <c r="N252" s="128">
        <v>0</v>
      </c>
      <c r="O252" s="128">
        <v>0</v>
      </c>
      <c r="P252" s="128">
        <v>0</v>
      </c>
      <c r="Q252" s="128">
        <v>0</v>
      </c>
      <c r="R252" s="128">
        <v>0</v>
      </c>
      <c r="S252" s="128">
        <v>0</v>
      </c>
      <c r="T252" s="128">
        <v>0</v>
      </c>
      <c r="U252" s="128">
        <v>0</v>
      </c>
      <c r="V252" s="128">
        <v>0</v>
      </c>
      <c r="W252" s="128">
        <v>0</v>
      </c>
      <c r="X252" s="128">
        <v>0</v>
      </c>
      <c r="Y252" s="128">
        <v>0</v>
      </c>
      <c r="Z252" s="128">
        <v>0</v>
      </c>
      <c r="AA252" s="128">
        <v>0</v>
      </c>
      <c r="AB252" s="128">
        <v>0</v>
      </c>
      <c r="AC252" s="128">
        <v>0</v>
      </c>
      <c r="AD252" s="128">
        <v>0</v>
      </c>
      <c r="AE252" s="128">
        <v>0</v>
      </c>
      <c r="AF252" s="128">
        <v>0</v>
      </c>
      <c r="AG252" s="128">
        <v>0</v>
      </c>
      <c r="AH252" s="128">
        <v>0</v>
      </c>
      <c r="AI252" s="128">
        <v>0</v>
      </c>
      <c r="AJ252" s="128">
        <v>0</v>
      </c>
      <c r="AK252" s="128">
        <v>0</v>
      </c>
      <c r="AL252" s="128">
        <v>0</v>
      </c>
      <c r="AM252" s="128">
        <v>0</v>
      </c>
      <c r="AN252" s="128">
        <v>0</v>
      </c>
      <c r="AO252" s="128">
        <v>0</v>
      </c>
      <c r="AP252" s="128">
        <v>0</v>
      </c>
      <c r="AQ252" s="128">
        <v>0</v>
      </c>
      <c r="AR252" s="128">
        <v>0</v>
      </c>
      <c r="AS252" s="128">
        <v>0</v>
      </c>
      <c r="AT252" s="128">
        <v>0</v>
      </c>
      <c r="AU252" s="128">
        <v>0</v>
      </c>
      <c r="AV252" s="128">
        <v>0</v>
      </c>
      <c r="AW252" s="128">
        <v>0</v>
      </c>
      <c r="AX252" s="128">
        <v>0</v>
      </c>
      <c r="AY252" s="128">
        <v>0</v>
      </c>
    </row>
    <row r="253" spans="1:51" x14ac:dyDescent="0.2">
      <c r="A253" s="127"/>
      <c r="B253" s="147">
        <v>45</v>
      </c>
      <c r="C253" s="124">
        <v>0</v>
      </c>
      <c r="D253" s="128">
        <v>0</v>
      </c>
      <c r="E253" s="128">
        <v>0</v>
      </c>
      <c r="F253" s="128">
        <v>0</v>
      </c>
      <c r="G253" s="128">
        <v>0</v>
      </c>
      <c r="H253" s="128">
        <v>0</v>
      </c>
      <c r="I253" s="128">
        <v>0</v>
      </c>
      <c r="J253" s="128">
        <v>0</v>
      </c>
      <c r="K253" s="128">
        <v>0</v>
      </c>
      <c r="L253" s="128">
        <v>0</v>
      </c>
      <c r="M253" s="128">
        <v>0</v>
      </c>
      <c r="N253" s="128">
        <v>0</v>
      </c>
      <c r="O253" s="128">
        <v>0</v>
      </c>
      <c r="P253" s="128">
        <v>0</v>
      </c>
      <c r="Q253" s="128">
        <v>0</v>
      </c>
      <c r="R253" s="128">
        <v>0</v>
      </c>
      <c r="S253" s="128">
        <v>0</v>
      </c>
      <c r="T253" s="128">
        <v>0</v>
      </c>
      <c r="U253" s="128">
        <v>0</v>
      </c>
      <c r="V253" s="128">
        <v>0</v>
      </c>
      <c r="W253" s="128">
        <v>0</v>
      </c>
      <c r="X253" s="128">
        <v>0</v>
      </c>
      <c r="Y253" s="128">
        <v>0</v>
      </c>
      <c r="Z253" s="128">
        <v>0</v>
      </c>
      <c r="AA253" s="128">
        <v>0</v>
      </c>
      <c r="AB253" s="128">
        <v>0</v>
      </c>
      <c r="AC253" s="128">
        <v>0</v>
      </c>
      <c r="AD253" s="128">
        <v>0</v>
      </c>
      <c r="AE253" s="128">
        <v>0</v>
      </c>
      <c r="AF253" s="128">
        <v>0</v>
      </c>
      <c r="AG253" s="128">
        <v>0</v>
      </c>
      <c r="AH253" s="128">
        <v>0</v>
      </c>
      <c r="AI253" s="128">
        <v>0</v>
      </c>
      <c r="AJ253" s="128">
        <v>0</v>
      </c>
      <c r="AK253" s="128">
        <v>0</v>
      </c>
      <c r="AL253" s="128">
        <v>0</v>
      </c>
      <c r="AM253" s="128">
        <v>0</v>
      </c>
      <c r="AN253" s="128">
        <v>0</v>
      </c>
      <c r="AO253" s="128">
        <v>0</v>
      </c>
      <c r="AP253" s="128">
        <v>0</v>
      </c>
      <c r="AQ253" s="128">
        <v>0</v>
      </c>
      <c r="AR253" s="128">
        <v>0</v>
      </c>
      <c r="AS253" s="128">
        <v>0</v>
      </c>
      <c r="AT253" s="128">
        <v>0</v>
      </c>
      <c r="AU253" s="128">
        <v>0</v>
      </c>
      <c r="AV253" s="128">
        <v>0</v>
      </c>
      <c r="AW253" s="128">
        <v>0</v>
      </c>
      <c r="AX253" s="128">
        <v>0</v>
      </c>
      <c r="AY253" s="128">
        <v>0</v>
      </c>
    </row>
    <row r="254" spans="1:51" x14ac:dyDescent="0.2">
      <c r="A254" s="127"/>
      <c r="B254" s="147">
        <v>46</v>
      </c>
      <c r="C254" s="124">
        <v>0</v>
      </c>
      <c r="D254" s="128">
        <v>0</v>
      </c>
      <c r="E254" s="128">
        <v>0</v>
      </c>
      <c r="F254" s="128">
        <v>0</v>
      </c>
      <c r="G254" s="128">
        <v>0</v>
      </c>
      <c r="H254" s="128">
        <v>0</v>
      </c>
      <c r="I254" s="128">
        <v>0</v>
      </c>
      <c r="J254" s="128">
        <v>0</v>
      </c>
      <c r="K254" s="128">
        <v>0</v>
      </c>
      <c r="L254" s="128">
        <v>0</v>
      </c>
      <c r="M254" s="128">
        <v>0</v>
      </c>
      <c r="N254" s="128">
        <v>0</v>
      </c>
      <c r="O254" s="128">
        <v>0</v>
      </c>
      <c r="P254" s="128">
        <v>0</v>
      </c>
      <c r="Q254" s="128">
        <v>0</v>
      </c>
      <c r="R254" s="128">
        <v>0</v>
      </c>
      <c r="S254" s="128">
        <v>0</v>
      </c>
      <c r="T254" s="128">
        <v>0</v>
      </c>
      <c r="U254" s="128">
        <v>0</v>
      </c>
      <c r="V254" s="128">
        <v>0</v>
      </c>
      <c r="W254" s="128">
        <v>0</v>
      </c>
      <c r="X254" s="128">
        <v>0</v>
      </c>
      <c r="Y254" s="128">
        <v>0</v>
      </c>
      <c r="Z254" s="128">
        <v>0</v>
      </c>
      <c r="AA254" s="128">
        <v>0</v>
      </c>
      <c r="AB254" s="128">
        <v>0</v>
      </c>
      <c r="AC254" s="128">
        <v>0</v>
      </c>
      <c r="AD254" s="128">
        <v>0</v>
      </c>
      <c r="AE254" s="128">
        <v>0</v>
      </c>
      <c r="AF254" s="128">
        <v>0</v>
      </c>
      <c r="AG254" s="128">
        <v>0</v>
      </c>
      <c r="AH254" s="128">
        <v>0</v>
      </c>
      <c r="AI254" s="128">
        <v>0</v>
      </c>
      <c r="AJ254" s="128">
        <v>0</v>
      </c>
      <c r="AK254" s="128">
        <v>0</v>
      </c>
      <c r="AL254" s="128">
        <v>0</v>
      </c>
      <c r="AM254" s="128">
        <v>0</v>
      </c>
      <c r="AN254" s="128">
        <v>0</v>
      </c>
      <c r="AO254" s="128">
        <v>0</v>
      </c>
      <c r="AP254" s="128">
        <v>0</v>
      </c>
      <c r="AQ254" s="128">
        <v>0</v>
      </c>
      <c r="AR254" s="128">
        <v>0</v>
      </c>
      <c r="AS254" s="128">
        <v>0</v>
      </c>
      <c r="AT254" s="128">
        <v>0</v>
      </c>
      <c r="AU254" s="128">
        <v>0</v>
      </c>
      <c r="AV254" s="128">
        <v>0</v>
      </c>
      <c r="AW254" s="128">
        <v>0</v>
      </c>
      <c r="AX254" s="128">
        <v>0</v>
      </c>
      <c r="AY254" s="128">
        <v>0</v>
      </c>
    </row>
    <row r="255" spans="1:51" x14ac:dyDescent="0.2">
      <c r="A255" s="127"/>
      <c r="B255" s="147">
        <v>47</v>
      </c>
      <c r="C255" s="124">
        <v>0</v>
      </c>
      <c r="D255" s="128">
        <v>0</v>
      </c>
      <c r="E255" s="128">
        <v>0</v>
      </c>
      <c r="F255" s="128">
        <v>0</v>
      </c>
      <c r="G255" s="128">
        <v>0</v>
      </c>
      <c r="H255" s="128">
        <v>0</v>
      </c>
      <c r="I255" s="128">
        <v>0</v>
      </c>
      <c r="J255" s="128">
        <v>0</v>
      </c>
      <c r="K255" s="128">
        <v>0</v>
      </c>
      <c r="L255" s="128">
        <v>0</v>
      </c>
      <c r="M255" s="128">
        <v>0</v>
      </c>
      <c r="N255" s="128">
        <v>0</v>
      </c>
      <c r="O255" s="128">
        <v>0</v>
      </c>
      <c r="P255" s="128">
        <v>0</v>
      </c>
      <c r="Q255" s="128">
        <v>0</v>
      </c>
      <c r="R255" s="128">
        <v>0</v>
      </c>
      <c r="S255" s="128">
        <v>0</v>
      </c>
      <c r="T255" s="128">
        <v>0</v>
      </c>
      <c r="U255" s="128">
        <v>0</v>
      </c>
      <c r="V255" s="128">
        <v>0</v>
      </c>
      <c r="W255" s="128">
        <v>0</v>
      </c>
      <c r="X255" s="128">
        <v>0</v>
      </c>
      <c r="Y255" s="128">
        <v>0</v>
      </c>
      <c r="Z255" s="128">
        <v>0</v>
      </c>
      <c r="AA255" s="128">
        <v>0</v>
      </c>
      <c r="AB255" s="128">
        <v>0</v>
      </c>
      <c r="AC255" s="128">
        <v>0</v>
      </c>
      <c r="AD255" s="128">
        <v>0</v>
      </c>
      <c r="AE255" s="128">
        <v>0</v>
      </c>
      <c r="AF255" s="128">
        <v>0</v>
      </c>
      <c r="AG255" s="128">
        <v>0</v>
      </c>
      <c r="AH255" s="128">
        <v>0</v>
      </c>
      <c r="AI255" s="128">
        <v>0</v>
      </c>
      <c r="AJ255" s="128">
        <v>0</v>
      </c>
      <c r="AK255" s="128">
        <v>0</v>
      </c>
      <c r="AL255" s="128">
        <v>0</v>
      </c>
      <c r="AM255" s="128">
        <v>0</v>
      </c>
      <c r="AN255" s="128">
        <v>0</v>
      </c>
      <c r="AO255" s="128">
        <v>0</v>
      </c>
      <c r="AP255" s="128">
        <v>0</v>
      </c>
      <c r="AQ255" s="128">
        <v>0</v>
      </c>
      <c r="AR255" s="128">
        <v>0</v>
      </c>
      <c r="AS255" s="128">
        <v>0</v>
      </c>
      <c r="AT255" s="128">
        <v>0</v>
      </c>
      <c r="AU255" s="128">
        <v>0</v>
      </c>
      <c r="AV255" s="128">
        <v>0</v>
      </c>
      <c r="AW255" s="128">
        <v>0</v>
      </c>
      <c r="AX255" s="128">
        <v>0</v>
      </c>
      <c r="AY255" s="128">
        <v>0</v>
      </c>
    </row>
    <row r="256" spans="1:51" x14ac:dyDescent="0.2">
      <c r="A256" s="145"/>
      <c r="B256" s="146">
        <v>48</v>
      </c>
      <c r="C256" s="131">
        <v>0</v>
      </c>
      <c r="D256" s="142">
        <v>0</v>
      </c>
      <c r="E256" s="142">
        <v>0</v>
      </c>
      <c r="F256" s="142">
        <v>0</v>
      </c>
      <c r="G256" s="142">
        <v>0</v>
      </c>
      <c r="H256" s="142">
        <v>0</v>
      </c>
      <c r="I256" s="142">
        <v>0</v>
      </c>
      <c r="J256" s="142">
        <v>0</v>
      </c>
      <c r="K256" s="142">
        <v>0</v>
      </c>
      <c r="L256" s="142">
        <v>0</v>
      </c>
      <c r="M256" s="142">
        <v>0</v>
      </c>
      <c r="N256" s="142">
        <v>0</v>
      </c>
      <c r="O256" s="142">
        <v>0</v>
      </c>
      <c r="P256" s="142">
        <v>0</v>
      </c>
      <c r="Q256" s="142">
        <v>0</v>
      </c>
      <c r="R256" s="142">
        <v>0</v>
      </c>
      <c r="S256" s="142">
        <v>0</v>
      </c>
      <c r="T256" s="142">
        <v>0</v>
      </c>
      <c r="U256" s="142">
        <v>0</v>
      </c>
      <c r="V256" s="142">
        <v>0</v>
      </c>
      <c r="W256" s="142">
        <v>0</v>
      </c>
      <c r="X256" s="142">
        <v>0</v>
      </c>
      <c r="Y256" s="142">
        <v>0</v>
      </c>
      <c r="Z256" s="142">
        <v>0</v>
      </c>
      <c r="AA256" s="142">
        <v>0</v>
      </c>
      <c r="AB256" s="142">
        <v>0</v>
      </c>
      <c r="AC256" s="142">
        <v>0</v>
      </c>
      <c r="AD256" s="142">
        <v>0</v>
      </c>
      <c r="AE256" s="142">
        <v>0</v>
      </c>
      <c r="AF256" s="142">
        <v>0</v>
      </c>
      <c r="AG256" s="142">
        <v>0</v>
      </c>
      <c r="AH256" s="142">
        <v>0</v>
      </c>
      <c r="AI256" s="142">
        <v>0</v>
      </c>
      <c r="AJ256" s="142">
        <v>0</v>
      </c>
      <c r="AK256" s="142">
        <v>0</v>
      </c>
      <c r="AL256" s="142">
        <v>0</v>
      </c>
      <c r="AM256" s="142">
        <v>0</v>
      </c>
      <c r="AN256" s="142">
        <v>0</v>
      </c>
      <c r="AO256" s="142">
        <v>0</v>
      </c>
      <c r="AP256" s="142">
        <v>0</v>
      </c>
      <c r="AQ256" s="142">
        <v>0</v>
      </c>
      <c r="AR256" s="142">
        <v>0</v>
      </c>
      <c r="AS256" s="142">
        <v>0</v>
      </c>
      <c r="AT256" s="142">
        <v>0</v>
      </c>
      <c r="AU256" s="142">
        <v>0</v>
      </c>
      <c r="AV256" s="142">
        <v>0</v>
      </c>
      <c r="AW256" s="142">
        <v>0</v>
      </c>
      <c r="AX256" s="142">
        <v>0</v>
      </c>
      <c r="AY256" s="142">
        <v>0</v>
      </c>
    </row>
    <row r="258" spans="1:52" x14ac:dyDescent="0.2">
      <c r="A258" s="1" t="s">
        <v>301</v>
      </c>
    </row>
    <row r="259" spans="1:52" x14ac:dyDescent="0.2">
      <c r="A259" s="154" t="s">
        <v>124</v>
      </c>
      <c r="B259" s="155">
        <v>650</v>
      </c>
      <c r="C259" s="141" t="s">
        <v>293</v>
      </c>
      <c r="D259" s="141">
        <f>E$14*$B$259</f>
        <v>1628666.9552768485</v>
      </c>
      <c r="E259" s="141">
        <f t="shared" ref="E259:AX259" si="5">F$14*$B$259</f>
        <v>966211.93178233458</v>
      </c>
      <c r="F259" s="141">
        <f t="shared" si="5"/>
        <v>549314.86996273207</v>
      </c>
      <c r="G259" s="141">
        <f t="shared" si="5"/>
        <v>265941.68815994548</v>
      </c>
      <c r="H259" s="141">
        <f t="shared" si="5"/>
        <v>265941.68815994548</v>
      </c>
      <c r="I259" s="141">
        <f t="shared" si="5"/>
        <v>265941.68815994548</v>
      </c>
      <c r="J259" s="141">
        <f t="shared" si="5"/>
        <v>265941.68815994548</v>
      </c>
      <c r="K259" s="141">
        <f t="shared" si="5"/>
        <v>265941.68815994548</v>
      </c>
      <c r="L259" s="141">
        <f t="shared" si="5"/>
        <v>265941.68815994548</v>
      </c>
      <c r="M259" s="141">
        <f t="shared" si="5"/>
        <v>265941.68815994548</v>
      </c>
      <c r="N259" s="141">
        <f t="shared" si="5"/>
        <v>265941.68815994548</v>
      </c>
      <c r="O259" s="141">
        <f t="shared" si="5"/>
        <v>265941.68815994548</v>
      </c>
      <c r="P259" s="141">
        <f t="shared" si="5"/>
        <v>265941.68815994548</v>
      </c>
      <c r="Q259" s="141">
        <f t="shared" si="5"/>
        <v>265941.68815994548</v>
      </c>
      <c r="R259" s="141">
        <f t="shared" si="5"/>
        <v>265941.68815994548</v>
      </c>
      <c r="S259" s="141">
        <f t="shared" si="5"/>
        <v>265941.68815994548</v>
      </c>
      <c r="T259" s="141">
        <f t="shared" si="5"/>
        <v>265941.68815994548</v>
      </c>
      <c r="U259" s="141">
        <f t="shared" si="5"/>
        <v>265941.68815994548</v>
      </c>
      <c r="V259" s="141">
        <f t="shared" si="5"/>
        <v>265941.68815994548</v>
      </c>
      <c r="W259" s="141">
        <f t="shared" si="5"/>
        <v>265941.68815994548</v>
      </c>
      <c r="X259" s="141">
        <f t="shared" si="5"/>
        <v>265941.68815994548</v>
      </c>
      <c r="Y259" s="141">
        <f t="shared" si="5"/>
        <v>265941.68815994548</v>
      </c>
      <c r="Z259" s="141">
        <f t="shared" si="5"/>
        <v>265941.68815994548</v>
      </c>
      <c r="AA259" s="141">
        <f t="shared" si="5"/>
        <v>265941.68815994548</v>
      </c>
      <c r="AB259" s="141">
        <f t="shared" si="5"/>
        <v>265941.68815994548</v>
      </c>
      <c r="AC259" s="141">
        <f t="shared" si="5"/>
        <v>265941.68815994548</v>
      </c>
      <c r="AD259" s="141">
        <f t="shared" si="5"/>
        <v>265941.68815994548</v>
      </c>
      <c r="AE259" s="141">
        <f t="shared" si="5"/>
        <v>265941.68815994548</v>
      </c>
      <c r="AF259" s="141">
        <f t="shared" si="5"/>
        <v>265941.68815994548</v>
      </c>
      <c r="AG259" s="141">
        <f t="shared" si="5"/>
        <v>265941.68815994548</v>
      </c>
      <c r="AH259" s="141">
        <f t="shared" si="5"/>
        <v>265941.68815994548</v>
      </c>
      <c r="AI259" s="141">
        <f t="shared" si="5"/>
        <v>265941.68815994548</v>
      </c>
      <c r="AJ259" s="141">
        <f t="shared" si="5"/>
        <v>265941.68815994548</v>
      </c>
      <c r="AK259" s="141">
        <f t="shared" si="5"/>
        <v>265941.68815994548</v>
      </c>
      <c r="AL259" s="141">
        <f t="shared" si="5"/>
        <v>265941.68815994548</v>
      </c>
      <c r="AM259" s="141">
        <f t="shared" si="5"/>
        <v>265941.68815994548</v>
      </c>
      <c r="AN259" s="141">
        <f t="shared" si="5"/>
        <v>265941.68815994548</v>
      </c>
      <c r="AO259" s="141">
        <f t="shared" si="5"/>
        <v>265941.68815994548</v>
      </c>
      <c r="AP259" s="141">
        <f t="shared" si="5"/>
        <v>265941.68815994548</v>
      </c>
      <c r="AQ259" s="141">
        <f t="shared" si="5"/>
        <v>265941.68815994548</v>
      </c>
      <c r="AR259" s="141">
        <f t="shared" si="5"/>
        <v>265941.68815994548</v>
      </c>
      <c r="AS259" s="141">
        <f t="shared" si="5"/>
        <v>265941.68815994548</v>
      </c>
      <c r="AT259" s="141">
        <f t="shared" si="5"/>
        <v>265941.68815994548</v>
      </c>
      <c r="AU259" s="141">
        <f t="shared" si="5"/>
        <v>265941.68815994548</v>
      </c>
      <c r="AV259" s="141">
        <f t="shared" si="5"/>
        <v>265941.68815994548</v>
      </c>
      <c r="AW259" s="141">
        <f t="shared" si="5"/>
        <v>265941.68815994548</v>
      </c>
      <c r="AX259" s="141">
        <f t="shared" si="5"/>
        <v>265941.68815994548</v>
      </c>
      <c r="AY259" s="141">
        <f>AZ$14*$B$259</f>
        <v>265941.68815994548</v>
      </c>
      <c r="AZ259" s="156">
        <f>SUM($D259:$AY259)</f>
        <v>15111569.724219482</v>
      </c>
    </row>
    <row r="260" spans="1:52" x14ac:dyDescent="0.2">
      <c r="A260" s="157" t="s">
        <v>302</v>
      </c>
      <c r="B260" s="131">
        <v>60</v>
      </c>
      <c r="C260" s="142" t="s">
        <v>293</v>
      </c>
      <c r="D260" s="142">
        <f>(D$175-D$176+D$177-D$178+D$179-D$180+D$181-D$182)*$B$260</f>
        <v>2178921.5118205985</v>
      </c>
      <c r="E260" s="142">
        <f t="shared" ref="E260:AY260" si="6">(E$175-E$176+E$177-E$178+E$179-E$180+E$181-E$182)*$B$260</f>
        <v>2264055.0870958576</v>
      </c>
      <c r="F260" s="142">
        <f t="shared" si="6"/>
        <v>2305712.2557637407</v>
      </c>
      <c r="G260" s="142">
        <f t="shared" si="6"/>
        <v>2364638.9262206354</v>
      </c>
      <c r="H260" s="142">
        <f t="shared" si="6"/>
        <v>2375918.9262206354</v>
      </c>
      <c r="I260" s="142">
        <f t="shared" si="6"/>
        <v>2371058.9262206359</v>
      </c>
      <c r="J260" s="142">
        <f t="shared" si="6"/>
        <v>2378438.9262206359</v>
      </c>
      <c r="K260" s="142">
        <f t="shared" si="6"/>
        <v>2386778.9262206354</v>
      </c>
      <c r="L260" s="142">
        <f t="shared" si="6"/>
        <v>2388878.926220635</v>
      </c>
      <c r="M260" s="142">
        <f t="shared" si="6"/>
        <v>2280935.105728236</v>
      </c>
      <c r="N260" s="142">
        <f t="shared" si="6"/>
        <v>2021937.8601213431</v>
      </c>
      <c r="O260" s="142">
        <f t="shared" si="6"/>
        <v>1776083.4872681629</v>
      </c>
      <c r="P260" s="142">
        <f t="shared" si="6"/>
        <v>1510649.0199933439</v>
      </c>
      <c r="Q260" s="142">
        <f t="shared" si="6"/>
        <v>1381978.9953363989</v>
      </c>
      <c r="R260" s="142">
        <f t="shared" si="6"/>
        <v>1331767.4588588553</v>
      </c>
      <c r="S260" s="142">
        <f t="shared" si="6"/>
        <v>1277475.9223813119</v>
      </c>
      <c r="T260" s="142">
        <f t="shared" si="6"/>
        <v>1181844.3859037685</v>
      </c>
      <c r="U260" s="142">
        <f t="shared" si="6"/>
        <v>1103912.8494262251</v>
      </c>
      <c r="V260" s="142">
        <f t="shared" si="6"/>
        <v>1092539.5784122893</v>
      </c>
      <c r="W260" s="142">
        <f t="shared" si="6"/>
        <v>1091219.5784122893</v>
      </c>
      <c r="X260" s="142">
        <f t="shared" si="6"/>
        <v>1105379.5784122893</v>
      </c>
      <c r="Y260" s="142">
        <f t="shared" si="6"/>
        <v>1096199.5784122893</v>
      </c>
      <c r="Z260" s="142">
        <f t="shared" si="6"/>
        <v>1092779.5784122893</v>
      </c>
      <c r="AA260" s="142">
        <f t="shared" si="6"/>
        <v>1090079.5784122893</v>
      </c>
      <c r="AB260" s="142">
        <f t="shared" si="6"/>
        <v>1085159.5784122893</v>
      </c>
      <c r="AC260" s="142">
        <f t="shared" si="6"/>
        <v>1091939.5784122893</v>
      </c>
      <c r="AD260" s="142">
        <f t="shared" si="6"/>
        <v>1087859.5784122893</v>
      </c>
      <c r="AE260" s="142">
        <f t="shared" si="6"/>
        <v>1090859.5784122893</v>
      </c>
      <c r="AF260" s="142">
        <f t="shared" si="6"/>
        <v>1089239.5784122893</v>
      </c>
      <c r="AG260" s="142">
        <f t="shared" si="6"/>
        <v>1087319.5784122893</v>
      </c>
      <c r="AH260" s="142">
        <f t="shared" si="6"/>
        <v>1087019.5784122893</v>
      </c>
      <c r="AI260" s="142">
        <f t="shared" si="6"/>
        <v>1082459.5784122893</v>
      </c>
      <c r="AJ260" s="142">
        <f t="shared" si="6"/>
        <v>1089719.5784122893</v>
      </c>
      <c r="AK260" s="142">
        <f t="shared" si="6"/>
        <v>1078139.5784122893</v>
      </c>
      <c r="AL260" s="142">
        <f t="shared" si="6"/>
        <v>1091399.5784122893</v>
      </c>
      <c r="AM260" s="142">
        <f t="shared" si="6"/>
        <v>1093199.5784122893</v>
      </c>
      <c r="AN260" s="142">
        <f t="shared" si="6"/>
        <v>1087559.5784122893</v>
      </c>
      <c r="AO260" s="142">
        <f t="shared" si="6"/>
        <v>1083779.5784122893</v>
      </c>
      <c r="AP260" s="142">
        <f t="shared" si="6"/>
        <v>1099259.5784122893</v>
      </c>
      <c r="AQ260" s="142">
        <f t="shared" si="6"/>
        <v>1087439.5784122893</v>
      </c>
      <c r="AR260" s="142">
        <f t="shared" si="6"/>
        <v>1094879.5784122893</v>
      </c>
      <c r="AS260" s="142">
        <f t="shared" si="6"/>
        <v>1104179.5784122893</v>
      </c>
      <c r="AT260" s="142">
        <f t="shared" si="6"/>
        <v>1087979.5784122893</v>
      </c>
      <c r="AU260" s="142">
        <f t="shared" si="6"/>
        <v>1088159.5784122893</v>
      </c>
      <c r="AV260" s="142">
        <f t="shared" si="6"/>
        <v>1087319.5784122893</v>
      </c>
      <c r="AW260" s="142">
        <f t="shared" si="6"/>
        <v>1096799.5784122893</v>
      </c>
      <c r="AX260" s="142">
        <f t="shared" si="6"/>
        <v>1089239.5784122893</v>
      </c>
      <c r="AY260" s="142">
        <f t="shared" si="6"/>
        <v>1089299.5784122893</v>
      </c>
      <c r="AZ260" s="158">
        <f>SUM($D260:$AY260)</f>
        <v>67599394.849390268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21" t="s">
        <v>283</v>
      </c>
    </row>
    <row r="4" spans="1:99" x14ac:dyDescent="0.2">
      <c r="A4" s="120"/>
      <c r="B4" s="120"/>
      <c r="C4" s="119" t="s">
        <v>274</v>
      </c>
      <c r="D4" s="119" t="s">
        <v>92</v>
      </c>
      <c r="E4" s="120"/>
      <c r="F4" s="120"/>
      <c r="G4" s="120"/>
      <c r="H4" s="120"/>
      <c r="I4" s="120"/>
      <c r="J4" s="120"/>
      <c r="K4" s="120"/>
      <c r="L4" s="119" t="s">
        <v>93</v>
      </c>
      <c r="M4" s="120"/>
      <c r="N4" s="120"/>
      <c r="O4" s="120"/>
      <c r="P4" s="120"/>
      <c r="Q4" s="120"/>
      <c r="R4" s="120"/>
      <c r="S4" s="120"/>
      <c r="T4" s="119" t="s">
        <v>94</v>
      </c>
      <c r="U4" s="120"/>
      <c r="V4" s="120"/>
      <c r="W4" s="120"/>
      <c r="X4" s="120"/>
      <c r="Y4" s="120"/>
      <c r="Z4" s="120"/>
      <c r="AA4" s="120"/>
      <c r="AB4" s="119" t="s">
        <v>95</v>
      </c>
      <c r="AC4" s="120"/>
      <c r="AD4" s="120"/>
      <c r="AE4" s="120"/>
      <c r="AF4" s="120"/>
      <c r="AG4" s="120"/>
      <c r="AH4" s="120"/>
      <c r="AI4" s="120"/>
      <c r="AJ4" s="119" t="s">
        <v>96</v>
      </c>
      <c r="AK4" s="120"/>
      <c r="AL4" s="120"/>
      <c r="AM4" s="120"/>
      <c r="AN4" s="120"/>
      <c r="AO4" s="120"/>
      <c r="AP4" s="120"/>
      <c r="AQ4" s="120"/>
      <c r="AR4" s="119" t="s">
        <v>97</v>
      </c>
      <c r="AS4" s="120"/>
      <c r="AT4" s="120"/>
      <c r="AU4" s="120"/>
      <c r="AV4" s="120"/>
      <c r="AW4" s="120"/>
      <c r="AX4" s="120"/>
      <c r="AY4" s="120"/>
      <c r="AZ4" s="119" t="s">
        <v>98</v>
      </c>
      <c r="BA4" s="120"/>
      <c r="BB4" s="120"/>
      <c r="BC4" s="120"/>
      <c r="BD4" s="120"/>
      <c r="BE4" s="120"/>
      <c r="BF4" s="120"/>
      <c r="BG4" s="120"/>
      <c r="BH4" s="119" t="s">
        <v>99</v>
      </c>
      <c r="BI4" s="120"/>
      <c r="BJ4" s="120"/>
      <c r="BK4" s="120"/>
      <c r="BL4" s="120"/>
      <c r="BM4" s="120"/>
      <c r="BN4" s="120"/>
      <c r="BO4" s="120"/>
      <c r="BP4" s="119" t="s">
        <v>100</v>
      </c>
      <c r="BQ4" s="120"/>
      <c r="BR4" s="120"/>
      <c r="BS4" s="120"/>
      <c r="BT4" s="120"/>
      <c r="BU4" s="120"/>
      <c r="BV4" s="120"/>
      <c r="BW4" s="120"/>
      <c r="BX4" s="119" t="s">
        <v>101</v>
      </c>
      <c r="BY4" s="120"/>
      <c r="BZ4" s="120"/>
      <c r="CA4" s="120"/>
      <c r="CB4" s="120"/>
      <c r="CC4" s="120"/>
      <c r="CD4" s="120"/>
      <c r="CE4" s="120"/>
      <c r="CF4" s="119" t="s">
        <v>102</v>
      </c>
      <c r="CG4" s="120"/>
      <c r="CH4" s="120"/>
      <c r="CI4" s="120"/>
      <c r="CJ4" s="120"/>
      <c r="CK4" s="120"/>
      <c r="CL4" s="120"/>
      <c r="CM4" s="120"/>
      <c r="CN4" s="119" t="s">
        <v>103</v>
      </c>
      <c r="CO4" s="120"/>
      <c r="CP4" s="120"/>
      <c r="CQ4" s="120"/>
      <c r="CR4" s="120"/>
      <c r="CS4" s="120"/>
      <c r="CT4" s="120"/>
      <c r="CU4" s="120"/>
    </row>
    <row r="5" spans="1:99" x14ac:dyDescent="0.2">
      <c r="B5" s="119" t="s">
        <v>167</v>
      </c>
      <c r="C5" s="119" t="s">
        <v>275</v>
      </c>
      <c r="D5" s="119">
        <v>1</v>
      </c>
      <c r="E5" s="119"/>
      <c r="F5" s="119">
        <v>2</v>
      </c>
      <c r="G5" s="119"/>
      <c r="H5" s="119">
        <v>3</v>
      </c>
      <c r="I5" s="119"/>
      <c r="J5" s="119">
        <v>4</v>
      </c>
      <c r="K5" s="119"/>
      <c r="L5" s="119">
        <v>1</v>
      </c>
      <c r="M5" s="119"/>
      <c r="N5" s="119">
        <v>2</v>
      </c>
      <c r="O5" s="119"/>
      <c r="P5" s="119">
        <v>3</v>
      </c>
      <c r="Q5" s="119"/>
      <c r="R5" s="119">
        <v>4</v>
      </c>
      <c r="S5" s="119"/>
      <c r="T5" s="119">
        <v>1</v>
      </c>
      <c r="U5" s="119"/>
      <c r="V5" s="119">
        <v>2</v>
      </c>
      <c r="W5" s="119"/>
      <c r="X5" s="119">
        <v>3</v>
      </c>
      <c r="Y5" s="119"/>
      <c r="Z5" s="119">
        <v>4</v>
      </c>
      <c r="AA5" s="119"/>
      <c r="AB5" s="119">
        <v>1</v>
      </c>
      <c r="AC5" s="119"/>
      <c r="AD5" s="119">
        <v>2</v>
      </c>
      <c r="AE5" s="119"/>
      <c r="AF5" s="119">
        <v>3</v>
      </c>
      <c r="AG5" s="119"/>
      <c r="AH5" s="119">
        <v>4</v>
      </c>
      <c r="AI5" s="119"/>
      <c r="AJ5" s="119">
        <v>1</v>
      </c>
      <c r="AK5" s="119"/>
      <c r="AL5" s="119">
        <v>2</v>
      </c>
      <c r="AM5" s="119"/>
      <c r="AN5" s="119">
        <v>3</v>
      </c>
      <c r="AO5" s="119"/>
      <c r="AP5" s="119">
        <v>4</v>
      </c>
      <c r="AQ5" s="119"/>
      <c r="AR5" s="119">
        <v>1</v>
      </c>
      <c r="AS5" s="119"/>
      <c r="AT5" s="119">
        <v>2</v>
      </c>
      <c r="AU5" s="119"/>
      <c r="AV5" s="119">
        <v>3</v>
      </c>
      <c r="AW5" s="119"/>
      <c r="AX5" s="119">
        <v>4</v>
      </c>
      <c r="AY5" s="119"/>
      <c r="AZ5" s="119">
        <v>1</v>
      </c>
      <c r="BA5" s="119"/>
      <c r="BB5" s="119">
        <v>2</v>
      </c>
      <c r="BC5" s="119"/>
      <c r="BD5" s="119">
        <v>3</v>
      </c>
      <c r="BE5" s="119"/>
      <c r="BF5" s="119">
        <v>4</v>
      </c>
      <c r="BG5" s="119"/>
      <c r="BH5" s="119">
        <v>1</v>
      </c>
      <c r="BI5" s="119"/>
      <c r="BJ5" s="119">
        <v>2</v>
      </c>
      <c r="BK5" s="119"/>
      <c r="BL5" s="119">
        <v>3</v>
      </c>
      <c r="BM5" s="119"/>
      <c r="BN5" s="119">
        <v>4</v>
      </c>
      <c r="BO5" s="119"/>
      <c r="BP5" s="119">
        <v>1</v>
      </c>
      <c r="BQ5" s="119"/>
      <c r="BR5" s="119">
        <v>2</v>
      </c>
      <c r="BS5" s="119"/>
      <c r="BT5" s="119">
        <v>3</v>
      </c>
      <c r="BU5" s="119"/>
      <c r="BV5" s="119">
        <v>4</v>
      </c>
      <c r="BW5" s="119"/>
      <c r="BX5" s="119">
        <v>1</v>
      </c>
      <c r="BY5" s="119"/>
      <c r="BZ5" s="119">
        <v>2</v>
      </c>
      <c r="CA5" s="119"/>
      <c r="CB5" s="119">
        <v>3</v>
      </c>
      <c r="CC5" s="119"/>
      <c r="CD5" s="119">
        <v>4</v>
      </c>
      <c r="CE5" s="119"/>
      <c r="CF5" s="119">
        <v>1</v>
      </c>
      <c r="CG5" s="119"/>
      <c r="CH5" s="119">
        <v>2</v>
      </c>
      <c r="CI5" s="119"/>
      <c r="CJ5" s="119">
        <v>3</v>
      </c>
      <c r="CK5" s="119"/>
      <c r="CL5" s="119">
        <v>4</v>
      </c>
      <c r="CM5" s="119"/>
      <c r="CN5" s="119">
        <v>1</v>
      </c>
      <c r="CO5" s="119"/>
      <c r="CP5" s="119">
        <v>2</v>
      </c>
      <c r="CQ5" s="119"/>
      <c r="CR5" s="119">
        <v>3</v>
      </c>
      <c r="CS5" s="119"/>
      <c r="CT5" s="119">
        <v>4</v>
      </c>
      <c r="CU5" s="119"/>
    </row>
    <row r="6" spans="1:99" x14ac:dyDescent="0.2">
      <c r="B6" s="119" t="s">
        <v>126</v>
      </c>
      <c r="C6" s="119" t="s">
        <v>172</v>
      </c>
      <c r="D6">
        <v>9</v>
      </c>
      <c r="E6">
        <v>5205.5999999999995</v>
      </c>
      <c r="F6">
        <v>7</v>
      </c>
      <c r="G6">
        <v>4048.7999999999997</v>
      </c>
      <c r="H6">
        <v>8</v>
      </c>
      <c r="I6">
        <v>4627.2</v>
      </c>
      <c r="J6">
        <v>9</v>
      </c>
      <c r="K6">
        <v>5205.5999999999995</v>
      </c>
      <c r="L6">
        <v>6</v>
      </c>
      <c r="M6">
        <v>3470.3999999999996</v>
      </c>
      <c r="N6">
        <v>9</v>
      </c>
      <c r="O6">
        <v>5205.5999999999995</v>
      </c>
      <c r="P6">
        <v>11</v>
      </c>
      <c r="Q6">
        <v>6362.4</v>
      </c>
      <c r="R6">
        <v>8</v>
      </c>
      <c r="S6">
        <v>4627.2</v>
      </c>
      <c r="T6">
        <v>5</v>
      </c>
      <c r="U6">
        <v>2892</v>
      </c>
      <c r="V6">
        <v>6</v>
      </c>
      <c r="W6">
        <v>3470.3999999999996</v>
      </c>
      <c r="X6">
        <v>12</v>
      </c>
      <c r="Y6">
        <v>6940.7999999999993</v>
      </c>
      <c r="Z6">
        <v>9</v>
      </c>
      <c r="AA6">
        <v>5205.5999999999995</v>
      </c>
      <c r="AB6">
        <v>8</v>
      </c>
      <c r="AC6">
        <v>4627.2</v>
      </c>
      <c r="AD6">
        <v>8</v>
      </c>
      <c r="AE6">
        <v>4627.2</v>
      </c>
      <c r="AF6">
        <v>8</v>
      </c>
      <c r="AG6">
        <v>4627.2</v>
      </c>
      <c r="AH6">
        <v>10</v>
      </c>
      <c r="AI6">
        <v>5784</v>
      </c>
      <c r="AJ6">
        <v>10</v>
      </c>
      <c r="AK6">
        <v>5784</v>
      </c>
      <c r="AL6">
        <v>10</v>
      </c>
      <c r="AM6">
        <v>5784</v>
      </c>
      <c r="AN6">
        <v>6</v>
      </c>
      <c r="AO6">
        <v>3470.3999999999996</v>
      </c>
      <c r="AP6">
        <v>10</v>
      </c>
      <c r="AQ6">
        <v>5784</v>
      </c>
      <c r="AR6">
        <v>7</v>
      </c>
      <c r="AS6">
        <v>4048.7999999999997</v>
      </c>
      <c r="AT6">
        <v>7</v>
      </c>
      <c r="AU6">
        <v>4048.7999999999997</v>
      </c>
      <c r="AV6">
        <v>7</v>
      </c>
      <c r="AW6">
        <v>4048.7999999999997</v>
      </c>
      <c r="AX6">
        <v>11</v>
      </c>
      <c r="AY6">
        <v>6362.4</v>
      </c>
      <c r="AZ6">
        <v>10</v>
      </c>
      <c r="BA6">
        <v>5784</v>
      </c>
      <c r="BB6">
        <v>7</v>
      </c>
      <c r="BC6">
        <v>4048.7999999999997</v>
      </c>
      <c r="BD6">
        <v>7</v>
      </c>
      <c r="BE6">
        <v>4048.7999999999997</v>
      </c>
      <c r="BF6">
        <v>6</v>
      </c>
      <c r="BG6">
        <v>3470.3999999999996</v>
      </c>
      <c r="BH6">
        <v>7</v>
      </c>
      <c r="BI6">
        <v>4048.7999999999997</v>
      </c>
      <c r="BJ6">
        <v>8</v>
      </c>
      <c r="BK6">
        <v>4627.2</v>
      </c>
      <c r="BL6">
        <v>9</v>
      </c>
      <c r="BM6">
        <v>5205.5999999999995</v>
      </c>
      <c r="BN6">
        <v>8</v>
      </c>
      <c r="BO6">
        <v>4627.2</v>
      </c>
      <c r="BP6">
        <v>7</v>
      </c>
      <c r="BQ6">
        <v>4048.7999999999997</v>
      </c>
      <c r="BR6">
        <v>8</v>
      </c>
      <c r="BS6">
        <v>4627.2</v>
      </c>
      <c r="BT6">
        <v>7</v>
      </c>
      <c r="BU6">
        <v>4048.7999999999997</v>
      </c>
      <c r="BV6">
        <v>12</v>
      </c>
      <c r="BW6">
        <v>6940.7999999999993</v>
      </c>
      <c r="BX6">
        <v>10</v>
      </c>
      <c r="BY6">
        <v>5784</v>
      </c>
      <c r="BZ6">
        <v>11</v>
      </c>
      <c r="CA6">
        <v>6362.4</v>
      </c>
      <c r="CB6">
        <v>9</v>
      </c>
      <c r="CC6">
        <v>5205.5999999999995</v>
      </c>
      <c r="CD6">
        <v>8</v>
      </c>
      <c r="CE6">
        <v>4627.2</v>
      </c>
      <c r="CF6">
        <v>8</v>
      </c>
      <c r="CG6">
        <v>4627.2</v>
      </c>
      <c r="CH6">
        <v>8</v>
      </c>
      <c r="CI6">
        <v>4627.2</v>
      </c>
      <c r="CJ6">
        <v>11</v>
      </c>
      <c r="CK6">
        <v>6362.4</v>
      </c>
      <c r="CL6">
        <v>12</v>
      </c>
      <c r="CM6">
        <v>6940.7999999999993</v>
      </c>
      <c r="CN6">
        <v>7</v>
      </c>
      <c r="CO6">
        <v>4048.7999999999997</v>
      </c>
      <c r="CP6">
        <v>8</v>
      </c>
      <c r="CQ6">
        <v>4627.2</v>
      </c>
      <c r="CR6">
        <v>10</v>
      </c>
      <c r="CS6">
        <v>5784</v>
      </c>
      <c r="CT6">
        <v>13</v>
      </c>
      <c r="CU6">
        <v>7519.2</v>
      </c>
    </row>
    <row r="7" spans="1:99" x14ac:dyDescent="0.2">
      <c r="C7" s="119" t="s">
        <v>173</v>
      </c>
      <c r="D7">
        <v>8</v>
      </c>
      <c r="E7">
        <v>6307.2</v>
      </c>
      <c r="F7">
        <v>9</v>
      </c>
      <c r="G7">
        <v>7095.5999999999995</v>
      </c>
      <c r="H7">
        <v>7</v>
      </c>
      <c r="I7">
        <v>5518.8</v>
      </c>
      <c r="J7">
        <v>10</v>
      </c>
      <c r="K7">
        <v>7884</v>
      </c>
      <c r="L7">
        <v>6</v>
      </c>
      <c r="M7">
        <v>4730.3999999999996</v>
      </c>
      <c r="N7">
        <v>9</v>
      </c>
      <c r="O7">
        <v>7095.5999999999995</v>
      </c>
      <c r="P7">
        <v>10</v>
      </c>
      <c r="Q7">
        <v>7884</v>
      </c>
      <c r="R7">
        <v>8</v>
      </c>
      <c r="S7">
        <v>6307.2</v>
      </c>
      <c r="T7">
        <v>5</v>
      </c>
      <c r="U7">
        <v>3942</v>
      </c>
      <c r="V7">
        <v>6</v>
      </c>
      <c r="W7">
        <v>4730.3999999999996</v>
      </c>
      <c r="X7">
        <v>10</v>
      </c>
      <c r="Y7">
        <v>7884</v>
      </c>
      <c r="Z7">
        <v>8</v>
      </c>
      <c r="AA7">
        <v>6307.2</v>
      </c>
      <c r="AB7">
        <v>9</v>
      </c>
      <c r="AC7">
        <v>7095.5999999999995</v>
      </c>
      <c r="AD7">
        <v>8</v>
      </c>
      <c r="AE7">
        <v>6307.2</v>
      </c>
      <c r="AF7">
        <v>9</v>
      </c>
      <c r="AG7">
        <v>7095.5999999999995</v>
      </c>
      <c r="AH7">
        <v>11</v>
      </c>
      <c r="AI7">
        <v>8672.4</v>
      </c>
      <c r="AJ7">
        <v>11</v>
      </c>
      <c r="AK7">
        <v>8672.4</v>
      </c>
      <c r="AL7">
        <v>10</v>
      </c>
      <c r="AM7">
        <v>7884</v>
      </c>
      <c r="AN7">
        <v>7</v>
      </c>
      <c r="AO7">
        <v>5518.8</v>
      </c>
      <c r="AP7">
        <v>10</v>
      </c>
      <c r="AQ7">
        <v>7884</v>
      </c>
      <c r="AR7">
        <v>6</v>
      </c>
      <c r="AS7">
        <v>4730.3999999999996</v>
      </c>
      <c r="AT7">
        <v>8</v>
      </c>
      <c r="AU7">
        <v>6307.2</v>
      </c>
      <c r="AV7">
        <v>8</v>
      </c>
      <c r="AW7">
        <v>6307.2</v>
      </c>
      <c r="AX7">
        <v>12</v>
      </c>
      <c r="AY7">
        <v>9460.7999999999993</v>
      </c>
      <c r="AZ7">
        <v>10</v>
      </c>
      <c r="BA7">
        <v>7884</v>
      </c>
      <c r="BB7">
        <v>7</v>
      </c>
      <c r="BC7">
        <v>5518.8</v>
      </c>
      <c r="BD7">
        <v>6</v>
      </c>
      <c r="BE7">
        <v>4730.3999999999996</v>
      </c>
      <c r="BF7">
        <v>6</v>
      </c>
      <c r="BG7">
        <v>4730.3999999999996</v>
      </c>
      <c r="BH7">
        <v>7</v>
      </c>
      <c r="BI7">
        <v>5518.8</v>
      </c>
      <c r="BJ7">
        <v>9</v>
      </c>
      <c r="BK7">
        <v>7095.5999999999995</v>
      </c>
      <c r="BL7">
        <v>9</v>
      </c>
      <c r="BM7">
        <v>7095.5999999999995</v>
      </c>
      <c r="BN7">
        <v>10</v>
      </c>
      <c r="BO7">
        <v>7884</v>
      </c>
      <c r="BP7">
        <v>7</v>
      </c>
      <c r="BQ7">
        <v>5518.8</v>
      </c>
      <c r="BR7">
        <v>7</v>
      </c>
      <c r="BS7">
        <v>5518.8</v>
      </c>
      <c r="BT7">
        <v>6</v>
      </c>
      <c r="BU7">
        <v>4730.3999999999996</v>
      </c>
      <c r="BV7">
        <v>11</v>
      </c>
      <c r="BW7">
        <v>8672.4</v>
      </c>
      <c r="BX7">
        <v>9</v>
      </c>
      <c r="BY7">
        <v>7095.5999999999995</v>
      </c>
      <c r="BZ7">
        <v>12</v>
      </c>
      <c r="CA7">
        <v>9460.7999999999993</v>
      </c>
      <c r="CB7">
        <v>9</v>
      </c>
      <c r="CC7">
        <v>7095.5999999999995</v>
      </c>
      <c r="CD7">
        <v>8</v>
      </c>
      <c r="CE7">
        <v>6307.2</v>
      </c>
      <c r="CF7">
        <v>8</v>
      </c>
      <c r="CG7">
        <v>6307.2</v>
      </c>
      <c r="CH7">
        <v>7</v>
      </c>
      <c r="CI7">
        <v>5518.8</v>
      </c>
      <c r="CJ7">
        <v>12</v>
      </c>
      <c r="CK7">
        <v>9460.7999999999993</v>
      </c>
      <c r="CL7">
        <v>12</v>
      </c>
      <c r="CM7">
        <v>9460.7999999999993</v>
      </c>
      <c r="CN7">
        <v>6</v>
      </c>
      <c r="CO7">
        <v>4730.3999999999996</v>
      </c>
      <c r="CP7">
        <v>7</v>
      </c>
      <c r="CQ7">
        <v>5518.8</v>
      </c>
      <c r="CR7">
        <v>10</v>
      </c>
      <c r="CS7">
        <v>7884</v>
      </c>
      <c r="CT7">
        <v>12</v>
      </c>
      <c r="CU7">
        <v>9460.7999999999993</v>
      </c>
    </row>
    <row r="8" spans="1:99" x14ac:dyDescent="0.2">
      <c r="C8" s="119" t="s">
        <v>174</v>
      </c>
      <c r="D8">
        <v>9</v>
      </c>
      <c r="E8">
        <v>2786.3999999999996</v>
      </c>
      <c r="F8">
        <v>8</v>
      </c>
      <c r="G8">
        <v>2476.7999999999997</v>
      </c>
      <c r="H8">
        <v>9</v>
      </c>
      <c r="I8">
        <v>2786.3999999999996</v>
      </c>
      <c r="J8">
        <v>9</v>
      </c>
      <c r="K8">
        <v>2786.3999999999996</v>
      </c>
      <c r="L8">
        <v>6</v>
      </c>
      <c r="M8">
        <v>1857.6</v>
      </c>
      <c r="N8">
        <v>8</v>
      </c>
      <c r="O8">
        <v>2476.7999999999997</v>
      </c>
      <c r="P8">
        <v>10</v>
      </c>
      <c r="Q8">
        <v>3095.9999999999995</v>
      </c>
      <c r="R8">
        <v>8</v>
      </c>
      <c r="S8">
        <v>2476.7999999999997</v>
      </c>
      <c r="T8">
        <v>6</v>
      </c>
      <c r="U8">
        <v>1857.6</v>
      </c>
      <c r="V8">
        <v>6</v>
      </c>
      <c r="W8">
        <v>1857.6</v>
      </c>
      <c r="X8">
        <v>12</v>
      </c>
      <c r="Y8">
        <v>3715.2</v>
      </c>
      <c r="Z8">
        <v>9</v>
      </c>
      <c r="AA8">
        <v>2786.3999999999996</v>
      </c>
      <c r="AB8">
        <v>9</v>
      </c>
      <c r="AC8">
        <v>2786.3999999999996</v>
      </c>
      <c r="AD8">
        <v>9</v>
      </c>
      <c r="AE8">
        <v>2786.3999999999996</v>
      </c>
      <c r="AF8">
        <v>9</v>
      </c>
      <c r="AG8">
        <v>2786.3999999999996</v>
      </c>
      <c r="AH8">
        <v>10</v>
      </c>
      <c r="AI8">
        <v>3095.9999999999995</v>
      </c>
      <c r="AJ8">
        <v>10</v>
      </c>
      <c r="AK8">
        <v>3095.9999999999995</v>
      </c>
      <c r="AL8">
        <v>11</v>
      </c>
      <c r="AM8">
        <v>3405.5999999999995</v>
      </c>
      <c r="AN8">
        <v>6</v>
      </c>
      <c r="AO8">
        <v>1857.6</v>
      </c>
      <c r="AP8">
        <v>11</v>
      </c>
      <c r="AQ8">
        <v>3405.5999999999995</v>
      </c>
      <c r="AR8">
        <v>7</v>
      </c>
      <c r="AS8">
        <v>2167.1999999999998</v>
      </c>
      <c r="AT8">
        <v>9</v>
      </c>
      <c r="AU8">
        <v>2786.3999999999996</v>
      </c>
      <c r="AV8">
        <v>7</v>
      </c>
      <c r="AW8">
        <v>2167.1999999999998</v>
      </c>
      <c r="AX8">
        <v>12</v>
      </c>
      <c r="AY8">
        <v>3715.2</v>
      </c>
      <c r="AZ8">
        <v>9</v>
      </c>
      <c r="BA8">
        <v>2786.3999999999996</v>
      </c>
      <c r="BB8">
        <v>8</v>
      </c>
      <c r="BC8">
        <v>2476.7999999999997</v>
      </c>
      <c r="BD8">
        <v>7</v>
      </c>
      <c r="BE8">
        <v>2167.1999999999998</v>
      </c>
      <c r="BF8">
        <v>7</v>
      </c>
      <c r="BG8">
        <v>2167.1999999999998</v>
      </c>
      <c r="BH8">
        <v>8</v>
      </c>
      <c r="BI8">
        <v>2476.7999999999997</v>
      </c>
      <c r="BJ8">
        <v>9</v>
      </c>
      <c r="BK8">
        <v>2786.3999999999996</v>
      </c>
      <c r="BL8">
        <v>10</v>
      </c>
      <c r="BM8">
        <v>3095.9999999999995</v>
      </c>
      <c r="BN8">
        <v>10</v>
      </c>
      <c r="BO8">
        <v>3095.9999999999995</v>
      </c>
      <c r="BP8">
        <v>7</v>
      </c>
      <c r="BQ8">
        <v>2167.1999999999998</v>
      </c>
      <c r="BR8">
        <v>8</v>
      </c>
      <c r="BS8">
        <v>2476.7999999999997</v>
      </c>
      <c r="BT8">
        <v>7</v>
      </c>
      <c r="BU8">
        <v>2167.1999999999998</v>
      </c>
      <c r="BV8">
        <v>13</v>
      </c>
      <c r="BW8">
        <v>4024.7999999999997</v>
      </c>
      <c r="BX8">
        <v>11</v>
      </c>
      <c r="BY8">
        <v>3405.5999999999995</v>
      </c>
      <c r="BZ8">
        <v>13</v>
      </c>
      <c r="CA8">
        <v>4024.7999999999997</v>
      </c>
      <c r="CB8">
        <v>10</v>
      </c>
      <c r="CC8">
        <v>3095.9999999999995</v>
      </c>
      <c r="CD8">
        <v>9</v>
      </c>
      <c r="CE8">
        <v>2786.3999999999996</v>
      </c>
      <c r="CF8">
        <v>9</v>
      </c>
      <c r="CG8">
        <v>2786.3999999999996</v>
      </c>
      <c r="CH8">
        <v>8</v>
      </c>
      <c r="CI8">
        <v>2476.7999999999997</v>
      </c>
      <c r="CJ8">
        <v>12</v>
      </c>
      <c r="CK8">
        <v>3715.2</v>
      </c>
      <c r="CL8">
        <v>12</v>
      </c>
      <c r="CM8">
        <v>3715.2</v>
      </c>
      <c r="CN8">
        <v>6</v>
      </c>
      <c r="CO8">
        <v>1857.6</v>
      </c>
      <c r="CP8">
        <v>8</v>
      </c>
      <c r="CQ8">
        <v>2476.7999999999997</v>
      </c>
      <c r="CR8">
        <v>10</v>
      </c>
      <c r="CS8">
        <v>3095.9999999999995</v>
      </c>
      <c r="CT8">
        <v>14</v>
      </c>
      <c r="CU8">
        <v>4334.3999999999996</v>
      </c>
    </row>
    <row r="9" spans="1:99" x14ac:dyDescent="0.2">
      <c r="C9" s="119" t="s">
        <v>175</v>
      </c>
      <c r="D9">
        <v>9</v>
      </c>
      <c r="E9">
        <v>6318</v>
      </c>
      <c r="F9">
        <v>8</v>
      </c>
      <c r="G9">
        <v>5616</v>
      </c>
      <c r="H9">
        <v>8</v>
      </c>
      <c r="I9">
        <v>5616</v>
      </c>
      <c r="J9">
        <v>9</v>
      </c>
      <c r="K9">
        <v>6318</v>
      </c>
      <c r="L9">
        <v>6</v>
      </c>
      <c r="M9">
        <v>4212</v>
      </c>
      <c r="N9">
        <v>8</v>
      </c>
      <c r="O9">
        <v>5616</v>
      </c>
      <c r="P9">
        <v>10</v>
      </c>
      <c r="Q9">
        <v>7020</v>
      </c>
      <c r="R9">
        <v>9</v>
      </c>
      <c r="S9">
        <v>6318</v>
      </c>
      <c r="T9">
        <v>6</v>
      </c>
      <c r="U9">
        <v>4212</v>
      </c>
      <c r="V9">
        <v>6</v>
      </c>
      <c r="W9">
        <v>4212</v>
      </c>
      <c r="X9">
        <v>11</v>
      </c>
      <c r="Y9">
        <v>7722</v>
      </c>
      <c r="Z9">
        <v>8</v>
      </c>
      <c r="AA9">
        <v>5616</v>
      </c>
      <c r="AB9">
        <v>8</v>
      </c>
      <c r="AC9">
        <v>5616</v>
      </c>
      <c r="AD9">
        <v>7</v>
      </c>
      <c r="AE9">
        <v>4914</v>
      </c>
      <c r="AF9">
        <v>8</v>
      </c>
      <c r="AG9">
        <v>5616</v>
      </c>
      <c r="AH9">
        <v>11</v>
      </c>
      <c r="AI9">
        <v>7722</v>
      </c>
      <c r="AJ9">
        <v>11</v>
      </c>
      <c r="AK9">
        <v>7722</v>
      </c>
      <c r="AL9">
        <v>10</v>
      </c>
      <c r="AM9">
        <v>7020</v>
      </c>
      <c r="AN9">
        <v>6</v>
      </c>
      <c r="AO9">
        <v>4212</v>
      </c>
      <c r="AP9">
        <v>10</v>
      </c>
      <c r="AQ9">
        <v>7020</v>
      </c>
      <c r="AR9">
        <v>6</v>
      </c>
      <c r="AS9">
        <v>4212</v>
      </c>
      <c r="AT9">
        <v>8</v>
      </c>
      <c r="AU9">
        <v>5616</v>
      </c>
      <c r="AV9">
        <v>7</v>
      </c>
      <c r="AW9">
        <v>4914</v>
      </c>
      <c r="AX9">
        <v>10</v>
      </c>
      <c r="AY9">
        <v>7020</v>
      </c>
      <c r="AZ9">
        <v>9</v>
      </c>
      <c r="BA9">
        <v>6318</v>
      </c>
      <c r="BB9">
        <v>7</v>
      </c>
      <c r="BC9">
        <v>4914</v>
      </c>
      <c r="BD9">
        <v>7</v>
      </c>
      <c r="BE9">
        <v>4914</v>
      </c>
      <c r="BF9">
        <v>6</v>
      </c>
      <c r="BG9">
        <v>4212</v>
      </c>
      <c r="BH9">
        <v>6</v>
      </c>
      <c r="BI9">
        <v>4212</v>
      </c>
      <c r="BJ9">
        <v>8</v>
      </c>
      <c r="BK9">
        <v>5616</v>
      </c>
      <c r="BL9">
        <v>9</v>
      </c>
      <c r="BM9">
        <v>6318</v>
      </c>
      <c r="BN9">
        <v>9</v>
      </c>
      <c r="BO9">
        <v>6318</v>
      </c>
      <c r="BP9">
        <v>7</v>
      </c>
      <c r="BQ9">
        <v>4914</v>
      </c>
      <c r="BR9">
        <v>8</v>
      </c>
      <c r="BS9">
        <v>5616</v>
      </c>
      <c r="BT9">
        <v>7</v>
      </c>
      <c r="BU9">
        <v>4914</v>
      </c>
      <c r="BV9">
        <v>13</v>
      </c>
      <c r="BW9">
        <v>9126</v>
      </c>
      <c r="BX9">
        <v>11</v>
      </c>
      <c r="BY9">
        <v>7722</v>
      </c>
      <c r="BZ9">
        <v>11</v>
      </c>
      <c r="CA9">
        <v>7722</v>
      </c>
      <c r="CB9">
        <v>10</v>
      </c>
      <c r="CC9">
        <v>7020</v>
      </c>
      <c r="CD9">
        <v>7</v>
      </c>
      <c r="CE9">
        <v>4914</v>
      </c>
      <c r="CF9">
        <v>8</v>
      </c>
      <c r="CG9">
        <v>5616</v>
      </c>
      <c r="CH9">
        <v>7</v>
      </c>
      <c r="CI9">
        <v>4914</v>
      </c>
      <c r="CJ9">
        <v>11</v>
      </c>
      <c r="CK9">
        <v>7722</v>
      </c>
      <c r="CL9">
        <v>11</v>
      </c>
      <c r="CM9">
        <v>7722</v>
      </c>
      <c r="CN9">
        <v>7</v>
      </c>
      <c r="CO9">
        <v>4914</v>
      </c>
      <c r="CP9">
        <v>8</v>
      </c>
      <c r="CQ9">
        <v>5616</v>
      </c>
      <c r="CR9">
        <v>9</v>
      </c>
      <c r="CS9">
        <v>6318</v>
      </c>
      <c r="CT9">
        <v>12</v>
      </c>
      <c r="CU9">
        <v>8424</v>
      </c>
    </row>
    <row r="10" spans="1:99" x14ac:dyDescent="0.2">
      <c r="C10" s="119" t="s">
        <v>176</v>
      </c>
      <c r="D10">
        <v>8</v>
      </c>
      <c r="E10">
        <v>4358.3999999999996</v>
      </c>
      <c r="F10">
        <v>8</v>
      </c>
      <c r="G10">
        <v>4358.3999999999996</v>
      </c>
      <c r="H10">
        <v>7</v>
      </c>
      <c r="I10">
        <v>3813.5999999999995</v>
      </c>
      <c r="J10">
        <v>10</v>
      </c>
      <c r="K10">
        <v>5448</v>
      </c>
      <c r="L10">
        <v>6</v>
      </c>
      <c r="M10">
        <v>3268.7999999999997</v>
      </c>
      <c r="N10">
        <v>8</v>
      </c>
      <c r="O10">
        <v>4358.3999999999996</v>
      </c>
      <c r="P10">
        <v>11</v>
      </c>
      <c r="Q10">
        <v>5992.7999999999993</v>
      </c>
      <c r="R10">
        <v>9</v>
      </c>
      <c r="S10">
        <v>4903.2</v>
      </c>
      <c r="T10">
        <v>6</v>
      </c>
      <c r="U10">
        <v>3268.7999999999997</v>
      </c>
      <c r="V10">
        <v>6</v>
      </c>
      <c r="W10">
        <v>3268.7999999999997</v>
      </c>
      <c r="X10">
        <v>11</v>
      </c>
      <c r="Y10">
        <v>5992.7999999999993</v>
      </c>
      <c r="Z10">
        <v>10</v>
      </c>
      <c r="AA10">
        <v>5448</v>
      </c>
      <c r="AB10">
        <v>8</v>
      </c>
      <c r="AC10">
        <v>4358.3999999999996</v>
      </c>
      <c r="AD10">
        <v>8</v>
      </c>
      <c r="AE10">
        <v>4358.3999999999996</v>
      </c>
      <c r="AF10">
        <v>8</v>
      </c>
      <c r="AG10">
        <v>4358.3999999999996</v>
      </c>
      <c r="AH10">
        <v>10</v>
      </c>
      <c r="AI10">
        <v>5448</v>
      </c>
      <c r="AJ10">
        <v>11</v>
      </c>
      <c r="AK10">
        <v>5992.7999999999993</v>
      </c>
      <c r="AL10">
        <v>9</v>
      </c>
      <c r="AM10">
        <v>4903.2</v>
      </c>
      <c r="AN10">
        <v>6</v>
      </c>
      <c r="AO10">
        <v>3268.7999999999997</v>
      </c>
      <c r="AP10">
        <v>11</v>
      </c>
      <c r="AQ10">
        <v>5992.7999999999993</v>
      </c>
      <c r="AR10">
        <v>6</v>
      </c>
      <c r="AS10">
        <v>3268.7999999999997</v>
      </c>
      <c r="AT10">
        <v>8</v>
      </c>
      <c r="AU10">
        <v>4358.3999999999996</v>
      </c>
      <c r="AV10">
        <v>7</v>
      </c>
      <c r="AW10">
        <v>3813.5999999999995</v>
      </c>
      <c r="AX10">
        <v>12</v>
      </c>
      <c r="AY10">
        <v>6537.5999999999995</v>
      </c>
      <c r="AZ10">
        <v>11</v>
      </c>
      <c r="BA10">
        <v>5992.7999999999993</v>
      </c>
      <c r="BB10">
        <v>8</v>
      </c>
      <c r="BC10">
        <v>4358.3999999999996</v>
      </c>
      <c r="BD10">
        <v>6</v>
      </c>
      <c r="BE10">
        <v>3268.7999999999997</v>
      </c>
      <c r="BF10">
        <v>6</v>
      </c>
      <c r="BG10">
        <v>3268.7999999999997</v>
      </c>
      <c r="BH10">
        <v>7</v>
      </c>
      <c r="BI10">
        <v>3813.5999999999995</v>
      </c>
      <c r="BJ10">
        <v>9</v>
      </c>
      <c r="BK10">
        <v>4903.2</v>
      </c>
      <c r="BL10">
        <v>10</v>
      </c>
      <c r="BM10">
        <v>5448</v>
      </c>
      <c r="BN10">
        <v>10</v>
      </c>
      <c r="BO10">
        <v>5448</v>
      </c>
      <c r="BP10">
        <v>7</v>
      </c>
      <c r="BQ10">
        <v>3813.5999999999995</v>
      </c>
      <c r="BR10">
        <v>8</v>
      </c>
      <c r="BS10">
        <v>4358.3999999999996</v>
      </c>
      <c r="BT10">
        <v>7</v>
      </c>
      <c r="BU10">
        <v>3813.5999999999995</v>
      </c>
      <c r="BV10">
        <v>11</v>
      </c>
      <c r="BW10">
        <v>5992.7999999999993</v>
      </c>
      <c r="BX10">
        <v>10</v>
      </c>
      <c r="BY10">
        <v>5448</v>
      </c>
      <c r="BZ10">
        <v>13</v>
      </c>
      <c r="CA10">
        <v>7082.4</v>
      </c>
      <c r="CB10">
        <v>10</v>
      </c>
      <c r="CC10">
        <v>5448</v>
      </c>
      <c r="CD10">
        <v>8</v>
      </c>
      <c r="CE10">
        <v>4358.3999999999996</v>
      </c>
      <c r="CF10">
        <v>9</v>
      </c>
      <c r="CG10">
        <v>4903.2</v>
      </c>
      <c r="CH10">
        <v>8</v>
      </c>
      <c r="CI10">
        <v>4358.3999999999996</v>
      </c>
      <c r="CJ10">
        <v>11</v>
      </c>
      <c r="CK10">
        <v>5992.7999999999993</v>
      </c>
      <c r="CL10">
        <v>13</v>
      </c>
      <c r="CM10">
        <v>7082.4</v>
      </c>
      <c r="CN10">
        <v>7</v>
      </c>
      <c r="CO10">
        <v>3813.5999999999995</v>
      </c>
      <c r="CP10">
        <v>7</v>
      </c>
      <c r="CQ10">
        <v>3813.5999999999995</v>
      </c>
      <c r="CR10">
        <v>9</v>
      </c>
      <c r="CS10">
        <v>4903.2</v>
      </c>
      <c r="CT10">
        <v>14</v>
      </c>
      <c r="CU10">
        <v>7627.1999999999989</v>
      </c>
    </row>
    <row r="11" spans="1:99" x14ac:dyDescent="0.2">
      <c r="C11" s="119" t="s">
        <v>177</v>
      </c>
      <c r="D11">
        <v>9</v>
      </c>
      <c r="E11">
        <v>4795.2</v>
      </c>
      <c r="F11">
        <v>9</v>
      </c>
      <c r="G11">
        <v>4795.2</v>
      </c>
      <c r="H11">
        <v>8</v>
      </c>
      <c r="I11">
        <v>4262.3999999999996</v>
      </c>
      <c r="J11">
        <v>8</v>
      </c>
      <c r="K11">
        <v>4262.3999999999996</v>
      </c>
      <c r="L11">
        <v>6</v>
      </c>
      <c r="M11">
        <v>3196.7999999999997</v>
      </c>
      <c r="N11">
        <v>9</v>
      </c>
      <c r="O11">
        <v>4795.2</v>
      </c>
      <c r="P11">
        <v>10</v>
      </c>
      <c r="Q11">
        <v>5328</v>
      </c>
      <c r="R11">
        <v>9</v>
      </c>
      <c r="S11">
        <v>4795.2</v>
      </c>
      <c r="T11">
        <v>6</v>
      </c>
      <c r="U11">
        <v>3196.7999999999997</v>
      </c>
      <c r="V11">
        <v>6</v>
      </c>
      <c r="W11">
        <v>3196.7999999999997</v>
      </c>
      <c r="X11">
        <v>11</v>
      </c>
      <c r="Y11">
        <v>5860.7999999999993</v>
      </c>
      <c r="Z11">
        <v>9</v>
      </c>
      <c r="AA11">
        <v>4795.2</v>
      </c>
      <c r="AB11">
        <v>8</v>
      </c>
      <c r="AC11">
        <v>4262.3999999999996</v>
      </c>
      <c r="AD11">
        <v>8</v>
      </c>
      <c r="AE11">
        <v>4262.3999999999996</v>
      </c>
      <c r="AF11">
        <v>9</v>
      </c>
      <c r="AG11">
        <v>4795.2</v>
      </c>
      <c r="AH11">
        <v>10</v>
      </c>
      <c r="AI11">
        <v>5328</v>
      </c>
      <c r="AJ11">
        <v>11</v>
      </c>
      <c r="AK11">
        <v>5860.7999999999993</v>
      </c>
      <c r="AL11">
        <v>11</v>
      </c>
      <c r="AM11">
        <v>5860.7999999999993</v>
      </c>
      <c r="AN11">
        <v>6</v>
      </c>
      <c r="AO11">
        <v>3196.7999999999997</v>
      </c>
      <c r="AP11">
        <v>10</v>
      </c>
      <c r="AQ11">
        <v>5328</v>
      </c>
      <c r="AR11">
        <v>6</v>
      </c>
      <c r="AS11">
        <v>3196.7999999999997</v>
      </c>
      <c r="AT11">
        <v>9</v>
      </c>
      <c r="AU11">
        <v>4795.2</v>
      </c>
      <c r="AV11">
        <v>8</v>
      </c>
      <c r="AW11">
        <v>4262.3999999999996</v>
      </c>
      <c r="AX11">
        <v>11</v>
      </c>
      <c r="AY11">
        <v>5860.7999999999993</v>
      </c>
      <c r="AZ11">
        <v>9</v>
      </c>
      <c r="BA11">
        <v>4795.2</v>
      </c>
      <c r="BB11">
        <v>8</v>
      </c>
      <c r="BC11">
        <v>4262.3999999999996</v>
      </c>
      <c r="BD11">
        <v>6</v>
      </c>
      <c r="BE11">
        <v>3196.7999999999997</v>
      </c>
      <c r="BF11">
        <v>6</v>
      </c>
      <c r="BG11">
        <v>3196.7999999999997</v>
      </c>
      <c r="BH11">
        <v>7</v>
      </c>
      <c r="BI11">
        <v>3729.5999999999995</v>
      </c>
      <c r="BJ11">
        <v>9</v>
      </c>
      <c r="BK11">
        <v>4795.2</v>
      </c>
      <c r="BL11">
        <v>9</v>
      </c>
      <c r="BM11">
        <v>4795.2</v>
      </c>
      <c r="BN11">
        <v>9</v>
      </c>
      <c r="BO11">
        <v>4795.2</v>
      </c>
      <c r="BP11">
        <v>7</v>
      </c>
      <c r="BQ11">
        <v>3729.5999999999995</v>
      </c>
      <c r="BR11">
        <v>8</v>
      </c>
      <c r="BS11">
        <v>4262.3999999999996</v>
      </c>
      <c r="BT11">
        <v>7</v>
      </c>
      <c r="BU11">
        <v>3729.5999999999995</v>
      </c>
      <c r="BV11">
        <v>12</v>
      </c>
      <c r="BW11">
        <v>6393.5999999999995</v>
      </c>
      <c r="BX11">
        <v>11</v>
      </c>
      <c r="BY11">
        <v>5860.7999999999993</v>
      </c>
      <c r="BZ11">
        <v>11</v>
      </c>
      <c r="CA11">
        <v>5860.7999999999993</v>
      </c>
      <c r="CB11">
        <v>10</v>
      </c>
      <c r="CC11">
        <v>5328</v>
      </c>
      <c r="CD11">
        <v>7</v>
      </c>
      <c r="CE11">
        <v>3729.5999999999995</v>
      </c>
      <c r="CF11">
        <v>9</v>
      </c>
      <c r="CG11">
        <v>4795.2</v>
      </c>
      <c r="CH11">
        <v>8</v>
      </c>
      <c r="CI11">
        <v>4262.3999999999996</v>
      </c>
      <c r="CJ11">
        <v>11</v>
      </c>
      <c r="CK11">
        <v>5860.7999999999993</v>
      </c>
      <c r="CL11">
        <v>12</v>
      </c>
      <c r="CM11">
        <v>6393.5999999999995</v>
      </c>
      <c r="CN11">
        <v>6</v>
      </c>
      <c r="CO11">
        <v>3196.7999999999997</v>
      </c>
      <c r="CP11">
        <v>7</v>
      </c>
      <c r="CQ11">
        <v>3729.5999999999995</v>
      </c>
      <c r="CR11">
        <v>9</v>
      </c>
      <c r="CS11">
        <v>4795.2</v>
      </c>
      <c r="CT11">
        <v>13</v>
      </c>
      <c r="CU11">
        <v>6926.4</v>
      </c>
    </row>
    <row r="12" spans="1:99" x14ac:dyDescent="0.2">
      <c r="C12" s="119" t="s">
        <v>178</v>
      </c>
      <c r="D12">
        <v>9</v>
      </c>
      <c r="E12">
        <v>5065.2</v>
      </c>
      <c r="F12">
        <v>8</v>
      </c>
      <c r="G12">
        <v>4502.3999999999996</v>
      </c>
      <c r="H12">
        <v>8</v>
      </c>
      <c r="I12">
        <v>4502.3999999999996</v>
      </c>
      <c r="J12">
        <v>9</v>
      </c>
      <c r="K12">
        <v>5065.2</v>
      </c>
      <c r="L12">
        <v>6</v>
      </c>
      <c r="M12">
        <v>3376.7999999999997</v>
      </c>
      <c r="N12">
        <v>8</v>
      </c>
      <c r="O12">
        <v>4502.3999999999996</v>
      </c>
      <c r="P12">
        <v>10</v>
      </c>
      <c r="Q12">
        <v>5628</v>
      </c>
      <c r="R12">
        <v>8</v>
      </c>
      <c r="S12">
        <v>4502.3999999999996</v>
      </c>
      <c r="T12">
        <v>6</v>
      </c>
      <c r="U12">
        <v>3376.7999999999997</v>
      </c>
      <c r="V12">
        <v>6</v>
      </c>
      <c r="W12">
        <v>3376.7999999999997</v>
      </c>
      <c r="X12">
        <v>10</v>
      </c>
      <c r="Y12">
        <v>5628</v>
      </c>
      <c r="Z12">
        <v>9</v>
      </c>
      <c r="AA12">
        <v>5065.2</v>
      </c>
      <c r="AB12">
        <v>8</v>
      </c>
      <c r="AC12">
        <v>4502.3999999999996</v>
      </c>
      <c r="AD12">
        <v>9</v>
      </c>
      <c r="AE12">
        <v>5065.2</v>
      </c>
      <c r="AF12">
        <v>8</v>
      </c>
      <c r="AG12">
        <v>4502.3999999999996</v>
      </c>
      <c r="AH12">
        <v>10</v>
      </c>
      <c r="AI12">
        <v>5628</v>
      </c>
      <c r="AJ12">
        <v>10</v>
      </c>
      <c r="AK12">
        <v>5628</v>
      </c>
      <c r="AL12">
        <v>11</v>
      </c>
      <c r="AM12">
        <v>6190.7999999999993</v>
      </c>
      <c r="AN12">
        <v>6</v>
      </c>
      <c r="AO12">
        <v>3376.7999999999997</v>
      </c>
      <c r="AP12">
        <v>10</v>
      </c>
      <c r="AQ12">
        <v>5628</v>
      </c>
      <c r="AR12">
        <v>6</v>
      </c>
      <c r="AS12">
        <v>3376.7999999999997</v>
      </c>
      <c r="AT12">
        <v>7</v>
      </c>
      <c r="AU12">
        <v>3939.5999999999995</v>
      </c>
      <c r="AV12">
        <v>8</v>
      </c>
      <c r="AW12">
        <v>4502.3999999999996</v>
      </c>
      <c r="AX12">
        <v>13</v>
      </c>
      <c r="AY12">
        <v>7316.4</v>
      </c>
      <c r="AZ12">
        <v>10</v>
      </c>
      <c r="BA12">
        <v>5628</v>
      </c>
      <c r="BB12">
        <v>8</v>
      </c>
      <c r="BC12">
        <v>4502.3999999999996</v>
      </c>
      <c r="BD12">
        <v>7</v>
      </c>
      <c r="BE12">
        <v>3939.5999999999995</v>
      </c>
      <c r="BF12">
        <v>7</v>
      </c>
      <c r="BG12">
        <v>3939.5999999999995</v>
      </c>
      <c r="BH12">
        <v>8</v>
      </c>
      <c r="BI12">
        <v>4502.3999999999996</v>
      </c>
      <c r="BJ12">
        <v>10</v>
      </c>
      <c r="BK12">
        <v>5628</v>
      </c>
      <c r="BL12">
        <v>10</v>
      </c>
      <c r="BM12">
        <v>5628</v>
      </c>
      <c r="BN12">
        <v>9</v>
      </c>
      <c r="BO12">
        <v>5065.2</v>
      </c>
      <c r="BP12">
        <v>6</v>
      </c>
      <c r="BQ12">
        <v>3376.7999999999997</v>
      </c>
      <c r="BR12">
        <v>8</v>
      </c>
      <c r="BS12">
        <v>4502.3999999999996</v>
      </c>
      <c r="BT12">
        <v>7</v>
      </c>
      <c r="BU12">
        <v>3939.5999999999995</v>
      </c>
      <c r="BV12">
        <v>13</v>
      </c>
      <c r="BW12">
        <v>7316.4</v>
      </c>
      <c r="BX12">
        <v>11</v>
      </c>
      <c r="BY12">
        <v>6190.7999999999993</v>
      </c>
      <c r="BZ12">
        <v>13</v>
      </c>
      <c r="CA12">
        <v>7316.4</v>
      </c>
      <c r="CB12">
        <v>10</v>
      </c>
      <c r="CC12">
        <v>5628</v>
      </c>
      <c r="CD12">
        <v>8</v>
      </c>
      <c r="CE12">
        <v>4502.3999999999996</v>
      </c>
      <c r="CF12">
        <v>9</v>
      </c>
      <c r="CG12">
        <v>5065.2</v>
      </c>
      <c r="CH12">
        <v>7</v>
      </c>
      <c r="CI12">
        <v>3939.5999999999995</v>
      </c>
      <c r="CJ12">
        <v>12</v>
      </c>
      <c r="CK12">
        <v>6753.5999999999995</v>
      </c>
      <c r="CL12">
        <v>13</v>
      </c>
      <c r="CM12">
        <v>7316.4</v>
      </c>
      <c r="CN12">
        <v>7</v>
      </c>
      <c r="CO12">
        <v>3939.5999999999995</v>
      </c>
      <c r="CP12">
        <v>7</v>
      </c>
      <c r="CQ12">
        <v>3939.5999999999995</v>
      </c>
      <c r="CR12">
        <v>10</v>
      </c>
      <c r="CS12">
        <v>5628</v>
      </c>
      <c r="CT12">
        <v>14</v>
      </c>
      <c r="CU12">
        <v>7879.1999999999989</v>
      </c>
    </row>
    <row r="13" spans="1:99" x14ac:dyDescent="0.2">
      <c r="C13" s="119" t="s">
        <v>179</v>
      </c>
      <c r="D13">
        <v>9</v>
      </c>
      <c r="E13">
        <v>766.80000000000007</v>
      </c>
      <c r="F13">
        <v>8</v>
      </c>
      <c r="G13">
        <v>681.6</v>
      </c>
      <c r="H13">
        <v>8</v>
      </c>
      <c r="I13">
        <v>681.6</v>
      </c>
      <c r="J13">
        <v>9</v>
      </c>
      <c r="K13">
        <v>766.80000000000007</v>
      </c>
      <c r="L13">
        <v>6</v>
      </c>
      <c r="M13">
        <v>511.20000000000005</v>
      </c>
      <c r="N13">
        <v>9</v>
      </c>
      <c r="O13">
        <v>766.80000000000007</v>
      </c>
      <c r="P13">
        <v>10</v>
      </c>
      <c r="Q13">
        <v>852</v>
      </c>
      <c r="R13">
        <v>10</v>
      </c>
      <c r="S13">
        <v>852</v>
      </c>
      <c r="T13">
        <v>6</v>
      </c>
      <c r="U13">
        <v>511.20000000000005</v>
      </c>
      <c r="V13">
        <v>6</v>
      </c>
      <c r="W13">
        <v>511.20000000000005</v>
      </c>
      <c r="X13">
        <v>10</v>
      </c>
      <c r="Y13">
        <v>852</v>
      </c>
      <c r="Z13">
        <v>9</v>
      </c>
      <c r="AA13">
        <v>766.80000000000007</v>
      </c>
      <c r="AB13">
        <v>8</v>
      </c>
      <c r="AC13">
        <v>681.6</v>
      </c>
      <c r="AD13">
        <v>8</v>
      </c>
      <c r="AE13">
        <v>681.6</v>
      </c>
      <c r="AF13">
        <v>9</v>
      </c>
      <c r="AG13">
        <v>766.80000000000007</v>
      </c>
      <c r="AH13">
        <v>11</v>
      </c>
      <c r="AI13">
        <v>937.2</v>
      </c>
      <c r="AJ13">
        <v>12</v>
      </c>
      <c r="AK13">
        <v>1022.4000000000001</v>
      </c>
      <c r="AL13">
        <v>11</v>
      </c>
      <c r="AM13">
        <v>937.2</v>
      </c>
      <c r="AN13">
        <v>6</v>
      </c>
      <c r="AO13">
        <v>511.20000000000005</v>
      </c>
      <c r="AP13">
        <v>11</v>
      </c>
      <c r="AQ13">
        <v>937.2</v>
      </c>
      <c r="AR13">
        <v>7</v>
      </c>
      <c r="AS13">
        <v>596.4</v>
      </c>
      <c r="AT13">
        <v>9</v>
      </c>
      <c r="AU13">
        <v>766.80000000000007</v>
      </c>
      <c r="AV13">
        <v>8</v>
      </c>
      <c r="AW13">
        <v>681.6</v>
      </c>
      <c r="AX13">
        <v>11</v>
      </c>
      <c r="AY13">
        <v>937.2</v>
      </c>
      <c r="AZ13">
        <v>11</v>
      </c>
      <c r="BA13">
        <v>937.2</v>
      </c>
      <c r="BB13">
        <v>8</v>
      </c>
      <c r="BC13">
        <v>681.6</v>
      </c>
      <c r="BD13">
        <v>8</v>
      </c>
      <c r="BE13">
        <v>681.6</v>
      </c>
      <c r="BF13">
        <v>6</v>
      </c>
      <c r="BG13">
        <v>511.20000000000005</v>
      </c>
      <c r="BH13">
        <v>7</v>
      </c>
      <c r="BI13">
        <v>596.4</v>
      </c>
      <c r="BJ13">
        <v>10</v>
      </c>
      <c r="BK13">
        <v>852</v>
      </c>
      <c r="BL13">
        <v>10</v>
      </c>
      <c r="BM13">
        <v>852</v>
      </c>
      <c r="BN13">
        <v>9</v>
      </c>
      <c r="BO13">
        <v>766.80000000000007</v>
      </c>
      <c r="BP13">
        <v>7</v>
      </c>
      <c r="BQ13">
        <v>596.4</v>
      </c>
      <c r="BR13">
        <v>8</v>
      </c>
      <c r="BS13">
        <v>681.6</v>
      </c>
      <c r="BT13">
        <v>7</v>
      </c>
      <c r="BU13">
        <v>596.4</v>
      </c>
      <c r="BV13">
        <v>13</v>
      </c>
      <c r="BW13">
        <v>1107.6000000000001</v>
      </c>
      <c r="BX13">
        <v>12</v>
      </c>
      <c r="BY13">
        <v>1022.4000000000001</v>
      </c>
      <c r="BZ13">
        <v>13</v>
      </c>
      <c r="CA13">
        <v>1107.6000000000001</v>
      </c>
      <c r="CB13">
        <v>11</v>
      </c>
      <c r="CC13">
        <v>937.2</v>
      </c>
      <c r="CD13">
        <v>9</v>
      </c>
      <c r="CE13">
        <v>766.80000000000007</v>
      </c>
      <c r="CF13">
        <v>8</v>
      </c>
      <c r="CG13">
        <v>681.6</v>
      </c>
      <c r="CH13">
        <v>8</v>
      </c>
      <c r="CI13">
        <v>681.6</v>
      </c>
      <c r="CJ13">
        <v>13</v>
      </c>
      <c r="CK13">
        <v>1107.6000000000001</v>
      </c>
      <c r="CL13">
        <v>13</v>
      </c>
      <c r="CM13">
        <v>1107.6000000000001</v>
      </c>
      <c r="CN13">
        <v>7</v>
      </c>
      <c r="CO13">
        <v>596.4</v>
      </c>
      <c r="CP13">
        <v>7</v>
      </c>
      <c r="CQ13">
        <v>596.4</v>
      </c>
      <c r="CR13">
        <v>10</v>
      </c>
      <c r="CS13">
        <v>852</v>
      </c>
      <c r="CT13">
        <v>13</v>
      </c>
      <c r="CU13">
        <v>1107.6000000000001</v>
      </c>
    </row>
    <row r="14" spans="1:99" x14ac:dyDescent="0.2">
      <c r="C14" s="119" t="s">
        <v>180</v>
      </c>
      <c r="D14">
        <v>8</v>
      </c>
      <c r="E14">
        <v>3907.2</v>
      </c>
      <c r="F14">
        <v>9</v>
      </c>
      <c r="G14">
        <v>4395.5999999999995</v>
      </c>
      <c r="H14">
        <v>9</v>
      </c>
      <c r="I14">
        <v>4395.5999999999995</v>
      </c>
      <c r="J14">
        <v>8</v>
      </c>
      <c r="K14">
        <v>3907.2</v>
      </c>
      <c r="L14">
        <v>6</v>
      </c>
      <c r="M14">
        <v>2930.3999999999996</v>
      </c>
      <c r="N14">
        <v>9</v>
      </c>
      <c r="O14">
        <v>4395.5999999999995</v>
      </c>
      <c r="P14">
        <v>10</v>
      </c>
      <c r="Q14">
        <v>4884</v>
      </c>
      <c r="R14">
        <v>8</v>
      </c>
      <c r="S14">
        <v>3907.2</v>
      </c>
      <c r="T14">
        <v>5</v>
      </c>
      <c r="U14">
        <v>2442</v>
      </c>
      <c r="V14">
        <v>6</v>
      </c>
      <c r="W14">
        <v>2930.3999999999996</v>
      </c>
      <c r="X14">
        <v>11</v>
      </c>
      <c r="Y14">
        <v>5372.4</v>
      </c>
      <c r="Z14">
        <v>9</v>
      </c>
      <c r="AA14">
        <v>4395.5999999999995</v>
      </c>
      <c r="AB14">
        <v>8</v>
      </c>
      <c r="AC14">
        <v>3907.2</v>
      </c>
      <c r="AD14">
        <v>9</v>
      </c>
      <c r="AE14">
        <v>4395.5999999999995</v>
      </c>
      <c r="AF14">
        <v>9</v>
      </c>
      <c r="AG14">
        <v>4395.5999999999995</v>
      </c>
      <c r="AH14">
        <v>11</v>
      </c>
      <c r="AI14">
        <v>5372.4</v>
      </c>
      <c r="AJ14">
        <v>10</v>
      </c>
      <c r="AK14">
        <v>4884</v>
      </c>
      <c r="AL14">
        <v>11</v>
      </c>
      <c r="AM14">
        <v>5372.4</v>
      </c>
      <c r="AN14">
        <v>6</v>
      </c>
      <c r="AO14">
        <v>2930.3999999999996</v>
      </c>
      <c r="AP14">
        <v>11</v>
      </c>
      <c r="AQ14">
        <v>5372.4</v>
      </c>
      <c r="AR14">
        <v>6</v>
      </c>
      <c r="AS14">
        <v>2930.3999999999996</v>
      </c>
      <c r="AT14">
        <v>8</v>
      </c>
      <c r="AU14">
        <v>3907.2</v>
      </c>
      <c r="AV14">
        <v>7</v>
      </c>
      <c r="AW14">
        <v>3418.7999999999997</v>
      </c>
      <c r="AX14">
        <v>12</v>
      </c>
      <c r="AY14">
        <v>5860.7999999999993</v>
      </c>
      <c r="AZ14">
        <v>9</v>
      </c>
      <c r="BA14">
        <v>4395.5999999999995</v>
      </c>
      <c r="BB14">
        <v>8</v>
      </c>
      <c r="BC14">
        <v>3907.2</v>
      </c>
      <c r="BD14">
        <v>7</v>
      </c>
      <c r="BE14">
        <v>3418.7999999999997</v>
      </c>
      <c r="BF14">
        <v>7</v>
      </c>
      <c r="BG14">
        <v>3418.7999999999997</v>
      </c>
      <c r="BH14">
        <v>7</v>
      </c>
      <c r="BI14">
        <v>3418.7999999999997</v>
      </c>
      <c r="BJ14">
        <v>8</v>
      </c>
      <c r="BK14">
        <v>3907.2</v>
      </c>
      <c r="BL14">
        <v>9</v>
      </c>
      <c r="BM14">
        <v>4395.5999999999995</v>
      </c>
      <c r="BN14">
        <v>9</v>
      </c>
      <c r="BO14">
        <v>4395.5999999999995</v>
      </c>
      <c r="BP14">
        <v>6</v>
      </c>
      <c r="BQ14">
        <v>2930.3999999999996</v>
      </c>
      <c r="BR14">
        <v>8</v>
      </c>
      <c r="BS14">
        <v>3907.2</v>
      </c>
      <c r="BT14">
        <v>7</v>
      </c>
      <c r="BU14">
        <v>3418.7999999999997</v>
      </c>
      <c r="BV14">
        <v>12</v>
      </c>
      <c r="BW14">
        <v>5860.7999999999993</v>
      </c>
      <c r="BX14">
        <v>10</v>
      </c>
      <c r="BY14">
        <v>4884</v>
      </c>
      <c r="BZ14">
        <v>13</v>
      </c>
      <c r="CA14">
        <v>6349.2</v>
      </c>
      <c r="CB14">
        <v>10</v>
      </c>
      <c r="CC14">
        <v>4884</v>
      </c>
      <c r="CD14">
        <v>7</v>
      </c>
      <c r="CE14">
        <v>3418.7999999999997</v>
      </c>
      <c r="CF14">
        <v>8</v>
      </c>
      <c r="CG14">
        <v>3907.2</v>
      </c>
      <c r="CH14">
        <v>8</v>
      </c>
      <c r="CI14">
        <v>3907.2</v>
      </c>
      <c r="CJ14">
        <v>12</v>
      </c>
      <c r="CK14">
        <v>5860.7999999999993</v>
      </c>
      <c r="CL14">
        <v>11</v>
      </c>
      <c r="CM14">
        <v>5372.4</v>
      </c>
      <c r="CN14">
        <v>6</v>
      </c>
      <c r="CO14">
        <v>2930.3999999999996</v>
      </c>
      <c r="CP14">
        <v>8</v>
      </c>
      <c r="CQ14">
        <v>3907.2</v>
      </c>
      <c r="CR14">
        <v>10</v>
      </c>
      <c r="CS14">
        <v>4884</v>
      </c>
      <c r="CT14">
        <v>13</v>
      </c>
      <c r="CU14">
        <v>6349.2</v>
      </c>
    </row>
    <row r="15" spans="1:99" x14ac:dyDescent="0.2">
      <c r="C15" s="119" t="s">
        <v>181</v>
      </c>
      <c r="D15">
        <v>9</v>
      </c>
      <c r="E15">
        <v>6868.7999999999993</v>
      </c>
      <c r="F15">
        <v>8</v>
      </c>
      <c r="G15">
        <v>6105.5999999999995</v>
      </c>
      <c r="H15">
        <v>9</v>
      </c>
      <c r="I15">
        <v>6868.7999999999993</v>
      </c>
      <c r="J15">
        <v>8</v>
      </c>
      <c r="K15">
        <v>6105.5999999999995</v>
      </c>
      <c r="L15">
        <v>6</v>
      </c>
      <c r="M15">
        <v>4579.2</v>
      </c>
      <c r="N15">
        <v>8</v>
      </c>
      <c r="O15">
        <v>6105.5999999999995</v>
      </c>
      <c r="P15">
        <v>10</v>
      </c>
      <c r="Q15">
        <v>7631.9999999999991</v>
      </c>
      <c r="R15">
        <v>8</v>
      </c>
      <c r="S15">
        <v>6105.5999999999995</v>
      </c>
      <c r="T15">
        <v>6</v>
      </c>
      <c r="U15">
        <v>4579.2</v>
      </c>
      <c r="V15">
        <v>5</v>
      </c>
      <c r="W15">
        <v>3815.9999999999995</v>
      </c>
      <c r="X15">
        <v>11</v>
      </c>
      <c r="Y15">
        <v>8395.1999999999989</v>
      </c>
      <c r="Z15">
        <v>9</v>
      </c>
      <c r="AA15">
        <v>6868.7999999999993</v>
      </c>
      <c r="AB15">
        <v>7</v>
      </c>
      <c r="AC15">
        <v>5342.4</v>
      </c>
      <c r="AD15">
        <v>8</v>
      </c>
      <c r="AE15">
        <v>6105.5999999999995</v>
      </c>
      <c r="AF15">
        <v>8</v>
      </c>
      <c r="AG15">
        <v>6105.5999999999995</v>
      </c>
      <c r="AH15">
        <v>11</v>
      </c>
      <c r="AI15">
        <v>8395.1999999999989</v>
      </c>
      <c r="AJ15">
        <v>11</v>
      </c>
      <c r="AK15">
        <v>8395.1999999999989</v>
      </c>
      <c r="AL15">
        <v>10</v>
      </c>
      <c r="AM15">
        <v>7631.9999999999991</v>
      </c>
      <c r="AN15">
        <v>6</v>
      </c>
      <c r="AO15">
        <v>4579.2</v>
      </c>
      <c r="AP15">
        <v>11</v>
      </c>
      <c r="AQ15">
        <v>8395.1999999999989</v>
      </c>
      <c r="AR15">
        <v>7</v>
      </c>
      <c r="AS15">
        <v>5342.4</v>
      </c>
      <c r="AT15">
        <v>8</v>
      </c>
      <c r="AU15">
        <v>6105.5999999999995</v>
      </c>
      <c r="AV15">
        <v>7</v>
      </c>
      <c r="AW15">
        <v>5342.4</v>
      </c>
      <c r="AX15">
        <v>10</v>
      </c>
      <c r="AY15">
        <v>7631.9999999999991</v>
      </c>
      <c r="AZ15">
        <v>10</v>
      </c>
      <c r="BA15">
        <v>7631.9999999999991</v>
      </c>
      <c r="BB15">
        <v>8</v>
      </c>
      <c r="BC15">
        <v>6105.5999999999995</v>
      </c>
      <c r="BD15">
        <v>7</v>
      </c>
      <c r="BE15">
        <v>5342.4</v>
      </c>
      <c r="BF15">
        <v>6</v>
      </c>
      <c r="BG15">
        <v>4579.2</v>
      </c>
      <c r="BH15">
        <v>7</v>
      </c>
      <c r="BI15">
        <v>5342.4</v>
      </c>
      <c r="BJ15">
        <v>8</v>
      </c>
      <c r="BK15">
        <v>6105.5999999999995</v>
      </c>
      <c r="BL15">
        <v>8</v>
      </c>
      <c r="BM15">
        <v>6105.5999999999995</v>
      </c>
      <c r="BN15">
        <v>9</v>
      </c>
      <c r="BO15">
        <v>6868.7999999999993</v>
      </c>
      <c r="BP15">
        <v>7</v>
      </c>
      <c r="BQ15">
        <v>5342.4</v>
      </c>
      <c r="BR15">
        <v>7</v>
      </c>
      <c r="BS15">
        <v>5342.4</v>
      </c>
      <c r="BT15">
        <v>7</v>
      </c>
      <c r="BU15">
        <v>5342.4</v>
      </c>
      <c r="BV15">
        <v>11</v>
      </c>
      <c r="BW15">
        <v>8395.1999999999989</v>
      </c>
      <c r="BX15">
        <v>10</v>
      </c>
      <c r="BY15">
        <v>7631.9999999999991</v>
      </c>
      <c r="BZ15">
        <v>11</v>
      </c>
      <c r="CA15">
        <v>8395.1999999999989</v>
      </c>
      <c r="CB15">
        <v>10</v>
      </c>
      <c r="CC15">
        <v>7631.9999999999991</v>
      </c>
      <c r="CD15">
        <v>8</v>
      </c>
      <c r="CE15">
        <v>6105.5999999999995</v>
      </c>
      <c r="CF15">
        <v>9</v>
      </c>
      <c r="CG15">
        <v>6868.7999999999993</v>
      </c>
      <c r="CH15">
        <v>8</v>
      </c>
      <c r="CI15">
        <v>6105.5999999999995</v>
      </c>
      <c r="CJ15">
        <v>11</v>
      </c>
      <c r="CK15">
        <v>8395.1999999999989</v>
      </c>
      <c r="CL15">
        <v>12</v>
      </c>
      <c r="CM15">
        <v>9158.4</v>
      </c>
      <c r="CN15">
        <v>7</v>
      </c>
      <c r="CO15">
        <v>5342.4</v>
      </c>
      <c r="CP15">
        <v>7</v>
      </c>
      <c r="CQ15">
        <v>5342.4</v>
      </c>
      <c r="CR15">
        <v>10</v>
      </c>
      <c r="CS15">
        <v>7631.9999999999991</v>
      </c>
      <c r="CT15">
        <v>13</v>
      </c>
      <c r="CU15">
        <v>9921.5999999999985</v>
      </c>
    </row>
    <row r="16" spans="1:99" x14ac:dyDescent="0.2">
      <c r="C16" s="119" t="s">
        <v>182</v>
      </c>
      <c r="D16">
        <v>8</v>
      </c>
      <c r="E16">
        <v>2726.4</v>
      </c>
      <c r="F16">
        <v>8</v>
      </c>
      <c r="G16">
        <v>2726.4</v>
      </c>
      <c r="H16">
        <v>8</v>
      </c>
      <c r="I16">
        <v>2726.4</v>
      </c>
      <c r="J16">
        <v>8</v>
      </c>
      <c r="K16">
        <v>2726.4</v>
      </c>
      <c r="L16">
        <v>7</v>
      </c>
      <c r="M16">
        <v>2385.6</v>
      </c>
      <c r="N16">
        <v>9</v>
      </c>
      <c r="O16">
        <v>3067.2000000000003</v>
      </c>
      <c r="P16">
        <v>10</v>
      </c>
      <c r="Q16">
        <v>3408</v>
      </c>
      <c r="R16">
        <v>9</v>
      </c>
      <c r="S16">
        <v>3067.2000000000003</v>
      </c>
      <c r="T16">
        <v>5</v>
      </c>
      <c r="U16">
        <v>1704</v>
      </c>
      <c r="V16">
        <v>6</v>
      </c>
      <c r="W16">
        <v>2044.8000000000002</v>
      </c>
      <c r="X16">
        <v>10</v>
      </c>
      <c r="Y16">
        <v>3408</v>
      </c>
      <c r="Z16">
        <v>10</v>
      </c>
      <c r="AA16">
        <v>3408</v>
      </c>
      <c r="AB16">
        <v>8</v>
      </c>
      <c r="AC16">
        <v>2726.4</v>
      </c>
      <c r="AD16">
        <v>8</v>
      </c>
      <c r="AE16">
        <v>2726.4</v>
      </c>
      <c r="AF16">
        <v>8</v>
      </c>
      <c r="AG16">
        <v>2726.4</v>
      </c>
      <c r="AH16">
        <v>10</v>
      </c>
      <c r="AI16">
        <v>3408</v>
      </c>
      <c r="AJ16">
        <v>11</v>
      </c>
      <c r="AK16">
        <v>3748.8</v>
      </c>
      <c r="AL16">
        <v>11</v>
      </c>
      <c r="AM16">
        <v>3748.8</v>
      </c>
      <c r="AN16">
        <v>6</v>
      </c>
      <c r="AO16">
        <v>2044.8000000000002</v>
      </c>
      <c r="AP16">
        <v>11</v>
      </c>
      <c r="AQ16">
        <v>3748.8</v>
      </c>
      <c r="AR16">
        <v>7</v>
      </c>
      <c r="AS16">
        <v>2385.6</v>
      </c>
      <c r="AT16">
        <v>9</v>
      </c>
      <c r="AU16">
        <v>3067.2000000000003</v>
      </c>
      <c r="AV16">
        <v>9</v>
      </c>
      <c r="AW16">
        <v>3067.2000000000003</v>
      </c>
      <c r="AX16">
        <v>12</v>
      </c>
      <c r="AY16">
        <v>4089.6000000000004</v>
      </c>
      <c r="AZ16">
        <v>10</v>
      </c>
      <c r="BA16">
        <v>3408</v>
      </c>
      <c r="BB16">
        <v>8</v>
      </c>
      <c r="BC16">
        <v>2726.4</v>
      </c>
      <c r="BD16">
        <v>7</v>
      </c>
      <c r="BE16">
        <v>2385.6</v>
      </c>
      <c r="BF16">
        <v>6</v>
      </c>
      <c r="BG16">
        <v>2044.8000000000002</v>
      </c>
      <c r="BH16">
        <v>8</v>
      </c>
      <c r="BI16">
        <v>2726.4</v>
      </c>
      <c r="BJ16">
        <v>10</v>
      </c>
      <c r="BK16">
        <v>3408</v>
      </c>
      <c r="BL16">
        <v>9</v>
      </c>
      <c r="BM16">
        <v>3067.2000000000003</v>
      </c>
      <c r="BN16">
        <v>10</v>
      </c>
      <c r="BO16">
        <v>3408</v>
      </c>
      <c r="BP16">
        <v>6</v>
      </c>
      <c r="BQ16">
        <v>2044.8000000000002</v>
      </c>
      <c r="BR16">
        <v>7</v>
      </c>
      <c r="BS16">
        <v>2385.6</v>
      </c>
      <c r="BT16">
        <v>8</v>
      </c>
      <c r="BU16">
        <v>2726.4</v>
      </c>
      <c r="BV16">
        <v>14</v>
      </c>
      <c r="BW16">
        <v>4771.2</v>
      </c>
      <c r="BX16">
        <v>10</v>
      </c>
      <c r="BY16">
        <v>3408</v>
      </c>
      <c r="BZ16">
        <v>11</v>
      </c>
      <c r="CA16">
        <v>3748.8</v>
      </c>
      <c r="CB16">
        <v>11</v>
      </c>
      <c r="CC16">
        <v>3748.8</v>
      </c>
      <c r="CD16">
        <v>9</v>
      </c>
      <c r="CE16">
        <v>3067.2000000000003</v>
      </c>
      <c r="CF16">
        <v>8</v>
      </c>
      <c r="CG16">
        <v>2726.4</v>
      </c>
      <c r="CH16">
        <v>8</v>
      </c>
      <c r="CI16">
        <v>2726.4</v>
      </c>
      <c r="CJ16">
        <v>12</v>
      </c>
      <c r="CK16">
        <v>4089.6000000000004</v>
      </c>
      <c r="CL16">
        <v>11</v>
      </c>
      <c r="CM16">
        <v>3748.8</v>
      </c>
      <c r="CN16">
        <v>7</v>
      </c>
      <c r="CO16">
        <v>2385.6</v>
      </c>
      <c r="CP16">
        <v>8</v>
      </c>
      <c r="CQ16">
        <v>2726.4</v>
      </c>
      <c r="CR16">
        <v>11</v>
      </c>
      <c r="CS16">
        <v>3748.8</v>
      </c>
      <c r="CT16">
        <v>13</v>
      </c>
      <c r="CU16">
        <v>4430.4000000000005</v>
      </c>
    </row>
    <row r="17" spans="2:99" x14ac:dyDescent="0.2">
      <c r="C17" s="119" t="s">
        <v>183</v>
      </c>
      <c r="D17">
        <v>9</v>
      </c>
      <c r="E17">
        <v>3801.6</v>
      </c>
      <c r="F17">
        <v>7</v>
      </c>
      <c r="G17">
        <v>2956.7999999999997</v>
      </c>
      <c r="H17">
        <v>8</v>
      </c>
      <c r="I17">
        <v>3379.2</v>
      </c>
      <c r="J17">
        <v>9</v>
      </c>
      <c r="K17">
        <v>3801.6</v>
      </c>
      <c r="L17">
        <v>7</v>
      </c>
      <c r="M17">
        <v>2956.7999999999997</v>
      </c>
      <c r="N17">
        <v>10</v>
      </c>
      <c r="O17">
        <v>4224</v>
      </c>
      <c r="P17">
        <v>11</v>
      </c>
      <c r="Q17">
        <v>4646.3999999999996</v>
      </c>
      <c r="R17">
        <v>8</v>
      </c>
      <c r="S17">
        <v>3379.2</v>
      </c>
      <c r="T17">
        <v>6</v>
      </c>
      <c r="U17">
        <v>2534.3999999999996</v>
      </c>
      <c r="V17">
        <v>6</v>
      </c>
      <c r="W17">
        <v>2534.3999999999996</v>
      </c>
      <c r="X17">
        <v>10</v>
      </c>
      <c r="Y17">
        <v>4224</v>
      </c>
      <c r="Z17">
        <v>9</v>
      </c>
      <c r="AA17">
        <v>3801.6</v>
      </c>
      <c r="AB17">
        <v>9</v>
      </c>
      <c r="AC17">
        <v>3801.6</v>
      </c>
      <c r="AD17">
        <v>8</v>
      </c>
      <c r="AE17">
        <v>3379.2</v>
      </c>
      <c r="AF17">
        <v>8</v>
      </c>
      <c r="AG17">
        <v>3379.2</v>
      </c>
      <c r="AH17">
        <v>10</v>
      </c>
      <c r="AI17">
        <v>4224</v>
      </c>
      <c r="AJ17">
        <v>12</v>
      </c>
      <c r="AK17">
        <v>5068.7999999999993</v>
      </c>
      <c r="AL17">
        <v>9</v>
      </c>
      <c r="AM17">
        <v>3801.6</v>
      </c>
      <c r="AN17">
        <v>7</v>
      </c>
      <c r="AO17">
        <v>2956.7999999999997</v>
      </c>
      <c r="AP17">
        <v>12</v>
      </c>
      <c r="AQ17">
        <v>5068.7999999999993</v>
      </c>
      <c r="AR17">
        <v>7</v>
      </c>
      <c r="AS17">
        <v>2956.7999999999997</v>
      </c>
      <c r="AT17">
        <v>8</v>
      </c>
      <c r="AU17">
        <v>3379.2</v>
      </c>
      <c r="AV17">
        <v>8</v>
      </c>
      <c r="AW17">
        <v>3379.2</v>
      </c>
      <c r="AX17">
        <v>11</v>
      </c>
      <c r="AY17">
        <v>4646.3999999999996</v>
      </c>
      <c r="AZ17">
        <v>11</v>
      </c>
      <c r="BA17">
        <v>4646.3999999999996</v>
      </c>
      <c r="BB17">
        <v>8</v>
      </c>
      <c r="BC17">
        <v>3379.2</v>
      </c>
      <c r="BD17">
        <v>8</v>
      </c>
      <c r="BE17">
        <v>3379.2</v>
      </c>
      <c r="BF17">
        <v>6</v>
      </c>
      <c r="BG17">
        <v>2534.3999999999996</v>
      </c>
      <c r="BH17">
        <v>8</v>
      </c>
      <c r="BI17">
        <v>3379.2</v>
      </c>
      <c r="BJ17">
        <v>9</v>
      </c>
      <c r="BK17">
        <v>3801.6</v>
      </c>
      <c r="BL17">
        <v>9</v>
      </c>
      <c r="BM17">
        <v>3801.6</v>
      </c>
      <c r="BN17">
        <v>9</v>
      </c>
      <c r="BO17">
        <v>3801.6</v>
      </c>
      <c r="BP17">
        <v>7</v>
      </c>
      <c r="BQ17">
        <v>2956.7999999999997</v>
      </c>
      <c r="BR17">
        <v>7</v>
      </c>
      <c r="BS17">
        <v>2956.7999999999997</v>
      </c>
      <c r="BT17">
        <v>7</v>
      </c>
      <c r="BU17">
        <v>2956.7999999999997</v>
      </c>
      <c r="BV17">
        <v>12</v>
      </c>
      <c r="BW17">
        <v>5068.7999999999993</v>
      </c>
      <c r="BX17">
        <v>11</v>
      </c>
      <c r="BY17">
        <v>4646.3999999999996</v>
      </c>
      <c r="BZ17">
        <v>11</v>
      </c>
      <c r="CA17">
        <v>4646.3999999999996</v>
      </c>
      <c r="CB17">
        <v>9</v>
      </c>
      <c r="CC17">
        <v>3801.6</v>
      </c>
      <c r="CD17">
        <v>8</v>
      </c>
      <c r="CE17">
        <v>3379.2</v>
      </c>
      <c r="CF17">
        <v>8</v>
      </c>
      <c r="CG17">
        <v>3379.2</v>
      </c>
      <c r="CH17">
        <v>8</v>
      </c>
      <c r="CI17">
        <v>3379.2</v>
      </c>
      <c r="CJ17">
        <v>11</v>
      </c>
      <c r="CK17">
        <v>4646.3999999999996</v>
      </c>
      <c r="CL17">
        <v>12</v>
      </c>
      <c r="CM17">
        <v>5068.7999999999993</v>
      </c>
      <c r="CN17">
        <v>7</v>
      </c>
      <c r="CO17">
        <v>2956.7999999999997</v>
      </c>
      <c r="CP17">
        <v>8</v>
      </c>
      <c r="CQ17">
        <v>3379.2</v>
      </c>
      <c r="CR17">
        <v>9</v>
      </c>
      <c r="CS17">
        <v>3801.6</v>
      </c>
      <c r="CT17">
        <v>12</v>
      </c>
      <c r="CU17">
        <v>5068.7999999999993</v>
      </c>
    </row>
    <row r="18" spans="2:99" x14ac:dyDescent="0.2">
      <c r="C18" s="119" t="s">
        <v>184</v>
      </c>
      <c r="D18">
        <v>8</v>
      </c>
      <c r="E18">
        <v>5222.3999999999996</v>
      </c>
      <c r="F18">
        <v>8</v>
      </c>
      <c r="G18">
        <v>5222.3999999999996</v>
      </c>
      <c r="H18">
        <v>8</v>
      </c>
      <c r="I18">
        <v>5222.3999999999996</v>
      </c>
      <c r="J18">
        <v>9</v>
      </c>
      <c r="K18">
        <v>5875.2</v>
      </c>
      <c r="L18">
        <v>7</v>
      </c>
      <c r="M18">
        <v>4569.5999999999995</v>
      </c>
      <c r="N18">
        <v>10</v>
      </c>
      <c r="O18">
        <v>6528</v>
      </c>
      <c r="P18">
        <v>9</v>
      </c>
      <c r="Q18">
        <v>5875.2</v>
      </c>
      <c r="R18">
        <v>9</v>
      </c>
      <c r="S18">
        <v>5875.2</v>
      </c>
      <c r="T18">
        <v>5</v>
      </c>
      <c r="U18">
        <v>3264</v>
      </c>
      <c r="V18">
        <v>5</v>
      </c>
      <c r="W18">
        <v>3264</v>
      </c>
      <c r="X18">
        <v>12</v>
      </c>
      <c r="Y18">
        <v>7833.5999999999995</v>
      </c>
      <c r="Z18">
        <v>8</v>
      </c>
      <c r="AA18">
        <v>5222.3999999999996</v>
      </c>
      <c r="AB18">
        <v>9</v>
      </c>
      <c r="AC18">
        <v>5875.2</v>
      </c>
      <c r="AD18">
        <v>8</v>
      </c>
      <c r="AE18">
        <v>5222.3999999999996</v>
      </c>
      <c r="AF18">
        <v>8</v>
      </c>
      <c r="AG18">
        <v>5222.3999999999996</v>
      </c>
      <c r="AH18">
        <v>11</v>
      </c>
      <c r="AI18">
        <v>7180.7999999999993</v>
      </c>
      <c r="AJ18">
        <v>11</v>
      </c>
      <c r="AK18">
        <v>7180.7999999999993</v>
      </c>
      <c r="AL18">
        <v>10</v>
      </c>
      <c r="AM18">
        <v>6528</v>
      </c>
      <c r="AN18">
        <v>7</v>
      </c>
      <c r="AO18">
        <v>4569.5999999999995</v>
      </c>
      <c r="AP18">
        <v>11</v>
      </c>
      <c r="AQ18">
        <v>7180.7999999999993</v>
      </c>
      <c r="AR18">
        <v>6</v>
      </c>
      <c r="AS18">
        <v>3916.7999999999997</v>
      </c>
      <c r="AT18">
        <v>9</v>
      </c>
      <c r="AU18">
        <v>5875.2</v>
      </c>
      <c r="AV18">
        <v>8</v>
      </c>
      <c r="AW18">
        <v>5222.3999999999996</v>
      </c>
      <c r="AX18">
        <v>12</v>
      </c>
      <c r="AY18">
        <v>7833.5999999999995</v>
      </c>
      <c r="AZ18">
        <v>11</v>
      </c>
      <c r="BA18">
        <v>7180.7999999999993</v>
      </c>
      <c r="BB18">
        <v>7</v>
      </c>
      <c r="BC18">
        <v>4569.5999999999995</v>
      </c>
      <c r="BD18">
        <v>7</v>
      </c>
      <c r="BE18">
        <v>4569.5999999999995</v>
      </c>
      <c r="BF18">
        <v>6</v>
      </c>
      <c r="BG18">
        <v>3916.7999999999997</v>
      </c>
      <c r="BH18">
        <v>7</v>
      </c>
      <c r="BI18">
        <v>4569.5999999999995</v>
      </c>
      <c r="BJ18">
        <v>9</v>
      </c>
      <c r="BK18">
        <v>5875.2</v>
      </c>
      <c r="BL18">
        <v>10</v>
      </c>
      <c r="BM18">
        <v>6528</v>
      </c>
      <c r="BN18">
        <v>10</v>
      </c>
      <c r="BO18">
        <v>6528</v>
      </c>
      <c r="BP18">
        <v>7</v>
      </c>
      <c r="BQ18">
        <v>4569.5999999999995</v>
      </c>
      <c r="BR18">
        <v>8</v>
      </c>
      <c r="BS18">
        <v>5222.3999999999996</v>
      </c>
      <c r="BT18">
        <v>6</v>
      </c>
      <c r="BU18">
        <v>3916.7999999999997</v>
      </c>
      <c r="BV18">
        <v>12</v>
      </c>
      <c r="BW18">
        <v>7833.5999999999995</v>
      </c>
      <c r="BX18">
        <v>10</v>
      </c>
      <c r="BY18">
        <v>6528</v>
      </c>
      <c r="BZ18">
        <v>13</v>
      </c>
      <c r="CA18">
        <v>8486.4</v>
      </c>
      <c r="CB18">
        <v>9</v>
      </c>
      <c r="CC18">
        <v>5875.2</v>
      </c>
      <c r="CD18">
        <v>8</v>
      </c>
      <c r="CE18">
        <v>5222.3999999999996</v>
      </c>
      <c r="CF18">
        <v>8</v>
      </c>
      <c r="CG18">
        <v>5222.3999999999996</v>
      </c>
      <c r="CH18">
        <v>7</v>
      </c>
      <c r="CI18">
        <v>4569.5999999999995</v>
      </c>
      <c r="CJ18">
        <v>11</v>
      </c>
      <c r="CK18">
        <v>7180.7999999999993</v>
      </c>
      <c r="CL18">
        <v>10</v>
      </c>
      <c r="CM18">
        <v>6528</v>
      </c>
      <c r="CN18">
        <v>6</v>
      </c>
      <c r="CO18">
        <v>3916.7999999999997</v>
      </c>
      <c r="CP18">
        <v>7</v>
      </c>
      <c r="CQ18">
        <v>4569.5999999999995</v>
      </c>
      <c r="CR18">
        <v>10</v>
      </c>
      <c r="CS18">
        <v>6528</v>
      </c>
      <c r="CT18">
        <v>11</v>
      </c>
      <c r="CU18">
        <v>7180.7999999999993</v>
      </c>
    </row>
    <row r="19" spans="2:99" x14ac:dyDescent="0.2">
      <c r="C19" s="119" t="s">
        <v>185</v>
      </c>
      <c r="D19">
        <v>9</v>
      </c>
      <c r="E19">
        <v>2970</v>
      </c>
      <c r="F19">
        <v>8</v>
      </c>
      <c r="G19">
        <v>2640</v>
      </c>
      <c r="H19">
        <v>8</v>
      </c>
      <c r="I19">
        <v>2640</v>
      </c>
      <c r="J19">
        <v>9</v>
      </c>
      <c r="K19">
        <v>2970</v>
      </c>
      <c r="L19">
        <v>6</v>
      </c>
      <c r="M19">
        <v>1980</v>
      </c>
      <c r="N19">
        <v>9</v>
      </c>
      <c r="O19">
        <v>2970</v>
      </c>
      <c r="P19">
        <v>10</v>
      </c>
      <c r="Q19">
        <v>3300</v>
      </c>
      <c r="R19">
        <v>9</v>
      </c>
      <c r="S19">
        <v>2970</v>
      </c>
      <c r="T19">
        <v>6</v>
      </c>
      <c r="U19">
        <v>1980</v>
      </c>
      <c r="V19">
        <v>5</v>
      </c>
      <c r="W19">
        <v>1650</v>
      </c>
      <c r="X19">
        <v>11</v>
      </c>
      <c r="Y19">
        <v>3630</v>
      </c>
      <c r="Z19">
        <v>10</v>
      </c>
      <c r="AA19">
        <v>3300</v>
      </c>
      <c r="AB19">
        <v>8</v>
      </c>
      <c r="AC19">
        <v>2640</v>
      </c>
      <c r="AD19">
        <v>8</v>
      </c>
      <c r="AE19">
        <v>2640</v>
      </c>
      <c r="AF19">
        <v>8</v>
      </c>
      <c r="AG19">
        <v>2640</v>
      </c>
      <c r="AH19">
        <v>10</v>
      </c>
      <c r="AI19">
        <v>3300</v>
      </c>
      <c r="AJ19">
        <v>10</v>
      </c>
      <c r="AK19">
        <v>3300</v>
      </c>
      <c r="AL19">
        <v>9</v>
      </c>
      <c r="AM19">
        <v>2970</v>
      </c>
      <c r="AN19">
        <v>6</v>
      </c>
      <c r="AO19">
        <v>1980</v>
      </c>
      <c r="AP19">
        <v>12</v>
      </c>
      <c r="AQ19">
        <v>3960</v>
      </c>
      <c r="AR19">
        <v>6</v>
      </c>
      <c r="AS19">
        <v>1980</v>
      </c>
      <c r="AT19">
        <v>8</v>
      </c>
      <c r="AU19">
        <v>2640</v>
      </c>
      <c r="AV19">
        <v>8</v>
      </c>
      <c r="AW19">
        <v>2640</v>
      </c>
      <c r="AX19">
        <v>12</v>
      </c>
      <c r="AY19">
        <v>3960</v>
      </c>
      <c r="AZ19">
        <v>9</v>
      </c>
      <c r="BA19">
        <v>2970</v>
      </c>
      <c r="BB19">
        <v>9</v>
      </c>
      <c r="BC19">
        <v>2970</v>
      </c>
      <c r="BD19">
        <v>7</v>
      </c>
      <c r="BE19">
        <v>2310</v>
      </c>
      <c r="BF19">
        <v>6</v>
      </c>
      <c r="BG19">
        <v>1980</v>
      </c>
      <c r="BH19">
        <v>7</v>
      </c>
      <c r="BI19">
        <v>2310</v>
      </c>
      <c r="BJ19">
        <v>8</v>
      </c>
      <c r="BK19">
        <v>2640</v>
      </c>
      <c r="BL19">
        <v>9</v>
      </c>
      <c r="BM19">
        <v>2970</v>
      </c>
      <c r="BN19">
        <v>10</v>
      </c>
      <c r="BO19">
        <v>3300</v>
      </c>
      <c r="BP19">
        <v>7</v>
      </c>
      <c r="BQ19">
        <v>2310</v>
      </c>
      <c r="BR19">
        <v>8</v>
      </c>
      <c r="BS19">
        <v>2640</v>
      </c>
      <c r="BT19">
        <v>7</v>
      </c>
      <c r="BU19">
        <v>2310</v>
      </c>
      <c r="BV19">
        <v>11</v>
      </c>
      <c r="BW19">
        <v>3630</v>
      </c>
      <c r="BX19">
        <v>11</v>
      </c>
      <c r="BY19">
        <v>3630</v>
      </c>
      <c r="BZ19">
        <v>13</v>
      </c>
      <c r="CA19">
        <v>4290</v>
      </c>
      <c r="CB19">
        <v>10</v>
      </c>
      <c r="CC19">
        <v>3300</v>
      </c>
      <c r="CD19">
        <v>8</v>
      </c>
      <c r="CE19">
        <v>2640</v>
      </c>
      <c r="CF19">
        <v>8</v>
      </c>
      <c r="CG19">
        <v>2640</v>
      </c>
      <c r="CH19">
        <v>7</v>
      </c>
      <c r="CI19">
        <v>2310</v>
      </c>
      <c r="CJ19">
        <v>11</v>
      </c>
      <c r="CK19">
        <v>3630</v>
      </c>
      <c r="CL19">
        <v>13</v>
      </c>
      <c r="CM19">
        <v>4290</v>
      </c>
      <c r="CN19">
        <v>8</v>
      </c>
      <c r="CO19">
        <v>2640</v>
      </c>
      <c r="CP19">
        <v>8</v>
      </c>
      <c r="CQ19">
        <v>2640</v>
      </c>
      <c r="CR19">
        <v>10</v>
      </c>
      <c r="CS19">
        <v>3300</v>
      </c>
      <c r="CT19">
        <v>12</v>
      </c>
      <c r="CU19">
        <v>3960</v>
      </c>
    </row>
    <row r="20" spans="2:99" x14ac:dyDescent="0.2">
      <c r="B20" s="119" t="s">
        <v>127</v>
      </c>
      <c r="C20" s="119" t="s">
        <v>186</v>
      </c>
      <c r="D20">
        <v>17</v>
      </c>
      <c r="E20">
        <v>4875.6000000000004</v>
      </c>
      <c r="F20">
        <v>21</v>
      </c>
      <c r="G20">
        <v>6022.8</v>
      </c>
      <c r="H20">
        <v>19</v>
      </c>
      <c r="I20">
        <v>5449.2</v>
      </c>
      <c r="J20">
        <v>19</v>
      </c>
      <c r="K20">
        <v>5449.2</v>
      </c>
      <c r="L20">
        <v>17</v>
      </c>
      <c r="M20">
        <v>4875.6000000000004</v>
      </c>
      <c r="N20">
        <v>13</v>
      </c>
      <c r="O20">
        <v>3728.4</v>
      </c>
      <c r="P20">
        <v>19</v>
      </c>
      <c r="Q20">
        <v>5449.2</v>
      </c>
      <c r="R20">
        <v>12</v>
      </c>
      <c r="S20">
        <v>3441.6000000000004</v>
      </c>
      <c r="T20">
        <v>17</v>
      </c>
      <c r="U20">
        <v>4875.6000000000004</v>
      </c>
      <c r="V20">
        <v>14</v>
      </c>
      <c r="W20">
        <v>4015.2000000000003</v>
      </c>
      <c r="X20">
        <v>18</v>
      </c>
      <c r="Y20">
        <v>5162.4000000000005</v>
      </c>
      <c r="Z20">
        <v>20</v>
      </c>
      <c r="AA20">
        <v>5736</v>
      </c>
      <c r="AB20">
        <v>23</v>
      </c>
      <c r="AC20">
        <v>6596.4000000000005</v>
      </c>
      <c r="AD20">
        <v>24</v>
      </c>
      <c r="AE20">
        <v>6883.2000000000007</v>
      </c>
      <c r="AF20">
        <v>21</v>
      </c>
      <c r="AG20">
        <v>6022.8</v>
      </c>
      <c r="AH20">
        <v>13</v>
      </c>
      <c r="AI20">
        <v>3728.4</v>
      </c>
      <c r="AJ20">
        <v>23</v>
      </c>
      <c r="AK20">
        <v>6596.4000000000005</v>
      </c>
      <c r="AL20">
        <v>22</v>
      </c>
      <c r="AM20">
        <v>6309.6</v>
      </c>
      <c r="AN20">
        <v>19</v>
      </c>
      <c r="AO20">
        <v>5449.2</v>
      </c>
      <c r="AP20">
        <v>13</v>
      </c>
      <c r="AQ20">
        <v>3728.4</v>
      </c>
      <c r="AR20">
        <v>15</v>
      </c>
      <c r="AS20">
        <v>4302</v>
      </c>
      <c r="AT20">
        <v>19</v>
      </c>
      <c r="AU20">
        <v>5449.2</v>
      </c>
      <c r="AV20">
        <v>15</v>
      </c>
      <c r="AW20">
        <v>4302</v>
      </c>
      <c r="AX20">
        <v>17</v>
      </c>
      <c r="AY20">
        <v>4875.6000000000004</v>
      </c>
      <c r="AZ20">
        <v>27</v>
      </c>
      <c r="BA20">
        <v>7743.6</v>
      </c>
      <c r="BB20">
        <v>21</v>
      </c>
      <c r="BC20">
        <v>6022.8</v>
      </c>
      <c r="BD20">
        <v>26</v>
      </c>
      <c r="BE20">
        <v>7456.8</v>
      </c>
      <c r="BF20">
        <v>24</v>
      </c>
      <c r="BG20">
        <v>6883.2000000000007</v>
      </c>
      <c r="BH20">
        <v>18</v>
      </c>
      <c r="BI20">
        <v>5162.4000000000005</v>
      </c>
      <c r="BJ20">
        <v>18</v>
      </c>
      <c r="BK20">
        <v>5162.4000000000005</v>
      </c>
      <c r="BL20">
        <v>26</v>
      </c>
      <c r="BM20">
        <v>7456.8</v>
      </c>
      <c r="BN20">
        <v>26</v>
      </c>
      <c r="BO20">
        <v>7456.8</v>
      </c>
      <c r="BP20">
        <v>20</v>
      </c>
      <c r="BQ20">
        <v>5736</v>
      </c>
      <c r="BR20">
        <v>22</v>
      </c>
      <c r="BS20">
        <v>6309.6</v>
      </c>
      <c r="BT20">
        <v>21</v>
      </c>
      <c r="BU20">
        <v>6022.8</v>
      </c>
      <c r="BV20">
        <v>22</v>
      </c>
      <c r="BW20">
        <v>6309.6</v>
      </c>
      <c r="BX20">
        <v>25</v>
      </c>
      <c r="BY20">
        <v>7170</v>
      </c>
      <c r="BZ20">
        <v>21</v>
      </c>
      <c r="CA20">
        <v>6022.8</v>
      </c>
      <c r="CB20">
        <v>15</v>
      </c>
      <c r="CC20">
        <v>4302</v>
      </c>
      <c r="CD20">
        <v>20</v>
      </c>
      <c r="CE20">
        <v>5736</v>
      </c>
      <c r="CF20">
        <v>17</v>
      </c>
      <c r="CG20">
        <v>4875.6000000000004</v>
      </c>
      <c r="CH20">
        <v>15</v>
      </c>
      <c r="CI20">
        <v>4302</v>
      </c>
      <c r="CJ20">
        <v>13</v>
      </c>
      <c r="CK20">
        <v>3728.4</v>
      </c>
      <c r="CL20">
        <v>17</v>
      </c>
      <c r="CM20">
        <v>4875.6000000000004</v>
      </c>
      <c r="CN20">
        <v>16</v>
      </c>
      <c r="CO20">
        <v>4588.8</v>
      </c>
      <c r="CP20">
        <v>20</v>
      </c>
      <c r="CQ20">
        <v>5736</v>
      </c>
      <c r="CR20">
        <v>15</v>
      </c>
      <c r="CS20">
        <v>4302</v>
      </c>
      <c r="CT20">
        <v>15</v>
      </c>
      <c r="CU20">
        <v>4302</v>
      </c>
    </row>
    <row r="21" spans="2:99" x14ac:dyDescent="0.2">
      <c r="C21" s="119" t="s">
        <v>187</v>
      </c>
      <c r="D21">
        <v>19</v>
      </c>
      <c r="E21">
        <v>1185.5999999999999</v>
      </c>
      <c r="F21">
        <v>22</v>
      </c>
      <c r="G21">
        <v>1372.8</v>
      </c>
      <c r="H21">
        <v>20</v>
      </c>
      <c r="I21">
        <v>1248</v>
      </c>
      <c r="J21">
        <v>21</v>
      </c>
      <c r="K21">
        <v>1310.3999999999999</v>
      </c>
      <c r="L21">
        <v>16</v>
      </c>
      <c r="M21">
        <v>998.4</v>
      </c>
      <c r="N21">
        <v>13</v>
      </c>
      <c r="O21">
        <v>811.19999999999993</v>
      </c>
      <c r="P21">
        <v>20</v>
      </c>
      <c r="Q21">
        <v>1248</v>
      </c>
      <c r="R21">
        <v>14</v>
      </c>
      <c r="S21">
        <v>873.6</v>
      </c>
      <c r="T21">
        <v>20</v>
      </c>
      <c r="U21">
        <v>1248</v>
      </c>
      <c r="V21">
        <v>16</v>
      </c>
      <c r="W21">
        <v>998.4</v>
      </c>
      <c r="X21">
        <v>19</v>
      </c>
      <c r="Y21">
        <v>1185.5999999999999</v>
      </c>
      <c r="Z21">
        <v>20</v>
      </c>
      <c r="AA21">
        <v>1248</v>
      </c>
      <c r="AB21">
        <v>22</v>
      </c>
      <c r="AC21">
        <v>1372.8</v>
      </c>
      <c r="AD21">
        <v>23</v>
      </c>
      <c r="AE21">
        <v>1435.2</v>
      </c>
      <c r="AF21">
        <v>22</v>
      </c>
      <c r="AG21">
        <v>1372.8</v>
      </c>
      <c r="AH21">
        <v>12</v>
      </c>
      <c r="AI21">
        <v>748.8</v>
      </c>
      <c r="AJ21">
        <v>26</v>
      </c>
      <c r="AK21">
        <v>1622.3999999999999</v>
      </c>
      <c r="AL21">
        <v>21</v>
      </c>
      <c r="AM21">
        <v>1310.3999999999999</v>
      </c>
      <c r="AN21">
        <v>23</v>
      </c>
      <c r="AO21">
        <v>1435.2</v>
      </c>
      <c r="AP21">
        <v>13</v>
      </c>
      <c r="AQ21">
        <v>811.19999999999993</v>
      </c>
      <c r="AR21">
        <v>15</v>
      </c>
      <c r="AS21">
        <v>936</v>
      </c>
      <c r="AT21">
        <v>21</v>
      </c>
      <c r="AU21">
        <v>1310.3999999999999</v>
      </c>
      <c r="AV21">
        <v>16</v>
      </c>
      <c r="AW21">
        <v>998.4</v>
      </c>
      <c r="AX21">
        <v>20</v>
      </c>
      <c r="AY21">
        <v>1248</v>
      </c>
      <c r="AZ21">
        <v>29</v>
      </c>
      <c r="BA21">
        <v>1809.6</v>
      </c>
      <c r="BB21">
        <v>20</v>
      </c>
      <c r="BC21">
        <v>1248</v>
      </c>
      <c r="BD21">
        <v>26</v>
      </c>
      <c r="BE21">
        <v>1622.3999999999999</v>
      </c>
      <c r="BF21">
        <v>25</v>
      </c>
      <c r="BG21">
        <v>1560</v>
      </c>
      <c r="BH21">
        <v>16</v>
      </c>
      <c r="BI21">
        <v>998.4</v>
      </c>
      <c r="BJ21">
        <v>21</v>
      </c>
      <c r="BK21">
        <v>1310.3999999999999</v>
      </c>
      <c r="BL21">
        <v>26</v>
      </c>
      <c r="BM21">
        <v>1622.3999999999999</v>
      </c>
      <c r="BN21">
        <v>27</v>
      </c>
      <c r="BO21">
        <v>1684.8</v>
      </c>
      <c r="BP21">
        <v>20</v>
      </c>
      <c r="BQ21">
        <v>1248</v>
      </c>
      <c r="BR21">
        <v>27</v>
      </c>
      <c r="BS21">
        <v>1684.8</v>
      </c>
      <c r="BT21">
        <v>22</v>
      </c>
      <c r="BU21">
        <v>1372.8</v>
      </c>
      <c r="BV21">
        <v>24</v>
      </c>
      <c r="BW21">
        <v>1497.6</v>
      </c>
      <c r="BX21">
        <v>25</v>
      </c>
      <c r="BY21">
        <v>1560</v>
      </c>
      <c r="BZ21">
        <v>21</v>
      </c>
      <c r="CA21">
        <v>1310.3999999999999</v>
      </c>
      <c r="CB21">
        <v>14</v>
      </c>
      <c r="CC21">
        <v>873.6</v>
      </c>
      <c r="CD21">
        <v>22</v>
      </c>
      <c r="CE21">
        <v>1372.8</v>
      </c>
      <c r="CF21">
        <v>16</v>
      </c>
      <c r="CG21">
        <v>998.4</v>
      </c>
      <c r="CH21">
        <v>16</v>
      </c>
      <c r="CI21">
        <v>998.4</v>
      </c>
      <c r="CJ21">
        <v>16</v>
      </c>
      <c r="CK21">
        <v>998.4</v>
      </c>
      <c r="CL21">
        <v>18</v>
      </c>
      <c r="CM21">
        <v>1123.2</v>
      </c>
      <c r="CN21">
        <v>17</v>
      </c>
      <c r="CO21">
        <v>1060.8</v>
      </c>
      <c r="CP21">
        <v>21</v>
      </c>
      <c r="CQ21">
        <v>1310.3999999999999</v>
      </c>
      <c r="CR21">
        <v>18</v>
      </c>
      <c r="CS21">
        <v>1123.2</v>
      </c>
      <c r="CT21">
        <v>15</v>
      </c>
      <c r="CU21">
        <v>936</v>
      </c>
    </row>
    <row r="22" spans="2:99" x14ac:dyDescent="0.2">
      <c r="C22" s="119" t="s">
        <v>188</v>
      </c>
      <c r="D22">
        <v>18</v>
      </c>
      <c r="E22">
        <v>3369.6</v>
      </c>
      <c r="F22">
        <v>21</v>
      </c>
      <c r="G22">
        <v>3931.2</v>
      </c>
      <c r="H22">
        <v>21</v>
      </c>
      <c r="I22">
        <v>3931.2</v>
      </c>
      <c r="J22">
        <v>19</v>
      </c>
      <c r="K22">
        <v>3556.7999999999997</v>
      </c>
      <c r="L22">
        <v>17</v>
      </c>
      <c r="M22">
        <v>3182.3999999999996</v>
      </c>
      <c r="N22">
        <v>14</v>
      </c>
      <c r="O22">
        <v>2620.7999999999997</v>
      </c>
      <c r="P22">
        <v>22</v>
      </c>
      <c r="Q22">
        <v>4118.3999999999996</v>
      </c>
      <c r="R22">
        <v>12</v>
      </c>
      <c r="S22">
        <v>2246.3999999999996</v>
      </c>
      <c r="T22">
        <v>18</v>
      </c>
      <c r="U22">
        <v>3369.6</v>
      </c>
      <c r="V22">
        <v>13</v>
      </c>
      <c r="W22">
        <v>2433.6</v>
      </c>
      <c r="X22">
        <v>18</v>
      </c>
      <c r="Y22">
        <v>3369.6</v>
      </c>
      <c r="Z22">
        <v>20</v>
      </c>
      <c r="AA22">
        <v>3744</v>
      </c>
      <c r="AB22">
        <v>23</v>
      </c>
      <c r="AC22">
        <v>4305.5999999999995</v>
      </c>
      <c r="AD22">
        <v>23</v>
      </c>
      <c r="AE22">
        <v>4305.5999999999995</v>
      </c>
      <c r="AF22">
        <v>24</v>
      </c>
      <c r="AG22">
        <v>4492.7999999999993</v>
      </c>
      <c r="AH22">
        <v>13</v>
      </c>
      <c r="AI22">
        <v>2433.6</v>
      </c>
      <c r="AJ22">
        <v>22</v>
      </c>
      <c r="AK22">
        <v>4118.3999999999996</v>
      </c>
      <c r="AL22">
        <v>20</v>
      </c>
      <c r="AM22">
        <v>3744</v>
      </c>
      <c r="AN22">
        <v>21</v>
      </c>
      <c r="AO22">
        <v>3931.2</v>
      </c>
      <c r="AP22">
        <v>13</v>
      </c>
      <c r="AQ22">
        <v>2433.6</v>
      </c>
      <c r="AR22">
        <v>17</v>
      </c>
      <c r="AS22">
        <v>3182.3999999999996</v>
      </c>
      <c r="AT22">
        <v>22</v>
      </c>
      <c r="AU22">
        <v>4118.3999999999996</v>
      </c>
      <c r="AV22">
        <v>15</v>
      </c>
      <c r="AW22">
        <v>2808</v>
      </c>
      <c r="AX22">
        <v>20</v>
      </c>
      <c r="AY22">
        <v>3744</v>
      </c>
      <c r="AZ22">
        <v>27</v>
      </c>
      <c r="BA22">
        <v>5054.3999999999996</v>
      </c>
      <c r="BB22">
        <v>19</v>
      </c>
      <c r="BC22">
        <v>3556.7999999999997</v>
      </c>
      <c r="BD22">
        <v>24</v>
      </c>
      <c r="BE22">
        <v>4492.7999999999993</v>
      </c>
      <c r="BF22">
        <v>23</v>
      </c>
      <c r="BG22">
        <v>4305.5999999999995</v>
      </c>
      <c r="BH22">
        <v>18</v>
      </c>
      <c r="BI22">
        <v>3369.6</v>
      </c>
      <c r="BJ22">
        <v>21</v>
      </c>
      <c r="BK22">
        <v>3931.2</v>
      </c>
      <c r="BL22">
        <v>25</v>
      </c>
      <c r="BM22">
        <v>4680</v>
      </c>
      <c r="BN22">
        <v>29</v>
      </c>
      <c r="BO22">
        <v>5428.7999999999993</v>
      </c>
      <c r="BP22">
        <v>20</v>
      </c>
      <c r="BQ22">
        <v>3744</v>
      </c>
      <c r="BR22">
        <v>24</v>
      </c>
      <c r="BS22">
        <v>4492.7999999999993</v>
      </c>
      <c r="BT22">
        <v>21</v>
      </c>
      <c r="BU22">
        <v>3931.2</v>
      </c>
      <c r="BV22">
        <v>22</v>
      </c>
      <c r="BW22">
        <v>4118.3999999999996</v>
      </c>
      <c r="BX22">
        <v>21</v>
      </c>
      <c r="BY22">
        <v>3931.2</v>
      </c>
      <c r="BZ22">
        <v>23</v>
      </c>
      <c r="CA22">
        <v>4305.5999999999995</v>
      </c>
      <c r="CB22">
        <v>14</v>
      </c>
      <c r="CC22">
        <v>2620.7999999999997</v>
      </c>
      <c r="CD22">
        <v>20</v>
      </c>
      <c r="CE22">
        <v>3744</v>
      </c>
      <c r="CF22">
        <v>17</v>
      </c>
      <c r="CG22">
        <v>3182.3999999999996</v>
      </c>
      <c r="CH22">
        <v>13</v>
      </c>
      <c r="CI22">
        <v>2433.6</v>
      </c>
      <c r="CJ22">
        <v>14</v>
      </c>
      <c r="CK22">
        <v>2620.7999999999997</v>
      </c>
      <c r="CL22">
        <v>18</v>
      </c>
      <c r="CM22">
        <v>3369.6</v>
      </c>
      <c r="CN22">
        <v>16</v>
      </c>
      <c r="CO22">
        <v>2995.2</v>
      </c>
      <c r="CP22">
        <v>19</v>
      </c>
      <c r="CQ22">
        <v>3556.7999999999997</v>
      </c>
      <c r="CR22">
        <v>16</v>
      </c>
      <c r="CS22">
        <v>2995.2</v>
      </c>
      <c r="CT22">
        <v>14</v>
      </c>
      <c r="CU22">
        <v>2620.7999999999997</v>
      </c>
    </row>
    <row r="23" spans="2:99" x14ac:dyDescent="0.2">
      <c r="C23" s="119" t="s">
        <v>189</v>
      </c>
      <c r="D23">
        <v>18</v>
      </c>
      <c r="E23">
        <v>5292</v>
      </c>
      <c r="F23">
        <v>20</v>
      </c>
      <c r="G23">
        <v>5880</v>
      </c>
      <c r="H23">
        <v>19</v>
      </c>
      <c r="I23">
        <v>5586</v>
      </c>
      <c r="J23">
        <v>19</v>
      </c>
      <c r="K23">
        <v>5586</v>
      </c>
      <c r="L23">
        <v>15</v>
      </c>
      <c r="M23">
        <v>4410</v>
      </c>
      <c r="N23">
        <v>13</v>
      </c>
      <c r="O23">
        <v>3822</v>
      </c>
      <c r="P23">
        <v>21</v>
      </c>
      <c r="Q23">
        <v>6174</v>
      </c>
      <c r="R23">
        <v>12</v>
      </c>
      <c r="S23">
        <v>3528</v>
      </c>
      <c r="T23">
        <v>18</v>
      </c>
      <c r="U23">
        <v>5292</v>
      </c>
      <c r="V23">
        <v>13</v>
      </c>
      <c r="W23">
        <v>3822</v>
      </c>
      <c r="X23">
        <v>17</v>
      </c>
      <c r="Y23">
        <v>4998</v>
      </c>
      <c r="Z23">
        <v>19</v>
      </c>
      <c r="AA23">
        <v>5586</v>
      </c>
      <c r="AB23">
        <v>24</v>
      </c>
      <c r="AC23">
        <v>7056</v>
      </c>
      <c r="AD23">
        <v>22</v>
      </c>
      <c r="AE23">
        <v>6468</v>
      </c>
      <c r="AF23">
        <v>23</v>
      </c>
      <c r="AG23">
        <v>6762</v>
      </c>
      <c r="AH23">
        <v>14</v>
      </c>
      <c r="AI23">
        <v>4116</v>
      </c>
      <c r="AJ23">
        <v>21</v>
      </c>
      <c r="AK23">
        <v>6174</v>
      </c>
      <c r="AL23">
        <v>21</v>
      </c>
      <c r="AM23">
        <v>6174</v>
      </c>
      <c r="AN23">
        <v>21</v>
      </c>
      <c r="AO23">
        <v>6174</v>
      </c>
      <c r="AP23">
        <v>14</v>
      </c>
      <c r="AQ23">
        <v>4116</v>
      </c>
      <c r="AR23">
        <v>16</v>
      </c>
      <c r="AS23">
        <v>4704</v>
      </c>
      <c r="AT23">
        <v>19</v>
      </c>
      <c r="AU23">
        <v>5586</v>
      </c>
      <c r="AV23">
        <v>15</v>
      </c>
      <c r="AW23">
        <v>4410</v>
      </c>
      <c r="AX23">
        <v>18</v>
      </c>
      <c r="AY23">
        <v>5292</v>
      </c>
      <c r="AZ23">
        <v>24</v>
      </c>
      <c r="BA23">
        <v>7056</v>
      </c>
      <c r="BB23">
        <v>20</v>
      </c>
      <c r="BC23">
        <v>5880</v>
      </c>
      <c r="BD23">
        <v>27</v>
      </c>
      <c r="BE23">
        <v>7938</v>
      </c>
      <c r="BF23">
        <v>25</v>
      </c>
      <c r="BG23">
        <v>7350</v>
      </c>
      <c r="BH23">
        <v>19</v>
      </c>
      <c r="BI23">
        <v>5586</v>
      </c>
      <c r="BJ23">
        <v>21</v>
      </c>
      <c r="BK23">
        <v>6174</v>
      </c>
      <c r="BL23">
        <v>23</v>
      </c>
      <c r="BM23">
        <v>6762</v>
      </c>
      <c r="BN23">
        <v>27</v>
      </c>
      <c r="BO23">
        <v>7938</v>
      </c>
      <c r="BP23">
        <v>20</v>
      </c>
      <c r="BQ23">
        <v>5880</v>
      </c>
      <c r="BR23">
        <v>27</v>
      </c>
      <c r="BS23">
        <v>7938</v>
      </c>
      <c r="BT23">
        <v>22</v>
      </c>
      <c r="BU23">
        <v>6468</v>
      </c>
      <c r="BV23">
        <v>22</v>
      </c>
      <c r="BW23">
        <v>6468</v>
      </c>
      <c r="BX23">
        <v>23</v>
      </c>
      <c r="BY23">
        <v>6762</v>
      </c>
      <c r="BZ23">
        <v>23</v>
      </c>
      <c r="CA23">
        <v>6762</v>
      </c>
      <c r="CB23">
        <v>14</v>
      </c>
      <c r="CC23">
        <v>4116</v>
      </c>
      <c r="CD23">
        <v>21</v>
      </c>
      <c r="CE23">
        <v>6174</v>
      </c>
      <c r="CF23">
        <v>18</v>
      </c>
      <c r="CG23">
        <v>5292</v>
      </c>
      <c r="CH23">
        <v>13</v>
      </c>
      <c r="CI23">
        <v>3822</v>
      </c>
      <c r="CJ23">
        <v>13</v>
      </c>
      <c r="CK23">
        <v>3822</v>
      </c>
      <c r="CL23">
        <v>17</v>
      </c>
      <c r="CM23">
        <v>4998</v>
      </c>
      <c r="CN23">
        <v>16</v>
      </c>
      <c r="CO23">
        <v>4704</v>
      </c>
      <c r="CP23">
        <v>20</v>
      </c>
      <c r="CQ23">
        <v>5880</v>
      </c>
      <c r="CR23">
        <v>17</v>
      </c>
      <c r="CS23">
        <v>4998</v>
      </c>
      <c r="CT23">
        <v>13</v>
      </c>
      <c r="CU23">
        <v>3822</v>
      </c>
    </row>
    <row r="24" spans="2:99" x14ac:dyDescent="0.2">
      <c r="C24" s="119" t="s">
        <v>190</v>
      </c>
      <c r="D24">
        <v>16</v>
      </c>
      <c r="E24">
        <v>5875.2</v>
      </c>
      <c r="F24">
        <v>22</v>
      </c>
      <c r="G24">
        <v>8078.4</v>
      </c>
      <c r="H24">
        <v>20</v>
      </c>
      <c r="I24">
        <v>7344</v>
      </c>
      <c r="J24">
        <v>19</v>
      </c>
      <c r="K24">
        <v>6976.8</v>
      </c>
      <c r="L24">
        <v>16</v>
      </c>
      <c r="M24">
        <v>5875.2</v>
      </c>
      <c r="N24">
        <v>12</v>
      </c>
      <c r="O24">
        <v>4406.3999999999996</v>
      </c>
      <c r="P24">
        <v>21</v>
      </c>
      <c r="Q24">
        <v>7711.2</v>
      </c>
      <c r="R24">
        <v>11</v>
      </c>
      <c r="S24">
        <v>4039.2</v>
      </c>
      <c r="T24">
        <v>17</v>
      </c>
      <c r="U24">
        <v>6242.4</v>
      </c>
      <c r="V24">
        <v>15</v>
      </c>
      <c r="W24">
        <v>5508</v>
      </c>
      <c r="X24">
        <v>19</v>
      </c>
      <c r="Y24">
        <v>6976.8</v>
      </c>
      <c r="Z24">
        <v>20</v>
      </c>
      <c r="AA24">
        <v>7344</v>
      </c>
      <c r="AB24">
        <v>23</v>
      </c>
      <c r="AC24">
        <v>8445.6</v>
      </c>
      <c r="AD24">
        <v>21</v>
      </c>
      <c r="AE24">
        <v>7711.2</v>
      </c>
      <c r="AF24">
        <v>22</v>
      </c>
      <c r="AG24">
        <v>8078.4</v>
      </c>
      <c r="AH24">
        <v>14</v>
      </c>
      <c r="AI24">
        <v>5140.8</v>
      </c>
      <c r="AJ24">
        <v>22</v>
      </c>
      <c r="AK24">
        <v>8078.4</v>
      </c>
      <c r="AL24">
        <v>21</v>
      </c>
      <c r="AM24">
        <v>7711.2</v>
      </c>
      <c r="AN24">
        <v>21</v>
      </c>
      <c r="AO24">
        <v>7711.2</v>
      </c>
      <c r="AP24">
        <v>13</v>
      </c>
      <c r="AQ24">
        <v>4773.5999999999995</v>
      </c>
      <c r="AR24">
        <v>14</v>
      </c>
      <c r="AS24">
        <v>5140.8</v>
      </c>
      <c r="AT24">
        <v>21</v>
      </c>
      <c r="AU24">
        <v>7711.2</v>
      </c>
      <c r="AV24">
        <v>15</v>
      </c>
      <c r="AW24">
        <v>5508</v>
      </c>
      <c r="AX24">
        <v>17</v>
      </c>
      <c r="AY24">
        <v>6242.4</v>
      </c>
      <c r="AZ24">
        <v>27</v>
      </c>
      <c r="BA24">
        <v>9914.4</v>
      </c>
      <c r="BB24">
        <v>20</v>
      </c>
      <c r="BC24">
        <v>7344</v>
      </c>
      <c r="BD24">
        <v>23</v>
      </c>
      <c r="BE24">
        <v>8445.6</v>
      </c>
      <c r="BF24">
        <v>22</v>
      </c>
      <c r="BG24">
        <v>8078.4</v>
      </c>
      <c r="BH24">
        <v>16</v>
      </c>
      <c r="BI24">
        <v>5875.2</v>
      </c>
      <c r="BJ24">
        <v>20</v>
      </c>
      <c r="BK24">
        <v>7344</v>
      </c>
      <c r="BL24">
        <v>23</v>
      </c>
      <c r="BM24">
        <v>8445.6</v>
      </c>
      <c r="BN24">
        <v>29</v>
      </c>
      <c r="BO24">
        <v>10648.8</v>
      </c>
      <c r="BP24">
        <v>19</v>
      </c>
      <c r="BQ24">
        <v>6976.8</v>
      </c>
      <c r="BR24">
        <v>26</v>
      </c>
      <c r="BS24">
        <v>9547.1999999999989</v>
      </c>
      <c r="BT24">
        <v>21</v>
      </c>
      <c r="BU24">
        <v>7711.2</v>
      </c>
      <c r="BV24">
        <v>25</v>
      </c>
      <c r="BW24">
        <v>9180</v>
      </c>
      <c r="BX24">
        <v>24</v>
      </c>
      <c r="BY24">
        <v>8812.7999999999993</v>
      </c>
      <c r="BZ24">
        <v>22</v>
      </c>
      <c r="CA24">
        <v>8078.4</v>
      </c>
      <c r="CB24">
        <v>13</v>
      </c>
      <c r="CC24">
        <v>4773.5999999999995</v>
      </c>
      <c r="CD24">
        <v>19</v>
      </c>
      <c r="CE24">
        <v>6976.8</v>
      </c>
      <c r="CF24">
        <v>15</v>
      </c>
      <c r="CG24">
        <v>5508</v>
      </c>
      <c r="CH24">
        <v>15</v>
      </c>
      <c r="CI24">
        <v>5508</v>
      </c>
      <c r="CJ24">
        <v>14</v>
      </c>
      <c r="CK24">
        <v>5140.8</v>
      </c>
      <c r="CL24">
        <v>17</v>
      </c>
      <c r="CM24">
        <v>6242.4</v>
      </c>
      <c r="CN24">
        <v>17</v>
      </c>
      <c r="CO24">
        <v>6242.4</v>
      </c>
      <c r="CP24">
        <v>20</v>
      </c>
      <c r="CQ24">
        <v>7344</v>
      </c>
      <c r="CR24">
        <v>17</v>
      </c>
      <c r="CS24">
        <v>6242.4</v>
      </c>
      <c r="CT24">
        <v>15</v>
      </c>
      <c r="CU24">
        <v>5508</v>
      </c>
    </row>
    <row r="25" spans="2:99" x14ac:dyDescent="0.2">
      <c r="C25" s="119" t="s">
        <v>191</v>
      </c>
      <c r="D25">
        <v>17</v>
      </c>
      <c r="E25">
        <v>9016.7999999999993</v>
      </c>
      <c r="F25">
        <v>19</v>
      </c>
      <c r="G25">
        <v>10077.6</v>
      </c>
      <c r="H25">
        <v>17</v>
      </c>
      <c r="I25">
        <v>9016.7999999999993</v>
      </c>
      <c r="J25">
        <v>20</v>
      </c>
      <c r="K25">
        <v>10608</v>
      </c>
      <c r="L25">
        <v>14</v>
      </c>
      <c r="M25">
        <v>7425.5999999999995</v>
      </c>
      <c r="N25">
        <v>13</v>
      </c>
      <c r="O25">
        <v>6895.2</v>
      </c>
      <c r="P25">
        <v>21</v>
      </c>
      <c r="Q25">
        <v>11138.4</v>
      </c>
      <c r="R25">
        <v>11</v>
      </c>
      <c r="S25">
        <v>5834.4</v>
      </c>
      <c r="T25">
        <v>18</v>
      </c>
      <c r="U25">
        <v>9547.1999999999989</v>
      </c>
      <c r="V25">
        <v>14</v>
      </c>
      <c r="W25">
        <v>7425.5999999999995</v>
      </c>
      <c r="X25">
        <v>18</v>
      </c>
      <c r="Y25">
        <v>9547.1999999999989</v>
      </c>
      <c r="Z25">
        <v>20</v>
      </c>
      <c r="AA25">
        <v>10608</v>
      </c>
      <c r="AB25">
        <v>20</v>
      </c>
      <c r="AC25">
        <v>10608</v>
      </c>
      <c r="AD25">
        <v>19</v>
      </c>
      <c r="AE25">
        <v>10077.6</v>
      </c>
      <c r="AF25">
        <v>21</v>
      </c>
      <c r="AG25">
        <v>11138.4</v>
      </c>
      <c r="AH25">
        <v>13</v>
      </c>
      <c r="AI25">
        <v>6895.2</v>
      </c>
      <c r="AJ25">
        <v>21</v>
      </c>
      <c r="AK25">
        <v>11138.4</v>
      </c>
      <c r="AL25">
        <v>19</v>
      </c>
      <c r="AM25">
        <v>10077.6</v>
      </c>
      <c r="AN25">
        <v>20</v>
      </c>
      <c r="AO25">
        <v>10608</v>
      </c>
      <c r="AP25">
        <v>15</v>
      </c>
      <c r="AQ25">
        <v>7956</v>
      </c>
      <c r="AR25">
        <v>16</v>
      </c>
      <c r="AS25">
        <v>8486.4</v>
      </c>
      <c r="AT25">
        <v>21</v>
      </c>
      <c r="AU25">
        <v>11138.4</v>
      </c>
      <c r="AV25">
        <v>14</v>
      </c>
      <c r="AW25">
        <v>7425.5999999999995</v>
      </c>
      <c r="AX25">
        <v>19</v>
      </c>
      <c r="AY25">
        <v>10077.6</v>
      </c>
      <c r="AZ25">
        <v>26</v>
      </c>
      <c r="BA25">
        <v>13790.4</v>
      </c>
      <c r="BB25">
        <v>17</v>
      </c>
      <c r="BC25">
        <v>9016.7999999999993</v>
      </c>
      <c r="BD25">
        <v>27</v>
      </c>
      <c r="BE25">
        <v>14320.8</v>
      </c>
      <c r="BF25">
        <v>23</v>
      </c>
      <c r="BG25">
        <v>12199.199999999999</v>
      </c>
      <c r="BH25">
        <v>17</v>
      </c>
      <c r="BI25">
        <v>9016.7999999999993</v>
      </c>
      <c r="BJ25">
        <v>19</v>
      </c>
      <c r="BK25">
        <v>10077.6</v>
      </c>
      <c r="BL25">
        <v>24</v>
      </c>
      <c r="BM25">
        <v>12729.599999999999</v>
      </c>
      <c r="BN25">
        <v>25</v>
      </c>
      <c r="BO25">
        <v>13260</v>
      </c>
      <c r="BP25">
        <v>20</v>
      </c>
      <c r="BQ25">
        <v>10608</v>
      </c>
      <c r="BR25">
        <v>24</v>
      </c>
      <c r="BS25">
        <v>12729.599999999999</v>
      </c>
      <c r="BT25">
        <v>19</v>
      </c>
      <c r="BU25">
        <v>10077.6</v>
      </c>
      <c r="BV25">
        <v>24</v>
      </c>
      <c r="BW25">
        <v>12729.599999999999</v>
      </c>
      <c r="BX25">
        <v>25</v>
      </c>
      <c r="BY25">
        <v>13260</v>
      </c>
      <c r="BZ25">
        <v>20</v>
      </c>
      <c r="CA25">
        <v>10608</v>
      </c>
      <c r="CB25">
        <v>12</v>
      </c>
      <c r="CC25">
        <v>6364.7999999999993</v>
      </c>
      <c r="CD25">
        <v>22</v>
      </c>
      <c r="CE25">
        <v>11668.8</v>
      </c>
      <c r="CF25">
        <v>17</v>
      </c>
      <c r="CG25">
        <v>9016.7999999999993</v>
      </c>
      <c r="CH25">
        <v>14</v>
      </c>
      <c r="CI25">
        <v>7425.5999999999995</v>
      </c>
      <c r="CJ25">
        <v>15</v>
      </c>
      <c r="CK25">
        <v>7956</v>
      </c>
      <c r="CL25">
        <v>16</v>
      </c>
      <c r="CM25">
        <v>8486.4</v>
      </c>
      <c r="CN25">
        <v>16</v>
      </c>
      <c r="CO25">
        <v>8486.4</v>
      </c>
      <c r="CP25">
        <v>21</v>
      </c>
      <c r="CQ25">
        <v>11138.4</v>
      </c>
      <c r="CR25">
        <v>15</v>
      </c>
      <c r="CS25">
        <v>7956</v>
      </c>
      <c r="CT25">
        <v>15</v>
      </c>
      <c r="CU25">
        <v>7956</v>
      </c>
    </row>
    <row r="26" spans="2:99" x14ac:dyDescent="0.2">
      <c r="C26" s="119" t="s">
        <v>192</v>
      </c>
      <c r="D26">
        <v>15</v>
      </c>
      <c r="E26">
        <v>7290</v>
      </c>
      <c r="F26">
        <v>20</v>
      </c>
      <c r="G26">
        <v>9720</v>
      </c>
      <c r="H26">
        <v>17</v>
      </c>
      <c r="I26">
        <v>8262</v>
      </c>
      <c r="J26">
        <v>18</v>
      </c>
      <c r="K26">
        <v>8748</v>
      </c>
      <c r="L26">
        <v>16</v>
      </c>
      <c r="M26">
        <v>7776</v>
      </c>
      <c r="N26">
        <v>12</v>
      </c>
      <c r="O26">
        <v>5832</v>
      </c>
      <c r="P26">
        <v>21</v>
      </c>
      <c r="Q26">
        <v>10206</v>
      </c>
      <c r="R26">
        <v>13</v>
      </c>
      <c r="S26">
        <v>6318</v>
      </c>
      <c r="T26">
        <v>19</v>
      </c>
      <c r="U26">
        <v>9234</v>
      </c>
      <c r="V26">
        <v>13</v>
      </c>
      <c r="W26">
        <v>6318</v>
      </c>
      <c r="X26">
        <v>18</v>
      </c>
      <c r="Y26">
        <v>8748</v>
      </c>
      <c r="Z26">
        <v>18</v>
      </c>
      <c r="AA26">
        <v>8748</v>
      </c>
      <c r="AB26">
        <v>24</v>
      </c>
      <c r="AC26">
        <v>11664</v>
      </c>
      <c r="AD26">
        <v>21</v>
      </c>
      <c r="AE26">
        <v>10206</v>
      </c>
      <c r="AF26">
        <v>21</v>
      </c>
      <c r="AG26">
        <v>10206</v>
      </c>
      <c r="AH26">
        <v>13</v>
      </c>
      <c r="AI26">
        <v>6318</v>
      </c>
      <c r="AJ26">
        <v>24</v>
      </c>
      <c r="AK26">
        <v>11664</v>
      </c>
      <c r="AL26">
        <v>20</v>
      </c>
      <c r="AM26">
        <v>9720</v>
      </c>
      <c r="AN26">
        <v>20</v>
      </c>
      <c r="AO26">
        <v>9720</v>
      </c>
      <c r="AP26">
        <v>15</v>
      </c>
      <c r="AQ26">
        <v>7290</v>
      </c>
      <c r="AR26">
        <v>14</v>
      </c>
      <c r="AS26">
        <v>6804</v>
      </c>
      <c r="AT26">
        <v>21</v>
      </c>
      <c r="AU26">
        <v>10206</v>
      </c>
      <c r="AV26">
        <v>15</v>
      </c>
      <c r="AW26">
        <v>7290</v>
      </c>
      <c r="AX26">
        <v>17</v>
      </c>
      <c r="AY26">
        <v>8262</v>
      </c>
      <c r="AZ26">
        <v>25</v>
      </c>
      <c r="BA26">
        <v>12150</v>
      </c>
      <c r="BB26">
        <v>18</v>
      </c>
      <c r="BC26">
        <v>8748</v>
      </c>
      <c r="BD26">
        <v>26</v>
      </c>
      <c r="BE26">
        <v>12636</v>
      </c>
      <c r="BF26">
        <v>26</v>
      </c>
      <c r="BG26">
        <v>12636</v>
      </c>
      <c r="BH26">
        <v>17</v>
      </c>
      <c r="BI26">
        <v>8262</v>
      </c>
      <c r="BJ26">
        <v>17</v>
      </c>
      <c r="BK26">
        <v>8262</v>
      </c>
      <c r="BL26">
        <v>22</v>
      </c>
      <c r="BM26">
        <v>10692</v>
      </c>
      <c r="BN26">
        <v>25</v>
      </c>
      <c r="BO26">
        <v>12150</v>
      </c>
      <c r="BP26">
        <v>19</v>
      </c>
      <c r="BQ26">
        <v>9234</v>
      </c>
      <c r="BR26">
        <v>23</v>
      </c>
      <c r="BS26">
        <v>11178</v>
      </c>
      <c r="BT26">
        <v>18</v>
      </c>
      <c r="BU26">
        <v>8748</v>
      </c>
      <c r="BV26">
        <v>24</v>
      </c>
      <c r="BW26">
        <v>11664</v>
      </c>
      <c r="BX26">
        <v>24</v>
      </c>
      <c r="BY26">
        <v>11664</v>
      </c>
      <c r="BZ26">
        <v>21</v>
      </c>
      <c r="CA26">
        <v>10206</v>
      </c>
      <c r="CB26">
        <v>13</v>
      </c>
      <c r="CC26">
        <v>6318</v>
      </c>
      <c r="CD26">
        <v>22</v>
      </c>
      <c r="CE26">
        <v>10692</v>
      </c>
      <c r="CF26">
        <v>16</v>
      </c>
      <c r="CG26">
        <v>7776</v>
      </c>
      <c r="CH26">
        <v>14</v>
      </c>
      <c r="CI26">
        <v>6804</v>
      </c>
      <c r="CJ26">
        <v>14</v>
      </c>
      <c r="CK26">
        <v>6804</v>
      </c>
      <c r="CL26">
        <v>18</v>
      </c>
      <c r="CM26">
        <v>8748</v>
      </c>
      <c r="CN26">
        <v>16</v>
      </c>
      <c r="CO26">
        <v>7776</v>
      </c>
      <c r="CP26">
        <v>20</v>
      </c>
      <c r="CQ26">
        <v>9720</v>
      </c>
      <c r="CR26">
        <v>16</v>
      </c>
      <c r="CS26">
        <v>7776</v>
      </c>
      <c r="CT26">
        <v>13</v>
      </c>
      <c r="CU26">
        <v>6318</v>
      </c>
    </row>
    <row r="27" spans="2:99" x14ac:dyDescent="0.2">
      <c r="C27" s="119" t="s">
        <v>193</v>
      </c>
      <c r="D27">
        <v>17</v>
      </c>
      <c r="E27">
        <v>7262.4</v>
      </c>
      <c r="F27">
        <v>20</v>
      </c>
      <c r="G27">
        <v>8544</v>
      </c>
      <c r="H27">
        <v>19</v>
      </c>
      <c r="I27">
        <v>8116.8</v>
      </c>
      <c r="J27">
        <v>21</v>
      </c>
      <c r="K27">
        <v>8971.1999999999989</v>
      </c>
      <c r="L27">
        <v>16</v>
      </c>
      <c r="M27">
        <v>6835.2</v>
      </c>
      <c r="N27">
        <v>12</v>
      </c>
      <c r="O27">
        <v>5126.3999999999996</v>
      </c>
      <c r="P27">
        <v>20</v>
      </c>
      <c r="Q27">
        <v>8544</v>
      </c>
      <c r="R27">
        <v>11</v>
      </c>
      <c r="S27">
        <v>4699.2</v>
      </c>
      <c r="T27">
        <v>17</v>
      </c>
      <c r="U27">
        <v>7262.4</v>
      </c>
      <c r="V27">
        <v>14</v>
      </c>
      <c r="W27">
        <v>5980.8</v>
      </c>
      <c r="X27">
        <v>17</v>
      </c>
      <c r="Y27">
        <v>7262.4</v>
      </c>
      <c r="Z27">
        <v>19</v>
      </c>
      <c r="AA27">
        <v>8116.8</v>
      </c>
      <c r="AB27">
        <v>24</v>
      </c>
      <c r="AC27">
        <v>10252.799999999999</v>
      </c>
      <c r="AD27">
        <v>22</v>
      </c>
      <c r="AE27">
        <v>9398.4</v>
      </c>
      <c r="AF27">
        <v>22</v>
      </c>
      <c r="AG27">
        <v>9398.4</v>
      </c>
      <c r="AH27">
        <v>12</v>
      </c>
      <c r="AI27">
        <v>5126.3999999999996</v>
      </c>
      <c r="AJ27">
        <v>24</v>
      </c>
      <c r="AK27">
        <v>10252.799999999999</v>
      </c>
      <c r="AL27">
        <v>20</v>
      </c>
      <c r="AM27">
        <v>8544</v>
      </c>
      <c r="AN27">
        <v>20</v>
      </c>
      <c r="AO27">
        <v>8544</v>
      </c>
      <c r="AP27">
        <v>15</v>
      </c>
      <c r="AQ27">
        <v>6408</v>
      </c>
      <c r="AR27">
        <v>14</v>
      </c>
      <c r="AS27">
        <v>5980.8</v>
      </c>
      <c r="AT27">
        <v>18</v>
      </c>
      <c r="AU27">
        <v>7689.5999999999995</v>
      </c>
      <c r="AV27">
        <v>15</v>
      </c>
      <c r="AW27">
        <v>6408</v>
      </c>
      <c r="AX27">
        <v>17</v>
      </c>
      <c r="AY27">
        <v>7262.4</v>
      </c>
      <c r="AZ27">
        <v>23</v>
      </c>
      <c r="BA27">
        <v>9825.6</v>
      </c>
      <c r="BB27">
        <v>19</v>
      </c>
      <c r="BC27">
        <v>8116.8</v>
      </c>
      <c r="BD27">
        <v>24</v>
      </c>
      <c r="BE27">
        <v>10252.799999999999</v>
      </c>
      <c r="BF27">
        <v>25</v>
      </c>
      <c r="BG27">
        <v>10680</v>
      </c>
      <c r="BH27">
        <v>16</v>
      </c>
      <c r="BI27">
        <v>6835.2</v>
      </c>
      <c r="BJ27">
        <v>19</v>
      </c>
      <c r="BK27">
        <v>8116.8</v>
      </c>
      <c r="BL27">
        <v>23</v>
      </c>
      <c r="BM27">
        <v>9825.6</v>
      </c>
      <c r="BN27">
        <v>28</v>
      </c>
      <c r="BO27">
        <v>11961.6</v>
      </c>
      <c r="BP27">
        <v>19</v>
      </c>
      <c r="BQ27">
        <v>8116.8</v>
      </c>
      <c r="BR27">
        <v>26</v>
      </c>
      <c r="BS27">
        <v>11107.199999999999</v>
      </c>
      <c r="BT27">
        <v>20</v>
      </c>
      <c r="BU27">
        <v>8544</v>
      </c>
      <c r="BV27">
        <v>22</v>
      </c>
      <c r="BW27">
        <v>9398.4</v>
      </c>
      <c r="BX27">
        <v>22</v>
      </c>
      <c r="BY27">
        <v>9398.4</v>
      </c>
      <c r="BZ27">
        <v>22</v>
      </c>
      <c r="CA27">
        <v>9398.4</v>
      </c>
      <c r="CB27">
        <v>14</v>
      </c>
      <c r="CC27">
        <v>5980.8</v>
      </c>
      <c r="CD27">
        <v>21</v>
      </c>
      <c r="CE27">
        <v>8971.1999999999989</v>
      </c>
      <c r="CF27">
        <v>16</v>
      </c>
      <c r="CG27">
        <v>6835.2</v>
      </c>
      <c r="CH27">
        <v>15</v>
      </c>
      <c r="CI27">
        <v>6408</v>
      </c>
      <c r="CJ27">
        <v>15</v>
      </c>
      <c r="CK27">
        <v>6408</v>
      </c>
      <c r="CL27">
        <v>18</v>
      </c>
      <c r="CM27">
        <v>7689.5999999999995</v>
      </c>
      <c r="CN27">
        <v>17</v>
      </c>
      <c r="CO27">
        <v>7262.4</v>
      </c>
      <c r="CP27">
        <v>21</v>
      </c>
      <c r="CQ27">
        <v>8971.1999999999989</v>
      </c>
      <c r="CR27">
        <v>16</v>
      </c>
      <c r="CS27">
        <v>6835.2</v>
      </c>
      <c r="CT27">
        <v>13</v>
      </c>
      <c r="CU27">
        <v>5553.5999999999995</v>
      </c>
    </row>
    <row r="28" spans="2:99" x14ac:dyDescent="0.2">
      <c r="C28" s="119" t="s">
        <v>194</v>
      </c>
      <c r="D28">
        <v>17</v>
      </c>
      <c r="E28">
        <v>12546</v>
      </c>
      <c r="F28">
        <v>20</v>
      </c>
      <c r="G28">
        <v>14760</v>
      </c>
      <c r="H28">
        <v>17</v>
      </c>
      <c r="I28">
        <v>12546</v>
      </c>
      <c r="J28">
        <v>19</v>
      </c>
      <c r="K28">
        <v>14022</v>
      </c>
      <c r="L28">
        <v>16</v>
      </c>
      <c r="M28">
        <v>11808</v>
      </c>
      <c r="N28">
        <v>13</v>
      </c>
      <c r="O28">
        <v>9594</v>
      </c>
      <c r="P28">
        <v>19</v>
      </c>
      <c r="Q28">
        <v>14022</v>
      </c>
      <c r="R28">
        <v>12</v>
      </c>
      <c r="S28">
        <v>8856</v>
      </c>
      <c r="T28">
        <v>17</v>
      </c>
      <c r="U28">
        <v>12546</v>
      </c>
      <c r="V28">
        <v>13</v>
      </c>
      <c r="W28">
        <v>9594</v>
      </c>
      <c r="X28">
        <v>16</v>
      </c>
      <c r="Y28">
        <v>11808</v>
      </c>
      <c r="Z28">
        <v>18</v>
      </c>
      <c r="AA28">
        <v>13284</v>
      </c>
      <c r="AB28">
        <v>20</v>
      </c>
      <c r="AC28">
        <v>14760</v>
      </c>
      <c r="AD28">
        <v>20</v>
      </c>
      <c r="AE28">
        <v>14760</v>
      </c>
      <c r="AF28">
        <v>23</v>
      </c>
      <c r="AG28">
        <v>16974</v>
      </c>
      <c r="AH28">
        <v>13</v>
      </c>
      <c r="AI28">
        <v>9594</v>
      </c>
      <c r="AJ28">
        <v>21</v>
      </c>
      <c r="AK28">
        <v>15498</v>
      </c>
      <c r="AL28">
        <v>20</v>
      </c>
      <c r="AM28">
        <v>14760</v>
      </c>
      <c r="AN28">
        <v>22</v>
      </c>
      <c r="AO28">
        <v>16236</v>
      </c>
      <c r="AP28">
        <v>14</v>
      </c>
      <c r="AQ28">
        <v>10332</v>
      </c>
      <c r="AR28">
        <v>14</v>
      </c>
      <c r="AS28">
        <v>10332</v>
      </c>
      <c r="AT28">
        <v>20</v>
      </c>
      <c r="AU28">
        <v>14760</v>
      </c>
      <c r="AV28">
        <v>15</v>
      </c>
      <c r="AW28">
        <v>11070</v>
      </c>
      <c r="AX28">
        <v>18</v>
      </c>
      <c r="AY28">
        <v>13284</v>
      </c>
      <c r="AZ28">
        <v>25</v>
      </c>
      <c r="BA28">
        <v>18450</v>
      </c>
      <c r="BB28">
        <v>18</v>
      </c>
      <c r="BC28">
        <v>13284</v>
      </c>
      <c r="BD28">
        <v>26</v>
      </c>
      <c r="BE28">
        <v>19188</v>
      </c>
      <c r="BF28">
        <v>22</v>
      </c>
      <c r="BG28">
        <v>16236</v>
      </c>
      <c r="BH28">
        <v>16</v>
      </c>
      <c r="BI28">
        <v>11808</v>
      </c>
      <c r="BJ28">
        <v>18</v>
      </c>
      <c r="BK28">
        <v>13284</v>
      </c>
      <c r="BL28">
        <v>25</v>
      </c>
      <c r="BM28">
        <v>18450</v>
      </c>
      <c r="BN28">
        <v>27</v>
      </c>
      <c r="BO28">
        <v>19926</v>
      </c>
      <c r="BP28">
        <v>19</v>
      </c>
      <c r="BQ28">
        <v>14022</v>
      </c>
      <c r="BR28">
        <v>22</v>
      </c>
      <c r="BS28">
        <v>16236</v>
      </c>
      <c r="BT28">
        <v>19</v>
      </c>
      <c r="BU28">
        <v>14022</v>
      </c>
      <c r="BV28">
        <v>23</v>
      </c>
      <c r="BW28">
        <v>16974</v>
      </c>
      <c r="BX28">
        <v>21</v>
      </c>
      <c r="BY28">
        <v>15498</v>
      </c>
      <c r="BZ28">
        <v>21</v>
      </c>
      <c r="CA28">
        <v>15498</v>
      </c>
      <c r="CB28">
        <v>14</v>
      </c>
      <c r="CC28">
        <v>10332</v>
      </c>
      <c r="CD28">
        <v>20</v>
      </c>
      <c r="CE28">
        <v>14760</v>
      </c>
      <c r="CF28">
        <v>17</v>
      </c>
      <c r="CG28">
        <v>12546</v>
      </c>
      <c r="CH28">
        <v>14</v>
      </c>
      <c r="CI28">
        <v>10332</v>
      </c>
      <c r="CJ28">
        <v>12</v>
      </c>
      <c r="CK28">
        <v>8856</v>
      </c>
      <c r="CL28">
        <v>16</v>
      </c>
      <c r="CM28">
        <v>11808</v>
      </c>
      <c r="CN28">
        <v>14</v>
      </c>
      <c r="CO28">
        <v>10332</v>
      </c>
      <c r="CP28">
        <v>19</v>
      </c>
      <c r="CQ28">
        <v>14022</v>
      </c>
      <c r="CR28">
        <v>14</v>
      </c>
      <c r="CS28">
        <v>10332</v>
      </c>
      <c r="CT28">
        <v>14</v>
      </c>
      <c r="CU28">
        <v>10332</v>
      </c>
    </row>
    <row r="29" spans="2:99" x14ac:dyDescent="0.2">
      <c r="C29" s="119" t="s">
        <v>195</v>
      </c>
      <c r="D29">
        <v>18</v>
      </c>
      <c r="E29">
        <v>6091.2</v>
      </c>
      <c r="F29">
        <v>21</v>
      </c>
      <c r="G29">
        <v>7106.4</v>
      </c>
      <c r="H29">
        <v>20</v>
      </c>
      <c r="I29">
        <v>6768</v>
      </c>
      <c r="J29">
        <v>20</v>
      </c>
      <c r="K29">
        <v>6768</v>
      </c>
      <c r="L29">
        <v>15</v>
      </c>
      <c r="M29">
        <v>5076</v>
      </c>
      <c r="N29">
        <v>12</v>
      </c>
      <c r="O29">
        <v>4060.7999999999997</v>
      </c>
      <c r="P29">
        <v>23</v>
      </c>
      <c r="Q29">
        <v>7783.2</v>
      </c>
      <c r="R29">
        <v>12</v>
      </c>
      <c r="S29">
        <v>4060.7999999999997</v>
      </c>
      <c r="T29">
        <v>18</v>
      </c>
      <c r="U29">
        <v>6091.2</v>
      </c>
      <c r="V29">
        <v>13</v>
      </c>
      <c r="W29">
        <v>4399.2</v>
      </c>
      <c r="X29">
        <v>17</v>
      </c>
      <c r="Y29">
        <v>5752.7999999999993</v>
      </c>
      <c r="Z29">
        <v>21</v>
      </c>
      <c r="AA29">
        <v>7106.4</v>
      </c>
      <c r="AB29">
        <v>23</v>
      </c>
      <c r="AC29">
        <v>7783.2</v>
      </c>
      <c r="AD29">
        <v>20</v>
      </c>
      <c r="AE29">
        <v>6768</v>
      </c>
      <c r="AF29">
        <v>21</v>
      </c>
      <c r="AG29">
        <v>7106.4</v>
      </c>
      <c r="AH29">
        <v>14</v>
      </c>
      <c r="AI29">
        <v>4737.5999999999995</v>
      </c>
      <c r="AJ29">
        <v>22</v>
      </c>
      <c r="AK29">
        <v>7444.7999999999993</v>
      </c>
      <c r="AL29">
        <v>22</v>
      </c>
      <c r="AM29">
        <v>7444.7999999999993</v>
      </c>
      <c r="AN29">
        <v>21</v>
      </c>
      <c r="AO29">
        <v>7106.4</v>
      </c>
      <c r="AP29">
        <v>13</v>
      </c>
      <c r="AQ29">
        <v>4399.2</v>
      </c>
      <c r="AR29">
        <v>15</v>
      </c>
      <c r="AS29">
        <v>5076</v>
      </c>
      <c r="AT29">
        <v>19</v>
      </c>
      <c r="AU29">
        <v>6429.5999999999995</v>
      </c>
      <c r="AV29">
        <v>14</v>
      </c>
      <c r="AW29">
        <v>4737.5999999999995</v>
      </c>
      <c r="AX29">
        <v>17</v>
      </c>
      <c r="AY29">
        <v>5752.7999999999993</v>
      </c>
      <c r="AZ29">
        <v>28</v>
      </c>
      <c r="BA29">
        <v>9475.1999999999989</v>
      </c>
      <c r="BB29">
        <v>20</v>
      </c>
      <c r="BC29">
        <v>6768</v>
      </c>
      <c r="BD29">
        <v>27</v>
      </c>
      <c r="BE29">
        <v>9136.7999999999993</v>
      </c>
      <c r="BF29">
        <v>23</v>
      </c>
      <c r="BG29">
        <v>7783.2</v>
      </c>
      <c r="BH29">
        <v>17</v>
      </c>
      <c r="BI29">
        <v>5752.7999999999993</v>
      </c>
      <c r="BJ29">
        <v>21</v>
      </c>
      <c r="BK29">
        <v>7106.4</v>
      </c>
      <c r="BL29">
        <v>24</v>
      </c>
      <c r="BM29">
        <v>8121.5999999999995</v>
      </c>
      <c r="BN29">
        <v>27</v>
      </c>
      <c r="BO29">
        <v>9136.7999999999993</v>
      </c>
      <c r="BP29">
        <v>21</v>
      </c>
      <c r="BQ29">
        <v>7106.4</v>
      </c>
      <c r="BR29">
        <v>25</v>
      </c>
      <c r="BS29">
        <v>8460</v>
      </c>
      <c r="BT29">
        <v>22</v>
      </c>
      <c r="BU29">
        <v>7444.7999999999993</v>
      </c>
      <c r="BV29">
        <v>22</v>
      </c>
      <c r="BW29">
        <v>7444.7999999999993</v>
      </c>
      <c r="BX29">
        <v>24</v>
      </c>
      <c r="BY29">
        <v>8121.5999999999995</v>
      </c>
      <c r="BZ29">
        <v>21</v>
      </c>
      <c r="CA29">
        <v>7106.4</v>
      </c>
      <c r="CB29">
        <v>15</v>
      </c>
      <c r="CC29">
        <v>5076</v>
      </c>
      <c r="CD29">
        <v>21</v>
      </c>
      <c r="CE29">
        <v>7106.4</v>
      </c>
      <c r="CF29">
        <v>15</v>
      </c>
      <c r="CG29">
        <v>5076</v>
      </c>
      <c r="CH29">
        <v>14</v>
      </c>
      <c r="CI29">
        <v>4737.5999999999995</v>
      </c>
      <c r="CJ29">
        <v>14</v>
      </c>
      <c r="CK29">
        <v>4737.5999999999995</v>
      </c>
      <c r="CL29">
        <v>18</v>
      </c>
      <c r="CM29">
        <v>6091.2</v>
      </c>
      <c r="CN29">
        <v>16</v>
      </c>
      <c r="CO29">
        <v>5414.4</v>
      </c>
      <c r="CP29">
        <v>18</v>
      </c>
      <c r="CQ29">
        <v>6091.2</v>
      </c>
      <c r="CR29">
        <v>16</v>
      </c>
      <c r="CS29">
        <v>5414.4</v>
      </c>
      <c r="CT29">
        <v>14</v>
      </c>
      <c r="CU29">
        <v>4737.5999999999995</v>
      </c>
    </row>
    <row r="30" spans="2:99" x14ac:dyDescent="0.2">
      <c r="C30" s="119" t="s">
        <v>196</v>
      </c>
      <c r="D30">
        <v>17</v>
      </c>
      <c r="E30">
        <v>2366.3999999999996</v>
      </c>
      <c r="F30">
        <v>23</v>
      </c>
      <c r="G30">
        <v>3201.6</v>
      </c>
      <c r="H30">
        <v>19</v>
      </c>
      <c r="I30">
        <v>2644.7999999999997</v>
      </c>
      <c r="J30">
        <v>20</v>
      </c>
      <c r="K30">
        <v>2784</v>
      </c>
      <c r="L30">
        <v>14</v>
      </c>
      <c r="M30">
        <v>1948.7999999999997</v>
      </c>
      <c r="N30">
        <v>12</v>
      </c>
      <c r="O30">
        <v>1670.3999999999999</v>
      </c>
      <c r="P30">
        <v>21</v>
      </c>
      <c r="Q30">
        <v>2923.2</v>
      </c>
      <c r="R30">
        <v>14</v>
      </c>
      <c r="S30">
        <v>1948.7999999999997</v>
      </c>
      <c r="T30">
        <v>18</v>
      </c>
      <c r="U30">
        <v>2505.6</v>
      </c>
      <c r="V30">
        <v>14</v>
      </c>
      <c r="W30">
        <v>1948.7999999999997</v>
      </c>
      <c r="X30">
        <v>17</v>
      </c>
      <c r="Y30">
        <v>2366.3999999999996</v>
      </c>
      <c r="Z30">
        <v>21</v>
      </c>
      <c r="AA30">
        <v>2923.2</v>
      </c>
      <c r="AB30">
        <v>23</v>
      </c>
      <c r="AC30">
        <v>3201.6</v>
      </c>
      <c r="AD30">
        <v>23</v>
      </c>
      <c r="AE30">
        <v>3201.6</v>
      </c>
      <c r="AF30">
        <v>25</v>
      </c>
      <c r="AG30">
        <v>3479.9999999999995</v>
      </c>
      <c r="AH30">
        <v>15</v>
      </c>
      <c r="AI30">
        <v>2088</v>
      </c>
      <c r="AJ30">
        <v>23</v>
      </c>
      <c r="AK30">
        <v>3201.6</v>
      </c>
      <c r="AL30">
        <v>20</v>
      </c>
      <c r="AM30">
        <v>2784</v>
      </c>
      <c r="AN30">
        <v>21</v>
      </c>
      <c r="AO30">
        <v>2923.2</v>
      </c>
      <c r="AP30">
        <v>15</v>
      </c>
      <c r="AQ30">
        <v>2088</v>
      </c>
      <c r="AR30">
        <v>15</v>
      </c>
      <c r="AS30">
        <v>2088</v>
      </c>
      <c r="AT30">
        <v>21</v>
      </c>
      <c r="AU30">
        <v>2923.2</v>
      </c>
      <c r="AV30">
        <v>15</v>
      </c>
      <c r="AW30">
        <v>2088</v>
      </c>
      <c r="AX30">
        <v>17</v>
      </c>
      <c r="AY30">
        <v>2366.3999999999996</v>
      </c>
      <c r="AZ30">
        <v>24</v>
      </c>
      <c r="BA30">
        <v>3340.7999999999997</v>
      </c>
      <c r="BB30">
        <v>21</v>
      </c>
      <c r="BC30">
        <v>2923.2</v>
      </c>
      <c r="BD30">
        <v>23</v>
      </c>
      <c r="BE30">
        <v>3201.6</v>
      </c>
      <c r="BF30">
        <v>27</v>
      </c>
      <c r="BG30">
        <v>3758.3999999999996</v>
      </c>
      <c r="BH30">
        <v>17</v>
      </c>
      <c r="BI30">
        <v>2366.3999999999996</v>
      </c>
      <c r="BJ30">
        <v>19</v>
      </c>
      <c r="BK30">
        <v>2644.7999999999997</v>
      </c>
      <c r="BL30">
        <v>27</v>
      </c>
      <c r="BM30">
        <v>3758.3999999999996</v>
      </c>
      <c r="BN30">
        <v>27</v>
      </c>
      <c r="BO30">
        <v>3758.3999999999996</v>
      </c>
      <c r="BP30">
        <v>18</v>
      </c>
      <c r="BQ30">
        <v>2505.6</v>
      </c>
      <c r="BR30">
        <v>25</v>
      </c>
      <c r="BS30">
        <v>3479.9999999999995</v>
      </c>
      <c r="BT30">
        <v>20</v>
      </c>
      <c r="BU30">
        <v>2784</v>
      </c>
      <c r="BV30">
        <v>24</v>
      </c>
      <c r="BW30">
        <v>3340.7999999999997</v>
      </c>
      <c r="BX30">
        <v>24</v>
      </c>
      <c r="BY30">
        <v>3340.7999999999997</v>
      </c>
      <c r="BZ30">
        <v>24</v>
      </c>
      <c r="CA30">
        <v>3340.7999999999997</v>
      </c>
      <c r="CB30">
        <v>15</v>
      </c>
      <c r="CC30">
        <v>2088</v>
      </c>
      <c r="CD30">
        <v>23</v>
      </c>
      <c r="CE30">
        <v>3201.6</v>
      </c>
      <c r="CF30">
        <v>15</v>
      </c>
      <c r="CG30">
        <v>2088</v>
      </c>
      <c r="CH30">
        <v>13</v>
      </c>
      <c r="CI30">
        <v>1809.6</v>
      </c>
      <c r="CJ30">
        <v>15</v>
      </c>
      <c r="CK30">
        <v>2088</v>
      </c>
      <c r="CL30">
        <v>18</v>
      </c>
      <c r="CM30">
        <v>2505.6</v>
      </c>
      <c r="CN30">
        <v>15</v>
      </c>
      <c r="CO30">
        <v>2088</v>
      </c>
      <c r="CP30">
        <v>20</v>
      </c>
      <c r="CQ30">
        <v>2784</v>
      </c>
      <c r="CR30">
        <v>17</v>
      </c>
      <c r="CS30">
        <v>2366.3999999999996</v>
      </c>
      <c r="CT30">
        <v>16</v>
      </c>
      <c r="CU30">
        <v>2227.1999999999998</v>
      </c>
    </row>
    <row r="31" spans="2:99" x14ac:dyDescent="0.2">
      <c r="C31" s="119" t="s">
        <v>197</v>
      </c>
      <c r="D31">
        <v>17</v>
      </c>
      <c r="E31">
        <v>5793.6</v>
      </c>
      <c r="F31">
        <v>21</v>
      </c>
      <c r="G31">
        <v>7156.8</v>
      </c>
      <c r="H31">
        <v>19</v>
      </c>
      <c r="I31">
        <v>6475.2</v>
      </c>
      <c r="J31">
        <v>18</v>
      </c>
      <c r="K31">
        <v>6134.4000000000005</v>
      </c>
      <c r="L31">
        <v>16</v>
      </c>
      <c r="M31">
        <v>5452.8</v>
      </c>
      <c r="N31">
        <v>14</v>
      </c>
      <c r="O31">
        <v>4771.2</v>
      </c>
      <c r="P31">
        <v>19</v>
      </c>
      <c r="Q31">
        <v>6475.2</v>
      </c>
      <c r="R31">
        <v>13</v>
      </c>
      <c r="S31">
        <v>4430.4000000000005</v>
      </c>
      <c r="T31">
        <v>17</v>
      </c>
      <c r="U31">
        <v>5793.6</v>
      </c>
      <c r="V31">
        <v>14</v>
      </c>
      <c r="W31">
        <v>4771.2</v>
      </c>
      <c r="X31">
        <v>16</v>
      </c>
      <c r="Y31">
        <v>5452.8</v>
      </c>
      <c r="Z31">
        <v>18</v>
      </c>
      <c r="AA31">
        <v>6134.4000000000005</v>
      </c>
      <c r="AB31">
        <v>21</v>
      </c>
      <c r="AC31">
        <v>7156.8</v>
      </c>
      <c r="AD31">
        <v>22</v>
      </c>
      <c r="AE31">
        <v>7497.6</v>
      </c>
      <c r="AF31">
        <v>22</v>
      </c>
      <c r="AG31">
        <v>7497.6</v>
      </c>
      <c r="AH31">
        <v>14</v>
      </c>
      <c r="AI31">
        <v>4771.2</v>
      </c>
      <c r="AJ31">
        <v>23</v>
      </c>
      <c r="AK31">
        <v>7838.4000000000005</v>
      </c>
      <c r="AL31">
        <v>21</v>
      </c>
      <c r="AM31">
        <v>7156.8</v>
      </c>
      <c r="AN31">
        <v>21</v>
      </c>
      <c r="AO31">
        <v>7156.8</v>
      </c>
      <c r="AP31">
        <v>14</v>
      </c>
      <c r="AQ31">
        <v>4771.2</v>
      </c>
      <c r="AR31">
        <v>15</v>
      </c>
      <c r="AS31">
        <v>5112</v>
      </c>
      <c r="AT31">
        <v>22</v>
      </c>
      <c r="AU31">
        <v>7497.6</v>
      </c>
      <c r="AV31">
        <v>15</v>
      </c>
      <c r="AW31">
        <v>5112</v>
      </c>
      <c r="AX31">
        <v>19</v>
      </c>
      <c r="AY31">
        <v>6475.2</v>
      </c>
      <c r="AZ31">
        <v>25</v>
      </c>
      <c r="BA31">
        <v>8520</v>
      </c>
      <c r="BB31">
        <v>19</v>
      </c>
      <c r="BC31">
        <v>6475.2</v>
      </c>
      <c r="BD31">
        <v>25</v>
      </c>
      <c r="BE31">
        <v>8520</v>
      </c>
      <c r="BF31">
        <v>25</v>
      </c>
      <c r="BG31">
        <v>8520</v>
      </c>
      <c r="BH31">
        <v>19</v>
      </c>
      <c r="BI31">
        <v>6475.2</v>
      </c>
      <c r="BJ31">
        <v>21</v>
      </c>
      <c r="BK31">
        <v>7156.8</v>
      </c>
      <c r="BL31">
        <v>24</v>
      </c>
      <c r="BM31">
        <v>8179.2000000000007</v>
      </c>
      <c r="BN31">
        <v>26</v>
      </c>
      <c r="BO31">
        <v>8860.8000000000011</v>
      </c>
      <c r="BP31">
        <v>21</v>
      </c>
      <c r="BQ31">
        <v>7156.8</v>
      </c>
      <c r="BR31">
        <v>24</v>
      </c>
      <c r="BS31">
        <v>8179.2000000000007</v>
      </c>
      <c r="BT31">
        <v>20</v>
      </c>
      <c r="BU31">
        <v>6816</v>
      </c>
      <c r="BV31">
        <v>21</v>
      </c>
      <c r="BW31">
        <v>7156.8</v>
      </c>
      <c r="BX31">
        <v>25</v>
      </c>
      <c r="BY31">
        <v>8520</v>
      </c>
      <c r="BZ31">
        <v>22</v>
      </c>
      <c r="CA31">
        <v>7497.6</v>
      </c>
      <c r="CB31">
        <v>14</v>
      </c>
      <c r="CC31">
        <v>4771.2</v>
      </c>
      <c r="CD31">
        <v>20</v>
      </c>
      <c r="CE31">
        <v>6816</v>
      </c>
      <c r="CF31">
        <v>15</v>
      </c>
      <c r="CG31">
        <v>5112</v>
      </c>
      <c r="CH31">
        <v>15</v>
      </c>
      <c r="CI31">
        <v>5112</v>
      </c>
      <c r="CJ31">
        <v>14</v>
      </c>
      <c r="CK31">
        <v>4771.2</v>
      </c>
      <c r="CL31">
        <v>18</v>
      </c>
      <c r="CM31">
        <v>6134.4000000000005</v>
      </c>
      <c r="CN31">
        <v>16</v>
      </c>
      <c r="CO31">
        <v>5452.8</v>
      </c>
      <c r="CP31">
        <v>18</v>
      </c>
      <c r="CQ31">
        <v>6134.4000000000005</v>
      </c>
      <c r="CR31">
        <v>15</v>
      </c>
      <c r="CS31">
        <v>5112</v>
      </c>
      <c r="CT31">
        <v>14</v>
      </c>
      <c r="CU31">
        <v>4771.2</v>
      </c>
    </row>
    <row r="32" spans="2:99" x14ac:dyDescent="0.2">
      <c r="C32" s="119" t="s">
        <v>198</v>
      </c>
      <c r="D32">
        <v>18</v>
      </c>
      <c r="E32">
        <v>15120</v>
      </c>
      <c r="F32">
        <v>21</v>
      </c>
      <c r="G32">
        <v>17640</v>
      </c>
      <c r="H32">
        <v>18</v>
      </c>
      <c r="I32">
        <v>15120</v>
      </c>
      <c r="J32">
        <v>20</v>
      </c>
      <c r="K32">
        <v>16800</v>
      </c>
      <c r="L32">
        <v>15</v>
      </c>
      <c r="M32">
        <v>12600</v>
      </c>
      <c r="N32">
        <v>11</v>
      </c>
      <c r="O32">
        <v>9240</v>
      </c>
      <c r="P32">
        <v>18</v>
      </c>
      <c r="Q32">
        <v>15120</v>
      </c>
      <c r="R32">
        <v>12</v>
      </c>
      <c r="S32">
        <v>10080</v>
      </c>
      <c r="T32">
        <v>19</v>
      </c>
      <c r="U32">
        <v>15960</v>
      </c>
      <c r="V32">
        <v>14</v>
      </c>
      <c r="W32">
        <v>11760</v>
      </c>
      <c r="X32">
        <v>17</v>
      </c>
      <c r="Y32">
        <v>14280</v>
      </c>
      <c r="Z32">
        <v>18</v>
      </c>
      <c r="AA32">
        <v>15120</v>
      </c>
      <c r="AB32">
        <v>20</v>
      </c>
      <c r="AC32">
        <v>16800</v>
      </c>
      <c r="AD32">
        <v>21</v>
      </c>
      <c r="AE32">
        <v>17640</v>
      </c>
      <c r="AF32">
        <v>22</v>
      </c>
      <c r="AG32">
        <v>18480</v>
      </c>
      <c r="AH32">
        <v>12</v>
      </c>
      <c r="AI32">
        <v>10080</v>
      </c>
      <c r="AJ32">
        <v>22</v>
      </c>
      <c r="AK32">
        <v>18480</v>
      </c>
      <c r="AL32">
        <v>20</v>
      </c>
      <c r="AM32">
        <v>16800</v>
      </c>
      <c r="AN32">
        <v>22</v>
      </c>
      <c r="AO32">
        <v>18480</v>
      </c>
      <c r="AP32">
        <v>14</v>
      </c>
      <c r="AQ32">
        <v>11760</v>
      </c>
      <c r="AR32">
        <v>15</v>
      </c>
      <c r="AS32">
        <v>12600</v>
      </c>
      <c r="AT32">
        <v>19</v>
      </c>
      <c r="AU32">
        <v>15960</v>
      </c>
      <c r="AV32">
        <v>16</v>
      </c>
      <c r="AW32">
        <v>13440</v>
      </c>
      <c r="AX32">
        <v>19</v>
      </c>
      <c r="AY32">
        <v>15960</v>
      </c>
      <c r="AZ32">
        <v>25</v>
      </c>
      <c r="BA32">
        <v>21000</v>
      </c>
      <c r="BB32">
        <v>19</v>
      </c>
      <c r="BC32">
        <v>15960</v>
      </c>
      <c r="BD32">
        <v>25</v>
      </c>
      <c r="BE32">
        <v>21000</v>
      </c>
      <c r="BF32">
        <v>23</v>
      </c>
      <c r="BG32">
        <v>19320</v>
      </c>
      <c r="BH32">
        <v>17</v>
      </c>
      <c r="BI32">
        <v>14280</v>
      </c>
      <c r="BJ32">
        <v>17</v>
      </c>
      <c r="BK32">
        <v>14280</v>
      </c>
      <c r="BL32">
        <v>25</v>
      </c>
      <c r="BM32">
        <v>21000</v>
      </c>
      <c r="BN32">
        <v>24</v>
      </c>
      <c r="BO32">
        <v>20160</v>
      </c>
      <c r="BP32">
        <v>18</v>
      </c>
      <c r="BQ32">
        <v>15120</v>
      </c>
      <c r="BR32">
        <v>21</v>
      </c>
      <c r="BS32">
        <v>17640</v>
      </c>
      <c r="BT32">
        <v>19</v>
      </c>
      <c r="BU32">
        <v>15960</v>
      </c>
      <c r="BV32">
        <v>20</v>
      </c>
      <c r="BW32">
        <v>16800</v>
      </c>
      <c r="BX32">
        <v>22</v>
      </c>
      <c r="BY32">
        <v>18480</v>
      </c>
      <c r="BZ32">
        <v>22</v>
      </c>
      <c r="CA32">
        <v>18480</v>
      </c>
      <c r="CB32">
        <v>13</v>
      </c>
      <c r="CC32">
        <v>10920</v>
      </c>
      <c r="CD32">
        <v>18</v>
      </c>
      <c r="CE32">
        <v>15120</v>
      </c>
      <c r="CF32">
        <v>16</v>
      </c>
      <c r="CG32">
        <v>13440</v>
      </c>
      <c r="CH32">
        <v>12</v>
      </c>
      <c r="CI32">
        <v>10080</v>
      </c>
      <c r="CJ32">
        <v>15</v>
      </c>
      <c r="CK32">
        <v>12600</v>
      </c>
      <c r="CL32">
        <v>15</v>
      </c>
      <c r="CM32">
        <v>12600</v>
      </c>
      <c r="CN32">
        <v>16</v>
      </c>
      <c r="CO32">
        <v>13440</v>
      </c>
      <c r="CP32">
        <v>17</v>
      </c>
      <c r="CQ32">
        <v>14280</v>
      </c>
      <c r="CR32">
        <v>15</v>
      </c>
      <c r="CS32">
        <v>12600</v>
      </c>
      <c r="CT32">
        <v>13</v>
      </c>
      <c r="CU32">
        <v>10920</v>
      </c>
    </row>
    <row r="33" spans="2:99" x14ac:dyDescent="0.2">
      <c r="C33" s="119" t="s">
        <v>199</v>
      </c>
      <c r="D33">
        <v>16</v>
      </c>
      <c r="E33">
        <v>7584</v>
      </c>
      <c r="F33">
        <v>19</v>
      </c>
      <c r="G33">
        <v>9006</v>
      </c>
      <c r="H33">
        <v>17</v>
      </c>
      <c r="I33">
        <v>8058</v>
      </c>
      <c r="J33">
        <v>19</v>
      </c>
      <c r="K33">
        <v>9006</v>
      </c>
      <c r="L33">
        <v>15</v>
      </c>
      <c r="M33">
        <v>7110</v>
      </c>
      <c r="N33">
        <v>12</v>
      </c>
      <c r="O33">
        <v>5688</v>
      </c>
      <c r="P33">
        <v>22</v>
      </c>
      <c r="Q33">
        <v>10428</v>
      </c>
      <c r="R33">
        <v>12</v>
      </c>
      <c r="S33">
        <v>5688</v>
      </c>
      <c r="T33">
        <v>20</v>
      </c>
      <c r="U33">
        <v>9480</v>
      </c>
      <c r="V33">
        <v>14</v>
      </c>
      <c r="W33">
        <v>6636</v>
      </c>
      <c r="X33">
        <v>16</v>
      </c>
      <c r="Y33">
        <v>7584</v>
      </c>
      <c r="Z33">
        <v>19</v>
      </c>
      <c r="AA33">
        <v>9006</v>
      </c>
      <c r="AB33">
        <v>21</v>
      </c>
      <c r="AC33">
        <v>9954</v>
      </c>
      <c r="AD33">
        <v>22</v>
      </c>
      <c r="AE33">
        <v>10428</v>
      </c>
      <c r="AF33">
        <v>23</v>
      </c>
      <c r="AG33">
        <v>10902</v>
      </c>
      <c r="AH33">
        <v>12</v>
      </c>
      <c r="AI33">
        <v>5688</v>
      </c>
      <c r="AJ33">
        <v>23</v>
      </c>
      <c r="AK33">
        <v>10902</v>
      </c>
      <c r="AL33">
        <v>20</v>
      </c>
      <c r="AM33">
        <v>9480</v>
      </c>
      <c r="AN33">
        <v>23</v>
      </c>
      <c r="AO33">
        <v>10902</v>
      </c>
      <c r="AP33">
        <v>13</v>
      </c>
      <c r="AQ33">
        <v>6162</v>
      </c>
      <c r="AR33">
        <v>16</v>
      </c>
      <c r="AS33">
        <v>7584</v>
      </c>
      <c r="AT33">
        <v>20</v>
      </c>
      <c r="AU33">
        <v>9480</v>
      </c>
      <c r="AV33">
        <v>14</v>
      </c>
      <c r="AW33">
        <v>6636</v>
      </c>
      <c r="AX33">
        <v>17</v>
      </c>
      <c r="AY33">
        <v>8058</v>
      </c>
      <c r="AZ33">
        <v>24</v>
      </c>
      <c r="BA33">
        <v>11376</v>
      </c>
      <c r="BB33">
        <v>18</v>
      </c>
      <c r="BC33">
        <v>8532</v>
      </c>
      <c r="BD33">
        <v>23</v>
      </c>
      <c r="BE33">
        <v>10902</v>
      </c>
      <c r="BF33">
        <v>26</v>
      </c>
      <c r="BG33">
        <v>12324</v>
      </c>
      <c r="BH33">
        <v>17</v>
      </c>
      <c r="BI33">
        <v>8058</v>
      </c>
      <c r="BJ33">
        <v>18</v>
      </c>
      <c r="BK33">
        <v>8532</v>
      </c>
      <c r="BL33">
        <v>22</v>
      </c>
      <c r="BM33">
        <v>10428</v>
      </c>
      <c r="BN33">
        <v>24</v>
      </c>
      <c r="BO33">
        <v>11376</v>
      </c>
      <c r="BP33">
        <v>20</v>
      </c>
      <c r="BQ33">
        <v>9480</v>
      </c>
      <c r="BR33">
        <v>23</v>
      </c>
      <c r="BS33">
        <v>10902</v>
      </c>
      <c r="BT33">
        <v>20</v>
      </c>
      <c r="BU33">
        <v>9480</v>
      </c>
      <c r="BV33">
        <v>24</v>
      </c>
      <c r="BW33">
        <v>11376</v>
      </c>
      <c r="BX33">
        <v>21</v>
      </c>
      <c r="BY33">
        <v>9954</v>
      </c>
      <c r="BZ33">
        <v>20</v>
      </c>
      <c r="CA33">
        <v>9480</v>
      </c>
      <c r="CB33">
        <v>13</v>
      </c>
      <c r="CC33">
        <v>6162</v>
      </c>
      <c r="CD33">
        <v>20</v>
      </c>
      <c r="CE33">
        <v>9480</v>
      </c>
      <c r="CF33">
        <v>15</v>
      </c>
      <c r="CG33">
        <v>7110</v>
      </c>
      <c r="CH33">
        <v>15</v>
      </c>
      <c r="CI33">
        <v>7110</v>
      </c>
      <c r="CJ33">
        <v>15</v>
      </c>
      <c r="CK33">
        <v>7110</v>
      </c>
      <c r="CL33">
        <v>16</v>
      </c>
      <c r="CM33">
        <v>7584</v>
      </c>
      <c r="CN33">
        <v>15</v>
      </c>
      <c r="CO33">
        <v>7110</v>
      </c>
      <c r="CP33">
        <v>20</v>
      </c>
      <c r="CQ33">
        <v>9480</v>
      </c>
      <c r="CR33">
        <v>16</v>
      </c>
      <c r="CS33">
        <v>7584</v>
      </c>
      <c r="CT33">
        <v>16</v>
      </c>
      <c r="CU33">
        <v>7584</v>
      </c>
    </row>
    <row r="34" spans="2:99" x14ac:dyDescent="0.2">
      <c r="C34" s="119" t="s">
        <v>200</v>
      </c>
      <c r="D34">
        <v>18</v>
      </c>
      <c r="E34">
        <v>9871.1999999999989</v>
      </c>
      <c r="F34">
        <v>21</v>
      </c>
      <c r="G34">
        <v>11516.4</v>
      </c>
      <c r="H34">
        <v>17</v>
      </c>
      <c r="I34">
        <v>9322.7999999999993</v>
      </c>
      <c r="J34">
        <v>19</v>
      </c>
      <c r="K34">
        <v>10419.6</v>
      </c>
      <c r="L34">
        <v>15</v>
      </c>
      <c r="M34">
        <v>8226</v>
      </c>
      <c r="N34">
        <v>14</v>
      </c>
      <c r="O34">
        <v>7677.5999999999995</v>
      </c>
      <c r="P34">
        <v>19</v>
      </c>
      <c r="Q34">
        <v>10419.6</v>
      </c>
      <c r="R34">
        <v>12</v>
      </c>
      <c r="S34">
        <v>6580.7999999999993</v>
      </c>
      <c r="T34">
        <v>17</v>
      </c>
      <c r="U34">
        <v>9322.7999999999993</v>
      </c>
      <c r="V34">
        <v>14</v>
      </c>
      <c r="W34">
        <v>7677.5999999999995</v>
      </c>
      <c r="X34">
        <v>18</v>
      </c>
      <c r="Y34">
        <v>9871.1999999999989</v>
      </c>
      <c r="Z34">
        <v>19</v>
      </c>
      <c r="AA34">
        <v>10419.6</v>
      </c>
      <c r="AB34">
        <v>24</v>
      </c>
      <c r="AC34">
        <v>13161.599999999999</v>
      </c>
      <c r="AD34">
        <v>20</v>
      </c>
      <c r="AE34">
        <v>10968</v>
      </c>
      <c r="AF34">
        <v>24</v>
      </c>
      <c r="AG34">
        <v>13161.599999999999</v>
      </c>
      <c r="AH34">
        <v>13</v>
      </c>
      <c r="AI34">
        <v>7129.2</v>
      </c>
      <c r="AJ34">
        <v>22</v>
      </c>
      <c r="AK34">
        <v>12064.8</v>
      </c>
      <c r="AL34">
        <v>20</v>
      </c>
      <c r="AM34">
        <v>10968</v>
      </c>
      <c r="AN34">
        <v>20</v>
      </c>
      <c r="AO34">
        <v>10968</v>
      </c>
      <c r="AP34">
        <v>13</v>
      </c>
      <c r="AQ34">
        <v>7129.2</v>
      </c>
      <c r="AR34">
        <v>16</v>
      </c>
      <c r="AS34">
        <v>8774.4</v>
      </c>
      <c r="AT34">
        <v>21</v>
      </c>
      <c r="AU34">
        <v>11516.4</v>
      </c>
      <c r="AV34">
        <v>14</v>
      </c>
      <c r="AW34">
        <v>7677.5999999999995</v>
      </c>
      <c r="AX34">
        <v>17</v>
      </c>
      <c r="AY34">
        <v>9322.7999999999993</v>
      </c>
      <c r="AZ34">
        <v>23</v>
      </c>
      <c r="BA34">
        <v>12613.199999999999</v>
      </c>
      <c r="BB34">
        <v>17</v>
      </c>
      <c r="BC34">
        <v>9322.7999999999993</v>
      </c>
      <c r="BD34">
        <v>26</v>
      </c>
      <c r="BE34">
        <v>14258.4</v>
      </c>
      <c r="BF34">
        <v>26</v>
      </c>
      <c r="BG34">
        <v>14258.4</v>
      </c>
      <c r="BH34">
        <v>15</v>
      </c>
      <c r="BI34">
        <v>8226</v>
      </c>
      <c r="BJ34">
        <v>19</v>
      </c>
      <c r="BK34">
        <v>10419.6</v>
      </c>
      <c r="BL34">
        <v>22</v>
      </c>
      <c r="BM34">
        <v>12064.8</v>
      </c>
      <c r="BN34">
        <v>23</v>
      </c>
      <c r="BO34">
        <v>12613.199999999999</v>
      </c>
      <c r="BP34">
        <v>20</v>
      </c>
      <c r="BQ34">
        <v>10968</v>
      </c>
      <c r="BR34">
        <v>24</v>
      </c>
      <c r="BS34">
        <v>13161.599999999999</v>
      </c>
      <c r="BT34">
        <v>20</v>
      </c>
      <c r="BU34">
        <v>10968</v>
      </c>
      <c r="BV34">
        <v>23</v>
      </c>
      <c r="BW34">
        <v>12613.199999999999</v>
      </c>
      <c r="BX34">
        <v>20</v>
      </c>
      <c r="BY34">
        <v>10968</v>
      </c>
      <c r="BZ34">
        <v>23</v>
      </c>
      <c r="CA34">
        <v>12613.199999999999</v>
      </c>
      <c r="CB34">
        <v>14</v>
      </c>
      <c r="CC34">
        <v>7677.5999999999995</v>
      </c>
      <c r="CD34">
        <v>21</v>
      </c>
      <c r="CE34">
        <v>11516.4</v>
      </c>
      <c r="CF34">
        <v>16</v>
      </c>
      <c r="CG34">
        <v>8774.4</v>
      </c>
      <c r="CH34">
        <v>14</v>
      </c>
      <c r="CI34">
        <v>7677.5999999999995</v>
      </c>
      <c r="CJ34">
        <v>15</v>
      </c>
      <c r="CK34">
        <v>8226</v>
      </c>
      <c r="CL34">
        <v>15</v>
      </c>
      <c r="CM34">
        <v>8226</v>
      </c>
      <c r="CN34">
        <v>14</v>
      </c>
      <c r="CO34">
        <v>7677.5999999999995</v>
      </c>
      <c r="CP34">
        <v>18</v>
      </c>
      <c r="CQ34">
        <v>9871.1999999999989</v>
      </c>
      <c r="CR34">
        <v>16</v>
      </c>
      <c r="CS34">
        <v>8774.4</v>
      </c>
      <c r="CT34">
        <v>14</v>
      </c>
      <c r="CU34">
        <v>7677.5999999999995</v>
      </c>
    </row>
    <row r="35" spans="2:99" x14ac:dyDescent="0.2">
      <c r="C35" s="119" t="s">
        <v>201</v>
      </c>
      <c r="D35">
        <v>18</v>
      </c>
      <c r="E35">
        <v>9050.3999999999978</v>
      </c>
      <c r="F35">
        <v>22</v>
      </c>
      <c r="G35">
        <v>11061.599999999999</v>
      </c>
      <c r="H35">
        <v>20</v>
      </c>
      <c r="I35">
        <v>10055.999999999998</v>
      </c>
      <c r="J35">
        <v>18</v>
      </c>
      <c r="K35">
        <v>9050.3999999999978</v>
      </c>
      <c r="L35">
        <v>17</v>
      </c>
      <c r="M35">
        <v>8547.5999999999985</v>
      </c>
      <c r="N35">
        <v>12</v>
      </c>
      <c r="O35">
        <v>6033.5999999999985</v>
      </c>
      <c r="P35">
        <v>21</v>
      </c>
      <c r="Q35">
        <v>10558.799999999997</v>
      </c>
      <c r="R35">
        <v>13</v>
      </c>
      <c r="S35">
        <v>6536.3999999999987</v>
      </c>
      <c r="T35">
        <v>17</v>
      </c>
      <c r="U35">
        <v>8547.5999999999985</v>
      </c>
      <c r="V35">
        <v>15</v>
      </c>
      <c r="W35">
        <v>7541.9999999999982</v>
      </c>
      <c r="X35">
        <v>16</v>
      </c>
      <c r="Y35">
        <v>8044.7999999999984</v>
      </c>
      <c r="Z35">
        <v>18</v>
      </c>
      <c r="AA35">
        <v>9050.3999999999978</v>
      </c>
      <c r="AB35">
        <v>21</v>
      </c>
      <c r="AC35">
        <v>10558.799999999997</v>
      </c>
      <c r="AD35">
        <v>23</v>
      </c>
      <c r="AE35">
        <v>11564.399999999998</v>
      </c>
      <c r="AF35">
        <v>23</v>
      </c>
      <c r="AG35">
        <v>11564.399999999998</v>
      </c>
      <c r="AH35">
        <v>13</v>
      </c>
      <c r="AI35">
        <v>6536.3999999999987</v>
      </c>
      <c r="AJ35">
        <v>24</v>
      </c>
      <c r="AK35">
        <v>12067.199999999997</v>
      </c>
      <c r="AL35">
        <v>20</v>
      </c>
      <c r="AM35">
        <v>10055.999999999998</v>
      </c>
      <c r="AN35">
        <v>19</v>
      </c>
      <c r="AO35">
        <v>9553.1999999999989</v>
      </c>
      <c r="AP35">
        <v>13</v>
      </c>
      <c r="AQ35">
        <v>6536.3999999999987</v>
      </c>
      <c r="AR35">
        <v>14</v>
      </c>
      <c r="AS35">
        <v>7039.1999999999989</v>
      </c>
      <c r="AT35">
        <v>19</v>
      </c>
      <c r="AU35">
        <v>9553.1999999999989</v>
      </c>
      <c r="AV35">
        <v>16</v>
      </c>
      <c r="AW35">
        <v>8044.7999999999984</v>
      </c>
      <c r="AX35">
        <v>18</v>
      </c>
      <c r="AY35">
        <v>9050.3999999999978</v>
      </c>
      <c r="AZ35">
        <v>23</v>
      </c>
      <c r="BA35">
        <v>11564.399999999998</v>
      </c>
      <c r="BB35">
        <v>21</v>
      </c>
      <c r="BC35">
        <v>10558.799999999997</v>
      </c>
      <c r="BD35">
        <v>26</v>
      </c>
      <c r="BE35">
        <v>13072.799999999997</v>
      </c>
      <c r="BF35">
        <v>26</v>
      </c>
      <c r="BG35">
        <v>13072.799999999997</v>
      </c>
      <c r="BH35">
        <v>17</v>
      </c>
      <c r="BI35">
        <v>8547.5999999999985</v>
      </c>
      <c r="BJ35">
        <v>19</v>
      </c>
      <c r="BK35">
        <v>9553.1999999999989</v>
      </c>
      <c r="BL35">
        <v>24</v>
      </c>
      <c r="BM35">
        <v>12067.199999999997</v>
      </c>
      <c r="BN35">
        <v>24</v>
      </c>
      <c r="BO35">
        <v>12067.199999999997</v>
      </c>
      <c r="BP35">
        <v>21</v>
      </c>
      <c r="BQ35">
        <v>10558.799999999997</v>
      </c>
      <c r="BR35">
        <v>25</v>
      </c>
      <c r="BS35">
        <v>12569.999999999998</v>
      </c>
      <c r="BT35">
        <v>21</v>
      </c>
      <c r="BU35">
        <v>10558.799999999997</v>
      </c>
      <c r="BV35">
        <v>21</v>
      </c>
      <c r="BW35">
        <v>10558.799999999997</v>
      </c>
      <c r="BX35">
        <v>21</v>
      </c>
      <c r="BY35">
        <v>10558.799999999997</v>
      </c>
      <c r="BZ35">
        <v>22</v>
      </c>
      <c r="CA35">
        <v>11061.599999999999</v>
      </c>
      <c r="CB35">
        <v>14</v>
      </c>
      <c r="CC35">
        <v>7039.1999999999989</v>
      </c>
      <c r="CD35">
        <v>20</v>
      </c>
      <c r="CE35">
        <v>10055.999999999998</v>
      </c>
      <c r="CF35">
        <v>16</v>
      </c>
      <c r="CG35">
        <v>8044.7999999999984</v>
      </c>
      <c r="CH35">
        <v>12</v>
      </c>
      <c r="CI35">
        <v>6033.5999999999985</v>
      </c>
      <c r="CJ35">
        <v>15</v>
      </c>
      <c r="CK35">
        <v>7541.9999999999982</v>
      </c>
      <c r="CL35">
        <v>17</v>
      </c>
      <c r="CM35">
        <v>8547.5999999999985</v>
      </c>
      <c r="CN35">
        <v>17</v>
      </c>
      <c r="CO35">
        <v>8547.5999999999985</v>
      </c>
      <c r="CP35">
        <v>20</v>
      </c>
      <c r="CQ35">
        <v>10055.999999999998</v>
      </c>
      <c r="CR35">
        <v>16</v>
      </c>
      <c r="CS35">
        <v>8044.7999999999984</v>
      </c>
      <c r="CT35">
        <v>13</v>
      </c>
      <c r="CU35">
        <v>6536.3999999999987</v>
      </c>
    </row>
    <row r="36" spans="2:99" x14ac:dyDescent="0.2">
      <c r="C36" s="119" t="s">
        <v>202</v>
      </c>
      <c r="D36">
        <v>16</v>
      </c>
      <c r="E36">
        <v>12172.8</v>
      </c>
      <c r="F36">
        <v>21</v>
      </c>
      <c r="G36">
        <v>15976.8</v>
      </c>
      <c r="H36">
        <v>19</v>
      </c>
      <c r="I36">
        <v>14455.199999999999</v>
      </c>
      <c r="J36">
        <v>19</v>
      </c>
      <c r="K36">
        <v>14455.199999999999</v>
      </c>
      <c r="L36">
        <v>14</v>
      </c>
      <c r="M36">
        <v>10651.199999999999</v>
      </c>
      <c r="N36">
        <v>11</v>
      </c>
      <c r="O36">
        <v>8368.7999999999993</v>
      </c>
      <c r="P36">
        <v>21</v>
      </c>
      <c r="Q36">
        <v>15976.8</v>
      </c>
      <c r="R36">
        <v>12</v>
      </c>
      <c r="S36">
        <v>9129.5999999999985</v>
      </c>
      <c r="T36">
        <v>18</v>
      </c>
      <c r="U36">
        <v>13694.4</v>
      </c>
      <c r="V36">
        <v>13</v>
      </c>
      <c r="W36">
        <v>9890.4</v>
      </c>
      <c r="X36">
        <v>17</v>
      </c>
      <c r="Y36">
        <v>12933.599999999999</v>
      </c>
      <c r="Z36">
        <v>20</v>
      </c>
      <c r="AA36">
        <v>15216</v>
      </c>
      <c r="AB36">
        <v>23</v>
      </c>
      <c r="AC36">
        <v>17498.399999999998</v>
      </c>
      <c r="AD36">
        <v>21</v>
      </c>
      <c r="AE36">
        <v>15976.8</v>
      </c>
      <c r="AF36">
        <v>19</v>
      </c>
      <c r="AG36">
        <v>14455.199999999999</v>
      </c>
      <c r="AH36">
        <v>14</v>
      </c>
      <c r="AI36">
        <v>10651.199999999999</v>
      </c>
      <c r="AJ36">
        <v>21</v>
      </c>
      <c r="AK36">
        <v>15976.8</v>
      </c>
      <c r="AL36">
        <v>18</v>
      </c>
      <c r="AM36">
        <v>13694.4</v>
      </c>
      <c r="AN36">
        <v>22</v>
      </c>
      <c r="AO36">
        <v>16737.599999999999</v>
      </c>
      <c r="AP36">
        <v>12</v>
      </c>
      <c r="AQ36">
        <v>9129.5999999999985</v>
      </c>
      <c r="AR36">
        <v>16</v>
      </c>
      <c r="AS36">
        <v>12172.8</v>
      </c>
      <c r="AT36">
        <v>19</v>
      </c>
      <c r="AU36">
        <v>14455.199999999999</v>
      </c>
      <c r="AV36">
        <v>16</v>
      </c>
      <c r="AW36">
        <v>12172.8</v>
      </c>
      <c r="AX36">
        <v>17</v>
      </c>
      <c r="AY36">
        <v>12933.599999999999</v>
      </c>
      <c r="AZ36">
        <v>25</v>
      </c>
      <c r="BA36">
        <v>19020</v>
      </c>
      <c r="BB36">
        <v>19</v>
      </c>
      <c r="BC36">
        <v>14455.199999999999</v>
      </c>
      <c r="BD36">
        <v>22</v>
      </c>
      <c r="BE36">
        <v>16737.599999999999</v>
      </c>
      <c r="BF36">
        <v>24</v>
      </c>
      <c r="BG36">
        <v>18259.199999999997</v>
      </c>
      <c r="BH36">
        <v>16</v>
      </c>
      <c r="BI36">
        <v>12172.8</v>
      </c>
      <c r="BJ36">
        <v>17</v>
      </c>
      <c r="BK36">
        <v>12933.599999999999</v>
      </c>
      <c r="BL36">
        <v>22</v>
      </c>
      <c r="BM36">
        <v>16737.599999999999</v>
      </c>
      <c r="BN36">
        <v>24</v>
      </c>
      <c r="BO36">
        <v>18259.199999999997</v>
      </c>
      <c r="BP36">
        <v>20</v>
      </c>
      <c r="BQ36">
        <v>15216</v>
      </c>
      <c r="BR36">
        <v>23</v>
      </c>
      <c r="BS36">
        <v>17498.399999999998</v>
      </c>
      <c r="BT36">
        <v>18</v>
      </c>
      <c r="BU36">
        <v>13694.4</v>
      </c>
      <c r="BV36">
        <v>21</v>
      </c>
      <c r="BW36">
        <v>15976.8</v>
      </c>
      <c r="BX36">
        <v>22</v>
      </c>
      <c r="BY36">
        <v>16737.599999999999</v>
      </c>
      <c r="BZ36">
        <v>21</v>
      </c>
      <c r="CA36">
        <v>15976.8</v>
      </c>
      <c r="CB36">
        <v>14</v>
      </c>
      <c r="CC36">
        <v>10651.199999999999</v>
      </c>
      <c r="CD36">
        <v>20</v>
      </c>
      <c r="CE36">
        <v>15216</v>
      </c>
      <c r="CF36">
        <v>14</v>
      </c>
      <c r="CG36">
        <v>10651.199999999999</v>
      </c>
      <c r="CH36">
        <v>13</v>
      </c>
      <c r="CI36">
        <v>9890.4</v>
      </c>
      <c r="CJ36">
        <v>14</v>
      </c>
      <c r="CK36">
        <v>10651.199999999999</v>
      </c>
      <c r="CL36">
        <v>14</v>
      </c>
      <c r="CM36">
        <v>10651.199999999999</v>
      </c>
      <c r="CN36">
        <v>16</v>
      </c>
      <c r="CO36">
        <v>12172.8</v>
      </c>
      <c r="CP36">
        <v>17</v>
      </c>
      <c r="CQ36">
        <v>12933.599999999999</v>
      </c>
      <c r="CR36">
        <v>14</v>
      </c>
      <c r="CS36">
        <v>10651.199999999999</v>
      </c>
      <c r="CT36">
        <v>14</v>
      </c>
      <c r="CU36">
        <v>10651.199999999999</v>
      </c>
    </row>
    <row r="37" spans="2:99" x14ac:dyDescent="0.2">
      <c r="B37" s="119" t="s">
        <v>128</v>
      </c>
      <c r="C37" s="119" t="s">
        <v>203</v>
      </c>
      <c r="D37">
        <v>18</v>
      </c>
      <c r="E37">
        <v>15487.199999999999</v>
      </c>
      <c r="F37">
        <v>23</v>
      </c>
      <c r="G37">
        <v>19789.2</v>
      </c>
      <c r="H37">
        <v>19</v>
      </c>
      <c r="I37">
        <v>16347.6</v>
      </c>
      <c r="J37">
        <v>11</v>
      </c>
      <c r="K37">
        <v>9464.4</v>
      </c>
      <c r="L37">
        <v>19</v>
      </c>
      <c r="M37">
        <v>16347.6</v>
      </c>
      <c r="N37">
        <v>22</v>
      </c>
      <c r="O37">
        <v>18928.8</v>
      </c>
      <c r="P37">
        <v>14</v>
      </c>
      <c r="Q37">
        <v>12045.6</v>
      </c>
      <c r="R37">
        <v>18</v>
      </c>
      <c r="S37">
        <v>15487.199999999999</v>
      </c>
      <c r="T37">
        <v>13</v>
      </c>
      <c r="U37">
        <v>11185.199999999999</v>
      </c>
      <c r="V37">
        <v>15</v>
      </c>
      <c r="W37">
        <v>12906</v>
      </c>
      <c r="X37">
        <v>20</v>
      </c>
      <c r="Y37">
        <v>17208</v>
      </c>
      <c r="Z37">
        <v>13</v>
      </c>
      <c r="AA37">
        <v>11185.199999999999</v>
      </c>
      <c r="AB37">
        <v>13</v>
      </c>
      <c r="AC37">
        <v>11185.199999999999</v>
      </c>
      <c r="AD37">
        <v>15</v>
      </c>
      <c r="AE37">
        <v>12906</v>
      </c>
      <c r="AF37">
        <v>16</v>
      </c>
      <c r="AG37">
        <v>13766.4</v>
      </c>
      <c r="AH37">
        <v>15</v>
      </c>
      <c r="AI37">
        <v>12906</v>
      </c>
      <c r="AJ37">
        <v>15</v>
      </c>
      <c r="AK37">
        <v>12906</v>
      </c>
      <c r="AL37">
        <v>16</v>
      </c>
      <c r="AM37">
        <v>13766.4</v>
      </c>
      <c r="AN37">
        <v>23</v>
      </c>
      <c r="AO37">
        <v>19789.2</v>
      </c>
      <c r="AP37">
        <v>14</v>
      </c>
      <c r="AQ37">
        <v>12045.6</v>
      </c>
      <c r="AR37">
        <v>15</v>
      </c>
      <c r="AS37">
        <v>12906</v>
      </c>
      <c r="AT37">
        <v>18</v>
      </c>
      <c r="AU37">
        <v>15487.199999999999</v>
      </c>
      <c r="AV37">
        <v>21</v>
      </c>
      <c r="AW37">
        <v>18068.399999999998</v>
      </c>
      <c r="AX37">
        <v>23</v>
      </c>
      <c r="AY37">
        <v>19789.2</v>
      </c>
      <c r="AZ37">
        <v>20</v>
      </c>
      <c r="BA37">
        <v>17208</v>
      </c>
      <c r="BB37">
        <v>23</v>
      </c>
      <c r="BC37">
        <v>19789.2</v>
      </c>
      <c r="BD37">
        <v>25</v>
      </c>
      <c r="BE37">
        <v>21510</v>
      </c>
      <c r="BF37">
        <v>15</v>
      </c>
      <c r="BG37">
        <v>12906</v>
      </c>
      <c r="BH37">
        <v>20</v>
      </c>
      <c r="BI37">
        <v>17208</v>
      </c>
      <c r="BJ37">
        <v>15</v>
      </c>
      <c r="BK37">
        <v>12906</v>
      </c>
      <c r="BL37">
        <v>20</v>
      </c>
      <c r="BM37">
        <v>17208</v>
      </c>
      <c r="BN37">
        <v>16</v>
      </c>
      <c r="BO37">
        <v>13766.4</v>
      </c>
      <c r="BP37">
        <v>13</v>
      </c>
      <c r="BQ37">
        <v>11185.199999999999</v>
      </c>
      <c r="BR37">
        <v>20</v>
      </c>
      <c r="BS37">
        <v>17208</v>
      </c>
      <c r="BT37">
        <v>15</v>
      </c>
      <c r="BU37">
        <v>12906</v>
      </c>
      <c r="BV37">
        <v>12</v>
      </c>
      <c r="BW37">
        <v>10324.799999999999</v>
      </c>
      <c r="BX37">
        <v>13</v>
      </c>
      <c r="BY37">
        <v>11185.199999999999</v>
      </c>
      <c r="BZ37">
        <v>15</v>
      </c>
      <c r="CA37">
        <v>12906</v>
      </c>
      <c r="CB37">
        <v>19</v>
      </c>
      <c r="CC37">
        <v>16347.6</v>
      </c>
      <c r="CD37">
        <v>15</v>
      </c>
      <c r="CE37">
        <v>12906</v>
      </c>
      <c r="CF37">
        <v>14</v>
      </c>
      <c r="CG37">
        <v>12045.6</v>
      </c>
      <c r="CH37">
        <v>17</v>
      </c>
      <c r="CI37">
        <v>14626.8</v>
      </c>
      <c r="CJ37">
        <v>20</v>
      </c>
      <c r="CK37">
        <v>17208</v>
      </c>
      <c r="CL37">
        <v>18</v>
      </c>
      <c r="CM37">
        <v>15487.199999999999</v>
      </c>
      <c r="CN37">
        <v>20</v>
      </c>
      <c r="CO37">
        <v>17208</v>
      </c>
      <c r="CP37">
        <v>14</v>
      </c>
      <c r="CQ37">
        <v>12045.6</v>
      </c>
      <c r="CR37">
        <v>15</v>
      </c>
      <c r="CS37">
        <v>12906</v>
      </c>
      <c r="CT37">
        <v>24</v>
      </c>
      <c r="CU37">
        <v>20649.599999999999</v>
      </c>
    </row>
    <row r="38" spans="2:99" x14ac:dyDescent="0.2">
      <c r="C38" s="119" t="s">
        <v>204</v>
      </c>
      <c r="D38">
        <v>17</v>
      </c>
      <c r="E38">
        <v>21114</v>
      </c>
      <c r="F38">
        <v>23</v>
      </c>
      <c r="G38">
        <v>28566</v>
      </c>
      <c r="H38">
        <v>18</v>
      </c>
      <c r="I38">
        <v>22356</v>
      </c>
      <c r="J38">
        <v>11</v>
      </c>
      <c r="K38">
        <v>13662</v>
      </c>
      <c r="L38">
        <v>16</v>
      </c>
      <c r="M38">
        <v>19872</v>
      </c>
      <c r="N38">
        <v>21</v>
      </c>
      <c r="O38">
        <v>26082</v>
      </c>
      <c r="P38">
        <v>13</v>
      </c>
      <c r="Q38">
        <v>16146</v>
      </c>
      <c r="R38">
        <v>14</v>
      </c>
      <c r="S38">
        <v>17388</v>
      </c>
      <c r="T38">
        <v>13</v>
      </c>
      <c r="U38">
        <v>16146</v>
      </c>
      <c r="V38">
        <v>16</v>
      </c>
      <c r="W38">
        <v>19872</v>
      </c>
      <c r="X38">
        <v>22</v>
      </c>
      <c r="Y38">
        <v>27324</v>
      </c>
      <c r="Z38">
        <v>13</v>
      </c>
      <c r="AA38">
        <v>16146</v>
      </c>
      <c r="AB38">
        <v>12</v>
      </c>
      <c r="AC38">
        <v>14904</v>
      </c>
      <c r="AD38">
        <v>14</v>
      </c>
      <c r="AE38">
        <v>17388</v>
      </c>
      <c r="AF38">
        <v>18</v>
      </c>
      <c r="AG38">
        <v>22356</v>
      </c>
      <c r="AH38">
        <v>14</v>
      </c>
      <c r="AI38">
        <v>17388</v>
      </c>
      <c r="AJ38">
        <v>13</v>
      </c>
      <c r="AK38">
        <v>16146</v>
      </c>
      <c r="AL38">
        <v>15</v>
      </c>
      <c r="AM38">
        <v>18630</v>
      </c>
      <c r="AN38">
        <v>21</v>
      </c>
      <c r="AO38">
        <v>26082</v>
      </c>
      <c r="AP38">
        <v>12</v>
      </c>
      <c r="AQ38">
        <v>14904</v>
      </c>
      <c r="AR38">
        <v>14</v>
      </c>
      <c r="AS38">
        <v>17388</v>
      </c>
      <c r="AT38">
        <v>18</v>
      </c>
      <c r="AU38">
        <v>22356</v>
      </c>
      <c r="AV38">
        <v>18</v>
      </c>
      <c r="AW38">
        <v>22356</v>
      </c>
      <c r="AX38">
        <v>22</v>
      </c>
      <c r="AY38">
        <v>27324</v>
      </c>
      <c r="AZ38">
        <v>20</v>
      </c>
      <c r="BA38">
        <v>24840</v>
      </c>
      <c r="BB38">
        <v>22</v>
      </c>
      <c r="BC38">
        <v>27324</v>
      </c>
      <c r="BD38">
        <v>22</v>
      </c>
      <c r="BE38">
        <v>27324</v>
      </c>
      <c r="BF38">
        <v>14</v>
      </c>
      <c r="BG38">
        <v>17388</v>
      </c>
      <c r="BH38">
        <v>19</v>
      </c>
      <c r="BI38">
        <v>23598</v>
      </c>
      <c r="BJ38">
        <v>15</v>
      </c>
      <c r="BK38">
        <v>18630</v>
      </c>
      <c r="BL38">
        <v>17</v>
      </c>
      <c r="BM38">
        <v>21114</v>
      </c>
      <c r="BN38">
        <v>16</v>
      </c>
      <c r="BO38">
        <v>19872</v>
      </c>
      <c r="BP38">
        <v>12</v>
      </c>
      <c r="BQ38">
        <v>14904</v>
      </c>
      <c r="BR38">
        <v>20</v>
      </c>
      <c r="BS38">
        <v>24840</v>
      </c>
      <c r="BT38">
        <v>17</v>
      </c>
      <c r="BU38">
        <v>21114</v>
      </c>
      <c r="BV38">
        <v>14</v>
      </c>
      <c r="BW38">
        <v>17388</v>
      </c>
      <c r="BX38">
        <v>13</v>
      </c>
      <c r="BY38">
        <v>16146</v>
      </c>
      <c r="BZ38">
        <v>14</v>
      </c>
      <c r="CA38">
        <v>17388</v>
      </c>
      <c r="CB38">
        <v>17</v>
      </c>
      <c r="CC38">
        <v>21114</v>
      </c>
      <c r="CD38">
        <v>15</v>
      </c>
      <c r="CE38">
        <v>18630</v>
      </c>
      <c r="CF38">
        <v>12</v>
      </c>
      <c r="CG38">
        <v>14904</v>
      </c>
      <c r="CH38">
        <v>14</v>
      </c>
      <c r="CI38">
        <v>17388</v>
      </c>
      <c r="CJ38">
        <v>17</v>
      </c>
      <c r="CK38">
        <v>21114</v>
      </c>
      <c r="CL38">
        <v>15</v>
      </c>
      <c r="CM38">
        <v>18630</v>
      </c>
      <c r="CN38">
        <v>20</v>
      </c>
      <c r="CO38">
        <v>24840</v>
      </c>
      <c r="CP38">
        <v>12</v>
      </c>
      <c r="CQ38">
        <v>14904</v>
      </c>
      <c r="CR38">
        <v>15</v>
      </c>
      <c r="CS38">
        <v>18630</v>
      </c>
      <c r="CT38">
        <v>22</v>
      </c>
      <c r="CU38">
        <v>27324</v>
      </c>
    </row>
    <row r="39" spans="2:99" x14ac:dyDescent="0.2">
      <c r="C39" s="119" t="s">
        <v>205</v>
      </c>
      <c r="D39">
        <v>17</v>
      </c>
      <c r="E39">
        <v>24194.400000000001</v>
      </c>
      <c r="F39">
        <v>23</v>
      </c>
      <c r="G39">
        <v>32733.600000000002</v>
      </c>
      <c r="H39">
        <v>20</v>
      </c>
      <c r="I39">
        <v>28464</v>
      </c>
      <c r="J39">
        <v>12</v>
      </c>
      <c r="K39">
        <v>17078.400000000001</v>
      </c>
      <c r="L39">
        <v>16</v>
      </c>
      <c r="M39">
        <v>22771.200000000001</v>
      </c>
      <c r="N39">
        <v>20</v>
      </c>
      <c r="O39">
        <v>28464</v>
      </c>
      <c r="P39">
        <v>15</v>
      </c>
      <c r="Q39">
        <v>21348</v>
      </c>
      <c r="R39">
        <v>14</v>
      </c>
      <c r="S39">
        <v>19924.8</v>
      </c>
      <c r="T39">
        <v>13</v>
      </c>
      <c r="U39">
        <v>18501.600000000002</v>
      </c>
      <c r="V39">
        <v>16</v>
      </c>
      <c r="W39">
        <v>22771.200000000001</v>
      </c>
      <c r="X39">
        <v>21</v>
      </c>
      <c r="Y39">
        <v>29887.200000000001</v>
      </c>
      <c r="Z39">
        <v>14</v>
      </c>
      <c r="AA39">
        <v>19924.8</v>
      </c>
      <c r="AB39">
        <v>13</v>
      </c>
      <c r="AC39">
        <v>18501.600000000002</v>
      </c>
      <c r="AD39">
        <v>14</v>
      </c>
      <c r="AE39">
        <v>19924.8</v>
      </c>
      <c r="AF39">
        <v>16</v>
      </c>
      <c r="AG39">
        <v>22771.200000000001</v>
      </c>
      <c r="AH39">
        <v>13</v>
      </c>
      <c r="AI39">
        <v>18501.600000000002</v>
      </c>
      <c r="AJ39">
        <v>14</v>
      </c>
      <c r="AK39">
        <v>19924.8</v>
      </c>
      <c r="AL39">
        <v>15</v>
      </c>
      <c r="AM39">
        <v>21348</v>
      </c>
      <c r="AN39">
        <v>22</v>
      </c>
      <c r="AO39">
        <v>31310.400000000001</v>
      </c>
      <c r="AP39">
        <v>13</v>
      </c>
      <c r="AQ39">
        <v>18501.600000000002</v>
      </c>
      <c r="AR39">
        <v>13</v>
      </c>
      <c r="AS39">
        <v>18501.600000000002</v>
      </c>
      <c r="AT39">
        <v>16</v>
      </c>
      <c r="AU39">
        <v>22771.200000000001</v>
      </c>
      <c r="AV39">
        <v>19</v>
      </c>
      <c r="AW39">
        <v>27040.799999999999</v>
      </c>
      <c r="AX39">
        <v>20</v>
      </c>
      <c r="AY39">
        <v>28464</v>
      </c>
      <c r="AZ39">
        <v>21</v>
      </c>
      <c r="BA39">
        <v>29887.200000000001</v>
      </c>
      <c r="BB39">
        <v>20</v>
      </c>
      <c r="BC39">
        <v>28464</v>
      </c>
      <c r="BD39">
        <v>20</v>
      </c>
      <c r="BE39">
        <v>28464</v>
      </c>
      <c r="BF39">
        <v>14</v>
      </c>
      <c r="BG39">
        <v>19924.8</v>
      </c>
      <c r="BH39">
        <v>19</v>
      </c>
      <c r="BI39">
        <v>27040.799999999999</v>
      </c>
      <c r="BJ39">
        <v>13</v>
      </c>
      <c r="BK39">
        <v>18501.600000000002</v>
      </c>
      <c r="BL39">
        <v>18</v>
      </c>
      <c r="BM39">
        <v>25617.600000000002</v>
      </c>
      <c r="BN39">
        <v>15</v>
      </c>
      <c r="BO39">
        <v>21348</v>
      </c>
      <c r="BP39">
        <v>13</v>
      </c>
      <c r="BQ39">
        <v>18501.600000000002</v>
      </c>
      <c r="BR39">
        <v>22</v>
      </c>
      <c r="BS39">
        <v>31310.400000000001</v>
      </c>
      <c r="BT39">
        <v>15</v>
      </c>
      <c r="BU39">
        <v>21348</v>
      </c>
      <c r="BV39">
        <v>12</v>
      </c>
      <c r="BW39">
        <v>17078.400000000001</v>
      </c>
      <c r="BX39">
        <v>11</v>
      </c>
      <c r="BY39">
        <v>15655.2</v>
      </c>
      <c r="BZ39">
        <v>15</v>
      </c>
      <c r="CA39">
        <v>21348</v>
      </c>
      <c r="CB39">
        <v>16</v>
      </c>
      <c r="CC39">
        <v>22771.200000000001</v>
      </c>
      <c r="CD39">
        <v>15</v>
      </c>
      <c r="CE39">
        <v>21348</v>
      </c>
      <c r="CF39">
        <v>12</v>
      </c>
      <c r="CG39">
        <v>17078.400000000001</v>
      </c>
      <c r="CH39">
        <v>15</v>
      </c>
      <c r="CI39">
        <v>21348</v>
      </c>
      <c r="CJ39">
        <v>17</v>
      </c>
      <c r="CK39">
        <v>24194.400000000001</v>
      </c>
      <c r="CL39">
        <v>16</v>
      </c>
      <c r="CM39">
        <v>22771.200000000001</v>
      </c>
      <c r="CN39">
        <v>20</v>
      </c>
      <c r="CO39">
        <v>28464</v>
      </c>
      <c r="CP39">
        <v>11</v>
      </c>
      <c r="CQ39">
        <v>15655.2</v>
      </c>
      <c r="CR39">
        <v>14</v>
      </c>
      <c r="CS39">
        <v>19924.8</v>
      </c>
      <c r="CT39">
        <v>22</v>
      </c>
      <c r="CU39">
        <v>31310.400000000001</v>
      </c>
    </row>
    <row r="40" spans="2:99" x14ac:dyDescent="0.2">
      <c r="C40" s="119" t="s">
        <v>206</v>
      </c>
      <c r="D40">
        <v>16</v>
      </c>
      <c r="E40">
        <v>11596.8</v>
      </c>
      <c r="F40">
        <v>24</v>
      </c>
      <c r="G40">
        <v>17395.199999999997</v>
      </c>
      <c r="H40">
        <v>22</v>
      </c>
      <c r="I40">
        <v>15945.599999999999</v>
      </c>
      <c r="J40">
        <v>12</v>
      </c>
      <c r="K40">
        <v>8697.5999999999985</v>
      </c>
      <c r="L40">
        <v>20</v>
      </c>
      <c r="M40">
        <v>14496</v>
      </c>
      <c r="N40">
        <v>25</v>
      </c>
      <c r="O40">
        <v>18120</v>
      </c>
      <c r="P40">
        <v>15</v>
      </c>
      <c r="Q40">
        <v>10872</v>
      </c>
      <c r="R40">
        <v>18</v>
      </c>
      <c r="S40">
        <v>13046.4</v>
      </c>
      <c r="T40">
        <v>12</v>
      </c>
      <c r="U40">
        <v>8697.5999999999985</v>
      </c>
      <c r="V40">
        <v>17</v>
      </c>
      <c r="W40">
        <v>12321.599999999999</v>
      </c>
      <c r="X40">
        <v>21</v>
      </c>
      <c r="Y40">
        <v>15220.8</v>
      </c>
      <c r="Z40">
        <v>14</v>
      </c>
      <c r="AA40">
        <v>10147.199999999999</v>
      </c>
      <c r="AB40">
        <v>14</v>
      </c>
      <c r="AC40">
        <v>10147.199999999999</v>
      </c>
      <c r="AD40">
        <v>15</v>
      </c>
      <c r="AE40">
        <v>10872</v>
      </c>
      <c r="AF40">
        <v>19</v>
      </c>
      <c r="AG40">
        <v>13771.199999999999</v>
      </c>
      <c r="AH40">
        <v>13</v>
      </c>
      <c r="AI40">
        <v>9422.4</v>
      </c>
      <c r="AJ40">
        <v>14</v>
      </c>
      <c r="AK40">
        <v>10147.199999999999</v>
      </c>
      <c r="AL40">
        <v>18</v>
      </c>
      <c r="AM40">
        <v>13046.4</v>
      </c>
      <c r="AN40">
        <v>22</v>
      </c>
      <c r="AO40">
        <v>15945.599999999999</v>
      </c>
      <c r="AP40">
        <v>13</v>
      </c>
      <c r="AQ40">
        <v>9422.4</v>
      </c>
      <c r="AR40">
        <v>14</v>
      </c>
      <c r="AS40">
        <v>10147.199999999999</v>
      </c>
      <c r="AT40">
        <v>18</v>
      </c>
      <c r="AU40">
        <v>13046.4</v>
      </c>
      <c r="AV40">
        <v>23</v>
      </c>
      <c r="AW40">
        <v>16670.399999999998</v>
      </c>
      <c r="AX40">
        <v>23</v>
      </c>
      <c r="AY40">
        <v>16670.399999999998</v>
      </c>
      <c r="AZ40">
        <v>22</v>
      </c>
      <c r="BA40">
        <v>15945.599999999999</v>
      </c>
      <c r="BB40">
        <v>24</v>
      </c>
      <c r="BC40">
        <v>17395.199999999997</v>
      </c>
      <c r="BD40">
        <v>22</v>
      </c>
      <c r="BE40">
        <v>15945.599999999999</v>
      </c>
      <c r="BF40">
        <v>14</v>
      </c>
      <c r="BG40">
        <v>10147.199999999999</v>
      </c>
      <c r="BH40">
        <v>19</v>
      </c>
      <c r="BI40">
        <v>13771.199999999999</v>
      </c>
      <c r="BJ40">
        <v>13</v>
      </c>
      <c r="BK40">
        <v>9422.4</v>
      </c>
      <c r="BL40">
        <v>19</v>
      </c>
      <c r="BM40">
        <v>13771.199999999999</v>
      </c>
      <c r="BN40">
        <v>19</v>
      </c>
      <c r="BO40">
        <v>13771.199999999999</v>
      </c>
      <c r="BP40">
        <v>14</v>
      </c>
      <c r="BQ40">
        <v>10147.199999999999</v>
      </c>
      <c r="BR40">
        <v>24</v>
      </c>
      <c r="BS40">
        <v>17395.199999999997</v>
      </c>
      <c r="BT40">
        <v>17</v>
      </c>
      <c r="BU40">
        <v>12321.599999999999</v>
      </c>
      <c r="BV40">
        <v>13</v>
      </c>
      <c r="BW40">
        <v>9422.4</v>
      </c>
      <c r="BX40">
        <v>13</v>
      </c>
      <c r="BY40">
        <v>9422.4</v>
      </c>
      <c r="BZ40">
        <v>16</v>
      </c>
      <c r="CA40">
        <v>11596.8</v>
      </c>
      <c r="CB40">
        <v>18</v>
      </c>
      <c r="CC40">
        <v>13046.4</v>
      </c>
      <c r="CD40">
        <v>15</v>
      </c>
      <c r="CE40">
        <v>10872</v>
      </c>
      <c r="CF40">
        <v>13</v>
      </c>
      <c r="CG40">
        <v>9422.4</v>
      </c>
      <c r="CH40">
        <v>16</v>
      </c>
      <c r="CI40">
        <v>11596.8</v>
      </c>
      <c r="CJ40">
        <v>18</v>
      </c>
      <c r="CK40">
        <v>13046.4</v>
      </c>
      <c r="CL40">
        <v>18</v>
      </c>
      <c r="CM40">
        <v>13046.4</v>
      </c>
      <c r="CN40">
        <v>20</v>
      </c>
      <c r="CO40">
        <v>14496</v>
      </c>
      <c r="CP40">
        <v>14</v>
      </c>
      <c r="CQ40">
        <v>10147.199999999999</v>
      </c>
      <c r="CR40">
        <v>15</v>
      </c>
      <c r="CS40">
        <v>10872</v>
      </c>
      <c r="CT40">
        <v>25</v>
      </c>
      <c r="CU40">
        <v>18120</v>
      </c>
    </row>
    <row r="41" spans="2:99" x14ac:dyDescent="0.2">
      <c r="C41" s="119" t="s">
        <v>207</v>
      </c>
      <c r="D41">
        <v>19</v>
      </c>
      <c r="E41">
        <v>12540</v>
      </c>
      <c r="F41">
        <v>25</v>
      </c>
      <c r="G41">
        <v>16500</v>
      </c>
      <c r="H41">
        <v>22</v>
      </c>
      <c r="I41">
        <v>14520</v>
      </c>
      <c r="J41">
        <v>13</v>
      </c>
      <c r="K41">
        <v>8580</v>
      </c>
      <c r="L41">
        <v>17</v>
      </c>
      <c r="M41">
        <v>11220</v>
      </c>
      <c r="N41">
        <v>25</v>
      </c>
      <c r="O41">
        <v>16500</v>
      </c>
      <c r="P41">
        <v>14</v>
      </c>
      <c r="Q41">
        <v>9240</v>
      </c>
      <c r="R41">
        <v>17</v>
      </c>
      <c r="S41">
        <v>11220</v>
      </c>
      <c r="T41">
        <v>13</v>
      </c>
      <c r="U41">
        <v>8580</v>
      </c>
      <c r="V41">
        <v>16</v>
      </c>
      <c r="W41">
        <v>10560</v>
      </c>
      <c r="X41">
        <v>21</v>
      </c>
      <c r="Y41">
        <v>13860</v>
      </c>
      <c r="Z41">
        <v>15</v>
      </c>
      <c r="AA41">
        <v>9900</v>
      </c>
      <c r="AB41">
        <v>15</v>
      </c>
      <c r="AC41">
        <v>9900</v>
      </c>
      <c r="AD41">
        <v>16</v>
      </c>
      <c r="AE41">
        <v>10560</v>
      </c>
      <c r="AF41">
        <v>19</v>
      </c>
      <c r="AG41">
        <v>12540</v>
      </c>
      <c r="AH41">
        <v>13</v>
      </c>
      <c r="AI41">
        <v>8580</v>
      </c>
      <c r="AJ41">
        <v>15</v>
      </c>
      <c r="AK41">
        <v>9900</v>
      </c>
      <c r="AL41">
        <v>15</v>
      </c>
      <c r="AM41">
        <v>9900</v>
      </c>
      <c r="AN41">
        <v>23</v>
      </c>
      <c r="AO41">
        <v>15180</v>
      </c>
      <c r="AP41">
        <v>14</v>
      </c>
      <c r="AQ41">
        <v>9240</v>
      </c>
      <c r="AR41">
        <v>14</v>
      </c>
      <c r="AS41">
        <v>9240</v>
      </c>
      <c r="AT41">
        <v>19</v>
      </c>
      <c r="AU41">
        <v>12540</v>
      </c>
      <c r="AV41">
        <v>22</v>
      </c>
      <c r="AW41">
        <v>14520</v>
      </c>
      <c r="AX41">
        <v>22</v>
      </c>
      <c r="AY41">
        <v>14520</v>
      </c>
      <c r="AZ41">
        <v>21</v>
      </c>
      <c r="BA41">
        <v>13860</v>
      </c>
      <c r="BB41">
        <v>23</v>
      </c>
      <c r="BC41">
        <v>15180</v>
      </c>
      <c r="BD41">
        <v>23</v>
      </c>
      <c r="BE41">
        <v>15180</v>
      </c>
      <c r="BF41">
        <v>16</v>
      </c>
      <c r="BG41">
        <v>10560</v>
      </c>
      <c r="BH41">
        <v>21</v>
      </c>
      <c r="BI41">
        <v>13860</v>
      </c>
      <c r="BJ41">
        <v>16</v>
      </c>
      <c r="BK41">
        <v>10560</v>
      </c>
      <c r="BL41">
        <v>17</v>
      </c>
      <c r="BM41">
        <v>11220</v>
      </c>
      <c r="BN41">
        <v>18</v>
      </c>
      <c r="BO41">
        <v>11880</v>
      </c>
      <c r="BP41">
        <v>15</v>
      </c>
      <c r="BQ41">
        <v>9900</v>
      </c>
      <c r="BR41">
        <v>23</v>
      </c>
      <c r="BS41">
        <v>15180</v>
      </c>
      <c r="BT41">
        <v>16</v>
      </c>
      <c r="BU41">
        <v>10560</v>
      </c>
      <c r="BV41">
        <v>13</v>
      </c>
      <c r="BW41">
        <v>8580</v>
      </c>
      <c r="BX41">
        <v>14</v>
      </c>
      <c r="BY41">
        <v>9240</v>
      </c>
      <c r="BZ41">
        <v>15</v>
      </c>
      <c r="CA41">
        <v>9900</v>
      </c>
      <c r="CB41">
        <v>18</v>
      </c>
      <c r="CC41">
        <v>11880</v>
      </c>
      <c r="CD41">
        <v>16</v>
      </c>
      <c r="CE41">
        <v>10560</v>
      </c>
      <c r="CF41">
        <v>13</v>
      </c>
      <c r="CG41">
        <v>8580</v>
      </c>
      <c r="CH41">
        <v>16</v>
      </c>
      <c r="CI41">
        <v>10560</v>
      </c>
      <c r="CJ41">
        <v>21</v>
      </c>
      <c r="CK41">
        <v>13860</v>
      </c>
      <c r="CL41">
        <v>17</v>
      </c>
      <c r="CM41">
        <v>11220</v>
      </c>
      <c r="CN41">
        <v>23</v>
      </c>
      <c r="CO41">
        <v>15180</v>
      </c>
      <c r="CP41">
        <v>14</v>
      </c>
      <c r="CQ41">
        <v>9240</v>
      </c>
      <c r="CR41">
        <v>16</v>
      </c>
      <c r="CS41">
        <v>10560</v>
      </c>
      <c r="CT41">
        <v>25</v>
      </c>
      <c r="CU41">
        <v>16500</v>
      </c>
    </row>
    <row r="42" spans="2:99" x14ac:dyDescent="0.2">
      <c r="C42" s="119" t="s">
        <v>208</v>
      </c>
      <c r="D42">
        <v>16</v>
      </c>
      <c r="E42">
        <v>13536</v>
      </c>
      <c r="F42">
        <v>22</v>
      </c>
      <c r="G42">
        <v>18612</v>
      </c>
      <c r="H42">
        <v>22</v>
      </c>
      <c r="I42">
        <v>18612</v>
      </c>
      <c r="J42">
        <v>13</v>
      </c>
      <c r="K42">
        <v>10998</v>
      </c>
      <c r="L42">
        <v>20</v>
      </c>
      <c r="M42">
        <v>16920</v>
      </c>
      <c r="N42">
        <v>23</v>
      </c>
      <c r="O42">
        <v>19458</v>
      </c>
      <c r="P42">
        <v>15</v>
      </c>
      <c r="Q42">
        <v>12690</v>
      </c>
      <c r="R42">
        <v>16</v>
      </c>
      <c r="S42">
        <v>13536</v>
      </c>
      <c r="T42">
        <v>12</v>
      </c>
      <c r="U42">
        <v>10152</v>
      </c>
      <c r="V42">
        <v>16</v>
      </c>
      <c r="W42">
        <v>13536</v>
      </c>
      <c r="X42">
        <v>21</v>
      </c>
      <c r="Y42">
        <v>17766</v>
      </c>
      <c r="Z42">
        <v>16</v>
      </c>
      <c r="AA42">
        <v>13536</v>
      </c>
      <c r="AB42">
        <v>15</v>
      </c>
      <c r="AC42">
        <v>12690</v>
      </c>
      <c r="AD42">
        <v>15</v>
      </c>
      <c r="AE42">
        <v>12690</v>
      </c>
      <c r="AF42">
        <v>16</v>
      </c>
      <c r="AG42">
        <v>13536</v>
      </c>
      <c r="AH42">
        <v>14</v>
      </c>
      <c r="AI42">
        <v>11844</v>
      </c>
      <c r="AJ42">
        <v>13</v>
      </c>
      <c r="AK42">
        <v>10998</v>
      </c>
      <c r="AL42">
        <v>16</v>
      </c>
      <c r="AM42">
        <v>13536</v>
      </c>
      <c r="AN42">
        <v>23</v>
      </c>
      <c r="AO42">
        <v>19458</v>
      </c>
      <c r="AP42">
        <v>14</v>
      </c>
      <c r="AQ42">
        <v>11844</v>
      </c>
      <c r="AR42">
        <v>13</v>
      </c>
      <c r="AS42">
        <v>10998</v>
      </c>
      <c r="AT42">
        <v>20</v>
      </c>
      <c r="AU42">
        <v>16920</v>
      </c>
      <c r="AV42">
        <v>22</v>
      </c>
      <c r="AW42">
        <v>18612</v>
      </c>
      <c r="AX42">
        <v>23</v>
      </c>
      <c r="AY42">
        <v>19458</v>
      </c>
      <c r="AZ42">
        <v>21</v>
      </c>
      <c r="BA42">
        <v>17766</v>
      </c>
      <c r="BB42">
        <v>22</v>
      </c>
      <c r="BC42">
        <v>18612</v>
      </c>
      <c r="BD42">
        <v>22</v>
      </c>
      <c r="BE42">
        <v>18612</v>
      </c>
      <c r="BF42">
        <v>13</v>
      </c>
      <c r="BG42">
        <v>10998</v>
      </c>
      <c r="BH42">
        <v>21</v>
      </c>
      <c r="BI42">
        <v>17766</v>
      </c>
      <c r="BJ42">
        <v>13</v>
      </c>
      <c r="BK42">
        <v>10998</v>
      </c>
      <c r="BL42">
        <v>17</v>
      </c>
      <c r="BM42">
        <v>14382</v>
      </c>
      <c r="BN42">
        <v>16</v>
      </c>
      <c r="BO42">
        <v>13536</v>
      </c>
      <c r="BP42">
        <v>12</v>
      </c>
      <c r="BQ42">
        <v>10152</v>
      </c>
      <c r="BR42">
        <v>22</v>
      </c>
      <c r="BS42">
        <v>18612</v>
      </c>
      <c r="BT42">
        <v>18</v>
      </c>
      <c r="BU42">
        <v>15228</v>
      </c>
      <c r="BV42">
        <v>14</v>
      </c>
      <c r="BW42">
        <v>11844</v>
      </c>
      <c r="BX42">
        <v>14</v>
      </c>
      <c r="BY42">
        <v>11844</v>
      </c>
      <c r="BZ42">
        <v>16</v>
      </c>
      <c r="CA42">
        <v>13536</v>
      </c>
      <c r="CB42">
        <v>20</v>
      </c>
      <c r="CC42">
        <v>16920</v>
      </c>
      <c r="CD42">
        <v>16</v>
      </c>
      <c r="CE42">
        <v>13536</v>
      </c>
      <c r="CF42">
        <v>13</v>
      </c>
      <c r="CG42">
        <v>10998</v>
      </c>
      <c r="CH42">
        <v>15</v>
      </c>
      <c r="CI42">
        <v>12690</v>
      </c>
      <c r="CJ42">
        <v>19</v>
      </c>
      <c r="CK42">
        <v>16074</v>
      </c>
      <c r="CL42">
        <v>16</v>
      </c>
      <c r="CM42">
        <v>13536</v>
      </c>
      <c r="CN42">
        <v>21</v>
      </c>
      <c r="CO42">
        <v>17766</v>
      </c>
      <c r="CP42">
        <v>14</v>
      </c>
      <c r="CQ42">
        <v>11844</v>
      </c>
      <c r="CR42">
        <v>14</v>
      </c>
      <c r="CS42">
        <v>11844</v>
      </c>
      <c r="CT42">
        <v>25</v>
      </c>
      <c r="CU42">
        <v>21150</v>
      </c>
    </row>
    <row r="43" spans="2:99" x14ac:dyDescent="0.2">
      <c r="C43" s="119" t="s">
        <v>209</v>
      </c>
      <c r="D43">
        <v>18</v>
      </c>
      <c r="E43">
        <v>18403.2</v>
      </c>
      <c r="F43">
        <v>25</v>
      </c>
      <c r="G43">
        <v>25560</v>
      </c>
      <c r="H43">
        <v>19</v>
      </c>
      <c r="I43">
        <v>19425.599999999999</v>
      </c>
      <c r="J43">
        <v>11</v>
      </c>
      <c r="K43">
        <v>11246.4</v>
      </c>
      <c r="L43">
        <v>19</v>
      </c>
      <c r="M43">
        <v>19425.599999999999</v>
      </c>
      <c r="N43">
        <v>23</v>
      </c>
      <c r="O43">
        <v>23515.200000000001</v>
      </c>
      <c r="P43">
        <v>14</v>
      </c>
      <c r="Q43">
        <v>14313.6</v>
      </c>
      <c r="R43">
        <v>16</v>
      </c>
      <c r="S43">
        <v>16358.4</v>
      </c>
      <c r="T43">
        <v>14</v>
      </c>
      <c r="U43">
        <v>14313.6</v>
      </c>
      <c r="V43">
        <v>16</v>
      </c>
      <c r="W43">
        <v>16358.4</v>
      </c>
      <c r="X43">
        <v>20</v>
      </c>
      <c r="Y43">
        <v>20448</v>
      </c>
      <c r="Z43">
        <v>15</v>
      </c>
      <c r="AA43">
        <v>15336</v>
      </c>
      <c r="AB43">
        <v>14</v>
      </c>
      <c r="AC43">
        <v>14313.6</v>
      </c>
      <c r="AD43">
        <v>16</v>
      </c>
      <c r="AE43">
        <v>16358.4</v>
      </c>
      <c r="AF43">
        <v>16</v>
      </c>
      <c r="AG43">
        <v>16358.4</v>
      </c>
      <c r="AH43">
        <v>14</v>
      </c>
      <c r="AI43">
        <v>14313.6</v>
      </c>
      <c r="AJ43">
        <v>13</v>
      </c>
      <c r="AK43">
        <v>13291.199999999999</v>
      </c>
      <c r="AL43">
        <v>17</v>
      </c>
      <c r="AM43">
        <v>17380.8</v>
      </c>
      <c r="AN43">
        <v>22</v>
      </c>
      <c r="AO43">
        <v>22492.799999999999</v>
      </c>
      <c r="AP43">
        <v>14</v>
      </c>
      <c r="AQ43">
        <v>14313.6</v>
      </c>
      <c r="AR43">
        <v>13</v>
      </c>
      <c r="AS43">
        <v>13291.199999999999</v>
      </c>
      <c r="AT43">
        <v>17</v>
      </c>
      <c r="AU43">
        <v>17380.8</v>
      </c>
      <c r="AV43">
        <v>22</v>
      </c>
      <c r="AW43">
        <v>22492.799999999999</v>
      </c>
      <c r="AX43">
        <v>22</v>
      </c>
      <c r="AY43">
        <v>22492.799999999999</v>
      </c>
      <c r="AZ43">
        <v>21</v>
      </c>
      <c r="BA43">
        <v>21470.399999999998</v>
      </c>
      <c r="BB43">
        <v>21</v>
      </c>
      <c r="BC43">
        <v>21470.399999999998</v>
      </c>
      <c r="BD43">
        <v>25</v>
      </c>
      <c r="BE43">
        <v>25560</v>
      </c>
      <c r="BF43">
        <v>12</v>
      </c>
      <c r="BG43">
        <v>12268.8</v>
      </c>
      <c r="BH43">
        <v>21</v>
      </c>
      <c r="BI43">
        <v>21470.399999999998</v>
      </c>
      <c r="BJ43">
        <v>14</v>
      </c>
      <c r="BK43">
        <v>14313.6</v>
      </c>
      <c r="BL43">
        <v>18</v>
      </c>
      <c r="BM43">
        <v>18403.2</v>
      </c>
      <c r="BN43">
        <v>17</v>
      </c>
      <c r="BO43">
        <v>17380.8</v>
      </c>
      <c r="BP43">
        <v>12</v>
      </c>
      <c r="BQ43">
        <v>12268.8</v>
      </c>
      <c r="BR43">
        <v>21</v>
      </c>
      <c r="BS43">
        <v>21470.399999999998</v>
      </c>
      <c r="BT43">
        <v>17</v>
      </c>
      <c r="BU43">
        <v>17380.8</v>
      </c>
      <c r="BV43">
        <v>14</v>
      </c>
      <c r="BW43">
        <v>14313.6</v>
      </c>
      <c r="BX43">
        <v>12</v>
      </c>
      <c r="BY43">
        <v>12268.8</v>
      </c>
      <c r="BZ43">
        <v>14</v>
      </c>
      <c r="CA43">
        <v>14313.6</v>
      </c>
      <c r="CB43">
        <v>20</v>
      </c>
      <c r="CC43">
        <v>20448</v>
      </c>
      <c r="CD43">
        <v>15</v>
      </c>
      <c r="CE43">
        <v>15336</v>
      </c>
      <c r="CF43">
        <v>13</v>
      </c>
      <c r="CG43">
        <v>13291.199999999999</v>
      </c>
      <c r="CH43">
        <v>15</v>
      </c>
      <c r="CI43">
        <v>15336</v>
      </c>
      <c r="CJ43">
        <v>19</v>
      </c>
      <c r="CK43">
        <v>19425.599999999999</v>
      </c>
      <c r="CL43">
        <v>18</v>
      </c>
      <c r="CM43">
        <v>18403.2</v>
      </c>
      <c r="CN43">
        <v>18</v>
      </c>
      <c r="CO43">
        <v>18403.2</v>
      </c>
      <c r="CP43">
        <v>14</v>
      </c>
      <c r="CQ43">
        <v>14313.6</v>
      </c>
      <c r="CR43">
        <v>15</v>
      </c>
      <c r="CS43">
        <v>15336</v>
      </c>
      <c r="CT43">
        <v>22</v>
      </c>
      <c r="CU43">
        <v>22492.799999999999</v>
      </c>
    </row>
    <row r="44" spans="2:99" x14ac:dyDescent="0.2">
      <c r="C44" s="119" t="s">
        <v>210</v>
      </c>
      <c r="D44">
        <v>16</v>
      </c>
      <c r="E44">
        <v>16358.4</v>
      </c>
      <c r="F44">
        <v>23</v>
      </c>
      <c r="G44">
        <v>23515.200000000001</v>
      </c>
      <c r="H44">
        <v>19</v>
      </c>
      <c r="I44">
        <v>19425.599999999999</v>
      </c>
      <c r="J44">
        <v>12</v>
      </c>
      <c r="K44">
        <v>12268.8</v>
      </c>
      <c r="L44">
        <v>18</v>
      </c>
      <c r="M44">
        <v>18403.2</v>
      </c>
      <c r="N44">
        <v>23</v>
      </c>
      <c r="O44">
        <v>23515.200000000001</v>
      </c>
      <c r="P44">
        <v>14</v>
      </c>
      <c r="Q44">
        <v>14313.6</v>
      </c>
      <c r="R44">
        <v>16</v>
      </c>
      <c r="S44">
        <v>16358.4</v>
      </c>
      <c r="T44">
        <v>13</v>
      </c>
      <c r="U44">
        <v>13291.199999999999</v>
      </c>
      <c r="V44">
        <v>14</v>
      </c>
      <c r="W44">
        <v>14313.6</v>
      </c>
      <c r="X44">
        <v>21</v>
      </c>
      <c r="Y44">
        <v>21470.399999999998</v>
      </c>
      <c r="Z44">
        <v>14</v>
      </c>
      <c r="AA44">
        <v>14313.6</v>
      </c>
      <c r="AB44">
        <v>13</v>
      </c>
      <c r="AC44">
        <v>13291.199999999999</v>
      </c>
      <c r="AD44">
        <v>15</v>
      </c>
      <c r="AE44">
        <v>15336</v>
      </c>
      <c r="AF44">
        <v>17</v>
      </c>
      <c r="AG44">
        <v>17380.8</v>
      </c>
      <c r="AH44">
        <v>12</v>
      </c>
      <c r="AI44">
        <v>12268.8</v>
      </c>
      <c r="AJ44">
        <v>14</v>
      </c>
      <c r="AK44">
        <v>14313.6</v>
      </c>
      <c r="AL44">
        <v>17</v>
      </c>
      <c r="AM44">
        <v>17380.8</v>
      </c>
      <c r="AN44">
        <v>21</v>
      </c>
      <c r="AO44">
        <v>21470.399999999998</v>
      </c>
      <c r="AP44">
        <v>14</v>
      </c>
      <c r="AQ44">
        <v>14313.6</v>
      </c>
      <c r="AR44">
        <v>14</v>
      </c>
      <c r="AS44">
        <v>14313.6</v>
      </c>
      <c r="AT44">
        <v>17</v>
      </c>
      <c r="AU44">
        <v>17380.8</v>
      </c>
      <c r="AV44">
        <v>20</v>
      </c>
      <c r="AW44">
        <v>20448</v>
      </c>
      <c r="AX44">
        <v>20</v>
      </c>
      <c r="AY44">
        <v>20448</v>
      </c>
      <c r="AZ44">
        <v>22</v>
      </c>
      <c r="BA44">
        <v>22492.799999999999</v>
      </c>
      <c r="BB44">
        <v>20</v>
      </c>
      <c r="BC44">
        <v>20448</v>
      </c>
      <c r="BD44">
        <v>21</v>
      </c>
      <c r="BE44">
        <v>21470.399999999998</v>
      </c>
      <c r="BF44">
        <v>13</v>
      </c>
      <c r="BG44">
        <v>13291.199999999999</v>
      </c>
      <c r="BH44">
        <v>20</v>
      </c>
      <c r="BI44">
        <v>20448</v>
      </c>
      <c r="BJ44">
        <v>14</v>
      </c>
      <c r="BK44">
        <v>14313.6</v>
      </c>
      <c r="BL44">
        <v>18</v>
      </c>
      <c r="BM44">
        <v>18403.2</v>
      </c>
      <c r="BN44">
        <v>16</v>
      </c>
      <c r="BO44">
        <v>16358.4</v>
      </c>
      <c r="BP44">
        <v>13</v>
      </c>
      <c r="BQ44">
        <v>13291.199999999999</v>
      </c>
      <c r="BR44">
        <v>20</v>
      </c>
      <c r="BS44">
        <v>20448</v>
      </c>
      <c r="BT44">
        <v>14</v>
      </c>
      <c r="BU44">
        <v>14313.6</v>
      </c>
      <c r="BV44">
        <v>12</v>
      </c>
      <c r="BW44">
        <v>12268.8</v>
      </c>
      <c r="BX44">
        <v>12</v>
      </c>
      <c r="BY44">
        <v>12268.8</v>
      </c>
      <c r="BZ44">
        <v>17</v>
      </c>
      <c r="CA44">
        <v>17380.8</v>
      </c>
      <c r="CB44">
        <v>19</v>
      </c>
      <c r="CC44">
        <v>19425.599999999999</v>
      </c>
      <c r="CD44">
        <v>15</v>
      </c>
      <c r="CE44">
        <v>15336</v>
      </c>
      <c r="CF44">
        <v>13</v>
      </c>
      <c r="CG44">
        <v>13291.199999999999</v>
      </c>
      <c r="CH44">
        <v>16</v>
      </c>
      <c r="CI44">
        <v>16358.4</v>
      </c>
      <c r="CJ44">
        <v>18</v>
      </c>
      <c r="CK44">
        <v>18403.2</v>
      </c>
      <c r="CL44">
        <v>16</v>
      </c>
      <c r="CM44">
        <v>16358.4</v>
      </c>
      <c r="CN44">
        <v>19</v>
      </c>
      <c r="CO44">
        <v>19425.599999999999</v>
      </c>
      <c r="CP44">
        <v>13</v>
      </c>
      <c r="CQ44">
        <v>13291.199999999999</v>
      </c>
      <c r="CR44">
        <v>16</v>
      </c>
      <c r="CS44">
        <v>16358.4</v>
      </c>
      <c r="CT44">
        <v>22</v>
      </c>
      <c r="CU44">
        <v>22492.799999999999</v>
      </c>
    </row>
    <row r="45" spans="2:99" x14ac:dyDescent="0.2">
      <c r="C45" s="119" t="s">
        <v>211</v>
      </c>
      <c r="D45">
        <v>17</v>
      </c>
      <c r="E45">
        <v>21236.400000000001</v>
      </c>
      <c r="F45">
        <v>20</v>
      </c>
      <c r="G45">
        <v>24984</v>
      </c>
      <c r="H45">
        <v>20</v>
      </c>
      <c r="I45">
        <v>24984</v>
      </c>
      <c r="J45">
        <v>12</v>
      </c>
      <c r="K45">
        <v>14990.400000000001</v>
      </c>
      <c r="L45">
        <v>17</v>
      </c>
      <c r="M45">
        <v>21236.400000000001</v>
      </c>
      <c r="N45">
        <v>22</v>
      </c>
      <c r="O45">
        <v>27482.400000000001</v>
      </c>
      <c r="P45">
        <v>14</v>
      </c>
      <c r="Q45">
        <v>17488.8</v>
      </c>
      <c r="R45">
        <v>15</v>
      </c>
      <c r="S45">
        <v>18738</v>
      </c>
      <c r="T45">
        <v>13</v>
      </c>
      <c r="U45">
        <v>16239.6</v>
      </c>
      <c r="V45">
        <v>13</v>
      </c>
      <c r="W45">
        <v>16239.6</v>
      </c>
      <c r="X45">
        <v>19</v>
      </c>
      <c r="Y45">
        <v>23734.799999999999</v>
      </c>
      <c r="Z45">
        <v>14</v>
      </c>
      <c r="AA45">
        <v>17488.8</v>
      </c>
      <c r="AB45">
        <v>12</v>
      </c>
      <c r="AC45">
        <v>14990.400000000001</v>
      </c>
      <c r="AD45">
        <v>16</v>
      </c>
      <c r="AE45">
        <v>19987.2</v>
      </c>
      <c r="AF45">
        <v>18</v>
      </c>
      <c r="AG45">
        <v>22485.600000000002</v>
      </c>
      <c r="AH45">
        <v>14</v>
      </c>
      <c r="AI45">
        <v>17488.8</v>
      </c>
      <c r="AJ45">
        <v>14</v>
      </c>
      <c r="AK45">
        <v>17488.8</v>
      </c>
      <c r="AL45">
        <v>14</v>
      </c>
      <c r="AM45">
        <v>17488.8</v>
      </c>
      <c r="AN45">
        <v>21</v>
      </c>
      <c r="AO45">
        <v>26233.200000000001</v>
      </c>
      <c r="AP45">
        <v>12</v>
      </c>
      <c r="AQ45">
        <v>14990.400000000001</v>
      </c>
      <c r="AR45">
        <v>12</v>
      </c>
      <c r="AS45">
        <v>14990.400000000001</v>
      </c>
      <c r="AT45">
        <v>17</v>
      </c>
      <c r="AU45">
        <v>21236.400000000001</v>
      </c>
      <c r="AV45">
        <v>20</v>
      </c>
      <c r="AW45">
        <v>24984</v>
      </c>
      <c r="AX45">
        <v>22</v>
      </c>
      <c r="AY45">
        <v>27482.400000000001</v>
      </c>
      <c r="AZ45">
        <v>21</v>
      </c>
      <c r="BA45">
        <v>26233.200000000001</v>
      </c>
      <c r="BB45">
        <v>23</v>
      </c>
      <c r="BC45">
        <v>28731.600000000002</v>
      </c>
      <c r="BD45">
        <v>21</v>
      </c>
      <c r="BE45">
        <v>26233.200000000001</v>
      </c>
      <c r="BF45">
        <v>14</v>
      </c>
      <c r="BG45">
        <v>17488.8</v>
      </c>
      <c r="BH45">
        <v>21</v>
      </c>
      <c r="BI45">
        <v>26233.200000000001</v>
      </c>
      <c r="BJ45">
        <v>15</v>
      </c>
      <c r="BK45">
        <v>18738</v>
      </c>
      <c r="BL45">
        <v>16</v>
      </c>
      <c r="BM45">
        <v>19987.2</v>
      </c>
      <c r="BN45">
        <v>17</v>
      </c>
      <c r="BO45">
        <v>21236.400000000001</v>
      </c>
      <c r="BP45">
        <v>13</v>
      </c>
      <c r="BQ45">
        <v>16239.6</v>
      </c>
      <c r="BR45">
        <v>22</v>
      </c>
      <c r="BS45">
        <v>27482.400000000001</v>
      </c>
      <c r="BT45">
        <v>16</v>
      </c>
      <c r="BU45">
        <v>19987.2</v>
      </c>
      <c r="BV45">
        <v>13</v>
      </c>
      <c r="BW45">
        <v>16239.6</v>
      </c>
      <c r="BX45">
        <v>12</v>
      </c>
      <c r="BY45">
        <v>14990.400000000001</v>
      </c>
      <c r="BZ45">
        <v>14</v>
      </c>
      <c r="CA45">
        <v>17488.8</v>
      </c>
      <c r="CB45">
        <v>19</v>
      </c>
      <c r="CC45">
        <v>23734.799999999999</v>
      </c>
      <c r="CD45">
        <v>15</v>
      </c>
      <c r="CE45">
        <v>18738</v>
      </c>
      <c r="CF45">
        <v>13</v>
      </c>
      <c r="CG45">
        <v>16239.6</v>
      </c>
      <c r="CH45">
        <v>16</v>
      </c>
      <c r="CI45">
        <v>19987.2</v>
      </c>
      <c r="CJ45">
        <v>19</v>
      </c>
      <c r="CK45">
        <v>23734.799999999999</v>
      </c>
      <c r="CL45">
        <v>17</v>
      </c>
      <c r="CM45">
        <v>21236.400000000001</v>
      </c>
      <c r="CN45">
        <v>18</v>
      </c>
      <c r="CO45">
        <v>22485.600000000002</v>
      </c>
      <c r="CP45">
        <v>13</v>
      </c>
      <c r="CQ45">
        <v>16239.6</v>
      </c>
      <c r="CR45">
        <v>15</v>
      </c>
      <c r="CS45">
        <v>18738</v>
      </c>
      <c r="CT45">
        <v>22</v>
      </c>
      <c r="CU45">
        <v>27482.400000000001</v>
      </c>
    </row>
    <row r="46" spans="2:99" x14ac:dyDescent="0.2">
      <c r="C46" s="119" t="s">
        <v>212</v>
      </c>
      <c r="D46">
        <v>17</v>
      </c>
      <c r="E46">
        <v>20604</v>
      </c>
      <c r="F46">
        <v>22</v>
      </c>
      <c r="G46">
        <v>26664</v>
      </c>
      <c r="H46">
        <v>18</v>
      </c>
      <c r="I46">
        <v>21816</v>
      </c>
      <c r="J46">
        <v>12</v>
      </c>
      <c r="K46">
        <v>14544</v>
      </c>
      <c r="L46">
        <v>18</v>
      </c>
      <c r="M46">
        <v>21816</v>
      </c>
      <c r="N46">
        <v>21</v>
      </c>
      <c r="O46">
        <v>25452</v>
      </c>
      <c r="P46">
        <v>15</v>
      </c>
      <c r="Q46">
        <v>18180</v>
      </c>
      <c r="R46">
        <v>16</v>
      </c>
      <c r="S46">
        <v>19392</v>
      </c>
      <c r="T46">
        <v>14</v>
      </c>
      <c r="U46">
        <v>16968</v>
      </c>
      <c r="V46">
        <v>15</v>
      </c>
      <c r="W46">
        <v>18180</v>
      </c>
      <c r="X46">
        <v>19</v>
      </c>
      <c r="Y46">
        <v>23028</v>
      </c>
      <c r="Z46">
        <v>14</v>
      </c>
      <c r="AA46">
        <v>16968</v>
      </c>
      <c r="AB46">
        <v>14</v>
      </c>
      <c r="AC46">
        <v>16968</v>
      </c>
      <c r="AD46">
        <v>16</v>
      </c>
      <c r="AE46">
        <v>19392</v>
      </c>
      <c r="AF46">
        <v>18</v>
      </c>
      <c r="AG46">
        <v>21816</v>
      </c>
      <c r="AH46">
        <v>13</v>
      </c>
      <c r="AI46">
        <v>15756</v>
      </c>
      <c r="AJ46">
        <v>14</v>
      </c>
      <c r="AK46">
        <v>16968</v>
      </c>
      <c r="AL46">
        <v>14</v>
      </c>
      <c r="AM46">
        <v>16968</v>
      </c>
      <c r="AN46">
        <v>21</v>
      </c>
      <c r="AO46">
        <v>25452</v>
      </c>
      <c r="AP46">
        <v>12</v>
      </c>
      <c r="AQ46">
        <v>14544</v>
      </c>
      <c r="AR46">
        <v>13</v>
      </c>
      <c r="AS46">
        <v>15756</v>
      </c>
      <c r="AT46">
        <v>18</v>
      </c>
      <c r="AU46">
        <v>21816</v>
      </c>
      <c r="AV46">
        <v>18</v>
      </c>
      <c r="AW46">
        <v>21816</v>
      </c>
      <c r="AX46">
        <v>21</v>
      </c>
      <c r="AY46">
        <v>25452</v>
      </c>
      <c r="AZ46">
        <v>19</v>
      </c>
      <c r="BA46">
        <v>23028</v>
      </c>
      <c r="BB46">
        <v>20</v>
      </c>
      <c r="BC46">
        <v>24240</v>
      </c>
      <c r="BD46">
        <v>21</v>
      </c>
      <c r="BE46">
        <v>25452</v>
      </c>
      <c r="BF46">
        <v>14</v>
      </c>
      <c r="BG46">
        <v>16968</v>
      </c>
      <c r="BH46">
        <v>19</v>
      </c>
      <c r="BI46">
        <v>23028</v>
      </c>
      <c r="BJ46">
        <v>14</v>
      </c>
      <c r="BK46">
        <v>16968</v>
      </c>
      <c r="BL46">
        <v>16</v>
      </c>
      <c r="BM46">
        <v>19392</v>
      </c>
      <c r="BN46">
        <v>16</v>
      </c>
      <c r="BO46">
        <v>19392</v>
      </c>
      <c r="BP46">
        <v>13</v>
      </c>
      <c r="BQ46">
        <v>15756</v>
      </c>
      <c r="BR46">
        <v>20</v>
      </c>
      <c r="BS46">
        <v>24240</v>
      </c>
      <c r="BT46">
        <v>14</v>
      </c>
      <c r="BU46">
        <v>16968</v>
      </c>
      <c r="BV46">
        <v>12</v>
      </c>
      <c r="BW46">
        <v>14544</v>
      </c>
      <c r="BX46">
        <v>12</v>
      </c>
      <c r="BY46">
        <v>14544</v>
      </c>
      <c r="BZ46">
        <v>15</v>
      </c>
      <c r="CA46">
        <v>18180</v>
      </c>
      <c r="CB46">
        <v>17</v>
      </c>
      <c r="CC46">
        <v>20604</v>
      </c>
      <c r="CD46">
        <v>15</v>
      </c>
      <c r="CE46">
        <v>18180</v>
      </c>
      <c r="CF46">
        <v>14</v>
      </c>
      <c r="CG46">
        <v>16968</v>
      </c>
      <c r="CH46">
        <v>14</v>
      </c>
      <c r="CI46">
        <v>16968</v>
      </c>
      <c r="CJ46">
        <v>17</v>
      </c>
      <c r="CK46">
        <v>20604</v>
      </c>
      <c r="CL46">
        <v>15</v>
      </c>
      <c r="CM46">
        <v>18180</v>
      </c>
      <c r="CN46">
        <v>19</v>
      </c>
      <c r="CO46">
        <v>23028</v>
      </c>
      <c r="CP46">
        <v>13</v>
      </c>
      <c r="CQ46">
        <v>15756</v>
      </c>
      <c r="CR46">
        <v>16</v>
      </c>
      <c r="CS46">
        <v>19392</v>
      </c>
      <c r="CT46">
        <v>23</v>
      </c>
      <c r="CU46">
        <v>27876</v>
      </c>
    </row>
    <row r="47" spans="2:99" x14ac:dyDescent="0.2">
      <c r="C47" s="119" t="s">
        <v>213</v>
      </c>
      <c r="D47">
        <v>17</v>
      </c>
      <c r="E47">
        <v>25969.199999999997</v>
      </c>
      <c r="F47">
        <v>21</v>
      </c>
      <c r="G47">
        <v>32079.599999999999</v>
      </c>
      <c r="H47">
        <v>18</v>
      </c>
      <c r="I47">
        <v>27496.799999999999</v>
      </c>
      <c r="J47">
        <v>12</v>
      </c>
      <c r="K47">
        <v>18331.199999999997</v>
      </c>
      <c r="L47">
        <v>18</v>
      </c>
      <c r="M47">
        <v>27496.799999999999</v>
      </c>
      <c r="N47">
        <v>21</v>
      </c>
      <c r="O47">
        <v>32079.599999999999</v>
      </c>
      <c r="P47">
        <v>15</v>
      </c>
      <c r="Q47">
        <v>22914</v>
      </c>
      <c r="R47">
        <v>14</v>
      </c>
      <c r="S47">
        <v>21386.399999999998</v>
      </c>
      <c r="T47">
        <v>11</v>
      </c>
      <c r="U47">
        <v>16803.599999999999</v>
      </c>
      <c r="V47">
        <v>15</v>
      </c>
      <c r="W47">
        <v>22914</v>
      </c>
      <c r="X47">
        <v>20</v>
      </c>
      <c r="Y47">
        <v>30552</v>
      </c>
      <c r="Z47">
        <v>13</v>
      </c>
      <c r="AA47">
        <v>19858.8</v>
      </c>
      <c r="AB47">
        <v>13</v>
      </c>
      <c r="AC47">
        <v>19858.8</v>
      </c>
      <c r="AD47">
        <v>15</v>
      </c>
      <c r="AE47">
        <v>22914</v>
      </c>
      <c r="AF47">
        <v>17</v>
      </c>
      <c r="AG47">
        <v>25969.199999999997</v>
      </c>
      <c r="AH47">
        <v>13</v>
      </c>
      <c r="AI47">
        <v>19858.8</v>
      </c>
      <c r="AJ47">
        <v>14</v>
      </c>
      <c r="AK47">
        <v>21386.399999999998</v>
      </c>
      <c r="AL47">
        <v>15</v>
      </c>
      <c r="AM47">
        <v>22914</v>
      </c>
      <c r="AN47">
        <v>22</v>
      </c>
      <c r="AO47">
        <v>33607.199999999997</v>
      </c>
      <c r="AP47">
        <v>11</v>
      </c>
      <c r="AQ47">
        <v>16803.599999999999</v>
      </c>
      <c r="AR47">
        <v>13</v>
      </c>
      <c r="AS47">
        <v>19858.8</v>
      </c>
      <c r="AT47">
        <v>19</v>
      </c>
      <c r="AU47">
        <v>29024.399999999998</v>
      </c>
      <c r="AV47">
        <v>18</v>
      </c>
      <c r="AW47">
        <v>27496.799999999999</v>
      </c>
      <c r="AX47">
        <v>19</v>
      </c>
      <c r="AY47">
        <v>29024.399999999998</v>
      </c>
      <c r="AZ47">
        <v>21</v>
      </c>
      <c r="BA47">
        <v>32079.599999999999</v>
      </c>
      <c r="BB47">
        <v>21</v>
      </c>
      <c r="BC47">
        <v>32079.599999999999</v>
      </c>
      <c r="BD47">
        <v>21</v>
      </c>
      <c r="BE47">
        <v>32079.599999999999</v>
      </c>
      <c r="BF47">
        <v>12</v>
      </c>
      <c r="BG47">
        <v>18331.199999999997</v>
      </c>
      <c r="BH47">
        <v>17</v>
      </c>
      <c r="BI47">
        <v>25969.199999999997</v>
      </c>
      <c r="BJ47">
        <v>14</v>
      </c>
      <c r="BK47">
        <v>21386.399999999998</v>
      </c>
      <c r="BL47">
        <v>16</v>
      </c>
      <c r="BM47">
        <v>24441.599999999999</v>
      </c>
      <c r="BN47">
        <v>18</v>
      </c>
      <c r="BO47">
        <v>27496.799999999999</v>
      </c>
      <c r="BP47">
        <v>12</v>
      </c>
      <c r="BQ47">
        <v>18331.199999999997</v>
      </c>
      <c r="BR47">
        <v>21</v>
      </c>
      <c r="BS47">
        <v>32079.599999999999</v>
      </c>
      <c r="BT47">
        <v>16</v>
      </c>
      <c r="BU47">
        <v>24441.599999999999</v>
      </c>
      <c r="BV47">
        <v>12</v>
      </c>
      <c r="BW47">
        <v>18331.199999999997</v>
      </c>
      <c r="BX47">
        <v>13</v>
      </c>
      <c r="BY47">
        <v>19858.8</v>
      </c>
      <c r="BZ47">
        <v>16</v>
      </c>
      <c r="CA47">
        <v>24441.599999999999</v>
      </c>
      <c r="CB47">
        <v>16</v>
      </c>
      <c r="CC47">
        <v>24441.599999999999</v>
      </c>
      <c r="CD47">
        <v>15</v>
      </c>
      <c r="CE47">
        <v>22914</v>
      </c>
      <c r="CF47">
        <v>11</v>
      </c>
      <c r="CG47">
        <v>16803.599999999999</v>
      </c>
      <c r="CH47">
        <v>14</v>
      </c>
      <c r="CI47">
        <v>21386.399999999998</v>
      </c>
      <c r="CJ47">
        <v>20</v>
      </c>
      <c r="CK47">
        <v>30552</v>
      </c>
      <c r="CL47">
        <v>16</v>
      </c>
      <c r="CM47">
        <v>24441.599999999999</v>
      </c>
      <c r="CN47">
        <v>19</v>
      </c>
      <c r="CO47">
        <v>29024.399999999998</v>
      </c>
      <c r="CP47">
        <v>12</v>
      </c>
      <c r="CQ47">
        <v>18331.199999999997</v>
      </c>
      <c r="CR47">
        <v>14</v>
      </c>
      <c r="CS47">
        <v>21386.399999999998</v>
      </c>
      <c r="CT47">
        <v>24</v>
      </c>
      <c r="CU47">
        <v>36662.399999999994</v>
      </c>
    </row>
    <row r="48" spans="2:99" x14ac:dyDescent="0.2">
      <c r="C48" s="119" t="s">
        <v>214</v>
      </c>
      <c r="D48">
        <v>16</v>
      </c>
      <c r="E48">
        <v>13881.6</v>
      </c>
      <c r="F48">
        <v>21</v>
      </c>
      <c r="G48">
        <v>18219.600000000002</v>
      </c>
      <c r="H48">
        <v>21</v>
      </c>
      <c r="I48">
        <v>18219.600000000002</v>
      </c>
      <c r="J48">
        <v>12</v>
      </c>
      <c r="K48">
        <v>10411.200000000001</v>
      </c>
      <c r="L48">
        <v>19</v>
      </c>
      <c r="M48">
        <v>16484.400000000001</v>
      </c>
      <c r="N48">
        <v>24</v>
      </c>
      <c r="O48">
        <v>20822.400000000001</v>
      </c>
      <c r="P48">
        <v>14</v>
      </c>
      <c r="Q48">
        <v>12146.4</v>
      </c>
      <c r="R48">
        <v>18</v>
      </c>
      <c r="S48">
        <v>15616.800000000001</v>
      </c>
      <c r="T48">
        <v>13</v>
      </c>
      <c r="U48">
        <v>11278.800000000001</v>
      </c>
      <c r="V48">
        <v>14</v>
      </c>
      <c r="W48">
        <v>12146.4</v>
      </c>
      <c r="X48">
        <v>20</v>
      </c>
      <c r="Y48">
        <v>17352</v>
      </c>
      <c r="Z48">
        <v>15</v>
      </c>
      <c r="AA48">
        <v>13014</v>
      </c>
      <c r="AB48">
        <v>13</v>
      </c>
      <c r="AC48">
        <v>11278.800000000001</v>
      </c>
      <c r="AD48">
        <v>17</v>
      </c>
      <c r="AE48">
        <v>14749.2</v>
      </c>
      <c r="AF48">
        <v>19</v>
      </c>
      <c r="AG48">
        <v>16484.400000000001</v>
      </c>
      <c r="AH48">
        <v>14</v>
      </c>
      <c r="AI48">
        <v>12146.4</v>
      </c>
      <c r="AJ48">
        <v>14</v>
      </c>
      <c r="AK48">
        <v>12146.4</v>
      </c>
      <c r="AL48">
        <v>17</v>
      </c>
      <c r="AM48">
        <v>14749.2</v>
      </c>
      <c r="AN48">
        <v>24</v>
      </c>
      <c r="AO48">
        <v>20822.400000000001</v>
      </c>
      <c r="AP48">
        <v>12</v>
      </c>
      <c r="AQ48">
        <v>10411.200000000001</v>
      </c>
      <c r="AR48">
        <v>13</v>
      </c>
      <c r="AS48">
        <v>11278.800000000001</v>
      </c>
      <c r="AT48">
        <v>19</v>
      </c>
      <c r="AU48">
        <v>16484.400000000001</v>
      </c>
      <c r="AV48">
        <v>20</v>
      </c>
      <c r="AW48">
        <v>17352</v>
      </c>
      <c r="AX48">
        <v>23</v>
      </c>
      <c r="AY48">
        <v>19954.8</v>
      </c>
      <c r="AZ48">
        <v>21</v>
      </c>
      <c r="BA48">
        <v>18219.600000000002</v>
      </c>
      <c r="BB48">
        <v>21</v>
      </c>
      <c r="BC48">
        <v>18219.600000000002</v>
      </c>
      <c r="BD48">
        <v>21</v>
      </c>
      <c r="BE48">
        <v>18219.600000000002</v>
      </c>
      <c r="BF48">
        <v>15</v>
      </c>
      <c r="BG48">
        <v>13014</v>
      </c>
      <c r="BH48">
        <v>20</v>
      </c>
      <c r="BI48">
        <v>17352</v>
      </c>
      <c r="BJ48">
        <v>14</v>
      </c>
      <c r="BK48">
        <v>12146.4</v>
      </c>
      <c r="BL48">
        <v>18</v>
      </c>
      <c r="BM48">
        <v>15616.800000000001</v>
      </c>
      <c r="BN48">
        <v>18</v>
      </c>
      <c r="BO48">
        <v>15616.800000000001</v>
      </c>
      <c r="BP48">
        <v>14</v>
      </c>
      <c r="BQ48">
        <v>12146.4</v>
      </c>
      <c r="BR48">
        <v>24</v>
      </c>
      <c r="BS48">
        <v>20822.400000000001</v>
      </c>
      <c r="BT48">
        <v>16</v>
      </c>
      <c r="BU48">
        <v>13881.6</v>
      </c>
      <c r="BV48">
        <v>13</v>
      </c>
      <c r="BW48">
        <v>11278.800000000001</v>
      </c>
      <c r="BX48">
        <v>13</v>
      </c>
      <c r="BY48">
        <v>11278.800000000001</v>
      </c>
      <c r="BZ48">
        <v>16</v>
      </c>
      <c r="CA48">
        <v>13881.6</v>
      </c>
      <c r="CB48">
        <v>20</v>
      </c>
      <c r="CC48">
        <v>17352</v>
      </c>
      <c r="CD48">
        <v>16</v>
      </c>
      <c r="CE48">
        <v>13881.6</v>
      </c>
      <c r="CF48">
        <v>15</v>
      </c>
      <c r="CG48">
        <v>13014</v>
      </c>
      <c r="CH48">
        <v>16</v>
      </c>
      <c r="CI48">
        <v>13881.6</v>
      </c>
      <c r="CJ48">
        <v>18</v>
      </c>
      <c r="CK48">
        <v>15616.800000000001</v>
      </c>
      <c r="CL48">
        <v>15</v>
      </c>
      <c r="CM48">
        <v>13014</v>
      </c>
      <c r="CN48">
        <v>20</v>
      </c>
      <c r="CO48">
        <v>17352</v>
      </c>
      <c r="CP48">
        <v>13</v>
      </c>
      <c r="CQ48">
        <v>11278.800000000001</v>
      </c>
      <c r="CR48">
        <v>15</v>
      </c>
      <c r="CS48">
        <v>13014</v>
      </c>
      <c r="CT48">
        <v>26</v>
      </c>
      <c r="CU48">
        <v>22557.600000000002</v>
      </c>
    </row>
    <row r="49" spans="2:99" x14ac:dyDescent="0.2">
      <c r="B49" s="119" t="s">
        <v>129</v>
      </c>
      <c r="C49" s="119" t="s">
        <v>215</v>
      </c>
      <c r="D49">
        <v>13</v>
      </c>
      <c r="E49">
        <v>12807.599999999999</v>
      </c>
      <c r="F49">
        <v>21</v>
      </c>
      <c r="G49">
        <v>20689.199999999997</v>
      </c>
      <c r="H49">
        <v>18</v>
      </c>
      <c r="I49">
        <v>17733.599999999999</v>
      </c>
      <c r="J49">
        <v>14</v>
      </c>
      <c r="K49">
        <v>13792.8</v>
      </c>
      <c r="L49">
        <v>13</v>
      </c>
      <c r="M49">
        <v>12807.599999999999</v>
      </c>
      <c r="N49">
        <v>21</v>
      </c>
      <c r="O49">
        <v>20689.199999999997</v>
      </c>
      <c r="P49">
        <v>15</v>
      </c>
      <c r="Q49">
        <v>14777.999999999998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</row>
    <row r="50" spans="2:99" x14ac:dyDescent="0.2">
      <c r="C50" s="119" t="s">
        <v>216</v>
      </c>
      <c r="D50">
        <v>13</v>
      </c>
      <c r="E50">
        <v>3666</v>
      </c>
      <c r="F50">
        <v>24</v>
      </c>
      <c r="G50">
        <v>6768</v>
      </c>
      <c r="H50">
        <v>21</v>
      </c>
      <c r="I50">
        <v>5922</v>
      </c>
      <c r="J50">
        <v>17</v>
      </c>
      <c r="K50">
        <v>4794</v>
      </c>
      <c r="L50">
        <v>14</v>
      </c>
      <c r="M50">
        <v>3948</v>
      </c>
      <c r="N50">
        <v>23</v>
      </c>
      <c r="O50">
        <v>6486</v>
      </c>
      <c r="P50">
        <v>17</v>
      </c>
      <c r="Q50">
        <v>4794</v>
      </c>
      <c r="R50">
        <v>14</v>
      </c>
      <c r="S50">
        <v>3948</v>
      </c>
      <c r="T50">
        <v>19</v>
      </c>
      <c r="U50">
        <v>5358</v>
      </c>
      <c r="V50">
        <v>15</v>
      </c>
      <c r="W50">
        <v>4230</v>
      </c>
      <c r="X50">
        <v>17</v>
      </c>
      <c r="Y50">
        <v>4794</v>
      </c>
      <c r="Z50">
        <v>18</v>
      </c>
      <c r="AA50">
        <v>5076</v>
      </c>
      <c r="AB50">
        <v>17</v>
      </c>
      <c r="AC50">
        <v>4794</v>
      </c>
      <c r="AD50">
        <v>14</v>
      </c>
      <c r="AE50">
        <v>3948</v>
      </c>
      <c r="AF50">
        <v>15</v>
      </c>
      <c r="AG50">
        <v>4230</v>
      </c>
      <c r="AH50">
        <v>14</v>
      </c>
      <c r="AI50">
        <v>3948</v>
      </c>
      <c r="AJ50">
        <v>16</v>
      </c>
      <c r="AK50">
        <v>4512</v>
      </c>
      <c r="AL50">
        <v>18</v>
      </c>
      <c r="AM50">
        <v>5076</v>
      </c>
      <c r="AN50">
        <v>13</v>
      </c>
      <c r="AO50">
        <v>3666</v>
      </c>
      <c r="AP50">
        <v>22</v>
      </c>
      <c r="AQ50">
        <v>6204</v>
      </c>
      <c r="AR50">
        <v>14</v>
      </c>
      <c r="AS50">
        <v>3948</v>
      </c>
      <c r="AT50">
        <v>12</v>
      </c>
      <c r="AU50">
        <v>3384</v>
      </c>
      <c r="AV50">
        <v>17</v>
      </c>
      <c r="AW50">
        <v>4794</v>
      </c>
      <c r="AX50">
        <v>14</v>
      </c>
      <c r="AY50">
        <v>3948</v>
      </c>
      <c r="AZ50">
        <v>15</v>
      </c>
      <c r="BA50">
        <v>4230</v>
      </c>
      <c r="BB50">
        <v>16</v>
      </c>
      <c r="BC50">
        <v>4512</v>
      </c>
      <c r="BD50">
        <v>14</v>
      </c>
      <c r="BE50">
        <v>3948</v>
      </c>
      <c r="BF50">
        <v>19</v>
      </c>
      <c r="BG50">
        <v>5358</v>
      </c>
      <c r="BH50">
        <v>19</v>
      </c>
      <c r="BI50">
        <v>5358</v>
      </c>
      <c r="BJ50">
        <v>24</v>
      </c>
      <c r="BK50">
        <v>6768</v>
      </c>
      <c r="BL50">
        <v>16</v>
      </c>
      <c r="BM50">
        <v>4512</v>
      </c>
      <c r="BN50">
        <v>20</v>
      </c>
      <c r="BO50">
        <v>5640</v>
      </c>
      <c r="BP50">
        <v>23</v>
      </c>
      <c r="BQ50">
        <v>6486</v>
      </c>
      <c r="BR50">
        <v>23</v>
      </c>
      <c r="BS50">
        <v>6486</v>
      </c>
      <c r="BT50">
        <v>21</v>
      </c>
      <c r="BU50">
        <v>5922</v>
      </c>
      <c r="BV50">
        <v>13</v>
      </c>
      <c r="BW50">
        <v>3666</v>
      </c>
      <c r="BX50">
        <v>19</v>
      </c>
      <c r="BY50">
        <v>5358</v>
      </c>
      <c r="BZ50">
        <v>22</v>
      </c>
      <c r="CA50">
        <v>6204</v>
      </c>
      <c r="CB50">
        <v>13</v>
      </c>
      <c r="CC50">
        <v>3666</v>
      </c>
      <c r="CD50">
        <v>22</v>
      </c>
      <c r="CE50">
        <v>6204</v>
      </c>
      <c r="CF50">
        <v>19</v>
      </c>
      <c r="CG50">
        <v>5358</v>
      </c>
      <c r="CH50">
        <v>12</v>
      </c>
      <c r="CI50">
        <v>3384</v>
      </c>
      <c r="CJ50">
        <v>24</v>
      </c>
      <c r="CK50">
        <v>6768</v>
      </c>
      <c r="CL50">
        <v>20</v>
      </c>
      <c r="CM50">
        <v>5640</v>
      </c>
      <c r="CN50">
        <v>22</v>
      </c>
      <c r="CO50">
        <v>6204</v>
      </c>
      <c r="CP50">
        <v>15</v>
      </c>
      <c r="CQ50">
        <v>4230</v>
      </c>
      <c r="CR50">
        <v>25</v>
      </c>
      <c r="CS50">
        <v>7050</v>
      </c>
      <c r="CT50">
        <v>16</v>
      </c>
      <c r="CU50">
        <v>4512</v>
      </c>
    </row>
    <row r="51" spans="2:99" x14ac:dyDescent="0.2">
      <c r="C51" s="119" t="s">
        <v>217</v>
      </c>
      <c r="D51">
        <v>12</v>
      </c>
      <c r="E51">
        <v>10252.799999999999</v>
      </c>
      <c r="F51">
        <v>20</v>
      </c>
      <c r="G51">
        <v>17088</v>
      </c>
      <c r="H51">
        <v>19</v>
      </c>
      <c r="I51">
        <v>16233.6</v>
      </c>
      <c r="J51">
        <v>16</v>
      </c>
      <c r="K51">
        <v>13670.4</v>
      </c>
      <c r="L51">
        <v>14</v>
      </c>
      <c r="M51">
        <v>11961.6</v>
      </c>
      <c r="N51">
        <v>21</v>
      </c>
      <c r="O51">
        <v>17942.399999999998</v>
      </c>
      <c r="P51">
        <v>16</v>
      </c>
      <c r="Q51">
        <v>13670.4</v>
      </c>
      <c r="R51">
        <v>12</v>
      </c>
      <c r="S51">
        <v>10252.799999999999</v>
      </c>
      <c r="T51">
        <v>19</v>
      </c>
      <c r="U51">
        <v>16233.6</v>
      </c>
      <c r="V51">
        <v>15</v>
      </c>
      <c r="W51">
        <v>12816</v>
      </c>
      <c r="X51">
        <v>14</v>
      </c>
      <c r="Y51">
        <v>11961.6</v>
      </c>
      <c r="Z51">
        <v>16</v>
      </c>
      <c r="AA51">
        <v>13670.4</v>
      </c>
      <c r="AB51">
        <v>15</v>
      </c>
      <c r="AC51">
        <v>12816</v>
      </c>
      <c r="AD51">
        <v>13</v>
      </c>
      <c r="AE51">
        <v>11107.199999999999</v>
      </c>
      <c r="AF51">
        <v>16</v>
      </c>
      <c r="AG51">
        <v>13670.4</v>
      </c>
      <c r="AH51">
        <v>13</v>
      </c>
      <c r="AI51">
        <v>11107.199999999999</v>
      </c>
      <c r="AJ51">
        <v>16</v>
      </c>
      <c r="AK51">
        <v>13670.4</v>
      </c>
      <c r="AL51">
        <v>16</v>
      </c>
      <c r="AM51">
        <v>13670.4</v>
      </c>
      <c r="AN51">
        <v>13</v>
      </c>
      <c r="AO51">
        <v>11107.199999999999</v>
      </c>
      <c r="AP51">
        <v>24</v>
      </c>
      <c r="AQ51">
        <v>20505.599999999999</v>
      </c>
      <c r="AR51">
        <v>13</v>
      </c>
      <c r="AS51">
        <v>11107.199999999999</v>
      </c>
      <c r="AT51">
        <v>11</v>
      </c>
      <c r="AU51">
        <v>9398.4</v>
      </c>
      <c r="AV51">
        <v>18</v>
      </c>
      <c r="AW51">
        <v>15379.199999999999</v>
      </c>
      <c r="AX51">
        <v>14</v>
      </c>
      <c r="AY51">
        <v>11961.6</v>
      </c>
      <c r="AZ51">
        <v>12</v>
      </c>
      <c r="BA51">
        <v>10252.799999999999</v>
      </c>
      <c r="BB51">
        <v>13</v>
      </c>
      <c r="BC51">
        <v>11107.199999999999</v>
      </c>
      <c r="BD51">
        <v>14</v>
      </c>
      <c r="BE51">
        <v>11961.6</v>
      </c>
      <c r="BF51">
        <v>15</v>
      </c>
      <c r="BG51">
        <v>12816</v>
      </c>
      <c r="BH51">
        <v>19</v>
      </c>
      <c r="BI51">
        <v>16233.6</v>
      </c>
      <c r="BJ51">
        <v>20</v>
      </c>
      <c r="BK51">
        <v>17088</v>
      </c>
      <c r="BL51">
        <v>16</v>
      </c>
      <c r="BM51">
        <v>13670.4</v>
      </c>
      <c r="BN51">
        <v>20</v>
      </c>
      <c r="BO51">
        <v>17088</v>
      </c>
      <c r="BP51">
        <v>22</v>
      </c>
      <c r="BQ51">
        <v>18796.8</v>
      </c>
      <c r="BR51">
        <v>20</v>
      </c>
      <c r="BS51">
        <v>17088</v>
      </c>
      <c r="BT51">
        <v>16</v>
      </c>
      <c r="BU51">
        <v>13670.4</v>
      </c>
      <c r="BV51">
        <v>13</v>
      </c>
      <c r="BW51">
        <v>11107.199999999999</v>
      </c>
      <c r="BX51">
        <v>18</v>
      </c>
      <c r="BY51">
        <v>15379.199999999999</v>
      </c>
      <c r="BZ51">
        <v>20</v>
      </c>
      <c r="CA51">
        <v>17088</v>
      </c>
      <c r="CB51">
        <v>14</v>
      </c>
      <c r="CC51">
        <v>11961.6</v>
      </c>
      <c r="CD51">
        <v>21</v>
      </c>
      <c r="CE51">
        <v>17942.399999999998</v>
      </c>
      <c r="CF51">
        <v>18</v>
      </c>
      <c r="CG51">
        <v>15379.199999999999</v>
      </c>
      <c r="CH51">
        <v>12</v>
      </c>
      <c r="CI51">
        <v>10252.799999999999</v>
      </c>
      <c r="CJ51">
        <v>21</v>
      </c>
      <c r="CK51">
        <v>17942.399999999998</v>
      </c>
      <c r="CL51">
        <v>18</v>
      </c>
      <c r="CM51">
        <v>15379.199999999999</v>
      </c>
      <c r="CN51">
        <v>23</v>
      </c>
      <c r="CO51">
        <v>19651.2</v>
      </c>
      <c r="CP51">
        <v>15</v>
      </c>
      <c r="CQ51">
        <v>12816</v>
      </c>
      <c r="CR51">
        <v>21</v>
      </c>
      <c r="CS51">
        <v>17942.399999999998</v>
      </c>
      <c r="CT51">
        <v>17</v>
      </c>
      <c r="CU51">
        <v>14524.8</v>
      </c>
    </row>
    <row r="52" spans="2:99" x14ac:dyDescent="0.2">
      <c r="C52" s="119" t="s">
        <v>218</v>
      </c>
      <c r="D52">
        <v>14</v>
      </c>
      <c r="E52">
        <v>7560</v>
      </c>
      <c r="F52">
        <v>22</v>
      </c>
      <c r="G52">
        <v>11880</v>
      </c>
      <c r="H52">
        <v>19</v>
      </c>
      <c r="I52">
        <v>10260</v>
      </c>
      <c r="J52">
        <v>16</v>
      </c>
      <c r="K52">
        <v>8640</v>
      </c>
      <c r="L52">
        <v>14</v>
      </c>
      <c r="M52">
        <v>7560</v>
      </c>
      <c r="N52">
        <v>21</v>
      </c>
      <c r="O52">
        <v>11340</v>
      </c>
      <c r="P52">
        <v>15</v>
      </c>
      <c r="Q52">
        <v>8100</v>
      </c>
      <c r="R52">
        <v>14</v>
      </c>
      <c r="S52">
        <v>7560</v>
      </c>
      <c r="T52">
        <v>22</v>
      </c>
      <c r="U52">
        <v>11880</v>
      </c>
      <c r="V52">
        <v>15</v>
      </c>
      <c r="W52">
        <v>8100</v>
      </c>
      <c r="X52">
        <v>15</v>
      </c>
      <c r="Y52">
        <v>8100</v>
      </c>
      <c r="Z52">
        <v>18</v>
      </c>
      <c r="AA52">
        <v>9720</v>
      </c>
      <c r="AB52">
        <v>17</v>
      </c>
      <c r="AC52">
        <v>9180</v>
      </c>
      <c r="AD52">
        <v>15</v>
      </c>
      <c r="AE52">
        <v>8100</v>
      </c>
      <c r="AF52">
        <v>17</v>
      </c>
      <c r="AG52">
        <v>9180</v>
      </c>
      <c r="AH52">
        <v>14</v>
      </c>
      <c r="AI52">
        <v>7560</v>
      </c>
      <c r="AJ52">
        <v>18</v>
      </c>
      <c r="AK52">
        <v>9720</v>
      </c>
      <c r="AL52">
        <v>15</v>
      </c>
      <c r="AM52">
        <v>8100</v>
      </c>
      <c r="AN52">
        <v>13</v>
      </c>
      <c r="AO52">
        <v>7020</v>
      </c>
      <c r="AP52">
        <v>21</v>
      </c>
      <c r="AQ52">
        <v>11340</v>
      </c>
      <c r="AR52">
        <v>12</v>
      </c>
      <c r="AS52">
        <v>6480</v>
      </c>
      <c r="AT52">
        <v>13</v>
      </c>
      <c r="AU52">
        <v>7020</v>
      </c>
      <c r="AV52">
        <v>19</v>
      </c>
      <c r="AW52">
        <v>10260</v>
      </c>
      <c r="AX52">
        <v>14</v>
      </c>
      <c r="AY52">
        <v>7560</v>
      </c>
      <c r="AZ52">
        <v>15</v>
      </c>
      <c r="BA52">
        <v>8100</v>
      </c>
      <c r="BB52">
        <v>15</v>
      </c>
      <c r="BC52">
        <v>8100</v>
      </c>
      <c r="BD52">
        <v>12</v>
      </c>
      <c r="BE52">
        <v>6480</v>
      </c>
      <c r="BF52">
        <v>16</v>
      </c>
      <c r="BG52">
        <v>8640</v>
      </c>
      <c r="BH52">
        <v>22</v>
      </c>
      <c r="BI52">
        <v>11880</v>
      </c>
      <c r="BJ52">
        <v>21</v>
      </c>
      <c r="BK52">
        <v>11340</v>
      </c>
      <c r="BL52">
        <v>17</v>
      </c>
      <c r="BM52">
        <v>9180</v>
      </c>
      <c r="BN52">
        <v>20</v>
      </c>
      <c r="BO52">
        <v>10800</v>
      </c>
      <c r="BP52">
        <v>23</v>
      </c>
      <c r="BQ52">
        <v>12420</v>
      </c>
      <c r="BR52">
        <v>22</v>
      </c>
      <c r="BS52">
        <v>11880</v>
      </c>
      <c r="BT52">
        <v>17</v>
      </c>
      <c r="BU52">
        <v>9180</v>
      </c>
      <c r="BV52">
        <v>12</v>
      </c>
      <c r="BW52">
        <v>6480</v>
      </c>
      <c r="BX52">
        <v>20</v>
      </c>
      <c r="BY52">
        <v>10800</v>
      </c>
      <c r="BZ52">
        <v>19</v>
      </c>
      <c r="CA52">
        <v>10260</v>
      </c>
      <c r="CB52">
        <v>12</v>
      </c>
      <c r="CC52">
        <v>6480</v>
      </c>
      <c r="CD52">
        <v>22</v>
      </c>
      <c r="CE52">
        <v>11880</v>
      </c>
      <c r="CF52">
        <v>20</v>
      </c>
      <c r="CG52">
        <v>10800</v>
      </c>
      <c r="CH52">
        <v>13</v>
      </c>
      <c r="CI52">
        <v>7020</v>
      </c>
      <c r="CJ52">
        <v>23</v>
      </c>
      <c r="CK52">
        <v>12420</v>
      </c>
      <c r="CL52">
        <v>21</v>
      </c>
      <c r="CM52">
        <v>11340</v>
      </c>
      <c r="CN52">
        <v>24</v>
      </c>
      <c r="CO52">
        <v>12960</v>
      </c>
      <c r="CP52">
        <v>16</v>
      </c>
      <c r="CQ52">
        <v>8640</v>
      </c>
      <c r="CR52">
        <v>21</v>
      </c>
      <c r="CS52">
        <v>11340</v>
      </c>
      <c r="CT52">
        <v>17</v>
      </c>
      <c r="CU52">
        <v>9180</v>
      </c>
    </row>
    <row r="53" spans="2:99" x14ac:dyDescent="0.2">
      <c r="C53" s="119" t="s">
        <v>219</v>
      </c>
      <c r="D53">
        <v>12</v>
      </c>
      <c r="E53">
        <v>4881.6000000000004</v>
      </c>
      <c r="F53">
        <v>23</v>
      </c>
      <c r="G53">
        <v>9356.4</v>
      </c>
      <c r="H53">
        <v>21</v>
      </c>
      <c r="I53">
        <v>8542.8000000000011</v>
      </c>
      <c r="J53">
        <v>16</v>
      </c>
      <c r="K53">
        <v>6508.8</v>
      </c>
      <c r="L53">
        <v>13</v>
      </c>
      <c r="M53">
        <v>5288.4000000000005</v>
      </c>
      <c r="N53">
        <v>21</v>
      </c>
      <c r="O53">
        <v>8542.8000000000011</v>
      </c>
      <c r="P53">
        <v>17</v>
      </c>
      <c r="Q53">
        <v>6915.6</v>
      </c>
      <c r="R53">
        <v>13</v>
      </c>
      <c r="S53">
        <v>5288.4000000000005</v>
      </c>
      <c r="T53">
        <v>19</v>
      </c>
      <c r="U53">
        <v>7729.2</v>
      </c>
      <c r="V53">
        <v>15</v>
      </c>
      <c r="W53">
        <v>6102</v>
      </c>
      <c r="X53">
        <v>16</v>
      </c>
      <c r="Y53">
        <v>6508.8</v>
      </c>
      <c r="Z53">
        <v>18</v>
      </c>
      <c r="AA53">
        <v>7322.4000000000005</v>
      </c>
      <c r="AB53">
        <v>17</v>
      </c>
      <c r="AC53">
        <v>6915.6</v>
      </c>
      <c r="AD53">
        <v>15</v>
      </c>
      <c r="AE53">
        <v>6102</v>
      </c>
      <c r="AF53">
        <v>15</v>
      </c>
      <c r="AG53">
        <v>6102</v>
      </c>
      <c r="AH53">
        <v>16</v>
      </c>
      <c r="AI53">
        <v>6508.8</v>
      </c>
      <c r="AJ53">
        <v>16</v>
      </c>
      <c r="AK53">
        <v>6508.8</v>
      </c>
      <c r="AL53">
        <v>18</v>
      </c>
      <c r="AM53">
        <v>7322.4000000000005</v>
      </c>
      <c r="AN53">
        <v>13</v>
      </c>
      <c r="AO53">
        <v>5288.4000000000005</v>
      </c>
      <c r="AP53">
        <v>23</v>
      </c>
      <c r="AQ53">
        <v>9356.4</v>
      </c>
      <c r="AR53">
        <v>12</v>
      </c>
      <c r="AS53">
        <v>4881.6000000000004</v>
      </c>
      <c r="AT53">
        <v>11</v>
      </c>
      <c r="AU53">
        <v>4474.8</v>
      </c>
      <c r="AV53">
        <v>19</v>
      </c>
      <c r="AW53">
        <v>7729.2</v>
      </c>
      <c r="AX53">
        <v>15</v>
      </c>
      <c r="AY53">
        <v>6102</v>
      </c>
      <c r="AZ53">
        <v>13</v>
      </c>
      <c r="BA53">
        <v>5288.4000000000005</v>
      </c>
      <c r="BB53">
        <v>15</v>
      </c>
      <c r="BC53">
        <v>6102</v>
      </c>
      <c r="BD53">
        <v>13</v>
      </c>
      <c r="BE53">
        <v>5288.4000000000005</v>
      </c>
      <c r="BF53">
        <v>18</v>
      </c>
      <c r="BG53">
        <v>7322.4000000000005</v>
      </c>
      <c r="BH53">
        <v>21</v>
      </c>
      <c r="BI53">
        <v>8542.8000000000011</v>
      </c>
      <c r="BJ53">
        <v>22</v>
      </c>
      <c r="BK53">
        <v>8949.6</v>
      </c>
      <c r="BL53">
        <v>16</v>
      </c>
      <c r="BM53">
        <v>6508.8</v>
      </c>
      <c r="BN53">
        <v>18</v>
      </c>
      <c r="BO53">
        <v>7322.4000000000005</v>
      </c>
      <c r="BP53">
        <v>20</v>
      </c>
      <c r="BQ53">
        <v>8136</v>
      </c>
      <c r="BR53">
        <v>22</v>
      </c>
      <c r="BS53">
        <v>8949.6</v>
      </c>
      <c r="BT53">
        <v>18</v>
      </c>
      <c r="BU53">
        <v>7322.4000000000005</v>
      </c>
      <c r="BV53">
        <v>12</v>
      </c>
      <c r="BW53">
        <v>4881.6000000000004</v>
      </c>
      <c r="BX53">
        <v>19</v>
      </c>
      <c r="BY53">
        <v>7729.2</v>
      </c>
      <c r="BZ53">
        <v>21</v>
      </c>
      <c r="CA53">
        <v>8542.8000000000011</v>
      </c>
      <c r="CB53">
        <v>14</v>
      </c>
      <c r="CC53">
        <v>5695.2</v>
      </c>
      <c r="CD53">
        <v>24</v>
      </c>
      <c r="CE53">
        <v>9763.2000000000007</v>
      </c>
      <c r="CF53">
        <v>19</v>
      </c>
      <c r="CG53">
        <v>7729.2</v>
      </c>
      <c r="CH53">
        <v>14</v>
      </c>
      <c r="CI53">
        <v>5695.2</v>
      </c>
      <c r="CJ53">
        <v>24</v>
      </c>
      <c r="CK53">
        <v>9763.2000000000007</v>
      </c>
      <c r="CL53">
        <v>19</v>
      </c>
      <c r="CM53">
        <v>7729.2</v>
      </c>
      <c r="CN53">
        <v>25</v>
      </c>
      <c r="CO53">
        <v>10170</v>
      </c>
      <c r="CP53">
        <v>15</v>
      </c>
      <c r="CQ53">
        <v>6102</v>
      </c>
      <c r="CR53">
        <v>25</v>
      </c>
      <c r="CS53">
        <v>10170</v>
      </c>
      <c r="CT53">
        <v>16</v>
      </c>
      <c r="CU53">
        <v>6508.8</v>
      </c>
    </row>
    <row r="54" spans="2:99" x14ac:dyDescent="0.2">
      <c r="C54" s="119" t="s">
        <v>220</v>
      </c>
      <c r="D54">
        <v>12</v>
      </c>
      <c r="E54">
        <v>4017.6000000000004</v>
      </c>
      <c r="F54">
        <v>22</v>
      </c>
      <c r="G54">
        <v>7365.6</v>
      </c>
      <c r="H54">
        <v>19</v>
      </c>
      <c r="I54">
        <v>6361.2</v>
      </c>
      <c r="J54">
        <v>16</v>
      </c>
      <c r="K54">
        <v>5356.8</v>
      </c>
      <c r="L54">
        <v>14</v>
      </c>
      <c r="M54">
        <v>4687.2</v>
      </c>
      <c r="N54">
        <v>21</v>
      </c>
      <c r="O54">
        <v>7030.8</v>
      </c>
      <c r="P54">
        <v>17</v>
      </c>
      <c r="Q54">
        <v>5691.6</v>
      </c>
      <c r="R54">
        <v>13</v>
      </c>
      <c r="S54">
        <v>4352.4000000000005</v>
      </c>
      <c r="T54">
        <v>18</v>
      </c>
      <c r="U54">
        <v>6026.4000000000005</v>
      </c>
      <c r="V54">
        <v>16</v>
      </c>
      <c r="W54">
        <v>5356.8</v>
      </c>
      <c r="X54">
        <v>18</v>
      </c>
      <c r="Y54">
        <v>6026.4000000000005</v>
      </c>
      <c r="Z54">
        <v>15</v>
      </c>
      <c r="AA54">
        <v>5022</v>
      </c>
      <c r="AB54">
        <v>18</v>
      </c>
      <c r="AC54">
        <v>6026.4000000000005</v>
      </c>
      <c r="AD54">
        <v>16</v>
      </c>
      <c r="AE54">
        <v>5356.8</v>
      </c>
      <c r="AF54">
        <v>16</v>
      </c>
      <c r="AG54">
        <v>5356.8</v>
      </c>
      <c r="AH54">
        <v>16</v>
      </c>
      <c r="AI54">
        <v>5356.8</v>
      </c>
      <c r="AJ54">
        <v>16</v>
      </c>
      <c r="AK54">
        <v>5356.8</v>
      </c>
      <c r="AL54">
        <v>16</v>
      </c>
      <c r="AM54">
        <v>5356.8</v>
      </c>
      <c r="AN54">
        <v>13</v>
      </c>
      <c r="AO54">
        <v>4352.4000000000005</v>
      </c>
      <c r="AP54">
        <v>25</v>
      </c>
      <c r="AQ54">
        <v>8370</v>
      </c>
      <c r="AR54">
        <v>13</v>
      </c>
      <c r="AS54">
        <v>4352.4000000000005</v>
      </c>
      <c r="AT54">
        <v>13</v>
      </c>
      <c r="AU54">
        <v>4352.4000000000005</v>
      </c>
      <c r="AV54">
        <v>19</v>
      </c>
      <c r="AW54">
        <v>6361.2</v>
      </c>
      <c r="AX54">
        <v>16</v>
      </c>
      <c r="AY54">
        <v>5356.8</v>
      </c>
      <c r="AZ54">
        <v>14</v>
      </c>
      <c r="BA54">
        <v>4687.2</v>
      </c>
      <c r="BB54">
        <v>14</v>
      </c>
      <c r="BC54">
        <v>4687.2</v>
      </c>
      <c r="BD54">
        <v>13</v>
      </c>
      <c r="BE54">
        <v>4352.4000000000005</v>
      </c>
      <c r="BF54">
        <v>17</v>
      </c>
      <c r="BG54">
        <v>5691.6</v>
      </c>
      <c r="BH54">
        <v>22</v>
      </c>
      <c r="BI54">
        <v>7365.6</v>
      </c>
      <c r="BJ54">
        <v>24</v>
      </c>
      <c r="BK54">
        <v>8035.2000000000007</v>
      </c>
      <c r="BL54">
        <v>16</v>
      </c>
      <c r="BM54">
        <v>5356.8</v>
      </c>
      <c r="BN54">
        <v>19</v>
      </c>
      <c r="BO54">
        <v>6361.2</v>
      </c>
      <c r="BP54">
        <v>24</v>
      </c>
      <c r="BQ54">
        <v>8035.2000000000007</v>
      </c>
      <c r="BR54">
        <v>22</v>
      </c>
      <c r="BS54">
        <v>7365.6</v>
      </c>
      <c r="BT54">
        <v>18</v>
      </c>
      <c r="BU54">
        <v>6026.4000000000005</v>
      </c>
      <c r="BV54">
        <v>14</v>
      </c>
      <c r="BW54">
        <v>4687.2</v>
      </c>
      <c r="BX54">
        <v>20</v>
      </c>
      <c r="BY54">
        <v>6696</v>
      </c>
      <c r="BZ54">
        <v>19</v>
      </c>
      <c r="CA54">
        <v>6361.2</v>
      </c>
      <c r="CB54">
        <v>14</v>
      </c>
      <c r="CC54">
        <v>4687.2</v>
      </c>
      <c r="CD54">
        <v>20</v>
      </c>
      <c r="CE54">
        <v>6696</v>
      </c>
      <c r="CF54">
        <v>21</v>
      </c>
      <c r="CG54">
        <v>7030.8</v>
      </c>
      <c r="CH54">
        <v>14</v>
      </c>
      <c r="CI54">
        <v>4687.2</v>
      </c>
      <c r="CJ54">
        <v>20</v>
      </c>
      <c r="CK54">
        <v>6696</v>
      </c>
      <c r="CL54">
        <v>21</v>
      </c>
      <c r="CM54">
        <v>7030.8</v>
      </c>
      <c r="CN54">
        <v>26</v>
      </c>
      <c r="CO54">
        <v>8704.8000000000011</v>
      </c>
      <c r="CP54">
        <v>16</v>
      </c>
      <c r="CQ54">
        <v>5356.8</v>
      </c>
      <c r="CR54">
        <v>25</v>
      </c>
      <c r="CS54">
        <v>8370</v>
      </c>
      <c r="CT54">
        <v>15</v>
      </c>
      <c r="CU54">
        <v>5022</v>
      </c>
    </row>
    <row r="55" spans="2:99" x14ac:dyDescent="0.2">
      <c r="C55" s="119" t="s">
        <v>221</v>
      </c>
      <c r="D55">
        <v>13</v>
      </c>
      <c r="E55">
        <v>8626.8000000000011</v>
      </c>
      <c r="F55">
        <v>22</v>
      </c>
      <c r="G55">
        <v>14599.2</v>
      </c>
      <c r="H55">
        <v>21</v>
      </c>
      <c r="I55">
        <v>13935.6</v>
      </c>
      <c r="J55">
        <v>15</v>
      </c>
      <c r="K55">
        <v>9954</v>
      </c>
      <c r="L55">
        <v>15</v>
      </c>
      <c r="M55">
        <v>9954</v>
      </c>
      <c r="N55">
        <v>20</v>
      </c>
      <c r="O55">
        <v>13272</v>
      </c>
      <c r="P55">
        <v>16</v>
      </c>
      <c r="Q55">
        <v>10617.6</v>
      </c>
      <c r="R55">
        <v>14</v>
      </c>
      <c r="S55">
        <v>9290.4</v>
      </c>
      <c r="T55">
        <v>20</v>
      </c>
      <c r="U55">
        <v>13272</v>
      </c>
      <c r="V55">
        <v>16</v>
      </c>
      <c r="W55">
        <v>10617.6</v>
      </c>
      <c r="X55">
        <v>16</v>
      </c>
      <c r="Y55">
        <v>10617.6</v>
      </c>
      <c r="Z55">
        <v>15</v>
      </c>
      <c r="AA55">
        <v>9954</v>
      </c>
      <c r="AB55">
        <v>15</v>
      </c>
      <c r="AC55">
        <v>9954</v>
      </c>
      <c r="AD55">
        <v>15</v>
      </c>
      <c r="AE55">
        <v>9954</v>
      </c>
      <c r="AF55">
        <v>16</v>
      </c>
      <c r="AG55">
        <v>10617.6</v>
      </c>
      <c r="AH55">
        <v>15</v>
      </c>
      <c r="AI55">
        <v>9954</v>
      </c>
      <c r="AJ55">
        <v>18</v>
      </c>
      <c r="AK55">
        <v>11944.800000000001</v>
      </c>
      <c r="AL55">
        <v>15</v>
      </c>
      <c r="AM55">
        <v>9954</v>
      </c>
      <c r="AN55">
        <v>14</v>
      </c>
      <c r="AO55">
        <v>9290.4</v>
      </c>
      <c r="AP55">
        <v>24</v>
      </c>
      <c r="AQ55">
        <v>15926.400000000001</v>
      </c>
      <c r="AR55">
        <v>11</v>
      </c>
      <c r="AS55">
        <v>7299.6</v>
      </c>
      <c r="AT55">
        <v>11</v>
      </c>
      <c r="AU55">
        <v>7299.6</v>
      </c>
      <c r="AV55">
        <v>19</v>
      </c>
      <c r="AW55">
        <v>12608.4</v>
      </c>
      <c r="AX55">
        <v>15</v>
      </c>
      <c r="AY55">
        <v>9954</v>
      </c>
      <c r="AZ55">
        <v>14</v>
      </c>
      <c r="BA55">
        <v>9290.4</v>
      </c>
      <c r="BB55">
        <v>15</v>
      </c>
      <c r="BC55">
        <v>9954</v>
      </c>
      <c r="BD55">
        <v>13</v>
      </c>
      <c r="BE55">
        <v>8626.8000000000011</v>
      </c>
      <c r="BF55">
        <v>17</v>
      </c>
      <c r="BG55">
        <v>11281.2</v>
      </c>
      <c r="BH55">
        <v>19</v>
      </c>
      <c r="BI55">
        <v>12608.4</v>
      </c>
      <c r="BJ55">
        <v>24</v>
      </c>
      <c r="BK55">
        <v>15926.400000000001</v>
      </c>
      <c r="BL55">
        <v>17</v>
      </c>
      <c r="BM55">
        <v>11281.2</v>
      </c>
      <c r="BN55">
        <v>17</v>
      </c>
      <c r="BO55">
        <v>11281.2</v>
      </c>
      <c r="BP55">
        <v>22</v>
      </c>
      <c r="BQ55">
        <v>14599.2</v>
      </c>
      <c r="BR55">
        <v>20</v>
      </c>
      <c r="BS55">
        <v>13272</v>
      </c>
      <c r="BT55">
        <v>18</v>
      </c>
      <c r="BU55">
        <v>11944.800000000001</v>
      </c>
      <c r="BV55">
        <v>12</v>
      </c>
      <c r="BW55">
        <v>7963.2000000000007</v>
      </c>
      <c r="BX55">
        <v>18</v>
      </c>
      <c r="BY55">
        <v>11944.800000000001</v>
      </c>
      <c r="BZ55">
        <v>20</v>
      </c>
      <c r="CA55">
        <v>13272</v>
      </c>
      <c r="CB55">
        <v>14</v>
      </c>
      <c r="CC55">
        <v>9290.4</v>
      </c>
      <c r="CD55">
        <v>19</v>
      </c>
      <c r="CE55">
        <v>12608.4</v>
      </c>
      <c r="CF55">
        <v>21</v>
      </c>
      <c r="CG55">
        <v>13935.6</v>
      </c>
      <c r="CH55">
        <v>11</v>
      </c>
      <c r="CI55">
        <v>7299.6</v>
      </c>
      <c r="CJ55">
        <v>22</v>
      </c>
      <c r="CK55">
        <v>14599.2</v>
      </c>
      <c r="CL55">
        <v>21</v>
      </c>
      <c r="CM55">
        <v>13935.6</v>
      </c>
      <c r="CN55">
        <v>22</v>
      </c>
      <c r="CO55">
        <v>14599.2</v>
      </c>
      <c r="CP55">
        <v>15</v>
      </c>
      <c r="CQ55">
        <v>9954</v>
      </c>
      <c r="CR55">
        <v>23</v>
      </c>
      <c r="CS55">
        <v>15262.800000000001</v>
      </c>
      <c r="CT55">
        <v>17</v>
      </c>
      <c r="CU55">
        <v>11281.2</v>
      </c>
    </row>
    <row r="56" spans="2:99" x14ac:dyDescent="0.2">
      <c r="C56" s="119" t="s">
        <v>222</v>
      </c>
      <c r="D56">
        <v>13</v>
      </c>
      <c r="E56">
        <v>14960.4</v>
      </c>
      <c r="F56">
        <v>21</v>
      </c>
      <c r="G56">
        <v>24166.799999999999</v>
      </c>
      <c r="H56">
        <v>17</v>
      </c>
      <c r="I56">
        <v>19563.599999999999</v>
      </c>
      <c r="J56">
        <v>15</v>
      </c>
      <c r="K56">
        <v>17262</v>
      </c>
      <c r="L56">
        <v>14</v>
      </c>
      <c r="M56">
        <v>16111.199999999999</v>
      </c>
      <c r="N56">
        <v>20</v>
      </c>
      <c r="O56">
        <v>23016</v>
      </c>
      <c r="P56">
        <v>14</v>
      </c>
      <c r="Q56">
        <v>16111.199999999999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</row>
    <row r="57" spans="2:99" x14ac:dyDescent="0.2">
      <c r="C57" s="119" t="s">
        <v>223</v>
      </c>
      <c r="D57">
        <v>12</v>
      </c>
      <c r="E57">
        <v>16934.400000000001</v>
      </c>
      <c r="F57">
        <v>19</v>
      </c>
      <c r="G57">
        <v>26812.799999999999</v>
      </c>
      <c r="H57">
        <v>18</v>
      </c>
      <c r="I57">
        <v>25401.600000000002</v>
      </c>
      <c r="J57">
        <v>14</v>
      </c>
      <c r="K57">
        <v>19756.8</v>
      </c>
      <c r="L57">
        <v>13</v>
      </c>
      <c r="M57">
        <v>18345.600000000002</v>
      </c>
      <c r="N57">
        <v>18</v>
      </c>
      <c r="O57">
        <v>25401.600000000002</v>
      </c>
      <c r="P57">
        <v>13</v>
      </c>
      <c r="Q57">
        <v>18345.600000000002</v>
      </c>
      <c r="R57">
        <v>13</v>
      </c>
      <c r="S57">
        <v>18345.600000000002</v>
      </c>
      <c r="T57">
        <v>19</v>
      </c>
      <c r="U57">
        <v>26812.799999999999</v>
      </c>
      <c r="V57">
        <v>13</v>
      </c>
      <c r="W57">
        <v>18345.600000000002</v>
      </c>
      <c r="X57">
        <v>14</v>
      </c>
      <c r="Y57">
        <v>19756.8</v>
      </c>
      <c r="Z57">
        <v>16</v>
      </c>
      <c r="AA57">
        <v>22579.200000000001</v>
      </c>
      <c r="AB57">
        <v>14</v>
      </c>
      <c r="AC57">
        <v>19756.8</v>
      </c>
      <c r="AD57">
        <v>14</v>
      </c>
      <c r="AE57">
        <v>19756.8</v>
      </c>
      <c r="AF57">
        <v>13</v>
      </c>
      <c r="AG57">
        <v>18345.600000000002</v>
      </c>
      <c r="AH57">
        <v>14</v>
      </c>
      <c r="AI57">
        <v>19756.8</v>
      </c>
      <c r="AJ57">
        <v>16</v>
      </c>
      <c r="AK57">
        <v>22579.200000000001</v>
      </c>
      <c r="AL57">
        <v>14</v>
      </c>
      <c r="AM57">
        <v>19756.8</v>
      </c>
      <c r="AN57">
        <v>11</v>
      </c>
      <c r="AO57">
        <v>15523.2</v>
      </c>
      <c r="AP57">
        <v>23</v>
      </c>
      <c r="AQ57">
        <v>32457.600000000002</v>
      </c>
      <c r="AR57">
        <v>11</v>
      </c>
      <c r="AS57">
        <v>15523.2</v>
      </c>
      <c r="AT57">
        <v>11</v>
      </c>
      <c r="AU57">
        <v>15523.2</v>
      </c>
      <c r="AV57">
        <v>17</v>
      </c>
      <c r="AW57">
        <v>23990.400000000001</v>
      </c>
      <c r="AX57">
        <v>14</v>
      </c>
      <c r="AY57">
        <v>19756.8</v>
      </c>
      <c r="AZ57">
        <v>12</v>
      </c>
      <c r="BA57">
        <v>16934.400000000001</v>
      </c>
      <c r="BB57">
        <v>14</v>
      </c>
      <c r="BC57">
        <v>19756.8</v>
      </c>
      <c r="BD57">
        <v>11</v>
      </c>
      <c r="BE57">
        <v>15523.2</v>
      </c>
      <c r="BF57">
        <v>16</v>
      </c>
      <c r="BG57">
        <v>22579.200000000001</v>
      </c>
      <c r="BH57">
        <v>19</v>
      </c>
      <c r="BI57">
        <v>26812.799999999999</v>
      </c>
      <c r="BJ57">
        <v>19</v>
      </c>
      <c r="BK57">
        <v>26812.799999999999</v>
      </c>
      <c r="BL57">
        <v>16</v>
      </c>
      <c r="BM57">
        <v>22579.200000000001</v>
      </c>
      <c r="BN57">
        <v>17</v>
      </c>
      <c r="BO57">
        <v>23990.400000000001</v>
      </c>
      <c r="BP57">
        <v>19</v>
      </c>
      <c r="BQ57">
        <v>26812.799999999999</v>
      </c>
      <c r="BR57">
        <v>21</v>
      </c>
      <c r="BS57">
        <v>29635.200000000001</v>
      </c>
      <c r="BT57">
        <v>18</v>
      </c>
      <c r="BU57">
        <v>25401.600000000002</v>
      </c>
      <c r="BV57">
        <v>11</v>
      </c>
      <c r="BW57">
        <v>15523.2</v>
      </c>
      <c r="BX57">
        <v>16</v>
      </c>
      <c r="BY57">
        <v>22579.200000000001</v>
      </c>
      <c r="BZ57">
        <v>20</v>
      </c>
      <c r="CA57">
        <v>28224</v>
      </c>
      <c r="CB57">
        <v>13</v>
      </c>
      <c r="CC57">
        <v>18345.600000000002</v>
      </c>
      <c r="CD57">
        <v>19</v>
      </c>
      <c r="CE57">
        <v>26812.799999999999</v>
      </c>
      <c r="CF57">
        <v>17</v>
      </c>
      <c r="CG57">
        <v>23990.400000000001</v>
      </c>
      <c r="CH57">
        <v>10</v>
      </c>
      <c r="CI57">
        <v>14112</v>
      </c>
      <c r="CJ57">
        <v>18</v>
      </c>
      <c r="CK57">
        <v>25401.600000000002</v>
      </c>
      <c r="CL57">
        <v>20</v>
      </c>
      <c r="CM57">
        <v>28224</v>
      </c>
      <c r="CN57">
        <v>20</v>
      </c>
      <c r="CO57">
        <v>28224</v>
      </c>
      <c r="CP57">
        <v>14</v>
      </c>
      <c r="CQ57">
        <v>19756.8</v>
      </c>
      <c r="CR57">
        <v>22</v>
      </c>
      <c r="CS57">
        <v>31046.400000000001</v>
      </c>
      <c r="CT57">
        <v>15</v>
      </c>
      <c r="CU57">
        <v>21168</v>
      </c>
    </row>
    <row r="58" spans="2:99" x14ac:dyDescent="0.2">
      <c r="C58" s="119" t="s">
        <v>224</v>
      </c>
      <c r="D58">
        <v>11</v>
      </c>
      <c r="E58">
        <v>12949.2</v>
      </c>
      <c r="F58">
        <v>19</v>
      </c>
      <c r="G58">
        <v>22366.799999999999</v>
      </c>
      <c r="H58">
        <v>17</v>
      </c>
      <c r="I58">
        <v>20012.400000000001</v>
      </c>
      <c r="J58">
        <v>14</v>
      </c>
      <c r="K58">
        <v>16480.8</v>
      </c>
      <c r="L58">
        <v>14</v>
      </c>
      <c r="M58">
        <v>16480.8</v>
      </c>
      <c r="N58">
        <v>22</v>
      </c>
      <c r="O58">
        <v>25898.400000000001</v>
      </c>
      <c r="P58">
        <v>14</v>
      </c>
      <c r="Q58">
        <v>16480.8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</row>
    <row r="59" spans="2:99" x14ac:dyDescent="0.2">
      <c r="C59" s="119" t="s">
        <v>225</v>
      </c>
      <c r="D59">
        <v>12</v>
      </c>
      <c r="E59">
        <v>3643.2</v>
      </c>
      <c r="F59">
        <v>24</v>
      </c>
      <c r="G59">
        <v>7286.4</v>
      </c>
      <c r="H59">
        <v>18</v>
      </c>
      <c r="I59">
        <v>5464.7999999999993</v>
      </c>
      <c r="J59">
        <v>16</v>
      </c>
      <c r="K59">
        <v>4857.5999999999995</v>
      </c>
      <c r="L59">
        <v>16</v>
      </c>
      <c r="M59">
        <v>4857.5999999999995</v>
      </c>
      <c r="N59">
        <v>21</v>
      </c>
      <c r="O59">
        <v>6375.5999999999995</v>
      </c>
      <c r="P59">
        <v>17</v>
      </c>
      <c r="Q59">
        <v>5161.2</v>
      </c>
      <c r="R59">
        <v>14</v>
      </c>
      <c r="S59">
        <v>4250.3999999999996</v>
      </c>
      <c r="T59">
        <v>20</v>
      </c>
      <c r="U59">
        <v>6071.9999999999991</v>
      </c>
      <c r="V59">
        <v>15</v>
      </c>
      <c r="W59">
        <v>4553.9999999999991</v>
      </c>
      <c r="X59">
        <v>16</v>
      </c>
      <c r="Y59">
        <v>4857.5999999999995</v>
      </c>
      <c r="Z59">
        <v>16</v>
      </c>
      <c r="AA59">
        <v>4857.5999999999995</v>
      </c>
      <c r="AB59">
        <v>15</v>
      </c>
      <c r="AC59">
        <v>4553.9999999999991</v>
      </c>
      <c r="AD59">
        <v>16</v>
      </c>
      <c r="AE59">
        <v>4857.5999999999995</v>
      </c>
      <c r="AF59">
        <v>16</v>
      </c>
      <c r="AG59">
        <v>4857.5999999999995</v>
      </c>
      <c r="AH59">
        <v>17</v>
      </c>
      <c r="AI59">
        <v>5161.2</v>
      </c>
      <c r="AJ59">
        <v>19</v>
      </c>
      <c r="AK59">
        <v>5768.4</v>
      </c>
      <c r="AL59">
        <v>17</v>
      </c>
      <c r="AM59">
        <v>5161.2</v>
      </c>
      <c r="AN59">
        <v>15</v>
      </c>
      <c r="AO59">
        <v>4553.9999999999991</v>
      </c>
      <c r="AP59">
        <v>23</v>
      </c>
      <c r="AQ59">
        <v>6982.7999999999993</v>
      </c>
      <c r="AR59">
        <v>14</v>
      </c>
      <c r="AS59">
        <v>4250.3999999999996</v>
      </c>
      <c r="AT59">
        <v>11</v>
      </c>
      <c r="AU59">
        <v>3339.5999999999995</v>
      </c>
      <c r="AV59">
        <v>20</v>
      </c>
      <c r="AW59">
        <v>6071.9999999999991</v>
      </c>
      <c r="AX59">
        <v>15</v>
      </c>
      <c r="AY59">
        <v>4553.9999999999991</v>
      </c>
      <c r="AZ59">
        <v>15</v>
      </c>
      <c r="BA59">
        <v>4553.9999999999991</v>
      </c>
      <c r="BB59">
        <v>16</v>
      </c>
      <c r="BC59">
        <v>4857.5999999999995</v>
      </c>
      <c r="BD59">
        <v>13</v>
      </c>
      <c r="BE59">
        <v>3946.7999999999997</v>
      </c>
      <c r="BF59">
        <v>17</v>
      </c>
      <c r="BG59">
        <v>5161.2</v>
      </c>
      <c r="BH59">
        <v>23</v>
      </c>
      <c r="BI59">
        <v>6982.7999999999993</v>
      </c>
      <c r="BJ59">
        <v>22</v>
      </c>
      <c r="BK59">
        <v>6679.1999999999989</v>
      </c>
      <c r="BL59">
        <v>16</v>
      </c>
      <c r="BM59">
        <v>4857.5999999999995</v>
      </c>
      <c r="BN59">
        <v>20</v>
      </c>
      <c r="BO59">
        <v>6071.9999999999991</v>
      </c>
      <c r="BP59">
        <v>23</v>
      </c>
      <c r="BQ59">
        <v>6982.7999999999993</v>
      </c>
      <c r="BR59">
        <v>24</v>
      </c>
      <c r="BS59">
        <v>7286.4</v>
      </c>
      <c r="BT59">
        <v>19</v>
      </c>
      <c r="BU59">
        <v>5768.4</v>
      </c>
      <c r="BV59">
        <v>12</v>
      </c>
      <c r="BW59">
        <v>3643.2</v>
      </c>
      <c r="BX59">
        <v>19</v>
      </c>
      <c r="BY59">
        <v>5768.4</v>
      </c>
      <c r="BZ59">
        <v>20</v>
      </c>
      <c r="CA59">
        <v>6071.9999999999991</v>
      </c>
      <c r="CB59">
        <v>15</v>
      </c>
      <c r="CC59">
        <v>4553.9999999999991</v>
      </c>
      <c r="CD59">
        <v>24</v>
      </c>
      <c r="CE59">
        <v>7286.4</v>
      </c>
      <c r="CF59">
        <v>19</v>
      </c>
      <c r="CG59">
        <v>5768.4</v>
      </c>
      <c r="CH59">
        <v>12</v>
      </c>
      <c r="CI59">
        <v>3643.2</v>
      </c>
      <c r="CJ59">
        <v>21</v>
      </c>
      <c r="CK59">
        <v>6375.5999999999995</v>
      </c>
      <c r="CL59">
        <v>21</v>
      </c>
      <c r="CM59">
        <v>6375.5999999999995</v>
      </c>
      <c r="CN59">
        <v>24</v>
      </c>
      <c r="CO59">
        <v>7286.4</v>
      </c>
      <c r="CP59">
        <v>17</v>
      </c>
      <c r="CQ59">
        <v>5161.2</v>
      </c>
      <c r="CR59">
        <v>21</v>
      </c>
      <c r="CS59">
        <v>6375.5999999999995</v>
      </c>
      <c r="CT59">
        <v>16</v>
      </c>
      <c r="CU59">
        <v>4857.5999999999995</v>
      </c>
    </row>
    <row r="60" spans="2:99" x14ac:dyDescent="0.2">
      <c r="C60" s="119" t="s">
        <v>226</v>
      </c>
      <c r="D60">
        <v>14</v>
      </c>
      <c r="E60">
        <v>9122.4</v>
      </c>
      <c r="F60">
        <v>22</v>
      </c>
      <c r="G60">
        <v>14335.2</v>
      </c>
      <c r="H60">
        <v>17</v>
      </c>
      <c r="I60">
        <v>11077.2</v>
      </c>
      <c r="J60">
        <v>15</v>
      </c>
      <c r="K60">
        <v>9774</v>
      </c>
      <c r="L60">
        <v>15</v>
      </c>
      <c r="M60">
        <v>9774</v>
      </c>
      <c r="N60">
        <v>21</v>
      </c>
      <c r="O60">
        <v>13683.6</v>
      </c>
      <c r="P60">
        <v>14</v>
      </c>
      <c r="Q60">
        <v>9122.4</v>
      </c>
      <c r="R60">
        <v>13</v>
      </c>
      <c r="S60">
        <v>8470.8000000000011</v>
      </c>
      <c r="T60">
        <v>19</v>
      </c>
      <c r="U60">
        <v>12380.4</v>
      </c>
      <c r="V60">
        <v>15</v>
      </c>
      <c r="W60">
        <v>9774</v>
      </c>
      <c r="X60">
        <v>17</v>
      </c>
      <c r="Y60">
        <v>11077.2</v>
      </c>
      <c r="Z60">
        <v>17</v>
      </c>
      <c r="AA60">
        <v>11077.2</v>
      </c>
      <c r="AB60">
        <v>16</v>
      </c>
      <c r="AC60">
        <v>10425.6</v>
      </c>
      <c r="AD60">
        <v>14</v>
      </c>
      <c r="AE60">
        <v>9122.4</v>
      </c>
      <c r="AF60">
        <v>15</v>
      </c>
      <c r="AG60">
        <v>9774</v>
      </c>
      <c r="AH60">
        <v>14</v>
      </c>
      <c r="AI60">
        <v>9122.4</v>
      </c>
      <c r="AJ60">
        <v>17</v>
      </c>
      <c r="AK60">
        <v>11077.2</v>
      </c>
      <c r="AL60">
        <v>16</v>
      </c>
      <c r="AM60">
        <v>10425.6</v>
      </c>
      <c r="AN60">
        <v>14</v>
      </c>
      <c r="AO60">
        <v>9122.4</v>
      </c>
      <c r="AP60">
        <v>24</v>
      </c>
      <c r="AQ60">
        <v>15638.400000000001</v>
      </c>
      <c r="AR60">
        <v>12</v>
      </c>
      <c r="AS60">
        <v>7819.2000000000007</v>
      </c>
      <c r="AT60">
        <v>11</v>
      </c>
      <c r="AU60">
        <v>7167.6</v>
      </c>
      <c r="AV60">
        <v>19</v>
      </c>
      <c r="AW60">
        <v>12380.4</v>
      </c>
      <c r="AX60">
        <v>15</v>
      </c>
      <c r="AY60">
        <v>9774</v>
      </c>
      <c r="AZ60">
        <v>15</v>
      </c>
      <c r="BA60">
        <v>9774</v>
      </c>
      <c r="BB60">
        <v>13</v>
      </c>
      <c r="BC60">
        <v>8470.8000000000011</v>
      </c>
      <c r="BD60">
        <v>14</v>
      </c>
      <c r="BE60">
        <v>9122.4</v>
      </c>
      <c r="BF60">
        <v>17</v>
      </c>
      <c r="BG60">
        <v>11077.2</v>
      </c>
      <c r="BH60">
        <v>21</v>
      </c>
      <c r="BI60">
        <v>13683.6</v>
      </c>
      <c r="BJ60">
        <v>24</v>
      </c>
      <c r="BK60">
        <v>15638.400000000001</v>
      </c>
      <c r="BL60">
        <v>17</v>
      </c>
      <c r="BM60">
        <v>11077.2</v>
      </c>
      <c r="BN60">
        <v>19</v>
      </c>
      <c r="BO60">
        <v>12380.4</v>
      </c>
      <c r="BP60">
        <v>21</v>
      </c>
      <c r="BQ60">
        <v>13683.6</v>
      </c>
      <c r="BR60">
        <v>22</v>
      </c>
      <c r="BS60">
        <v>14335.2</v>
      </c>
      <c r="BT60">
        <v>19</v>
      </c>
      <c r="BU60">
        <v>12380.4</v>
      </c>
      <c r="BV60">
        <v>13</v>
      </c>
      <c r="BW60">
        <v>8470.8000000000011</v>
      </c>
      <c r="BX60">
        <v>18</v>
      </c>
      <c r="BY60">
        <v>11728.800000000001</v>
      </c>
      <c r="BZ60">
        <v>22</v>
      </c>
      <c r="CA60">
        <v>14335.2</v>
      </c>
      <c r="CB60">
        <v>13</v>
      </c>
      <c r="CC60">
        <v>8470.8000000000011</v>
      </c>
      <c r="CD60">
        <v>19</v>
      </c>
      <c r="CE60">
        <v>12380.4</v>
      </c>
      <c r="CF60">
        <v>19</v>
      </c>
      <c r="CG60">
        <v>12380.4</v>
      </c>
      <c r="CH60">
        <v>12</v>
      </c>
      <c r="CI60">
        <v>7819.2000000000007</v>
      </c>
      <c r="CJ60">
        <v>22</v>
      </c>
      <c r="CK60">
        <v>14335.2</v>
      </c>
      <c r="CL60">
        <v>19</v>
      </c>
      <c r="CM60">
        <v>12380.4</v>
      </c>
      <c r="CN60">
        <v>25</v>
      </c>
      <c r="CO60">
        <v>16290</v>
      </c>
      <c r="CP60">
        <v>17</v>
      </c>
      <c r="CQ60">
        <v>11077.2</v>
      </c>
      <c r="CR60">
        <v>22</v>
      </c>
      <c r="CS60">
        <v>14335.2</v>
      </c>
      <c r="CT60">
        <v>17</v>
      </c>
      <c r="CU60">
        <v>11077.2</v>
      </c>
    </row>
    <row r="61" spans="2:99" x14ac:dyDescent="0.2">
      <c r="C61" s="119" t="s">
        <v>227</v>
      </c>
      <c r="D61">
        <v>13</v>
      </c>
      <c r="E61">
        <v>12370.8</v>
      </c>
      <c r="F61">
        <v>19</v>
      </c>
      <c r="G61">
        <v>18080.399999999998</v>
      </c>
      <c r="H61">
        <v>17</v>
      </c>
      <c r="I61">
        <v>16177.199999999999</v>
      </c>
      <c r="J61">
        <v>16</v>
      </c>
      <c r="K61">
        <v>15225.599999999999</v>
      </c>
      <c r="L61">
        <v>15</v>
      </c>
      <c r="M61">
        <v>14273.999999999998</v>
      </c>
      <c r="N61">
        <v>20</v>
      </c>
      <c r="O61">
        <v>19032</v>
      </c>
      <c r="P61">
        <v>16</v>
      </c>
      <c r="Q61">
        <v>15225.599999999999</v>
      </c>
      <c r="R61">
        <v>13</v>
      </c>
      <c r="S61">
        <v>12370.8</v>
      </c>
      <c r="T61">
        <v>18</v>
      </c>
      <c r="U61">
        <v>17128.8</v>
      </c>
      <c r="V61">
        <v>13</v>
      </c>
      <c r="W61">
        <v>12370.8</v>
      </c>
      <c r="X61">
        <v>16</v>
      </c>
      <c r="Y61">
        <v>15225.599999999999</v>
      </c>
      <c r="Z61">
        <v>15</v>
      </c>
      <c r="AA61">
        <v>14273.999999999998</v>
      </c>
      <c r="AB61">
        <v>15</v>
      </c>
      <c r="AC61">
        <v>14273.999999999998</v>
      </c>
      <c r="AD61">
        <v>16</v>
      </c>
      <c r="AE61">
        <v>15225.599999999999</v>
      </c>
      <c r="AF61">
        <v>14</v>
      </c>
      <c r="AG61">
        <v>13322.399999999998</v>
      </c>
      <c r="AH61">
        <v>13</v>
      </c>
      <c r="AI61">
        <v>12370.8</v>
      </c>
      <c r="AJ61">
        <v>16</v>
      </c>
      <c r="AK61">
        <v>15225.599999999999</v>
      </c>
      <c r="AL61">
        <v>15</v>
      </c>
      <c r="AM61">
        <v>14273.999999999998</v>
      </c>
      <c r="AN61">
        <v>12</v>
      </c>
      <c r="AO61">
        <v>11419.199999999999</v>
      </c>
      <c r="AP61">
        <v>25</v>
      </c>
      <c r="AQ61">
        <v>23789.999999999996</v>
      </c>
      <c r="AR61">
        <v>12</v>
      </c>
      <c r="AS61">
        <v>11419.199999999999</v>
      </c>
      <c r="AT61">
        <v>10</v>
      </c>
      <c r="AU61">
        <v>9516</v>
      </c>
      <c r="AV61">
        <v>17</v>
      </c>
      <c r="AW61">
        <v>16177.199999999999</v>
      </c>
      <c r="AX61">
        <v>14</v>
      </c>
      <c r="AY61">
        <v>13322.399999999998</v>
      </c>
      <c r="AZ61">
        <v>14</v>
      </c>
      <c r="BA61">
        <v>13322.399999999998</v>
      </c>
      <c r="BB61">
        <v>14</v>
      </c>
      <c r="BC61">
        <v>13322.399999999998</v>
      </c>
      <c r="BD61">
        <v>14</v>
      </c>
      <c r="BE61">
        <v>13322.399999999998</v>
      </c>
      <c r="BF61">
        <v>16</v>
      </c>
      <c r="BG61">
        <v>15225.599999999999</v>
      </c>
      <c r="BH61">
        <v>21</v>
      </c>
      <c r="BI61">
        <v>19983.599999999999</v>
      </c>
      <c r="BJ61">
        <v>21</v>
      </c>
      <c r="BK61">
        <v>19983.599999999999</v>
      </c>
      <c r="BL61">
        <v>15</v>
      </c>
      <c r="BM61">
        <v>14273.999999999998</v>
      </c>
      <c r="BN61">
        <v>17</v>
      </c>
      <c r="BO61">
        <v>16177.199999999999</v>
      </c>
      <c r="BP61">
        <v>23</v>
      </c>
      <c r="BQ61">
        <v>21886.799999999999</v>
      </c>
      <c r="BR61">
        <v>22</v>
      </c>
      <c r="BS61">
        <v>20935.199999999997</v>
      </c>
      <c r="BT61">
        <v>16</v>
      </c>
      <c r="BU61">
        <v>15225.599999999999</v>
      </c>
      <c r="BV61">
        <v>13</v>
      </c>
      <c r="BW61">
        <v>12370.8</v>
      </c>
      <c r="BX61">
        <v>17</v>
      </c>
      <c r="BY61">
        <v>16177.199999999999</v>
      </c>
      <c r="BZ61">
        <v>20</v>
      </c>
      <c r="CA61">
        <v>19032</v>
      </c>
      <c r="CB61">
        <v>13</v>
      </c>
      <c r="CC61">
        <v>12370.8</v>
      </c>
      <c r="CD61">
        <v>22</v>
      </c>
      <c r="CE61">
        <v>20935.199999999997</v>
      </c>
      <c r="CF61">
        <v>21</v>
      </c>
      <c r="CG61">
        <v>19983.599999999999</v>
      </c>
      <c r="CH61">
        <v>12</v>
      </c>
      <c r="CI61">
        <v>11419.199999999999</v>
      </c>
      <c r="CJ61">
        <v>22</v>
      </c>
      <c r="CK61">
        <v>20935.199999999997</v>
      </c>
      <c r="CL61">
        <v>20</v>
      </c>
      <c r="CM61">
        <v>19032</v>
      </c>
      <c r="CN61">
        <v>21</v>
      </c>
      <c r="CO61">
        <v>19983.599999999999</v>
      </c>
      <c r="CP61">
        <v>15</v>
      </c>
      <c r="CQ61">
        <v>14273.999999999998</v>
      </c>
      <c r="CR61">
        <v>21</v>
      </c>
      <c r="CS61">
        <v>19983.599999999999</v>
      </c>
      <c r="CT61">
        <v>16</v>
      </c>
      <c r="CU61">
        <v>15225.599999999999</v>
      </c>
    </row>
    <row r="62" spans="2:99" x14ac:dyDescent="0.2">
      <c r="C62" s="119" t="s">
        <v>228</v>
      </c>
      <c r="D62">
        <v>12</v>
      </c>
      <c r="E62">
        <v>20462.400000000001</v>
      </c>
      <c r="F62">
        <v>18</v>
      </c>
      <c r="G62">
        <v>30693.600000000002</v>
      </c>
      <c r="H62">
        <v>18</v>
      </c>
      <c r="I62">
        <v>30693.600000000002</v>
      </c>
      <c r="J62">
        <v>15</v>
      </c>
      <c r="K62">
        <v>25578</v>
      </c>
      <c r="L62">
        <v>13</v>
      </c>
      <c r="M62">
        <v>22167.600000000002</v>
      </c>
      <c r="N62">
        <v>20</v>
      </c>
      <c r="O62">
        <v>34104</v>
      </c>
      <c r="P62">
        <v>14</v>
      </c>
      <c r="Q62">
        <v>23872.799999999999</v>
      </c>
      <c r="R62">
        <v>11</v>
      </c>
      <c r="S62">
        <v>18757.2</v>
      </c>
      <c r="T62">
        <v>17</v>
      </c>
      <c r="U62">
        <v>28988.400000000001</v>
      </c>
      <c r="V62">
        <v>12</v>
      </c>
      <c r="W62">
        <v>20462.400000000001</v>
      </c>
      <c r="X62">
        <v>15</v>
      </c>
      <c r="Y62">
        <v>25578</v>
      </c>
      <c r="Z62">
        <v>16</v>
      </c>
      <c r="AA62">
        <v>27283.200000000001</v>
      </c>
      <c r="AB62">
        <v>13</v>
      </c>
      <c r="AC62">
        <v>22167.600000000002</v>
      </c>
      <c r="AD62">
        <v>12</v>
      </c>
      <c r="AE62">
        <v>20462.400000000001</v>
      </c>
      <c r="AF62">
        <v>12</v>
      </c>
      <c r="AG62">
        <v>20462.400000000001</v>
      </c>
      <c r="AH62">
        <v>13</v>
      </c>
      <c r="AI62">
        <v>22167.600000000002</v>
      </c>
      <c r="AJ62">
        <v>14</v>
      </c>
      <c r="AK62">
        <v>23872.799999999999</v>
      </c>
      <c r="AL62">
        <v>15</v>
      </c>
      <c r="AM62">
        <v>25578</v>
      </c>
      <c r="AN62">
        <v>12</v>
      </c>
      <c r="AO62">
        <v>20462.400000000001</v>
      </c>
      <c r="AP62">
        <v>21</v>
      </c>
      <c r="AQ62">
        <v>35809.200000000004</v>
      </c>
      <c r="AR62">
        <v>10</v>
      </c>
      <c r="AS62">
        <v>17052</v>
      </c>
      <c r="AT62">
        <v>11</v>
      </c>
      <c r="AU62">
        <v>18757.2</v>
      </c>
      <c r="AV62">
        <v>16</v>
      </c>
      <c r="AW62">
        <v>27283.200000000001</v>
      </c>
      <c r="AX62">
        <v>13</v>
      </c>
      <c r="AY62">
        <v>22167.600000000002</v>
      </c>
      <c r="AZ62">
        <v>13</v>
      </c>
      <c r="BA62">
        <v>22167.600000000002</v>
      </c>
      <c r="BB62">
        <v>13</v>
      </c>
      <c r="BC62">
        <v>22167.600000000002</v>
      </c>
      <c r="BD62">
        <v>12</v>
      </c>
      <c r="BE62">
        <v>20462.400000000001</v>
      </c>
      <c r="BF62">
        <v>14</v>
      </c>
      <c r="BG62">
        <v>23872.799999999999</v>
      </c>
      <c r="BH62">
        <v>16</v>
      </c>
      <c r="BI62">
        <v>27283.200000000001</v>
      </c>
      <c r="BJ62">
        <v>22</v>
      </c>
      <c r="BK62">
        <v>37514.400000000001</v>
      </c>
      <c r="BL62">
        <v>13</v>
      </c>
      <c r="BM62">
        <v>22167.600000000002</v>
      </c>
      <c r="BN62">
        <v>15</v>
      </c>
      <c r="BO62">
        <v>25578</v>
      </c>
      <c r="BP62">
        <v>21</v>
      </c>
      <c r="BQ62">
        <v>35809.200000000004</v>
      </c>
      <c r="BR62">
        <v>22</v>
      </c>
      <c r="BS62">
        <v>37514.400000000001</v>
      </c>
      <c r="BT62">
        <v>17</v>
      </c>
      <c r="BU62">
        <v>28988.400000000001</v>
      </c>
      <c r="BV62">
        <v>12</v>
      </c>
      <c r="BW62">
        <v>20462.400000000001</v>
      </c>
      <c r="BX62">
        <v>17</v>
      </c>
      <c r="BY62">
        <v>28988.400000000001</v>
      </c>
      <c r="BZ62">
        <v>17</v>
      </c>
      <c r="CA62">
        <v>28988.400000000001</v>
      </c>
      <c r="CB62">
        <v>11</v>
      </c>
      <c r="CC62">
        <v>18757.2</v>
      </c>
      <c r="CD62">
        <v>20</v>
      </c>
      <c r="CE62">
        <v>34104</v>
      </c>
      <c r="CF62">
        <v>16</v>
      </c>
      <c r="CG62">
        <v>27283.200000000001</v>
      </c>
      <c r="CH62">
        <v>11</v>
      </c>
      <c r="CI62">
        <v>18757.2</v>
      </c>
      <c r="CJ62">
        <v>20</v>
      </c>
      <c r="CK62">
        <v>34104</v>
      </c>
      <c r="CL62">
        <v>17</v>
      </c>
      <c r="CM62">
        <v>28988.400000000001</v>
      </c>
      <c r="CN62">
        <v>19</v>
      </c>
      <c r="CO62">
        <v>32398.799999999999</v>
      </c>
      <c r="CP62">
        <v>14</v>
      </c>
      <c r="CQ62">
        <v>23872.799999999999</v>
      </c>
      <c r="CR62">
        <v>19</v>
      </c>
      <c r="CS62">
        <v>32398.799999999999</v>
      </c>
      <c r="CT62">
        <v>13</v>
      </c>
      <c r="CU62">
        <v>22167.600000000002</v>
      </c>
    </row>
    <row r="63" spans="2:99" x14ac:dyDescent="0.2">
      <c r="C63" s="119" t="s">
        <v>229</v>
      </c>
      <c r="D63">
        <v>13</v>
      </c>
      <c r="E63">
        <v>10342.800000000001</v>
      </c>
      <c r="F63">
        <v>20</v>
      </c>
      <c r="G63">
        <v>15912</v>
      </c>
      <c r="H63">
        <v>19</v>
      </c>
      <c r="I63">
        <v>15116.4</v>
      </c>
      <c r="J63">
        <v>17</v>
      </c>
      <c r="K63">
        <v>13525.2</v>
      </c>
      <c r="L63">
        <v>13</v>
      </c>
      <c r="M63">
        <v>10342.800000000001</v>
      </c>
      <c r="N63">
        <v>22</v>
      </c>
      <c r="O63">
        <v>17503.2</v>
      </c>
      <c r="P63">
        <v>15</v>
      </c>
      <c r="Q63">
        <v>11934</v>
      </c>
      <c r="R63">
        <v>14</v>
      </c>
      <c r="S63">
        <v>11138.4</v>
      </c>
      <c r="T63">
        <v>19</v>
      </c>
      <c r="U63">
        <v>15116.4</v>
      </c>
      <c r="V63">
        <v>15</v>
      </c>
      <c r="W63">
        <v>11934</v>
      </c>
      <c r="X63">
        <v>15</v>
      </c>
      <c r="Y63">
        <v>11934</v>
      </c>
      <c r="Z63">
        <v>18</v>
      </c>
      <c r="AA63">
        <v>14320.800000000001</v>
      </c>
      <c r="AB63">
        <v>16</v>
      </c>
      <c r="AC63">
        <v>12729.6</v>
      </c>
      <c r="AD63">
        <v>15</v>
      </c>
      <c r="AE63">
        <v>11934</v>
      </c>
      <c r="AF63">
        <v>15</v>
      </c>
      <c r="AG63">
        <v>11934</v>
      </c>
      <c r="AH63">
        <v>15</v>
      </c>
      <c r="AI63">
        <v>11934</v>
      </c>
      <c r="AJ63">
        <v>15</v>
      </c>
      <c r="AK63">
        <v>11934</v>
      </c>
      <c r="AL63">
        <v>15</v>
      </c>
      <c r="AM63">
        <v>11934</v>
      </c>
      <c r="AN63">
        <v>12</v>
      </c>
      <c r="AO63">
        <v>9547.2000000000007</v>
      </c>
      <c r="AP63">
        <v>21</v>
      </c>
      <c r="AQ63">
        <v>16707.600000000002</v>
      </c>
      <c r="AR63">
        <v>12</v>
      </c>
      <c r="AS63">
        <v>9547.2000000000007</v>
      </c>
      <c r="AT63">
        <v>12</v>
      </c>
      <c r="AU63">
        <v>9547.2000000000007</v>
      </c>
      <c r="AV63">
        <v>19</v>
      </c>
      <c r="AW63">
        <v>15116.4</v>
      </c>
      <c r="AX63">
        <v>13</v>
      </c>
      <c r="AY63">
        <v>10342.800000000001</v>
      </c>
      <c r="AZ63">
        <v>12</v>
      </c>
      <c r="BA63">
        <v>9547.2000000000007</v>
      </c>
      <c r="BB63">
        <v>15</v>
      </c>
      <c r="BC63">
        <v>11934</v>
      </c>
      <c r="BD63">
        <v>13</v>
      </c>
      <c r="BE63">
        <v>10342.800000000001</v>
      </c>
      <c r="BF63">
        <v>17</v>
      </c>
      <c r="BG63">
        <v>13525.2</v>
      </c>
      <c r="BH63">
        <v>21</v>
      </c>
      <c r="BI63">
        <v>16707.600000000002</v>
      </c>
      <c r="BJ63">
        <v>21</v>
      </c>
      <c r="BK63">
        <v>16707.600000000002</v>
      </c>
      <c r="BL63">
        <v>16</v>
      </c>
      <c r="BM63">
        <v>12729.6</v>
      </c>
      <c r="BN63">
        <v>19</v>
      </c>
      <c r="BO63">
        <v>15116.4</v>
      </c>
      <c r="BP63">
        <v>23</v>
      </c>
      <c r="BQ63">
        <v>18298.8</v>
      </c>
      <c r="BR63">
        <v>21</v>
      </c>
      <c r="BS63">
        <v>16707.600000000002</v>
      </c>
      <c r="BT63">
        <v>18</v>
      </c>
      <c r="BU63">
        <v>14320.800000000001</v>
      </c>
      <c r="BV63">
        <v>12</v>
      </c>
      <c r="BW63">
        <v>9547.2000000000007</v>
      </c>
      <c r="BX63">
        <v>20</v>
      </c>
      <c r="BY63">
        <v>15912</v>
      </c>
      <c r="BZ63">
        <v>20</v>
      </c>
      <c r="CA63">
        <v>15912</v>
      </c>
      <c r="CB63">
        <v>12</v>
      </c>
      <c r="CC63">
        <v>9547.2000000000007</v>
      </c>
      <c r="CD63">
        <v>20</v>
      </c>
      <c r="CE63">
        <v>15912</v>
      </c>
      <c r="CF63">
        <v>19</v>
      </c>
      <c r="CG63">
        <v>15116.4</v>
      </c>
      <c r="CH63">
        <v>13</v>
      </c>
      <c r="CI63">
        <v>10342.800000000001</v>
      </c>
      <c r="CJ63">
        <v>21</v>
      </c>
      <c r="CK63">
        <v>16707.600000000002</v>
      </c>
      <c r="CL63">
        <v>19</v>
      </c>
      <c r="CM63">
        <v>15116.4</v>
      </c>
      <c r="CN63">
        <v>25</v>
      </c>
      <c r="CO63">
        <v>19890</v>
      </c>
      <c r="CP63">
        <v>15</v>
      </c>
      <c r="CQ63">
        <v>11934</v>
      </c>
      <c r="CR63">
        <v>22</v>
      </c>
      <c r="CS63">
        <v>17503.2</v>
      </c>
      <c r="CT63">
        <v>16</v>
      </c>
      <c r="CU63">
        <v>12729.6</v>
      </c>
    </row>
    <row r="64" spans="2:99" x14ac:dyDescent="0.2">
      <c r="C64" s="119" t="s">
        <v>230</v>
      </c>
      <c r="D64">
        <v>13</v>
      </c>
      <c r="E64">
        <v>13119.599999999999</v>
      </c>
      <c r="F64">
        <v>21</v>
      </c>
      <c r="G64">
        <v>21193.199999999997</v>
      </c>
      <c r="H64">
        <v>19</v>
      </c>
      <c r="I64">
        <v>19174.799999999996</v>
      </c>
      <c r="J64">
        <v>15</v>
      </c>
      <c r="K64">
        <v>15137.999999999996</v>
      </c>
      <c r="L64">
        <v>14</v>
      </c>
      <c r="M64">
        <v>14128.799999999997</v>
      </c>
      <c r="N64">
        <v>20</v>
      </c>
      <c r="O64">
        <v>20183.999999999996</v>
      </c>
      <c r="P64">
        <v>15</v>
      </c>
      <c r="Q64">
        <v>15137.999999999996</v>
      </c>
      <c r="R64">
        <v>13</v>
      </c>
      <c r="S64">
        <v>13119.599999999999</v>
      </c>
      <c r="T64">
        <v>19</v>
      </c>
      <c r="U64">
        <v>19174.799999999996</v>
      </c>
      <c r="V64">
        <v>15</v>
      </c>
      <c r="W64">
        <v>15137.999999999996</v>
      </c>
      <c r="X64">
        <v>15</v>
      </c>
      <c r="Y64">
        <v>15137.999999999996</v>
      </c>
      <c r="Z64">
        <v>15</v>
      </c>
      <c r="AA64">
        <v>15137.999999999996</v>
      </c>
      <c r="AB64">
        <v>15</v>
      </c>
      <c r="AC64">
        <v>15137.999999999996</v>
      </c>
      <c r="AD64">
        <v>13</v>
      </c>
      <c r="AE64">
        <v>13119.599999999999</v>
      </c>
      <c r="AF64">
        <v>16</v>
      </c>
      <c r="AG64">
        <v>16147.199999999997</v>
      </c>
      <c r="AH64">
        <v>15</v>
      </c>
      <c r="AI64">
        <v>15137.999999999996</v>
      </c>
      <c r="AJ64">
        <v>17</v>
      </c>
      <c r="AK64">
        <v>17156.399999999998</v>
      </c>
      <c r="AL64">
        <v>16</v>
      </c>
      <c r="AM64">
        <v>16147.199999999997</v>
      </c>
      <c r="AN64">
        <v>14</v>
      </c>
      <c r="AO64">
        <v>14128.799999999997</v>
      </c>
      <c r="AP64">
        <v>21</v>
      </c>
      <c r="AQ64">
        <v>21193.199999999997</v>
      </c>
      <c r="AR64">
        <v>12</v>
      </c>
      <c r="AS64">
        <v>12110.399999999998</v>
      </c>
      <c r="AT64">
        <v>11</v>
      </c>
      <c r="AU64">
        <v>11101.199999999997</v>
      </c>
      <c r="AV64">
        <v>19</v>
      </c>
      <c r="AW64">
        <v>19174.799999999996</v>
      </c>
      <c r="AX64">
        <v>14</v>
      </c>
      <c r="AY64">
        <v>14128.799999999997</v>
      </c>
      <c r="AZ64">
        <v>12</v>
      </c>
      <c r="BA64">
        <v>12110.399999999998</v>
      </c>
      <c r="BB64">
        <v>12</v>
      </c>
      <c r="BC64">
        <v>12110.399999999998</v>
      </c>
      <c r="BD64">
        <v>13</v>
      </c>
      <c r="BE64">
        <v>13119.599999999999</v>
      </c>
      <c r="BF64">
        <v>15</v>
      </c>
      <c r="BG64">
        <v>15137.999999999996</v>
      </c>
      <c r="BH64">
        <v>19</v>
      </c>
      <c r="BI64">
        <v>19174.799999999996</v>
      </c>
      <c r="BJ64">
        <v>20</v>
      </c>
      <c r="BK64">
        <v>20183.999999999996</v>
      </c>
      <c r="BL64">
        <v>16</v>
      </c>
      <c r="BM64">
        <v>16147.199999999997</v>
      </c>
      <c r="BN64">
        <v>17</v>
      </c>
      <c r="BO64">
        <v>17156.399999999998</v>
      </c>
      <c r="BP64">
        <v>20</v>
      </c>
      <c r="BQ64">
        <v>20183.999999999996</v>
      </c>
      <c r="BR64">
        <v>23</v>
      </c>
      <c r="BS64">
        <v>23211.599999999995</v>
      </c>
      <c r="BT64">
        <v>19</v>
      </c>
      <c r="BU64">
        <v>19174.799999999996</v>
      </c>
      <c r="BV64">
        <v>12</v>
      </c>
      <c r="BW64">
        <v>12110.399999999998</v>
      </c>
      <c r="BX64">
        <v>18</v>
      </c>
      <c r="BY64">
        <v>18165.599999999999</v>
      </c>
      <c r="BZ64">
        <v>21</v>
      </c>
      <c r="CA64">
        <v>21193.199999999997</v>
      </c>
      <c r="CB64">
        <v>13</v>
      </c>
      <c r="CC64">
        <v>13119.599999999999</v>
      </c>
      <c r="CD64">
        <v>22</v>
      </c>
      <c r="CE64">
        <v>22202.399999999994</v>
      </c>
      <c r="CF64">
        <v>18</v>
      </c>
      <c r="CG64">
        <v>18165.599999999999</v>
      </c>
      <c r="CH64">
        <v>13</v>
      </c>
      <c r="CI64">
        <v>13119.599999999999</v>
      </c>
      <c r="CJ64">
        <v>22</v>
      </c>
      <c r="CK64">
        <v>22202.399999999994</v>
      </c>
      <c r="CL64">
        <v>21</v>
      </c>
      <c r="CM64">
        <v>21193.199999999997</v>
      </c>
      <c r="CN64">
        <v>22</v>
      </c>
      <c r="CO64">
        <v>22202.399999999994</v>
      </c>
      <c r="CP64">
        <v>14</v>
      </c>
      <c r="CQ64">
        <v>14128.799999999997</v>
      </c>
      <c r="CR64">
        <v>22</v>
      </c>
      <c r="CS64">
        <v>22202.399999999994</v>
      </c>
      <c r="CT64">
        <v>16</v>
      </c>
      <c r="CU64">
        <v>16147.199999999997</v>
      </c>
    </row>
    <row r="65" spans="2:99" x14ac:dyDescent="0.2">
      <c r="C65" s="119" t="s">
        <v>231</v>
      </c>
      <c r="D65">
        <v>12</v>
      </c>
      <c r="E65">
        <v>12312</v>
      </c>
      <c r="F65">
        <v>21</v>
      </c>
      <c r="G65">
        <v>21546</v>
      </c>
      <c r="H65">
        <v>18</v>
      </c>
      <c r="I65">
        <v>18468</v>
      </c>
      <c r="J65">
        <v>14</v>
      </c>
      <c r="K65">
        <v>14364</v>
      </c>
      <c r="L65">
        <v>14</v>
      </c>
      <c r="M65">
        <v>14364</v>
      </c>
      <c r="N65">
        <v>22</v>
      </c>
      <c r="O65">
        <v>22572</v>
      </c>
      <c r="P65">
        <v>15</v>
      </c>
      <c r="Q65">
        <v>15390</v>
      </c>
      <c r="R65">
        <v>14</v>
      </c>
      <c r="S65">
        <v>14364</v>
      </c>
      <c r="T65">
        <v>17</v>
      </c>
      <c r="U65">
        <v>17442</v>
      </c>
      <c r="V65">
        <v>12</v>
      </c>
      <c r="W65">
        <v>12312</v>
      </c>
      <c r="X65">
        <v>16</v>
      </c>
      <c r="Y65">
        <v>16416</v>
      </c>
      <c r="Z65">
        <v>16</v>
      </c>
      <c r="AA65">
        <v>16416</v>
      </c>
      <c r="AB65">
        <v>15</v>
      </c>
      <c r="AC65">
        <v>15390</v>
      </c>
      <c r="AD65">
        <v>15</v>
      </c>
      <c r="AE65">
        <v>15390</v>
      </c>
      <c r="AF65">
        <v>15</v>
      </c>
      <c r="AG65">
        <v>15390</v>
      </c>
      <c r="AH65">
        <v>14</v>
      </c>
      <c r="AI65">
        <v>14364</v>
      </c>
      <c r="AJ65">
        <v>17</v>
      </c>
      <c r="AK65">
        <v>17442</v>
      </c>
      <c r="AL65">
        <v>16</v>
      </c>
      <c r="AM65">
        <v>16416</v>
      </c>
      <c r="AN65">
        <v>12</v>
      </c>
      <c r="AO65">
        <v>12312</v>
      </c>
      <c r="AP65">
        <v>22</v>
      </c>
      <c r="AQ65">
        <v>22572</v>
      </c>
      <c r="AR65">
        <v>12</v>
      </c>
      <c r="AS65">
        <v>12312</v>
      </c>
      <c r="AT65">
        <v>13</v>
      </c>
      <c r="AU65">
        <v>13338</v>
      </c>
      <c r="AV65">
        <v>17</v>
      </c>
      <c r="AW65">
        <v>17442</v>
      </c>
      <c r="AX65">
        <v>14</v>
      </c>
      <c r="AY65">
        <v>14364</v>
      </c>
      <c r="AZ65">
        <v>13</v>
      </c>
      <c r="BA65">
        <v>13338</v>
      </c>
      <c r="BB65">
        <v>13</v>
      </c>
      <c r="BC65">
        <v>13338</v>
      </c>
      <c r="BD65">
        <v>11</v>
      </c>
      <c r="BE65">
        <v>11286</v>
      </c>
      <c r="BF65">
        <v>18</v>
      </c>
      <c r="BG65">
        <v>18468</v>
      </c>
      <c r="BH65">
        <v>18</v>
      </c>
      <c r="BI65">
        <v>18468</v>
      </c>
      <c r="BJ65">
        <v>23</v>
      </c>
      <c r="BK65">
        <v>23598</v>
      </c>
      <c r="BL65">
        <v>15</v>
      </c>
      <c r="BM65">
        <v>15390</v>
      </c>
      <c r="BN65">
        <v>18</v>
      </c>
      <c r="BO65">
        <v>18468</v>
      </c>
      <c r="BP65">
        <v>22</v>
      </c>
      <c r="BQ65">
        <v>22572</v>
      </c>
      <c r="BR65">
        <v>22</v>
      </c>
      <c r="BS65">
        <v>22572</v>
      </c>
      <c r="BT65">
        <v>17</v>
      </c>
      <c r="BU65">
        <v>17442</v>
      </c>
      <c r="BV65">
        <v>11</v>
      </c>
      <c r="BW65">
        <v>11286</v>
      </c>
      <c r="BX65">
        <v>18</v>
      </c>
      <c r="BY65">
        <v>18468</v>
      </c>
      <c r="BZ65">
        <v>19</v>
      </c>
      <c r="CA65">
        <v>19494</v>
      </c>
      <c r="CB65">
        <v>13</v>
      </c>
      <c r="CC65">
        <v>13338</v>
      </c>
      <c r="CD65">
        <v>19</v>
      </c>
      <c r="CE65">
        <v>19494</v>
      </c>
      <c r="CF65">
        <v>21</v>
      </c>
      <c r="CG65">
        <v>21546</v>
      </c>
      <c r="CH65">
        <v>11</v>
      </c>
      <c r="CI65">
        <v>11286</v>
      </c>
      <c r="CJ65">
        <v>19</v>
      </c>
      <c r="CK65">
        <v>19494</v>
      </c>
      <c r="CL65">
        <v>20</v>
      </c>
      <c r="CM65">
        <v>20520</v>
      </c>
      <c r="CN65">
        <v>24</v>
      </c>
      <c r="CO65">
        <v>24624</v>
      </c>
      <c r="CP65">
        <v>16</v>
      </c>
      <c r="CQ65">
        <v>16416</v>
      </c>
      <c r="CR65">
        <v>23</v>
      </c>
      <c r="CS65">
        <v>23598</v>
      </c>
      <c r="CT65">
        <v>17</v>
      </c>
      <c r="CU65">
        <v>17442</v>
      </c>
    </row>
    <row r="66" spans="2:99" x14ac:dyDescent="0.2">
      <c r="C66" s="119" t="s">
        <v>232</v>
      </c>
      <c r="D66">
        <v>12</v>
      </c>
      <c r="E66">
        <v>14284.8</v>
      </c>
      <c r="F66">
        <v>21</v>
      </c>
      <c r="G66">
        <v>24998.399999999998</v>
      </c>
      <c r="H66">
        <v>18</v>
      </c>
      <c r="I66">
        <v>21427.199999999997</v>
      </c>
      <c r="J66">
        <v>14</v>
      </c>
      <c r="K66">
        <v>16665.599999999999</v>
      </c>
      <c r="L66">
        <v>13</v>
      </c>
      <c r="M66">
        <v>15475.199999999999</v>
      </c>
      <c r="N66">
        <v>19</v>
      </c>
      <c r="O66">
        <v>22617.599999999999</v>
      </c>
      <c r="P66">
        <v>13</v>
      </c>
      <c r="Q66">
        <v>15475.199999999999</v>
      </c>
      <c r="R66">
        <v>13</v>
      </c>
      <c r="S66">
        <v>15475.199999999999</v>
      </c>
      <c r="T66">
        <v>18</v>
      </c>
      <c r="U66">
        <v>21427.199999999997</v>
      </c>
      <c r="V66">
        <v>13</v>
      </c>
      <c r="W66">
        <v>15475.199999999999</v>
      </c>
      <c r="X66">
        <v>15</v>
      </c>
      <c r="Y66">
        <v>17855.999999999996</v>
      </c>
      <c r="Z66">
        <v>15</v>
      </c>
      <c r="AA66">
        <v>17855.999999999996</v>
      </c>
      <c r="AB66">
        <v>15</v>
      </c>
      <c r="AC66">
        <v>17855.999999999996</v>
      </c>
      <c r="AD66">
        <v>15</v>
      </c>
      <c r="AE66">
        <v>17855.999999999996</v>
      </c>
      <c r="AF66">
        <v>13</v>
      </c>
      <c r="AG66">
        <v>15475.199999999999</v>
      </c>
      <c r="AH66">
        <v>15</v>
      </c>
      <c r="AI66">
        <v>17855.999999999996</v>
      </c>
      <c r="AJ66">
        <v>14</v>
      </c>
      <c r="AK66">
        <v>16665.599999999999</v>
      </c>
      <c r="AL66">
        <v>16</v>
      </c>
      <c r="AM66">
        <v>19046.399999999998</v>
      </c>
      <c r="AN66">
        <v>12</v>
      </c>
      <c r="AO66">
        <v>14284.8</v>
      </c>
      <c r="AP66">
        <v>23</v>
      </c>
      <c r="AQ66">
        <v>27379.199999999997</v>
      </c>
      <c r="AR66">
        <v>12</v>
      </c>
      <c r="AS66">
        <v>14284.8</v>
      </c>
      <c r="AT66">
        <v>11</v>
      </c>
      <c r="AU66">
        <v>13094.399999999998</v>
      </c>
      <c r="AV66">
        <v>15</v>
      </c>
      <c r="AW66">
        <v>17855.999999999996</v>
      </c>
      <c r="AX66">
        <v>13</v>
      </c>
      <c r="AY66">
        <v>15475.199999999999</v>
      </c>
      <c r="AZ66">
        <v>13</v>
      </c>
      <c r="BA66">
        <v>15475.199999999999</v>
      </c>
      <c r="BB66">
        <v>13</v>
      </c>
      <c r="BC66">
        <v>15475.199999999999</v>
      </c>
      <c r="BD66">
        <v>13</v>
      </c>
      <c r="BE66">
        <v>15475.199999999999</v>
      </c>
      <c r="BF66">
        <v>14</v>
      </c>
      <c r="BG66">
        <v>16665.599999999999</v>
      </c>
      <c r="BH66">
        <v>20</v>
      </c>
      <c r="BI66">
        <v>23807.999999999996</v>
      </c>
      <c r="BJ66">
        <v>19</v>
      </c>
      <c r="BK66">
        <v>22617.599999999999</v>
      </c>
      <c r="BL66">
        <v>13</v>
      </c>
      <c r="BM66">
        <v>15475.199999999999</v>
      </c>
      <c r="BN66">
        <v>19</v>
      </c>
      <c r="BO66">
        <v>22617.599999999999</v>
      </c>
      <c r="BP66">
        <v>20</v>
      </c>
      <c r="BQ66">
        <v>23807.999999999996</v>
      </c>
      <c r="BR66">
        <v>20</v>
      </c>
      <c r="BS66">
        <v>23807.999999999996</v>
      </c>
      <c r="BT66">
        <v>19</v>
      </c>
      <c r="BU66">
        <v>22617.599999999999</v>
      </c>
      <c r="BV66">
        <v>11</v>
      </c>
      <c r="BW66">
        <v>13094.399999999998</v>
      </c>
      <c r="BX66">
        <v>17</v>
      </c>
      <c r="BY66">
        <v>20236.8</v>
      </c>
      <c r="BZ66">
        <v>18</v>
      </c>
      <c r="CA66">
        <v>21427.199999999997</v>
      </c>
      <c r="CB66">
        <v>14</v>
      </c>
      <c r="CC66">
        <v>16665.599999999999</v>
      </c>
      <c r="CD66">
        <v>18</v>
      </c>
      <c r="CE66">
        <v>21427.199999999997</v>
      </c>
      <c r="CF66">
        <v>19</v>
      </c>
      <c r="CG66">
        <v>22617.599999999999</v>
      </c>
      <c r="CH66">
        <v>11</v>
      </c>
      <c r="CI66">
        <v>13094.399999999998</v>
      </c>
      <c r="CJ66">
        <v>20</v>
      </c>
      <c r="CK66">
        <v>23807.999999999996</v>
      </c>
      <c r="CL66">
        <v>20</v>
      </c>
      <c r="CM66">
        <v>23807.999999999996</v>
      </c>
      <c r="CN66">
        <v>23</v>
      </c>
      <c r="CO66">
        <v>27379.199999999997</v>
      </c>
      <c r="CP66">
        <v>16</v>
      </c>
      <c r="CQ66">
        <v>19046.399999999998</v>
      </c>
      <c r="CR66">
        <v>21</v>
      </c>
      <c r="CS66">
        <v>24998.399999999998</v>
      </c>
      <c r="CT66">
        <v>15</v>
      </c>
      <c r="CU66">
        <v>17855.999999999996</v>
      </c>
    </row>
    <row r="67" spans="2:99" x14ac:dyDescent="0.2">
      <c r="C67" s="119" t="s">
        <v>233</v>
      </c>
      <c r="D67">
        <v>11</v>
      </c>
      <c r="E67">
        <v>12355.2</v>
      </c>
      <c r="F67">
        <v>22</v>
      </c>
      <c r="G67">
        <v>24710.400000000001</v>
      </c>
      <c r="H67">
        <v>16</v>
      </c>
      <c r="I67">
        <v>17971.2</v>
      </c>
      <c r="J67">
        <v>15</v>
      </c>
      <c r="K67">
        <v>16848</v>
      </c>
      <c r="L67">
        <v>12</v>
      </c>
      <c r="M67">
        <v>13478.400000000001</v>
      </c>
      <c r="N67">
        <v>21</v>
      </c>
      <c r="O67">
        <v>23587.200000000001</v>
      </c>
      <c r="P67">
        <v>14</v>
      </c>
      <c r="Q67">
        <v>15724.800000000001</v>
      </c>
      <c r="R67">
        <v>11</v>
      </c>
      <c r="S67">
        <v>12355.2</v>
      </c>
      <c r="T67">
        <v>17</v>
      </c>
      <c r="U67">
        <v>19094.400000000001</v>
      </c>
      <c r="V67">
        <v>14</v>
      </c>
      <c r="W67">
        <v>15724.800000000001</v>
      </c>
      <c r="X67">
        <v>15</v>
      </c>
      <c r="Y67">
        <v>16848</v>
      </c>
      <c r="Z67">
        <v>14</v>
      </c>
      <c r="AA67">
        <v>15724.800000000001</v>
      </c>
      <c r="AB67">
        <v>16</v>
      </c>
      <c r="AC67">
        <v>17971.2</v>
      </c>
      <c r="AD67">
        <v>14</v>
      </c>
      <c r="AE67">
        <v>15724.800000000001</v>
      </c>
      <c r="AF67">
        <v>14</v>
      </c>
      <c r="AG67">
        <v>15724.800000000001</v>
      </c>
      <c r="AH67">
        <v>14</v>
      </c>
      <c r="AI67">
        <v>15724.800000000001</v>
      </c>
      <c r="AJ67">
        <v>16</v>
      </c>
      <c r="AK67">
        <v>17971.2</v>
      </c>
      <c r="AL67">
        <v>16</v>
      </c>
      <c r="AM67">
        <v>17971.2</v>
      </c>
      <c r="AN67">
        <v>12</v>
      </c>
      <c r="AO67">
        <v>13478.400000000001</v>
      </c>
      <c r="AP67">
        <v>21</v>
      </c>
      <c r="AQ67">
        <v>23587.200000000001</v>
      </c>
      <c r="AR67">
        <v>11</v>
      </c>
      <c r="AS67">
        <v>12355.2</v>
      </c>
      <c r="AT67">
        <v>12</v>
      </c>
      <c r="AU67">
        <v>13478.400000000001</v>
      </c>
      <c r="AV67">
        <v>18</v>
      </c>
      <c r="AW67">
        <v>20217.600000000002</v>
      </c>
      <c r="AX67">
        <v>14</v>
      </c>
      <c r="AY67">
        <v>15724.800000000001</v>
      </c>
      <c r="AZ67">
        <v>14</v>
      </c>
      <c r="BA67">
        <v>15724.800000000001</v>
      </c>
      <c r="BB67">
        <v>15</v>
      </c>
      <c r="BC67">
        <v>16848</v>
      </c>
      <c r="BD67">
        <v>13</v>
      </c>
      <c r="BE67">
        <v>14601.6</v>
      </c>
      <c r="BF67">
        <v>16</v>
      </c>
      <c r="BG67">
        <v>17971.2</v>
      </c>
      <c r="BH67">
        <v>20</v>
      </c>
      <c r="BI67">
        <v>22464</v>
      </c>
      <c r="BJ67">
        <v>23</v>
      </c>
      <c r="BK67">
        <v>25833.600000000002</v>
      </c>
      <c r="BL67">
        <v>16</v>
      </c>
      <c r="BM67">
        <v>17971.2</v>
      </c>
      <c r="BN67">
        <v>17</v>
      </c>
      <c r="BO67">
        <v>19094.400000000001</v>
      </c>
      <c r="BP67">
        <v>22</v>
      </c>
      <c r="BQ67">
        <v>24710.400000000001</v>
      </c>
      <c r="BR67">
        <v>22</v>
      </c>
      <c r="BS67">
        <v>24710.400000000001</v>
      </c>
      <c r="BT67">
        <v>16</v>
      </c>
      <c r="BU67">
        <v>17971.2</v>
      </c>
      <c r="BV67">
        <v>13</v>
      </c>
      <c r="BW67">
        <v>14601.6</v>
      </c>
      <c r="BX67">
        <v>19</v>
      </c>
      <c r="BY67">
        <v>21340.799999999999</v>
      </c>
      <c r="BZ67">
        <v>21</v>
      </c>
      <c r="CA67">
        <v>23587.200000000001</v>
      </c>
      <c r="CB67">
        <v>12</v>
      </c>
      <c r="CC67">
        <v>13478.400000000001</v>
      </c>
      <c r="CD67">
        <v>20</v>
      </c>
      <c r="CE67">
        <v>22464</v>
      </c>
      <c r="CF67">
        <v>20</v>
      </c>
      <c r="CG67">
        <v>22464</v>
      </c>
      <c r="CH67">
        <v>11</v>
      </c>
      <c r="CI67">
        <v>12355.2</v>
      </c>
      <c r="CJ67">
        <v>21</v>
      </c>
      <c r="CK67">
        <v>23587.200000000001</v>
      </c>
      <c r="CL67">
        <v>18</v>
      </c>
      <c r="CM67">
        <v>20217.600000000002</v>
      </c>
      <c r="CN67">
        <v>21</v>
      </c>
      <c r="CO67">
        <v>23587.200000000001</v>
      </c>
      <c r="CP67">
        <v>14</v>
      </c>
      <c r="CQ67">
        <v>15724.800000000001</v>
      </c>
      <c r="CR67">
        <v>21</v>
      </c>
      <c r="CS67">
        <v>23587.200000000001</v>
      </c>
      <c r="CT67">
        <v>16</v>
      </c>
      <c r="CU67">
        <v>17971.2</v>
      </c>
    </row>
    <row r="68" spans="2:99" x14ac:dyDescent="0.2">
      <c r="C68" s="119" t="s">
        <v>234</v>
      </c>
      <c r="D68">
        <v>13</v>
      </c>
      <c r="E68">
        <v>13431.6</v>
      </c>
      <c r="F68">
        <v>21</v>
      </c>
      <c r="G68">
        <v>21697.200000000001</v>
      </c>
      <c r="H68">
        <v>17</v>
      </c>
      <c r="I68">
        <v>17564.400000000001</v>
      </c>
      <c r="J68">
        <v>16</v>
      </c>
      <c r="K68">
        <v>16531.2</v>
      </c>
      <c r="L68">
        <v>14</v>
      </c>
      <c r="M68">
        <v>14464.800000000001</v>
      </c>
      <c r="N68">
        <v>19</v>
      </c>
      <c r="O68">
        <v>19630.8</v>
      </c>
      <c r="P68">
        <v>15</v>
      </c>
      <c r="Q68">
        <v>15498</v>
      </c>
      <c r="R68">
        <v>12</v>
      </c>
      <c r="S68">
        <v>12398.400000000001</v>
      </c>
      <c r="T68">
        <v>20</v>
      </c>
      <c r="U68">
        <v>20664</v>
      </c>
      <c r="V68">
        <v>13</v>
      </c>
      <c r="W68">
        <v>13431.6</v>
      </c>
      <c r="X68">
        <v>15</v>
      </c>
      <c r="Y68">
        <v>15498</v>
      </c>
      <c r="Z68">
        <v>16</v>
      </c>
      <c r="AA68">
        <v>16531.2</v>
      </c>
      <c r="AB68">
        <v>15</v>
      </c>
      <c r="AC68">
        <v>15498</v>
      </c>
      <c r="AD68">
        <v>13</v>
      </c>
      <c r="AE68">
        <v>13431.6</v>
      </c>
      <c r="AF68">
        <v>15</v>
      </c>
      <c r="AG68">
        <v>15498</v>
      </c>
      <c r="AH68">
        <v>14</v>
      </c>
      <c r="AI68">
        <v>14464.800000000001</v>
      </c>
      <c r="AJ68">
        <v>15</v>
      </c>
      <c r="AK68">
        <v>15498</v>
      </c>
      <c r="AL68">
        <v>16</v>
      </c>
      <c r="AM68">
        <v>16531.2</v>
      </c>
      <c r="AN68">
        <v>12</v>
      </c>
      <c r="AO68">
        <v>12398.400000000001</v>
      </c>
      <c r="AP68">
        <v>24</v>
      </c>
      <c r="AQ68">
        <v>24796.800000000003</v>
      </c>
      <c r="AR68">
        <v>12</v>
      </c>
      <c r="AS68">
        <v>12398.400000000001</v>
      </c>
      <c r="AT68">
        <v>11</v>
      </c>
      <c r="AU68">
        <v>11365.2</v>
      </c>
      <c r="AV68">
        <v>19</v>
      </c>
      <c r="AW68">
        <v>19630.8</v>
      </c>
      <c r="AX68">
        <v>13</v>
      </c>
      <c r="AY68">
        <v>13431.6</v>
      </c>
      <c r="AZ68">
        <v>12</v>
      </c>
      <c r="BA68">
        <v>12398.400000000001</v>
      </c>
      <c r="BB68">
        <v>13</v>
      </c>
      <c r="BC68">
        <v>13431.6</v>
      </c>
      <c r="BD68">
        <v>12</v>
      </c>
      <c r="BE68">
        <v>12398.400000000001</v>
      </c>
      <c r="BF68">
        <v>15</v>
      </c>
      <c r="BG68">
        <v>15498</v>
      </c>
      <c r="BH68">
        <v>20</v>
      </c>
      <c r="BI68">
        <v>20664</v>
      </c>
      <c r="BJ68">
        <v>24</v>
      </c>
      <c r="BK68">
        <v>24796.800000000003</v>
      </c>
      <c r="BL68">
        <v>15</v>
      </c>
      <c r="BM68">
        <v>15498</v>
      </c>
      <c r="BN68">
        <v>19</v>
      </c>
      <c r="BO68">
        <v>19630.8</v>
      </c>
      <c r="BP68">
        <v>22</v>
      </c>
      <c r="BQ68">
        <v>22730.400000000001</v>
      </c>
      <c r="BR68">
        <v>22</v>
      </c>
      <c r="BS68">
        <v>22730.400000000001</v>
      </c>
      <c r="BT68">
        <v>18</v>
      </c>
      <c r="BU68">
        <v>18597.600000000002</v>
      </c>
      <c r="BV68">
        <v>11</v>
      </c>
      <c r="BW68">
        <v>11365.2</v>
      </c>
      <c r="BX68">
        <v>19</v>
      </c>
      <c r="BY68">
        <v>19630.8</v>
      </c>
      <c r="BZ68">
        <v>17</v>
      </c>
      <c r="CA68">
        <v>17564.400000000001</v>
      </c>
      <c r="CB68">
        <v>13</v>
      </c>
      <c r="CC68">
        <v>13431.6</v>
      </c>
      <c r="CD68">
        <v>21</v>
      </c>
      <c r="CE68">
        <v>21697.200000000001</v>
      </c>
      <c r="CF68">
        <v>20</v>
      </c>
      <c r="CG68">
        <v>20664</v>
      </c>
      <c r="CH68">
        <v>12</v>
      </c>
      <c r="CI68">
        <v>12398.400000000001</v>
      </c>
      <c r="CJ68">
        <v>20</v>
      </c>
      <c r="CK68">
        <v>20664</v>
      </c>
      <c r="CL68">
        <v>19</v>
      </c>
      <c r="CM68">
        <v>19630.8</v>
      </c>
      <c r="CN68">
        <v>24</v>
      </c>
      <c r="CO68">
        <v>24796.800000000003</v>
      </c>
      <c r="CP68">
        <v>15</v>
      </c>
      <c r="CQ68">
        <v>15498</v>
      </c>
      <c r="CR68">
        <v>21</v>
      </c>
      <c r="CS68">
        <v>21697.200000000001</v>
      </c>
      <c r="CT68">
        <v>15</v>
      </c>
      <c r="CU68">
        <v>15498</v>
      </c>
    </row>
    <row r="69" spans="2:99" x14ac:dyDescent="0.2">
      <c r="C69" s="119" t="s">
        <v>235</v>
      </c>
      <c r="D69">
        <v>12</v>
      </c>
      <c r="E69">
        <v>9100.7999999999993</v>
      </c>
      <c r="F69">
        <v>22</v>
      </c>
      <c r="G69">
        <v>16684.8</v>
      </c>
      <c r="H69">
        <v>20</v>
      </c>
      <c r="I69">
        <v>15168</v>
      </c>
      <c r="J69">
        <v>14</v>
      </c>
      <c r="K69">
        <v>10617.6</v>
      </c>
      <c r="L69">
        <v>13</v>
      </c>
      <c r="M69">
        <v>9859.1999999999989</v>
      </c>
      <c r="N69">
        <v>21</v>
      </c>
      <c r="O69">
        <v>15926.4</v>
      </c>
      <c r="P69">
        <v>14</v>
      </c>
      <c r="Q69">
        <v>10617.6</v>
      </c>
      <c r="R69">
        <v>12</v>
      </c>
      <c r="S69">
        <v>9100.7999999999993</v>
      </c>
      <c r="T69">
        <v>21</v>
      </c>
      <c r="U69">
        <v>15926.4</v>
      </c>
      <c r="V69">
        <v>14</v>
      </c>
      <c r="W69">
        <v>10617.6</v>
      </c>
      <c r="X69">
        <v>16</v>
      </c>
      <c r="Y69">
        <v>12134.4</v>
      </c>
      <c r="Z69">
        <v>18</v>
      </c>
      <c r="AA69">
        <v>13651.199999999999</v>
      </c>
      <c r="AB69">
        <v>14</v>
      </c>
      <c r="AC69">
        <v>10617.6</v>
      </c>
      <c r="AD69">
        <v>14</v>
      </c>
      <c r="AE69">
        <v>10617.6</v>
      </c>
      <c r="AF69">
        <v>14</v>
      </c>
      <c r="AG69">
        <v>10617.6</v>
      </c>
      <c r="AH69">
        <v>14</v>
      </c>
      <c r="AI69">
        <v>10617.6</v>
      </c>
      <c r="AJ69">
        <v>16</v>
      </c>
      <c r="AK69">
        <v>12134.4</v>
      </c>
      <c r="AL69">
        <v>15</v>
      </c>
      <c r="AM69">
        <v>11376</v>
      </c>
      <c r="AN69">
        <v>13</v>
      </c>
      <c r="AO69">
        <v>9859.1999999999989</v>
      </c>
      <c r="AP69">
        <v>23</v>
      </c>
      <c r="AQ69">
        <v>17443.2</v>
      </c>
      <c r="AR69">
        <v>13</v>
      </c>
      <c r="AS69">
        <v>9859.1999999999989</v>
      </c>
      <c r="AT69">
        <v>11</v>
      </c>
      <c r="AU69">
        <v>8342.4</v>
      </c>
      <c r="AV69">
        <v>18</v>
      </c>
      <c r="AW69">
        <v>13651.199999999999</v>
      </c>
      <c r="AX69">
        <v>14</v>
      </c>
      <c r="AY69">
        <v>10617.6</v>
      </c>
      <c r="AZ69">
        <v>14</v>
      </c>
      <c r="BA69">
        <v>10617.6</v>
      </c>
      <c r="BB69">
        <v>14</v>
      </c>
      <c r="BC69">
        <v>10617.6</v>
      </c>
      <c r="BD69">
        <v>13</v>
      </c>
      <c r="BE69">
        <v>9859.1999999999989</v>
      </c>
      <c r="BF69">
        <v>17</v>
      </c>
      <c r="BG69">
        <v>12892.8</v>
      </c>
      <c r="BH69">
        <v>20</v>
      </c>
      <c r="BI69">
        <v>15168</v>
      </c>
      <c r="BJ69">
        <v>22</v>
      </c>
      <c r="BK69">
        <v>16684.8</v>
      </c>
      <c r="BL69">
        <v>16</v>
      </c>
      <c r="BM69">
        <v>12134.4</v>
      </c>
      <c r="BN69">
        <v>17</v>
      </c>
      <c r="BO69">
        <v>12892.8</v>
      </c>
      <c r="BP69">
        <v>21</v>
      </c>
      <c r="BQ69">
        <v>15926.4</v>
      </c>
      <c r="BR69">
        <v>21</v>
      </c>
      <c r="BS69">
        <v>15926.4</v>
      </c>
      <c r="BT69">
        <v>18</v>
      </c>
      <c r="BU69">
        <v>13651.199999999999</v>
      </c>
      <c r="BV69">
        <v>12</v>
      </c>
      <c r="BW69">
        <v>9100.7999999999993</v>
      </c>
      <c r="BX69">
        <v>17</v>
      </c>
      <c r="BY69">
        <v>12892.8</v>
      </c>
      <c r="BZ69">
        <v>21</v>
      </c>
      <c r="CA69">
        <v>15926.4</v>
      </c>
      <c r="CB69">
        <v>12</v>
      </c>
      <c r="CC69">
        <v>9100.7999999999993</v>
      </c>
      <c r="CD69">
        <v>20</v>
      </c>
      <c r="CE69">
        <v>15168</v>
      </c>
      <c r="CF69">
        <v>21</v>
      </c>
      <c r="CG69">
        <v>15926.4</v>
      </c>
      <c r="CH69">
        <v>12</v>
      </c>
      <c r="CI69">
        <v>9100.7999999999993</v>
      </c>
      <c r="CJ69">
        <v>20</v>
      </c>
      <c r="CK69">
        <v>15168</v>
      </c>
      <c r="CL69">
        <v>21</v>
      </c>
      <c r="CM69">
        <v>15926.4</v>
      </c>
      <c r="CN69">
        <v>22</v>
      </c>
      <c r="CO69">
        <v>16684.8</v>
      </c>
      <c r="CP69">
        <v>16</v>
      </c>
      <c r="CQ69">
        <v>12134.4</v>
      </c>
      <c r="CR69">
        <v>24</v>
      </c>
      <c r="CS69">
        <v>18201.599999999999</v>
      </c>
      <c r="CT69">
        <v>17</v>
      </c>
      <c r="CU69">
        <v>12892.8</v>
      </c>
    </row>
    <row r="70" spans="2:99" x14ac:dyDescent="0.2">
      <c r="C70" s="119" t="s">
        <v>236</v>
      </c>
      <c r="D70">
        <v>13</v>
      </c>
      <c r="E70">
        <v>6957.5999999999995</v>
      </c>
      <c r="F70">
        <v>23</v>
      </c>
      <c r="G70">
        <v>12309.599999999999</v>
      </c>
      <c r="H70">
        <v>18</v>
      </c>
      <c r="I70">
        <v>9633.5999999999985</v>
      </c>
      <c r="J70">
        <v>17</v>
      </c>
      <c r="K70">
        <v>9098.4</v>
      </c>
      <c r="L70">
        <v>15</v>
      </c>
      <c r="M70">
        <v>8027.9999999999991</v>
      </c>
      <c r="N70">
        <v>20</v>
      </c>
      <c r="O70">
        <v>10703.999999999998</v>
      </c>
      <c r="P70">
        <v>15</v>
      </c>
      <c r="Q70">
        <v>8027.9999999999991</v>
      </c>
      <c r="R70">
        <v>13</v>
      </c>
      <c r="S70">
        <v>6957.5999999999995</v>
      </c>
      <c r="T70">
        <v>20</v>
      </c>
      <c r="U70">
        <v>10703.999999999998</v>
      </c>
      <c r="V70">
        <v>14</v>
      </c>
      <c r="W70">
        <v>7492.7999999999993</v>
      </c>
      <c r="X70">
        <v>15</v>
      </c>
      <c r="Y70">
        <v>8027.9999999999991</v>
      </c>
      <c r="Z70">
        <v>15</v>
      </c>
      <c r="AA70">
        <v>8027.9999999999991</v>
      </c>
      <c r="AB70">
        <v>16</v>
      </c>
      <c r="AC70">
        <v>8563.1999999999989</v>
      </c>
      <c r="AD70">
        <v>15</v>
      </c>
      <c r="AE70">
        <v>8027.9999999999991</v>
      </c>
      <c r="AF70">
        <v>14</v>
      </c>
      <c r="AG70">
        <v>7492.7999999999993</v>
      </c>
      <c r="AH70">
        <v>16</v>
      </c>
      <c r="AI70">
        <v>8563.1999999999989</v>
      </c>
      <c r="AJ70">
        <v>16</v>
      </c>
      <c r="AK70">
        <v>8563.1999999999989</v>
      </c>
      <c r="AL70">
        <v>15</v>
      </c>
      <c r="AM70">
        <v>8027.9999999999991</v>
      </c>
      <c r="AN70">
        <v>14</v>
      </c>
      <c r="AO70">
        <v>7492.7999999999993</v>
      </c>
      <c r="AP70">
        <v>26</v>
      </c>
      <c r="AQ70">
        <v>13915.199999999999</v>
      </c>
      <c r="AR70">
        <v>12</v>
      </c>
      <c r="AS70">
        <v>6422.4</v>
      </c>
      <c r="AT70">
        <v>12</v>
      </c>
      <c r="AU70">
        <v>6422.4</v>
      </c>
      <c r="AV70">
        <v>18</v>
      </c>
      <c r="AW70">
        <v>9633.5999999999985</v>
      </c>
      <c r="AX70">
        <v>14</v>
      </c>
      <c r="AY70">
        <v>7492.7999999999993</v>
      </c>
      <c r="AZ70">
        <v>14</v>
      </c>
      <c r="BA70">
        <v>7492.7999999999993</v>
      </c>
      <c r="BB70">
        <v>14</v>
      </c>
      <c r="BC70">
        <v>7492.7999999999993</v>
      </c>
      <c r="BD70">
        <v>12</v>
      </c>
      <c r="BE70">
        <v>6422.4</v>
      </c>
      <c r="BF70">
        <v>18</v>
      </c>
      <c r="BG70">
        <v>9633.5999999999985</v>
      </c>
      <c r="BH70">
        <v>21</v>
      </c>
      <c r="BI70">
        <v>11239.199999999999</v>
      </c>
      <c r="BJ70">
        <v>25</v>
      </c>
      <c r="BK70">
        <v>13379.999999999998</v>
      </c>
      <c r="BL70">
        <v>15</v>
      </c>
      <c r="BM70">
        <v>8027.9999999999991</v>
      </c>
      <c r="BN70">
        <v>17</v>
      </c>
      <c r="BO70">
        <v>9098.4</v>
      </c>
      <c r="BP70">
        <v>22</v>
      </c>
      <c r="BQ70">
        <v>11774.399999999998</v>
      </c>
      <c r="BR70">
        <v>23</v>
      </c>
      <c r="BS70">
        <v>12309.599999999999</v>
      </c>
      <c r="BT70">
        <v>18</v>
      </c>
      <c r="BU70">
        <v>9633.5999999999985</v>
      </c>
      <c r="BV70">
        <v>14</v>
      </c>
      <c r="BW70">
        <v>7492.7999999999993</v>
      </c>
      <c r="BX70">
        <v>18</v>
      </c>
      <c r="BY70">
        <v>9633.5999999999985</v>
      </c>
      <c r="BZ70">
        <v>20</v>
      </c>
      <c r="CA70">
        <v>10703.999999999998</v>
      </c>
      <c r="CB70">
        <v>13</v>
      </c>
      <c r="CC70">
        <v>6957.5999999999995</v>
      </c>
      <c r="CD70">
        <v>20</v>
      </c>
      <c r="CE70">
        <v>10703.999999999998</v>
      </c>
      <c r="CF70">
        <v>21</v>
      </c>
      <c r="CG70">
        <v>11239.199999999999</v>
      </c>
      <c r="CH70">
        <v>14</v>
      </c>
      <c r="CI70">
        <v>7492.7999999999993</v>
      </c>
      <c r="CJ70">
        <v>21</v>
      </c>
      <c r="CK70">
        <v>11239.199999999999</v>
      </c>
      <c r="CL70">
        <v>20</v>
      </c>
      <c r="CM70">
        <v>10703.999999999998</v>
      </c>
      <c r="CN70">
        <v>26</v>
      </c>
      <c r="CO70">
        <v>13915.199999999999</v>
      </c>
      <c r="CP70">
        <v>15</v>
      </c>
      <c r="CQ70">
        <v>8027.9999999999991</v>
      </c>
      <c r="CR70">
        <v>22</v>
      </c>
      <c r="CS70">
        <v>11774.399999999998</v>
      </c>
      <c r="CT70">
        <v>17</v>
      </c>
      <c r="CU70">
        <v>9098.4</v>
      </c>
    </row>
    <row r="71" spans="2:99" x14ac:dyDescent="0.2">
      <c r="B71" s="119" t="s">
        <v>130</v>
      </c>
      <c r="C71" s="119" t="s">
        <v>237</v>
      </c>
      <c r="D71">
        <v>10</v>
      </c>
      <c r="E71">
        <v>5640</v>
      </c>
      <c r="F71">
        <v>11</v>
      </c>
      <c r="G71">
        <v>6204</v>
      </c>
      <c r="H71">
        <v>18</v>
      </c>
      <c r="I71">
        <v>10152</v>
      </c>
      <c r="J71">
        <v>13</v>
      </c>
      <c r="K71">
        <v>7332</v>
      </c>
      <c r="L71">
        <v>18</v>
      </c>
      <c r="M71">
        <v>10152</v>
      </c>
      <c r="N71">
        <v>15</v>
      </c>
      <c r="O71">
        <v>8460</v>
      </c>
      <c r="P71">
        <v>15</v>
      </c>
      <c r="Q71">
        <v>8460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</row>
    <row r="72" spans="2:99" x14ac:dyDescent="0.2">
      <c r="C72" s="119" t="s">
        <v>238</v>
      </c>
      <c r="D72">
        <v>12</v>
      </c>
      <c r="E72">
        <v>892.8</v>
      </c>
      <c r="F72">
        <v>13</v>
      </c>
      <c r="G72">
        <v>967.19999999999993</v>
      </c>
      <c r="H72">
        <v>17</v>
      </c>
      <c r="I72">
        <v>1264.8</v>
      </c>
      <c r="J72">
        <v>14</v>
      </c>
      <c r="K72">
        <v>1041.5999999999999</v>
      </c>
      <c r="L72">
        <v>16</v>
      </c>
      <c r="M72">
        <v>1190.3999999999999</v>
      </c>
      <c r="N72">
        <v>16</v>
      </c>
      <c r="O72">
        <v>1190.3999999999999</v>
      </c>
      <c r="P72">
        <v>14</v>
      </c>
      <c r="Q72">
        <v>1041.5999999999999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</row>
    <row r="73" spans="2:99" x14ac:dyDescent="0.2">
      <c r="C73" s="119" t="s">
        <v>239</v>
      </c>
      <c r="D73">
        <v>11</v>
      </c>
      <c r="E73">
        <v>6151.1999999999989</v>
      </c>
      <c r="F73">
        <v>12</v>
      </c>
      <c r="G73">
        <v>6710.4</v>
      </c>
      <c r="H73">
        <v>19</v>
      </c>
      <c r="I73">
        <v>10624.8</v>
      </c>
      <c r="J73">
        <v>12</v>
      </c>
      <c r="K73">
        <v>6710.4</v>
      </c>
      <c r="L73">
        <v>17</v>
      </c>
      <c r="M73">
        <v>9506.4</v>
      </c>
      <c r="N73">
        <v>16</v>
      </c>
      <c r="O73">
        <v>8947.1999999999989</v>
      </c>
      <c r="P73">
        <v>13</v>
      </c>
      <c r="Q73">
        <v>7269.5999999999995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</row>
    <row r="74" spans="2:99" x14ac:dyDescent="0.2">
      <c r="C74" s="119" t="s">
        <v>240</v>
      </c>
      <c r="D74">
        <v>11</v>
      </c>
      <c r="E74">
        <v>4435.2</v>
      </c>
      <c r="F74">
        <v>11</v>
      </c>
      <c r="G74">
        <v>4435.2</v>
      </c>
      <c r="H74">
        <v>20</v>
      </c>
      <c r="I74">
        <v>8064</v>
      </c>
      <c r="J74">
        <v>12</v>
      </c>
      <c r="K74">
        <v>4838.3999999999996</v>
      </c>
      <c r="L74">
        <v>17</v>
      </c>
      <c r="M74">
        <v>6854.4</v>
      </c>
      <c r="N74">
        <v>16</v>
      </c>
      <c r="O74">
        <v>6451.2</v>
      </c>
      <c r="P74">
        <v>14</v>
      </c>
      <c r="Q74">
        <v>5644.8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</row>
    <row r="75" spans="2:99" x14ac:dyDescent="0.2">
      <c r="C75" s="119" t="s">
        <v>241</v>
      </c>
      <c r="D75">
        <v>11</v>
      </c>
      <c r="E75">
        <v>7075.1999999999989</v>
      </c>
      <c r="F75">
        <v>12</v>
      </c>
      <c r="G75">
        <v>7718.4</v>
      </c>
      <c r="H75">
        <v>17</v>
      </c>
      <c r="I75">
        <v>10934.4</v>
      </c>
      <c r="J75">
        <v>13</v>
      </c>
      <c r="K75">
        <v>8361.5999999999985</v>
      </c>
      <c r="L75">
        <v>15</v>
      </c>
      <c r="M75">
        <v>9647.9999999999982</v>
      </c>
      <c r="N75">
        <v>14</v>
      </c>
      <c r="O75">
        <v>9004.7999999999993</v>
      </c>
      <c r="P75">
        <v>13</v>
      </c>
      <c r="Q75">
        <v>8361.5999999999985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</row>
    <row r="76" spans="2:99" x14ac:dyDescent="0.2">
      <c r="C76" s="119" t="s">
        <v>242</v>
      </c>
      <c r="D76">
        <v>11</v>
      </c>
      <c r="E76">
        <v>8566.7999999999993</v>
      </c>
      <c r="F76">
        <v>12</v>
      </c>
      <c r="G76">
        <v>9345.5999999999985</v>
      </c>
      <c r="H76">
        <v>16</v>
      </c>
      <c r="I76">
        <v>12460.8</v>
      </c>
      <c r="J76">
        <v>13</v>
      </c>
      <c r="K76">
        <v>10124.4</v>
      </c>
      <c r="L76">
        <v>15</v>
      </c>
      <c r="M76">
        <v>11682</v>
      </c>
      <c r="N76">
        <v>14</v>
      </c>
      <c r="O76">
        <v>10903.199999999999</v>
      </c>
      <c r="P76">
        <v>13</v>
      </c>
      <c r="Q76">
        <v>10124.4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</row>
    <row r="77" spans="2:99" x14ac:dyDescent="0.2">
      <c r="C77" s="119" t="s">
        <v>243</v>
      </c>
      <c r="D77">
        <v>12</v>
      </c>
      <c r="E77">
        <v>3340.7999999999997</v>
      </c>
      <c r="F77">
        <v>11</v>
      </c>
      <c r="G77">
        <v>3062.3999999999996</v>
      </c>
      <c r="H77">
        <v>20</v>
      </c>
      <c r="I77">
        <v>5568</v>
      </c>
      <c r="J77">
        <v>12</v>
      </c>
      <c r="K77">
        <v>3340.7999999999997</v>
      </c>
      <c r="L77">
        <v>18</v>
      </c>
      <c r="M77">
        <v>5011.2</v>
      </c>
      <c r="N77">
        <v>16</v>
      </c>
      <c r="O77">
        <v>4454.3999999999996</v>
      </c>
      <c r="P77">
        <v>14</v>
      </c>
      <c r="Q77">
        <v>3897.5999999999995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</row>
    <row r="78" spans="2:99" x14ac:dyDescent="0.2">
      <c r="C78" s="119" t="s">
        <v>244</v>
      </c>
      <c r="D78">
        <v>11</v>
      </c>
      <c r="E78">
        <v>6072</v>
      </c>
      <c r="F78">
        <v>12</v>
      </c>
      <c r="G78">
        <v>6624</v>
      </c>
      <c r="H78">
        <v>17</v>
      </c>
      <c r="I78">
        <v>9384</v>
      </c>
      <c r="J78">
        <v>14</v>
      </c>
      <c r="K78">
        <v>7728</v>
      </c>
      <c r="L78">
        <v>17</v>
      </c>
      <c r="M78">
        <v>9384</v>
      </c>
      <c r="N78">
        <v>16</v>
      </c>
      <c r="O78">
        <v>8832</v>
      </c>
      <c r="P78">
        <v>14</v>
      </c>
      <c r="Q78">
        <v>7728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</row>
    <row r="79" spans="2:99" x14ac:dyDescent="0.2">
      <c r="C79" s="119" t="s">
        <v>245</v>
      </c>
      <c r="D79">
        <v>10</v>
      </c>
      <c r="E79">
        <v>7571.9999999999991</v>
      </c>
      <c r="F79">
        <v>11</v>
      </c>
      <c r="G79">
        <v>8329.1999999999989</v>
      </c>
      <c r="H79">
        <v>18</v>
      </c>
      <c r="I79">
        <v>13629.599999999999</v>
      </c>
      <c r="J79">
        <v>12</v>
      </c>
      <c r="K79">
        <v>9086.4</v>
      </c>
      <c r="L79">
        <v>15</v>
      </c>
      <c r="M79">
        <v>11357.999999999998</v>
      </c>
      <c r="N79">
        <v>16</v>
      </c>
      <c r="O79">
        <v>12115.199999999999</v>
      </c>
      <c r="P79">
        <v>13</v>
      </c>
      <c r="Q79">
        <v>9843.5999999999985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</row>
    <row r="80" spans="2:99" x14ac:dyDescent="0.2">
      <c r="C80" s="119" t="s">
        <v>246</v>
      </c>
      <c r="D80">
        <v>10</v>
      </c>
      <c r="E80">
        <v>8051.9999999999991</v>
      </c>
      <c r="F80">
        <v>12</v>
      </c>
      <c r="G80">
        <v>9662.4</v>
      </c>
      <c r="H80">
        <v>16</v>
      </c>
      <c r="I80">
        <v>12883.199999999999</v>
      </c>
      <c r="J80">
        <v>14</v>
      </c>
      <c r="K80">
        <v>11272.8</v>
      </c>
      <c r="L80">
        <v>16</v>
      </c>
      <c r="M80">
        <v>12883.199999999999</v>
      </c>
      <c r="N80">
        <v>15</v>
      </c>
      <c r="O80">
        <v>12077.999999999998</v>
      </c>
      <c r="P80">
        <v>14</v>
      </c>
      <c r="Q80">
        <v>11272.8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</row>
    <row r="81" spans="2:99" x14ac:dyDescent="0.2">
      <c r="C81" s="119" t="s">
        <v>247</v>
      </c>
      <c r="D81">
        <v>10</v>
      </c>
      <c r="E81">
        <v>7536</v>
      </c>
      <c r="F81">
        <v>10</v>
      </c>
      <c r="G81">
        <v>7536</v>
      </c>
      <c r="H81">
        <v>16</v>
      </c>
      <c r="I81">
        <v>12057.6</v>
      </c>
      <c r="J81">
        <v>12</v>
      </c>
      <c r="K81">
        <v>9043.2000000000007</v>
      </c>
      <c r="L81">
        <v>15</v>
      </c>
      <c r="M81">
        <v>11304</v>
      </c>
      <c r="N81">
        <v>15</v>
      </c>
      <c r="O81">
        <v>11304</v>
      </c>
      <c r="P81">
        <v>13</v>
      </c>
      <c r="Q81">
        <v>9796.8000000000011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</row>
    <row r="82" spans="2:99" x14ac:dyDescent="0.2">
      <c r="C82" s="119" t="s">
        <v>248</v>
      </c>
      <c r="D82">
        <v>11</v>
      </c>
      <c r="E82">
        <v>5596.7999999999993</v>
      </c>
      <c r="F82">
        <v>11</v>
      </c>
      <c r="G82">
        <v>5596.7999999999993</v>
      </c>
      <c r="H82">
        <v>17</v>
      </c>
      <c r="I82">
        <v>8649.5999999999985</v>
      </c>
      <c r="J82">
        <v>12</v>
      </c>
      <c r="K82">
        <v>6105.5999999999985</v>
      </c>
      <c r="L82">
        <v>16</v>
      </c>
      <c r="M82">
        <v>8140.7999999999984</v>
      </c>
      <c r="N82">
        <v>17</v>
      </c>
      <c r="O82">
        <v>8649.5999999999985</v>
      </c>
      <c r="P82">
        <v>13</v>
      </c>
      <c r="Q82">
        <v>6614.3999999999987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</row>
    <row r="83" spans="2:99" x14ac:dyDescent="0.2">
      <c r="C83" s="119" t="s">
        <v>249</v>
      </c>
      <c r="D83">
        <v>10</v>
      </c>
      <c r="E83">
        <v>8604</v>
      </c>
      <c r="F83">
        <v>12</v>
      </c>
      <c r="G83">
        <v>10324.799999999999</v>
      </c>
      <c r="H83">
        <v>18</v>
      </c>
      <c r="I83">
        <v>15487.199999999999</v>
      </c>
      <c r="J83">
        <v>13</v>
      </c>
      <c r="K83">
        <v>11185.199999999999</v>
      </c>
      <c r="L83">
        <v>15</v>
      </c>
      <c r="M83">
        <v>12906</v>
      </c>
      <c r="N83">
        <v>15</v>
      </c>
      <c r="O83">
        <v>12906</v>
      </c>
      <c r="P83">
        <v>12</v>
      </c>
      <c r="Q83">
        <v>10324.799999999999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</row>
    <row r="84" spans="2:99" x14ac:dyDescent="0.2">
      <c r="C84" s="119" t="s">
        <v>250</v>
      </c>
      <c r="D84">
        <v>11</v>
      </c>
      <c r="E84">
        <v>8593.1999999999989</v>
      </c>
      <c r="F84">
        <v>12</v>
      </c>
      <c r="G84">
        <v>9374.4</v>
      </c>
      <c r="H84">
        <v>17</v>
      </c>
      <c r="I84">
        <v>13280.4</v>
      </c>
      <c r="J84">
        <v>13</v>
      </c>
      <c r="K84">
        <v>10155.599999999999</v>
      </c>
      <c r="L84">
        <v>14</v>
      </c>
      <c r="M84">
        <v>10936.8</v>
      </c>
      <c r="N84">
        <v>16</v>
      </c>
      <c r="O84">
        <v>12499.199999999999</v>
      </c>
      <c r="P84">
        <v>13</v>
      </c>
      <c r="Q84">
        <v>10155.599999999999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</row>
    <row r="85" spans="2:99" x14ac:dyDescent="0.2">
      <c r="C85" s="119" t="s">
        <v>251</v>
      </c>
      <c r="D85">
        <v>12</v>
      </c>
      <c r="E85">
        <v>1800</v>
      </c>
      <c r="F85">
        <v>12</v>
      </c>
      <c r="G85">
        <v>1800</v>
      </c>
      <c r="H85">
        <v>18</v>
      </c>
      <c r="I85">
        <v>2700</v>
      </c>
      <c r="J85">
        <v>13</v>
      </c>
      <c r="K85">
        <v>1950</v>
      </c>
      <c r="L85">
        <v>18</v>
      </c>
      <c r="M85">
        <v>2700</v>
      </c>
      <c r="N85">
        <v>17</v>
      </c>
      <c r="O85">
        <v>2550</v>
      </c>
      <c r="P85">
        <v>16</v>
      </c>
      <c r="Q85">
        <v>2400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</row>
    <row r="86" spans="2:99" x14ac:dyDescent="0.2">
      <c r="C86" s="119" t="s">
        <v>252</v>
      </c>
      <c r="D86">
        <v>10</v>
      </c>
      <c r="E86">
        <v>5400</v>
      </c>
      <c r="F86">
        <v>10</v>
      </c>
      <c r="G86">
        <v>5400</v>
      </c>
      <c r="H86">
        <v>17</v>
      </c>
      <c r="I86">
        <v>9180</v>
      </c>
      <c r="J86">
        <v>12</v>
      </c>
      <c r="K86">
        <v>6480</v>
      </c>
      <c r="L86">
        <v>16</v>
      </c>
      <c r="M86">
        <v>8640</v>
      </c>
      <c r="N86">
        <v>16</v>
      </c>
      <c r="O86">
        <v>8640</v>
      </c>
      <c r="P86">
        <v>15</v>
      </c>
      <c r="Q86">
        <v>8100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</row>
    <row r="87" spans="2:99" x14ac:dyDescent="0.2">
      <c r="B87" s="119" t="s">
        <v>131</v>
      </c>
      <c r="C87" s="119" t="s">
        <v>253</v>
      </c>
      <c r="D87">
        <v>11</v>
      </c>
      <c r="E87">
        <v>21502.799999999999</v>
      </c>
      <c r="F87">
        <v>11</v>
      </c>
      <c r="G87">
        <v>21502.799999999999</v>
      </c>
      <c r="H87">
        <v>14</v>
      </c>
      <c r="I87">
        <v>27367.200000000001</v>
      </c>
      <c r="J87">
        <v>20</v>
      </c>
      <c r="K87">
        <v>39096</v>
      </c>
      <c r="L87">
        <v>14</v>
      </c>
      <c r="M87">
        <v>27367.200000000001</v>
      </c>
      <c r="N87">
        <v>12</v>
      </c>
      <c r="O87">
        <v>23457.599999999999</v>
      </c>
      <c r="P87">
        <v>15</v>
      </c>
      <c r="Q87">
        <v>29322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</row>
    <row r="88" spans="2:99" x14ac:dyDescent="0.2">
      <c r="C88" s="119" t="s">
        <v>254</v>
      </c>
      <c r="D88">
        <v>11</v>
      </c>
      <c r="E88">
        <v>20816.399999999998</v>
      </c>
      <c r="F88">
        <v>11</v>
      </c>
      <c r="G88">
        <v>20816.399999999998</v>
      </c>
      <c r="H88">
        <v>14</v>
      </c>
      <c r="I88">
        <v>26493.599999999999</v>
      </c>
      <c r="J88">
        <v>19</v>
      </c>
      <c r="K88">
        <v>35955.599999999999</v>
      </c>
      <c r="L88">
        <v>14</v>
      </c>
      <c r="M88">
        <v>26493.599999999999</v>
      </c>
      <c r="N88">
        <v>12</v>
      </c>
      <c r="O88">
        <v>22708.799999999999</v>
      </c>
      <c r="P88">
        <v>16</v>
      </c>
      <c r="Q88">
        <v>30278.399999999998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</row>
    <row r="89" spans="2:99" x14ac:dyDescent="0.2">
      <c r="C89" s="119" t="s">
        <v>255</v>
      </c>
      <c r="D89">
        <v>12</v>
      </c>
      <c r="E89">
        <v>28771.199999999997</v>
      </c>
      <c r="F89">
        <v>10</v>
      </c>
      <c r="G89">
        <v>23976</v>
      </c>
      <c r="H89">
        <v>12</v>
      </c>
      <c r="I89">
        <v>28771.199999999997</v>
      </c>
      <c r="J89">
        <v>19</v>
      </c>
      <c r="K89">
        <v>45554.400000000001</v>
      </c>
      <c r="L89">
        <v>14</v>
      </c>
      <c r="M89">
        <v>33566.400000000001</v>
      </c>
      <c r="N89">
        <v>10</v>
      </c>
      <c r="O89">
        <v>23976</v>
      </c>
      <c r="P89">
        <v>13</v>
      </c>
      <c r="Q89">
        <v>31168.799999999999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</row>
    <row r="90" spans="2:99" x14ac:dyDescent="0.2">
      <c r="C90" s="119" t="s">
        <v>256</v>
      </c>
      <c r="D90">
        <v>12</v>
      </c>
      <c r="E90">
        <v>26366.399999999998</v>
      </c>
      <c r="F90">
        <v>12</v>
      </c>
      <c r="G90">
        <v>26366.399999999998</v>
      </c>
      <c r="H90">
        <v>13</v>
      </c>
      <c r="I90">
        <v>28563.599999999999</v>
      </c>
      <c r="J90">
        <v>18</v>
      </c>
      <c r="K90">
        <v>39549.599999999999</v>
      </c>
      <c r="L90">
        <v>14</v>
      </c>
      <c r="M90">
        <v>30760.799999999996</v>
      </c>
      <c r="N90">
        <v>12</v>
      </c>
      <c r="O90">
        <v>26366.399999999998</v>
      </c>
      <c r="P90">
        <v>13</v>
      </c>
      <c r="Q90">
        <v>28563.599999999999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</row>
    <row r="91" spans="2:99" x14ac:dyDescent="0.2">
      <c r="C91" s="119" t="s">
        <v>257</v>
      </c>
      <c r="D91">
        <v>11</v>
      </c>
      <c r="E91">
        <v>25264.799999999996</v>
      </c>
      <c r="F91">
        <v>10</v>
      </c>
      <c r="G91">
        <v>22967.999999999996</v>
      </c>
      <c r="H91">
        <v>11</v>
      </c>
      <c r="I91">
        <v>25264.799999999996</v>
      </c>
      <c r="J91">
        <v>18</v>
      </c>
      <c r="K91">
        <v>41342.399999999994</v>
      </c>
      <c r="L91">
        <v>15</v>
      </c>
      <c r="M91">
        <v>34451.999999999993</v>
      </c>
      <c r="N91">
        <v>12</v>
      </c>
      <c r="O91">
        <v>27561.599999999999</v>
      </c>
      <c r="P91">
        <v>14</v>
      </c>
      <c r="Q91">
        <v>32155.199999999997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</row>
    <row r="92" spans="2:99" x14ac:dyDescent="0.2">
      <c r="C92" s="119" t="s">
        <v>258</v>
      </c>
      <c r="D92">
        <v>13</v>
      </c>
      <c r="E92">
        <v>18470.399999999998</v>
      </c>
      <c r="F92">
        <v>12</v>
      </c>
      <c r="G92">
        <v>17049.599999999999</v>
      </c>
      <c r="H92">
        <v>14</v>
      </c>
      <c r="I92">
        <v>19891.2</v>
      </c>
      <c r="J92">
        <v>23</v>
      </c>
      <c r="K92">
        <v>32678.399999999998</v>
      </c>
      <c r="L92">
        <v>15</v>
      </c>
      <c r="M92">
        <v>21312</v>
      </c>
      <c r="N92">
        <v>12</v>
      </c>
      <c r="O92">
        <v>17049.599999999999</v>
      </c>
      <c r="P92">
        <v>17</v>
      </c>
      <c r="Q92">
        <v>24153.599999999999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</row>
    <row r="93" spans="2:99" x14ac:dyDescent="0.2">
      <c r="C93" s="119" t="s">
        <v>259</v>
      </c>
      <c r="D93">
        <v>12</v>
      </c>
      <c r="E93">
        <v>21268.799999999999</v>
      </c>
      <c r="F93">
        <v>11</v>
      </c>
      <c r="G93">
        <v>19496.399999999998</v>
      </c>
      <c r="H93">
        <v>14</v>
      </c>
      <c r="I93">
        <v>24813.599999999999</v>
      </c>
      <c r="J93">
        <v>20</v>
      </c>
      <c r="K93">
        <v>35448</v>
      </c>
      <c r="L93">
        <v>15</v>
      </c>
      <c r="M93">
        <v>26585.999999999996</v>
      </c>
      <c r="N93">
        <v>11</v>
      </c>
      <c r="O93">
        <v>19496.399999999998</v>
      </c>
      <c r="P93">
        <v>16</v>
      </c>
      <c r="Q93">
        <v>28358.399999999998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</row>
    <row r="94" spans="2:99" x14ac:dyDescent="0.2">
      <c r="C94" s="119" t="s">
        <v>260</v>
      </c>
      <c r="D94">
        <v>12</v>
      </c>
      <c r="E94">
        <v>28742.399999999998</v>
      </c>
      <c r="F94">
        <v>10</v>
      </c>
      <c r="G94">
        <v>23952</v>
      </c>
      <c r="H94">
        <v>14</v>
      </c>
      <c r="I94">
        <v>33532.799999999996</v>
      </c>
      <c r="J94">
        <v>20</v>
      </c>
      <c r="K94">
        <v>47904</v>
      </c>
      <c r="L94">
        <v>15</v>
      </c>
      <c r="M94">
        <v>35928</v>
      </c>
      <c r="N94">
        <v>11</v>
      </c>
      <c r="O94">
        <v>26347.199999999997</v>
      </c>
      <c r="P94">
        <v>14</v>
      </c>
      <c r="Q94">
        <v>33532.799999999996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</row>
    <row r="95" spans="2:99" x14ac:dyDescent="0.2">
      <c r="B95" s="119" t="s">
        <v>132</v>
      </c>
      <c r="C95" s="119" t="s">
        <v>261</v>
      </c>
      <c r="D95">
        <v>12</v>
      </c>
      <c r="E95">
        <v>20793.599999999999</v>
      </c>
      <c r="F95">
        <v>13</v>
      </c>
      <c r="G95">
        <v>22526.399999999998</v>
      </c>
      <c r="H95">
        <v>14</v>
      </c>
      <c r="I95">
        <v>24259.200000000001</v>
      </c>
      <c r="J95">
        <v>14</v>
      </c>
      <c r="K95">
        <v>24259.200000000001</v>
      </c>
      <c r="L95">
        <v>9</v>
      </c>
      <c r="M95">
        <v>15595.199999999999</v>
      </c>
      <c r="N95">
        <v>15</v>
      </c>
      <c r="O95">
        <v>25992</v>
      </c>
      <c r="P95">
        <v>7</v>
      </c>
      <c r="Q95">
        <v>12129.6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</row>
    <row r="96" spans="2:99" x14ac:dyDescent="0.2">
      <c r="C96" s="119" t="s">
        <v>262</v>
      </c>
      <c r="D96">
        <v>15</v>
      </c>
      <c r="E96">
        <v>12347.999999999998</v>
      </c>
      <c r="F96">
        <v>15</v>
      </c>
      <c r="G96">
        <v>12347.999999999998</v>
      </c>
      <c r="H96">
        <v>16</v>
      </c>
      <c r="I96">
        <v>13171.199999999999</v>
      </c>
      <c r="J96">
        <v>15</v>
      </c>
      <c r="K96">
        <v>12347.999999999998</v>
      </c>
      <c r="L96">
        <v>8</v>
      </c>
      <c r="M96">
        <v>6585.5999999999995</v>
      </c>
      <c r="N96">
        <v>15</v>
      </c>
      <c r="O96">
        <v>12347.999999999998</v>
      </c>
      <c r="P96">
        <v>9</v>
      </c>
      <c r="Q96">
        <v>7408.7999999999993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</row>
    <row r="97" spans="2:99" x14ac:dyDescent="0.2">
      <c r="C97" s="119" t="s">
        <v>263</v>
      </c>
      <c r="D97">
        <v>12</v>
      </c>
      <c r="E97">
        <v>21945.599999999999</v>
      </c>
      <c r="F97">
        <v>13</v>
      </c>
      <c r="G97">
        <v>23774.399999999998</v>
      </c>
      <c r="H97">
        <v>14</v>
      </c>
      <c r="I97">
        <v>25603.200000000001</v>
      </c>
      <c r="J97">
        <v>12</v>
      </c>
      <c r="K97">
        <v>21945.599999999999</v>
      </c>
      <c r="L97">
        <v>8</v>
      </c>
      <c r="M97">
        <v>14630.4</v>
      </c>
      <c r="N97">
        <v>14</v>
      </c>
      <c r="O97">
        <v>25603.200000000001</v>
      </c>
      <c r="P97">
        <v>8</v>
      </c>
      <c r="Q97">
        <v>14630.4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</row>
    <row r="98" spans="2:99" x14ac:dyDescent="0.2">
      <c r="C98" s="119" t="s">
        <v>264</v>
      </c>
      <c r="D98">
        <v>12</v>
      </c>
      <c r="E98">
        <v>15163.199999999999</v>
      </c>
      <c r="F98">
        <v>13</v>
      </c>
      <c r="G98">
        <v>16426.8</v>
      </c>
      <c r="H98">
        <v>15</v>
      </c>
      <c r="I98">
        <v>18954</v>
      </c>
      <c r="J98">
        <v>13</v>
      </c>
      <c r="K98">
        <v>16426.8</v>
      </c>
      <c r="L98">
        <v>8</v>
      </c>
      <c r="M98">
        <v>10108.799999999999</v>
      </c>
      <c r="N98">
        <v>14</v>
      </c>
      <c r="O98">
        <v>17690.399999999998</v>
      </c>
      <c r="P98">
        <v>9</v>
      </c>
      <c r="Q98">
        <v>11372.4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</row>
    <row r="99" spans="2:99" x14ac:dyDescent="0.2">
      <c r="C99" s="119" t="s">
        <v>265</v>
      </c>
      <c r="D99">
        <v>10</v>
      </c>
      <c r="E99">
        <v>54815.999999999993</v>
      </c>
      <c r="F99">
        <v>9</v>
      </c>
      <c r="G99">
        <v>49334.399999999994</v>
      </c>
      <c r="H99">
        <v>10</v>
      </c>
      <c r="I99">
        <v>54815.999999999993</v>
      </c>
      <c r="J99">
        <v>9</v>
      </c>
      <c r="K99">
        <v>49334.399999999994</v>
      </c>
      <c r="L99">
        <v>6</v>
      </c>
      <c r="M99">
        <v>32889.599999999999</v>
      </c>
      <c r="N99">
        <v>10</v>
      </c>
      <c r="O99">
        <v>54815.999999999993</v>
      </c>
      <c r="P99">
        <v>5</v>
      </c>
      <c r="Q99">
        <v>27407.999999999996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</row>
    <row r="100" spans="2:99" x14ac:dyDescent="0.2">
      <c r="C100" s="119" t="s">
        <v>266</v>
      </c>
      <c r="D100">
        <v>14</v>
      </c>
      <c r="E100">
        <v>22713.599999999999</v>
      </c>
      <c r="F100">
        <v>12</v>
      </c>
      <c r="G100">
        <v>19468.8</v>
      </c>
      <c r="H100">
        <v>15</v>
      </c>
      <c r="I100">
        <v>24335.999999999996</v>
      </c>
      <c r="J100">
        <v>12</v>
      </c>
      <c r="K100">
        <v>19468.8</v>
      </c>
      <c r="L100">
        <v>8</v>
      </c>
      <c r="M100">
        <v>12979.199999999999</v>
      </c>
      <c r="N100">
        <v>16</v>
      </c>
      <c r="O100">
        <v>25958.399999999998</v>
      </c>
      <c r="P100">
        <v>8</v>
      </c>
      <c r="Q100">
        <v>12979.199999999999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</row>
    <row r="101" spans="2:99" x14ac:dyDescent="0.2">
      <c r="C101" s="119" t="s">
        <v>267</v>
      </c>
      <c r="D101">
        <v>14</v>
      </c>
      <c r="E101">
        <v>16665.599999999999</v>
      </c>
      <c r="F101">
        <v>14</v>
      </c>
      <c r="G101">
        <v>16665.599999999999</v>
      </c>
      <c r="H101">
        <v>16</v>
      </c>
      <c r="I101">
        <v>19046.399999999998</v>
      </c>
      <c r="J101">
        <v>15</v>
      </c>
      <c r="K101">
        <v>17855.999999999996</v>
      </c>
      <c r="L101">
        <v>8</v>
      </c>
      <c r="M101">
        <v>9523.1999999999989</v>
      </c>
      <c r="N101">
        <v>17</v>
      </c>
      <c r="O101">
        <v>20236.8</v>
      </c>
      <c r="P101">
        <v>8</v>
      </c>
      <c r="Q101">
        <v>9523.1999999999989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</row>
    <row r="102" spans="2:99" x14ac:dyDescent="0.2">
      <c r="C102" s="119" t="s">
        <v>268</v>
      </c>
      <c r="D102">
        <v>13</v>
      </c>
      <c r="E102">
        <v>25209.599999999999</v>
      </c>
      <c r="F102">
        <v>11</v>
      </c>
      <c r="G102">
        <v>21331.199999999997</v>
      </c>
      <c r="H102">
        <v>15</v>
      </c>
      <c r="I102">
        <v>29087.999999999996</v>
      </c>
      <c r="J102">
        <v>12</v>
      </c>
      <c r="K102">
        <v>23270.399999999998</v>
      </c>
      <c r="L102">
        <v>7</v>
      </c>
      <c r="M102">
        <v>13574.399999999998</v>
      </c>
      <c r="N102">
        <v>15</v>
      </c>
      <c r="O102">
        <v>29087.999999999996</v>
      </c>
      <c r="P102">
        <v>8</v>
      </c>
      <c r="Q102">
        <v>15513.599999999999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</row>
    <row r="103" spans="2:99" x14ac:dyDescent="0.2">
      <c r="C103" s="119" t="s">
        <v>269</v>
      </c>
      <c r="D103">
        <v>11</v>
      </c>
      <c r="E103">
        <v>22308</v>
      </c>
      <c r="F103">
        <v>11</v>
      </c>
      <c r="G103">
        <v>22308</v>
      </c>
      <c r="H103">
        <v>16</v>
      </c>
      <c r="I103">
        <v>32448</v>
      </c>
      <c r="J103">
        <v>12</v>
      </c>
      <c r="K103">
        <v>24336</v>
      </c>
      <c r="L103">
        <v>8</v>
      </c>
      <c r="M103">
        <v>16224</v>
      </c>
      <c r="N103">
        <v>14</v>
      </c>
      <c r="O103">
        <v>28392</v>
      </c>
      <c r="P103">
        <v>8</v>
      </c>
      <c r="Q103">
        <v>16224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</row>
    <row r="104" spans="2:99" x14ac:dyDescent="0.2">
      <c r="C104" s="119" t="s">
        <v>270</v>
      </c>
      <c r="D104">
        <v>12</v>
      </c>
      <c r="E104">
        <v>24868.800000000003</v>
      </c>
      <c r="F104">
        <v>13</v>
      </c>
      <c r="G104">
        <v>26941.200000000001</v>
      </c>
      <c r="H104">
        <v>14</v>
      </c>
      <c r="I104">
        <v>29013.600000000002</v>
      </c>
      <c r="J104">
        <v>13</v>
      </c>
      <c r="K104">
        <v>26941.200000000001</v>
      </c>
      <c r="L104">
        <v>8</v>
      </c>
      <c r="M104">
        <v>16579.2</v>
      </c>
      <c r="N104">
        <v>14</v>
      </c>
      <c r="O104">
        <v>29013.600000000002</v>
      </c>
      <c r="P104">
        <v>8</v>
      </c>
      <c r="Q104">
        <v>16579.2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</row>
    <row r="105" spans="2:99" x14ac:dyDescent="0.2">
      <c r="C105" s="119" t="s">
        <v>271</v>
      </c>
      <c r="D105">
        <v>13</v>
      </c>
      <c r="E105">
        <v>25974</v>
      </c>
      <c r="F105">
        <v>13</v>
      </c>
      <c r="G105">
        <v>25974</v>
      </c>
      <c r="H105">
        <v>15</v>
      </c>
      <c r="I105">
        <v>29970</v>
      </c>
      <c r="J105">
        <v>14</v>
      </c>
      <c r="K105">
        <v>27972</v>
      </c>
      <c r="L105">
        <v>8</v>
      </c>
      <c r="M105">
        <v>15984</v>
      </c>
      <c r="N105">
        <v>14</v>
      </c>
      <c r="O105">
        <v>27972</v>
      </c>
      <c r="P105">
        <v>8</v>
      </c>
      <c r="Q105">
        <v>15984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</row>
    <row r="107" spans="2:99" x14ac:dyDescent="0.2">
      <c r="B107" s="122" t="s">
        <v>276</v>
      </c>
    </row>
    <row r="108" spans="2:99" x14ac:dyDescent="0.2">
      <c r="C108" s="119" t="s">
        <v>277</v>
      </c>
      <c r="D108" s="119" t="s">
        <v>92</v>
      </c>
      <c r="E108" s="119" t="s">
        <v>93</v>
      </c>
      <c r="F108" s="119" t="s">
        <v>94</v>
      </c>
      <c r="G108" s="119" t="s">
        <v>95</v>
      </c>
      <c r="H108" s="119" t="s">
        <v>96</v>
      </c>
      <c r="I108" s="119" t="s">
        <v>97</v>
      </c>
      <c r="J108" s="119" t="s">
        <v>98</v>
      </c>
      <c r="K108" s="119" t="s">
        <v>99</v>
      </c>
      <c r="L108" s="119" t="s">
        <v>100</v>
      </c>
      <c r="M108" s="119" t="s">
        <v>101</v>
      </c>
      <c r="N108" s="119" t="s">
        <v>102</v>
      </c>
      <c r="O108" s="119" t="s">
        <v>103</v>
      </c>
    </row>
    <row r="109" spans="2:99" x14ac:dyDescent="0.2">
      <c r="C109" s="119" t="s">
        <v>126</v>
      </c>
      <c r="D109">
        <f>SUM(D$6:D$19)+SUM(F$6:F$19)+SUM(H$6:H$19)+SUM(J$6:J$19)</f>
        <v>471</v>
      </c>
      <c r="E109">
        <f>SUM(L$6:L$19)+SUM(N$6:N$19)+SUM(P$6:P$19)+SUM(R$6:R$19)</f>
        <v>472</v>
      </c>
      <c r="F109">
        <f>SUM(T$6:T$19)+SUM(V$6:V$19)+SUM(X$6:X$19)+SUM(Z$6:Z$19)</f>
        <v>438</v>
      </c>
      <c r="G109">
        <f>SUM(AB$6:AB$19)+SUM(AD$6:AD$19)+SUM(AF$6:AF$19)+SUM(AH$6:AH$19)</f>
        <v>492</v>
      </c>
      <c r="H109">
        <f>SUM(AJ$6:AJ$19)+SUM(AL$6:AL$19)+SUM(AN$6:AN$19)+SUM(AP$6:AP$19)</f>
        <v>532</v>
      </c>
      <c r="I109">
        <f>SUM(AR$6:AR$19)+SUM(AT$6:AT$19)+SUM(AV$6:AV$19)+SUM(AX$6:AX$19)</f>
        <v>473</v>
      </c>
      <c r="J109">
        <f>SUM(AZ$6:AZ$19)+SUM(BB$6:BB$19)+SUM(BD$6:BD$19)+SUM(BF$6:BF$19)</f>
        <v>432</v>
      </c>
      <c r="K109">
        <f>SUM(BH$6:BH$19)+SUM(BJ$6:BJ$19)+SUM(BL$6:BL$19)+SUM(BN$6:BN$19)</f>
        <v>486</v>
      </c>
      <c r="L109">
        <f>SUM(BP$6:BP$19)+SUM(BR$6:BR$19)+SUM(BT$6:BT$19)+SUM(BV$6:BV$19)</f>
        <v>470</v>
      </c>
      <c r="M109">
        <f>SUM(BX$6:BX$19)+SUM(BZ$6:BZ$19)+SUM(CB$6:CB$19)+SUM(CD$6:CD$19)</f>
        <v>566</v>
      </c>
      <c r="N109">
        <f>SUM(CF$6:CF$19)+SUM(CH$6:CH$19)+SUM(CJ$6:CJ$19)+SUM(CL$6:CL$19)</f>
        <v>552</v>
      </c>
      <c r="O109">
        <f>SUM(CN$6:CN$19)+SUM(CP$6:CP$19)+SUM(CR$6:CR$19)+SUM(CT$6:CT$19)</f>
        <v>515</v>
      </c>
    </row>
    <row r="110" spans="2:99" x14ac:dyDescent="0.2">
      <c r="C110" s="119" t="s">
        <v>127</v>
      </c>
      <c r="D110">
        <f>SUM(D$20:D$36)+SUM(F$20:F$36)+SUM(H$20:H$36)+SUM(J$20:J$36)</f>
        <v>1292</v>
      </c>
      <c r="E110">
        <f>SUM(L$20:L$36)+SUM(N$20:N$36)+SUM(P$20:P$36)+SUM(R$20:R$36)</f>
        <v>1033</v>
      </c>
      <c r="F110">
        <f>SUM(T$20:T$36)+SUM(V$20:V$36)+SUM(X$20:X$36)+SUM(Z$20:Z$36)</f>
        <v>1163</v>
      </c>
      <c r="G110">
        <f>SUM(AB$20:AB$36)+SUM(AD$20:AD$36)+SUM(AF$20:AF$36)+SUM(AH$20:AH$36)</f>
        <v>1348</v>
      </c>
      <c r="H110">
        <f>SUM(AJ$20:AJ$36)+SUM(AL$20:AL$36)+SUM(AN$20:AN$36)+SUM(AP$20:AP$36)</f>
        <v>1317</v>
      </c>
      <c r="I110">
        <f>SUM(AR$20:AR$36)+SUM(AT$20:AT$36)+SUM(AV$20:AV$36)+SUM(AX$20:AX$36)</f>
        <v>1158</v>
      </c>
      <c r="J110">
        <f>SUM(AZ$20:AZ$36)+SUM(BB$20:BB$36)+SUM(BD$20:BD$36)+SUM(BF$20:BF$36)</f>
        <v>1597</v>
      </c>
      <c r="K110">
        <f>SUM(BH$20:BH$36)+SUM(BJ$20:BJ$36)+SUM(BL$20:BL$36)+SUM(BN$20:BN$36)</f>
        <v>1462</v>
      </c>
      <c r="L110">
        <f>SUM(BP$20:BP$36)+SUM(BR$20:BR$36)+SUM(BT$20:BT$36)+SUM(BV$20:BV$36)</f>
        <v>1473</v>
      </c>
      <c r="M110">
        <f>SUM(BX$20:BX$36)+SUM(BZ$20:BZ$36)+SUM(CB$20:CB$36)+SUM(CD$20:CD$36)</f>
        <v>1343</v>
      </c>
      <c r="N110">
        <f>SUM(CF$20:CF$36)+SUM(CH$20:CH$36)+SUM(CJ$20:CJ$36)+SUM(CL$20:CL$36)</f>
        <v>1037</v>
      </c>
      <c r="O110">
        <f>SUM(CN$20:CN$36)+SUM(CP$20:CP$36)+SUM(CR$20:CR$36)+SUM(CT$20:CT$36)</f>
        <v>1109</v>
      </c>
    </row>
    <row r="111" spans="2:99" x14ac:dyDescent="0.2">
      <c r="C111" s="119" t="s">
        <v>128</v>
      </c>
      <c r="D111">
        <f>SUM(D$37:D$48)+SUM(F$37:F$48)+SUM(H$37:H$48)+SUM(J$37:J$48)</f>
        <v>857</v>
      </c>
      <c r="E111">
        <f>SUM(L$37:L$48)+SUM(N$37:N$48)+SUM(P$37:P$48)+SUM(R$37:R$48)</f>
        <v>851</v>
      </c>
      <c r="F111">
        <f>SUM(T$37:T$48)+SUM(V$37:V$48)+SUM(X$37:X$48)+SUM(Z$37:Z$48)</f>
        <v>752</v>
      </c>
      <c r="G111">
        <f>SUM(AB$37:AB$48)+SUM(AD$37:AD$48)+SUM(AF$37:AF$48)+SUM(AH$37:AH$48)</f>
        <v>716</v>
      </c>
      <c r="H111">
        <f>SUM(AJ$37:AJ$48)+SUM(AL$37:AL$48)+SUM(AN$37:AN$48)+SUM(AP$37:AP$48)</f>
        <v>776</v>
      </c>
      <c r="I111">
        <f>SUM(AR$37:AR$48)+SUM(AT$37:AT$48)+SUM(AV$37:AV$48)+SUM(AX$37:AX$48)</f>
        <v>880</v>
      </c>
      <c r="J111">
        <f>SUM(AZ$37:AZ$48)+SUM(BB$37:BB$48)+SUM(BD$37:BD$48)+SUM(BF$37:BF$48)</f>
        <v>940</v>
      </c>
      <c r="K111">
        <f>SUM(BH$37:BH$48)+SUM(BJ$37:BJ$48)+SUM(BL$37:BL$48)+SUM(BN$37:BN$48)</f>
        <v>819</v>
      </c>
      <c r="L111">
        <f>SUM(BP$37:BP$48)+SUM(BR$37:BR$48)+SUM(BT$37:BT$48)+SUM(BV$37:BV$48)</f>
        <v>760</v>
      </c>
      <c r="M111">
        <f>SUM(BX$37:BX$48)+SUM(BZ$37:BZ$48)+SUM(CB$37:CB$48)+SUM(CD$37:CD$48)</f>
        <v>737</v>
      </c>
      <c r="N111">
        <f>SUM(CF$37:CF$48)+SUM(CH$37:CH$48)+SUM(CJ$37:CJ$48)+SUM(CL$37:CL$48)</f>
        <v>760</v>
      </c>
      <c r="O111">
        <f>SUM(CN$37:CN$48)+SUM(CP$37:CP$48)+SUM(CR$37:CR$48)+SUM(CT$37:CT$48)</f>
        <v>856</v>
      </c>
    </row>
    <row r="112" spans="2:99" x14ac:dyDescent="0.2">
      <c r="C112" s="119" t="s">
        <v>129</v>
      </c>
      <c r="D112">
        <f>SUM(D$49:D$70)+SUM(F$49:F$70)+SUM(H$49:H$70)+SUM(J$49:J$70)</f>
        <v>1484</v>
      </c>
      <c r="E112">
        <f>SUM(L$49:L$70)+SUM(N$49:N$70)+SUM(P$49:P$70)+SUM(R$49:R$70)</f>
        <v>1336</v>
      </c>
      <c r="F112">
        <f>SUM(T$49:T$70)+SUM(V$49:V$70)+SUM(X$49:X$70)+SUM(Z$49:Z$70)</f>
        <v>1234</v>
      </c>
      <c r="G112">
        <f>SUM(AB$49:AB$70)+SUM(AD$49:AD$70)+SUM(AF$49:AF$70)+SUM(AH$49:AH$70)</f>
        <v>1125</v>
      </c>
      <c r="H112">
        <f>SUM(AJ$49:AJ$70)+SUM(AL$49:AL$70)+SUM(AN$49:AN$70)+SUM(AP$49:AP$70)</f>
        <v>1288</v>
      </c>
      <c r="I112">
        <f>SUM(AR$49:AR$70)+SUM(AT$49:AT$70)+SUM(AV$49:AV$70)+SUM(AX$49:AX$70)</f>
        <v>1059</v>
      </c>
      <c r="J112">
        <f>SUM(AZ$49:AZ$70)+SUM(BB$49:BB$70)+SUM(BD$49:BD$70)+SUM(BF$49:BF$70)</f>
        <v>1078</v>
      </c>
      <c r="K112">
        <f>SUM(BH$49:BH$70)+SUM(BJ$49:BJ$70)+SUM(BL$49:BL$70)+SUM(BN$49:BN$70)</f>
        <v>1443</v>
      </c>
      <c r="L112">
        <f>SUM(BP$49:BP$70)+SUM(BR$49:BR$70)+SUM(BT$49:BT$70)+SUM(BV$49:BV$70)</f>
        <v>1400</v>
      </c>
      <c r="M112">
        <f>SUM(BX$49:BX$70)+SUM(BZ$49:BZ$70)+SUM(CB$49:CB$70)+SUM(CD$49:CD$70)</f>
        <v>1364</v>
      </c>
      <c r="N112">
        <f>SUM(CF$49:CF$70)+SUM(CH$49:CH$70)+SUM(CJ$49:CJ$70)+SUM(CL$49:CL$70)</f>
        <v>1375</v>
      </c>
      <c r="O112">
        <f>SUM(CN$49:CN$70)+SUM(CP$49:CP$70)+SUM(CR$49:CR$70)+SUM(CT$49:CT$70)</f>
        <v>1453</v>
      </c>
    </row>
    <row r="113" spans="2:15" x14ac:dyDescent="0.2">
      <c r="C113" s="119" t="s">
        <v>130</v>
      </c>
      <c r="D113">
        <f>SUM(D$71:D$86)+SUM(F$71:F$86)+SUM(H$71:H$86)+SUM(J$71:J$86)</f>
        <v>842</v>
      </c>
      <c r="E113">
        <f>SUM(L$71:L$86)+SUM(N$71:N$86)+SUM(P$71:P$86)+SUM(R$71:R$86)</f>
        <v>727</v>
      </c>
      <c r="F113">
        <f>SUM(T$71:T$86)+SUM(V$71:V$86)+SUM(X$71:X$86)+SUM(Z$71:Z$86)</f>
        <v>0</v>
      </c>
      <c r="G113">
        <f>SUM(AB$71:AB$86)+SUM(AD$71:AD$86)+SUM(AF$71:AF$86)+SUM(AH$71:AH$86)</f>
        <v>0</v>
      </c>
      <c r="H113">
        <f>SUM(AJ$71:AJ$86)+SUM(AL$71:AL$86)+SUM(AN$71:AN$86)+SUM(AP$71:AP$86)</f>
        <v>0</v>
      </c>
      <c r="I113">
        <f>SUM(AR$71:AR$86)+SUM(AT$71:AT$86)+SUM(AV$71:AV$86)+SUM(AX$71:AX$86)</f>
        <v>0</v>
      </c>
      <c r="J113">
        <f>SUM(AZ$71:AZ$86)+SUM(BB$71:BB$86)+SUM(BD$71:BD$86)+SUM(BF$71:BF$86)</f>
        <v>0</v>
      </c>
      <c r="K113">
        <f>SUM(BH$71:BH$86)+SUM(BJ$71:BJ$86)+SUM(BL$71:BL$86)+SUM(BN$71:BN$86)</f>
        <v>0</v>
      </c>
      <c r="L113">
        <f>SUM(BP$71:BP$86)+SUM(BR$71:BR$86)+SUM(BT$71:BT$86)+SUM(BV$71:BV$86)</f>
        <v>0</v>
      </c>
      <c r="M113">
        <f>SUM(BX$71:BX$86)+SUM(BZ$71:BZ$86)+SUM(CB$71:CB$86)+SUM(CD$71:CD$86)</f>
        <v>0</v>
      </c>
      <c r="N113">
        <f>SUM(CF$71:CF$86)+SUM(CH$71:CH$86)+SUM(CJ$71:CJ$86)+SUM(CL$71:CL$86)</f>
        <v>0</v>
      </c>
      <c r="O113">
        <f>SUM(CN$71:CN$86)+SUM(CP$71:CP$86)+SUM(CR$71:CR$86)+SUM(CT$71:CT$86)</f>
        <v>0</v>
      </c>
    </row>
    <row r="114" spans="2:15" x14ac:dyDescent="0.2">
      <c r="C114" s="119" t="s">
        <v>131</v>
      </c>
      <c r="D114">
        <f>SUM(D$87:D$94)+SUM(F$87:F$94)+SUM(H$87:H$94)+SUM(J$87:J$94)</f>
        <v>444</v>
      </c>
      <c r="E114">
        <f>SUM(L$87:L$94)+SUM(N$87:N$94)+SUM(P$87:P$94)+SUM(R$87:R$94)</f>
        <v>326</v>
      </c>
      <c r="F114">
        <f>SUM(T$87:T$94)+SUM(V$87:V$94)+SUM(X$87:X$94)+SUM(Z$87:Z$94)</f>
        <v>0</v>
      </c>
      <c r="G114">
        <f>SUM(AB$87:AB$94)+SUM(AD$87:AD$94)+SUM(AF$87:AF$94)+SUM(AH$87:AH$94)</f>
        <v>0</v>
      </c>
      <c r="H114">
        <f>SUM(AJ$87:AJ$94)+SUM(AL$87:AL$94)+SUM(AN$87:AN$94)+SUM(AP$87:AP$94)</f>
        <v>0</v>
      </c>
      <c r="I114">
        <f>SUM(AR$87:AR$94)+SUM(AT$87:AT$94)+SUM(AV$87:AV$94)+SUM(AX$87:AX$94)</f>
        <v>0</v>
      </c>
      <c r="J114">
        <f>SUM(AZ$87:AZ$94)+SUM(BB$87:BB$94)+SUM(BD$87:BD$94)+SUM(BF$87:BF$94)</f>
        <v>0</v>
      </c>
      <c r="K114">
        <f>SUM(BH$87:BH$94)+SUM(BJ$87:BJ$94)+SUM(BL$87:BL$94)+SUM(BN$87:BN$94)</f>
        <v>0</v>
      </c>
      <c r="L114">
        <f>SUM(BP$87:BP$94)+SUM(BR$87:BR$94)+SUM(BT$87:BT$94)+SUM(BV$87:BV$94)</f>
        <v>0</v>
      </c>
      <c r="M114">
        <f>SUM(BX$87:BX$94)+SUM(BZ$87:BZ$94)+SUM(CB$87:CB$94)+SUM(CD$87:CD$94)</f>
        <v>0</v>
      </c>
      <c r="N114">
        <f>SUM(CF$87:CF$94)+SUM(CH$87:CH$94)+SUM(CJ$87:CJ$94)+SUM(CL$87:CL$94)</f>
        <v>0</v>
      </c>
      <c r="O114">
        <f>SUM(CN$87:CN$94)+SUM(CP$87:CP$94)+SUM(CR$87:CR$94)+SUM(CT$87:CT$94)</f>
        <v>0</v>
      </c>
    </row>
    <row r="115" spans="2:15" x14ac:dyDescent="0.2">
      <c r="C115" s="119" t="s">
        <v>132</v>
      </c>
      <c r="D115">
        <f>SUM(D$95:D$105)+SUM(F$95:F$105)+SUM(H$95:H$105)+SUM(J$95:J$105)</f>
        <v>576</v>
      </c>
      <c r="E115">
        <f>SUM(L$95:L$105)+SUM(N$95:N$105)+SUM(P$95:P$105)+SUM(R$95:R$105)</f>
        <v>330</v>
      </c>
      <c r="F115">
        <f>SUM(T$95:T$105)+SUM(V$95:V$105)+SUM(X$95:X$105)+SUM(Z$95:Z$105)</f>
        <v>0</v>
      </c>
      <c r="G115">
        <f>SUM(AB$95:AB$105)+SUM(AD$95:AD$105)+SUM(AF$95:AF$105)+SUM(AH$95:AH$105)</f>
        <v>0</v>
      </c>
      <c r="H115">
        <f>SUM(AJ$95:AJ$105)+SUM(AL$95:AL$105)+SUM(AN$95:AN$105)+SUM(AP$95:AP$105)</f>
        <v>0</v>
      </c>
      <c r="I115">
        <f>SUM(AR$95:AR$105)+SUM(AT$95:AT$105)+SUM(AV$95:AV$105)+SUM(AX$95:AX$105)</f>
        <v>0</v>
      </c>
      <c r="J115">
        <f>SUM(AZ$95:AZ$105)+SUM(BB$95:BB$105)+SUM(BD$95:BD$105)+SUM(BF$95:BF$105)</f>
        <v>0</v>
      </c>
      <c r="K115">
        <f>SUM(BH$95:BH$105)+SUM(BJ$95:BJ$105)+SUM(BL$95:BL$105)+SUM(BN$95:BN$105)</f>
        <v>0</v>
      </c>
      <c r="L115">
        <f>SUM(BP$95:BP$105)+SUM(BR$95:BR$105)+SUM(BT$95:BT$105)+SUM(BV$95:BV$105)</f>
        <v>0</v>
      </c>
      <c r="M115">
        <f>SUM(BX$95:BX$105)+SUM(BZ$95:BZ$105)+SUM(CB$95:CB$105)+SUM(CD$95:CD$105)</f>
        <v>0</v>
      </c>
      <c r="N115">
        <f>SUM(CF$95:CF$105)+SUM(CH$95:CH$105)+SUM(CJ$95:CJ$105)+SUM(CL$95:CL$105)</f>
        <v>0</v>
      </c>
      <c r="O115">
        <f>SUM(CN$95:CN$105)+SUM(CP$95:CP$105)+SUM(CR$95:CR$105)+SUM(CT$95:CT$105)</f>
        <v>0</v>
      </c>
    </row>
    <row r="116" spans="2:15" x14ac:dyDescent="0.2">
      <c r="C116" s="119" t="s">
        <v>278</v>
      </c>
      <c r="D116">
        <f t="shared" ref="D116:O116" si="0">SUM(D$109:D$115)</f>
        <v>5966</v>
      </c>
      <c r="E116">
        <f t="shared" si="0"/>
        <v>5075</v>
      </c>
      <c r="F116">
        <f t="shared" si="0"/>
        <v>3587</v>
      </c>
      <c r="G116">
        <f t="shared" si="0"/>
        <v>3681</v>
      </c>
      <c r="H116">
        <f t="shared" si="0"/>
        <v>3913</v>
      </c>
      <c r="I116">
        <f t="shared" si="0"/>
        <v>3570</v>
      </c>
      <c r="J116">
        <f t="shared" si="0"/>
        <v>4047</v>
      </c>
      <c r="K116">
        <f t="shared" si="0"/>
        <v>4210</v>
      </c>
      <c r="L116">
        <f t="shared" si="0"/>
        <v>4103</v>
      </c>
      <c r="M116">
        <f t="shared" si="0"/>
        <v>4010</v>
      </c>
      <c r="N116">
        <f t="shared" si="0"/>
        <v>3724</v>
      </c>
      <c r="O116">
        <f t="shared" si="0"/>
        <v>3933</v>
      </c>
    </row>
    <row r="118" spans="2:15" x14ac:dyDescent="0.2">
      <c r="B118" s="121" t="s">
        <v>279</v>
      </c>
    </row>
    <row r="119" spans="2:15" x14ac:dyDescent="0.2">
      <c r="C119" s="119" t="s">
        <v>277</v>
      </c>
      <c r="D119" s="119" t="s">
        <v>92</v>
      </c>
      <c r="E119" s="119" t="s">
        <v>93</v>
      </c>
      <c r="F119" s="119" t="s">
        <v>94</v>
      </c>
      <c r="G119" s="119" t="s">
        <v>95</v>
      </c>
      <c r="H119" s="119" t="s">
        <v>96</v>
      </c>
      <c r="I119" s="119" t="s">
        <v>97</v>
      </c>
      <c r="J119" s="119" t="s">
        <v>98</v>
      </c>
      <c r="K119" s="119" t="s">
        <v>99</v>
      </c>
      <c r="L119" s="119" t="s">
        <v>100</v>
      </c>
      <c r="M119" s="119" t="s">
        <v>101</v>
      </c>
      <c r="N119" s="119" t="s">
        <v>102</v>
      </c>
      <c r="O119" s="119" t="s">
        <v>103</v>
      </c>
    </row>
    <row r="120" spans="2:15" x14ac:dyDescent="0.2">
      <c r="C120" s="119" t="s">
        <v>126</v>
      </c>
      <c r="D120">
        <f>D109*pricing!D6*2000</f>
        <v>2377218.6961572012</v>
      </c>
      <c r="E120">
        <f>E109*pricing!E6*2000</f>
        <v>2382265.8696097643</v>
      </c>
      <c r="F120">
        <f>F109*pricing!F6*2000</f>
        <v>2210661.9722226202</v>
      </c>
      <c r="G120">
        <f>G109*pricing!G6*2000</f>
        <v>2483209.3386610253</v>
      </c>
      <c r="H120">
        <f>H109*pricing!H6*2000</f>
        <v>2685096.2767635477</v>
      </c>
      <c r="I120">
        <f>I109*pricing!I6*2000</f>
        <v>2387313.0430623274</v>
      </c>
      <c r="J120">
        <f>J109*pricing!J6*2000</f>
        <v>2180378.9315072419</v>
      </c>
      <c r="K120">
        <f>K109*pricing!K6*2000</f>
        <v>2452926.297945647</v>
      </c>
      <c r="L120">
        <f>L109*pricing!L6*2000</f>
        <v>2372171.5227046381</v>
      </c>
      <c r="M120">
        <f>M109*pricing!M6*2000</f>
        <v>2856700.1741506918</v>
      </c>
      <c r="N120">
        <f>N109*pricing!N6*2000</f>
        <v>2786039.7458148091</v>
      </c>
      <c r="O120">
        <f>O109*pricing!O6*2000</f>
        <v>2599294.3280699761</v>
      </c>
    </row>
    <row r="121" spans="2:15" x14ac:dyDescent="0.2">
      <c r="C121" s="119" t="s">
        <v>127</v>
      </c>
      <c r="D121">
        <f>D110*pricing!D7*2000</f>
        <v>5514576.6167291226</v>
      </c>
      <c r="E121">
        <f>E110*pricing!E7*2000</f>
        <v>4409100.3444900801</v>
      </c>
      <c r="F121">
        <f>F110*pricing!F7*2000</f>
        <v>4963972.6046872819</v>
      </c>
      <c r="G121">
        <f>G110*pricing!G7*2000</f>
        <v>5753598.5134294555</v>
      </c>
      <c r="H121">
        <f>H110*pricing!H7*2000</f>
        <v>5621282.8206131989</v>
      </c>
      <c r="I121">
        <f>I110*pricing!I7*2000</f>
        <v>4942631.3639104664</v>
      </c>
      <c r="J121">
        <f>J110*pricing!J7*2000</f>
        <v>6816392.3041148661</v>
      </c>
      <c r="K121">
        <f>K110*pricing!K7*2000</f>
        <v>6240178.8031408489</v>
      </c>
      <c r="L121">
        <f>L110*pricing!L7*2000</f>
        <v>6287129.5328498427</v>
      </c>
      <c r="M121">
        <f>M110*pricing!M7*2000</f>
        <v>5732257.27265264</v>
      </c>
      <c r="N121">
        <f>N110*pricing!N7*2000</f>
        <v>4426173.3371115318</v>
      </c>
      <c r="O121">
        <f>O110*pricing!O7*2000</f>
        <v>4733487.2042976748</v>
      </c>
    </row>
    <row r="122" spans="2:15" x14ac:dyDescent="0.2">
      <c r="C122" s="119" t="s">
        <v>128</v>
      </c>
      <c r="D122">
        <f>D111*pricing!D8*2000</f>
        <v>3383163.8470297102</v>
      </c>
      <c r="E122">
        <f>E111*pricing!E8*2000</f>
        <v>3359477.7524180668</v>
      </c>
      <c r="F122">
        <f>F111*pricing!F8*2000</f>
        <v>2968657.1913259537</v>
      </c>
      <c r="G122">
        <f>G111*pricing!G8*2000</f>
        <v>2826540.6236560941</v>
      </c>
      <c r="H122">
        <f>H111*pricing!H8*2000</f>
        <v>3063401.5697725262</v>
      </c>
      <c r="I122">
        <f>I111*pricing!I8*2000</f>
        <v>3473960.5430410095</v>
      </c>
      <c r="J122">
        <f>J111*pricing!J8*2000</f>
        <v>3710821.4891574415</v>
      </c>
      <c r="K122">
        <f>K111*pricing!K8*2000</f>
        <v>3233151.9144893032</v>
      </c>
      <c r="L122">
        <f>L111*pricing!L8*2000</f>
        <v>3000238.6508081444</v>
      </c>
      <c r="M122">
        <f>M111*pricing!M8*2000</f>
        <v>2909441.9547968456</v>
      </c>
      <c r="N122">
        <f>N111*pricing!N8*2000</f>
        <v>3000238.6508081444</v>
      </c>
      <c r="O122">
        <f>O111*pricing!O8*2000</f>
        <v>3379216.1645944361</v>
      </c>
    </row>
    <row r="123" spans="2:15" x14ac:dyDescent="0.2">
      <c r="C123" s="119" t="s">
        <v>129</v>
      </c>
      <c r="D123">
        <f>D112*pricing!D9*2000</f>
        <v>5785041.4607558837</v>
      </c>
      <c r="E123">
        <f>E112*pricing!E9*2000</f>
        <v>5208096.6250470765</v>
      </c>
      <c r="F123">
        <f>F112*pricing!F9*2000</f>
        <v>4810472.481518033</v>
      </c>
      <c r="G123">
        <f>G112*pricing!G9*2000</f>
        <v>4385560.4065703303</v>
      </c>
      <c r="H123">
        <f>H112*pricing!H9*2000</f>
        <v>5020979.3810334085</v>
      </c>
      <c r="I123">
        <f>I112*pricing!I9*2000</f>
        <v>4128274.1960515375</v>
      </c>
      <c r="J123">
        <f>J112*pricing!J9*2000</f>
        <v>4202341.4384736139</v>
      </c>
      <c r="K123">
        <f>K112*pricing!K9*2000</f>
        <v>5625212.1481608767</v>
      </c>
      <c r="L123">
        <f>L112*pricing!L9*2000</f>
        <v>5457586.2837319663</v>
      </c>
      <c r="M123">
        <f>M112*pricing!M9*2000</f>
        <v>5317248.3507217159</v>
      </c>
      <c r="N123">
        <f>N112*pricing!N9*2000</f>
        <v>5360129.385808181</v>
      </c>
      <c r="O123">
        <f>O112*pricing!O9*2000</f>
        <v>5664194.9073303901</v>
      </c>
    </row>
    <row r="124" spans="2:15" x14ac:dyDescent="0.2">
      <c r="C124" s="119" t="s">
        <v>130</v>
      </c>
      <c r="D124">
        <f>D113*pricing!D10*2000</f>
        <v>3042464.1394890742</v>
      </c>
      <c r="E124">
        <f>E113*pricing!E10*2000</f>
        <v>2626925.6881336779</v>
      </c>
      <c r="F124">
        <f>F113*pricing!F10*2000</f>
        <v>0</v>
      </c>
      <c r="G124">
        <f>G113*pricing!G10*2000</f>
        <v>0</v>
      </c>
      <c r="H124">
        <f>H113*pricing!H10*2000</f>
        <v>0</v>
      </c>
      <c r="I124">
        <f>I113*pricing!I10*2000</f>
        <v>0</v>
      </c>
      <c r="J124">
        <f>J113*pricing!J10*2000</f>
        <v>0</v>
      </c>
      <c r="K124">
        <f>K113*pricing!K10*2000</f>
        <v>0</v>
      </c>
      <c r="L124">
        <f>L113*pricing!L10*2000</f>
        <v>0</v>
      </c>
      <c r="M124">
        <f>M113*pricing!M10*2000</f>
        <v>0</v>
      </c>
      <c r="N124">
        <f>N113*pricing!N10*2000</f>
        <v>0</v>
      </c>
      <c r="O124">
        <f>O113*pricing!O10*2000</f>
        <v>0</v>
      </c>
    </row>
    <row r="125" spans="2:15" x14ac:dyDescent="0.2">
      <c r="C125" s="119" t="s">
        <v>131</v>
      </c>
      <c r="D125">
        <f>D114*pricing!D11*2000</f>
        <v>1630954.8272933518</v>
      </c>
      <c r="E125">
        <f>E114*pricing!E11*2000</f>
        <v>1197502.8686883617</v>
      </c>
      <c r="F125">
        <f>F114*pricing!F11*2000</f>
        <v>0</v>
      </c>
      <c r="G125">
        <f>G114*pricing!G11*2000</f>
        <v>0</v>
      </c>
      <c r="H125">
        <f>H114*pricing!H11*2000</f>
        <v>0</v>
      </c>
      <c r="I125">
        <f>I114*pricing!I11*2000</f>
        <v>0</v>
      </c>
      <c r="J125">
        <f>J114*pricing!J11*2000</f>
        <v>0</v>
      </c>
      <c r="K125">
        <f>K114*pricing!K11*2000</f>
        <v>0</v>
      </c>
      <c r="L125">
        <f>L114*pricing!L11*2000</f>
        <v>0</v>
      </c>
      <c r="M125">
        <f>M114*pricing!M11*2000</f>
        <v>0</v>
      </c>
      <c r="N125">
        <f>N114*pricing!N11*2000</f>
        <v>0</v>
      </c>
      <c r="O125">
        <f>O114*pricing!O11*2000</f>
        <v>0</v>
      </c>
    </row>
    <row r="126" spans="2:15" x14ac:dyDescent="0.2">
      <c r="C126" s="119" t="s">
        <v>132</v>
      </c>
      <c r="D126">
        <f>D115*pricing!D12*2000</f>
        <v>2582404.3400535202</v>
      </c>
      <c r="E126">
        <f>E115*pricing!E12*2000</f>
        <v>1479502.4864889958</v>
      </c>
      <c r="F126">
        <f>F115*pricing!F12*2000</f>
        <v>0</v>
      </c>
      <c r="G126">
        <f>G115*pricing!G12*2000</f>
        <v>0</v>
      </c>
      <c r="H126">
        <f>H115*pricing!H12*2000</f>
        <v>0</v>
      </c>
      <c r="I126">
        <f>I115*pricing!I12*2000</f>
        <v>0</v>
      </c>
      <c r="J126">
        <f>J115*pricing!J12*2000</f>
        <v>0</v>
      </c>
      <c r="K126">
        <f>K115*pricing!K12*2000</f>
        <v>0</v>
      </c>
      <c r="L126">
        <f>L115*pricing!L12*2000</f>
        <v>0</v>
      </c>
      <c r="M126">
        <f>M115*pricing!M12*2000</f>
        <v>0</v>
      </c>
      <c r="N126">
        <f>N115*pricing!N12*2000</f>
        <v>0</v>
      </c>
      <c r="O126">
        <f>O115*pricing!O12*2000</f>
        <v>0</v>
      </c>
    </row>
    <row r="127" spans="2:15" x14ac:dyDescent="0.2">
      <c r="C127" s="119" t="s">
        <v>278</v>
      </c>
      <c r="D127">
        <f t="shared" ref="D127:O127" si="1">SUM(D$120:D$126)</f>
        <v>24315823.927507862</v>
      </c>
      <c r="E127">
        <f t="shared" si="1"/>
        <v>20662871.634876024</v>
      </c>
      <c r="F127">
        <f t="shared" si="1"/>
        <v>14953764.249753889</v>
      </c>
      <c r="G127">
        <f t="shared" si="1"/>
        <v>15448908.882316906</v>
      </c>
      <c r="H127">
        <f t="shared" si="1"/>
        <v>16390760.048182681</v>
      </c>
      <c r="I127">
        <f t="shared" si="1"/>
        <v>14932179.146065341</v>
      </c>
      <c r="J127">
        <f t="shared" si="1"/>
        <v>16909934.163253166</v>
      </c>
      <c r="K127">
        <f t="shared" si="1"/>
        <v>17551469.163736675</v>
      </c>
      <c r="L127">
        <f t="shared" si="1"/>
        <v>17117125.990094591</v>
      </c>
      <c r="M127">
        <f t="shared" si="1"/>
        <v>16815647.752321891</v>
      </c>
      <c r="N127">
        <f t="shared" si="1"/>
        <v>15572581.119542666</v>
      </c>
      <c r="O127">
        <f t="shared" si="1"/>
        <v>16376192.604292477</v>
      </c>
    </row>
    <row r="129" spans="2:15" x14ac:dyDescent="0.2">
      <c r="B129" s="121" t="s">
        <v>280</v>
      </c>
    </row>
    <row r="130" spans="2:15" x14ac:dyDescent="0.2">
      <c r="C130" s="123" t="s">
        <v>277</v>
      </c>
      <c r="D130" s="123" t="s">
        <v>92</v>
      </c>
      <c r="E130" s="123" t="s">
        <v>93</v>
      </c>
      <c r="F130" s="123" t="s">
        <v>94</v>
      </c>
      <c r="G130" s="123" t="s">
        <v>95</v>
      </c>
      <c r="H130" s="123" t="s">
        <v>96</v>
      </c>
      <c r="I130" s="123" t="s">
        <v>97</v>
      </c>
      <c r="J130" s="123" t="s">
        <v>98</v>
      </c>
      <c r="K130" s="123" t="s">
        <v>99</v>
      </c>
      <c r="L130" s="123" t="s">
        <v>100</v>
      </c>
      <c r="M130" s="123" t="s">
        <v>101</v>
      </c>
      <c r="N130" s="123" t="s">
        <v>102</v>
      </c>
      <c r="O130" s="123" t="s">
        <v>103</v>
      </c>
    </row>
    <row r="131" spans="2:15" x14ac:dyDescent="0.2">
      <c r="C131" s="123" t="s">
        <v>126</v>
      </c>
      <c r="D131" s="124">
        <f>SUM(E$6:E$19)+SUM(G$6:G$19)+SUM(I$6:I$19)+SUM(K$6:K$19)</f>
        <v>238884</v>
      </c>
      <c r="E131" s="124">
        <f>SUM(M$6:M$19)+SUM(O$6:O$19)+SUM(Q$6:Q$19)+SUM(S$6:S$19)</f>
        <v>238128</v>
      </c>
      <c r="F131" s="124">
        <f>SUM(U$6:U$19)+SUM(W$6:W$19)+SUM(Y$6:Y$19)+SUM(AA$6:AA$19)</f>
        <v>221070</v>
      </c>
      <c r="G131" s="124">
        <f>SUM(AC$6:AC$19)+SUM(AE$6:AE$19)+SUM(AG$6:AG$19)+SUM(AI$6:AI$19)</f>
        <v>249207.59999999998</v>
      </c>
      <c r="H131" s="124">
        <f>SUM(AK$6:AK$19)+SUM(AM$6:AM$19)+SUM(AO$6:AO$19)+SUM(AQ$6:AQ$19)</f>
        <v>268573.2</v>
      </c>
      <c r="I131" s="124">
        <f>SUM(AS$6:AS$19)+SUM(AU$6:AU$19)+SUM(AW$6:AW$19)+SUM(AY$6:AY$19)</f>
        <v>237702</v>
      </c>
      <c r="J131" s="124">
        <f>SUM(BA$6:BA$19)+SUM(BC$6:BC$19)+SUM(BE$6:BE$19)+SUM(BG$6:BG$19)</f>
        <v>217102.79999999996</v>
      </c>
      <c r="K131" s="124">
        <f>SUM(BI$6:BI$19)+SUM(BK$6:BK$19)+SUM(BM$6:BM$19)+SUM(BO$6:BO$19)</f>
        <v>244294.79999999996</v>
      </c>
      <c r="L131" s="124">
        <f>SUM(BQ$6:BQ$19)+SUM(BS$6:BS$19)+SUM(BU$6:BU$19)+SUM(BW$6:BW$19)</f>
        <v>236562</v>
      </c>
      <c r="M131" s="124">
        <f>SUM(BY$6:BY$19)+SUM(CA$6:CA$19)+SUM(CC$6:CC$19)+SUM(CE$6:CE$19)</f>
        <v>282936</v>
      </c>
      <c r="N131" s="124">
        <f>SUM(CG$6:CG$19)+SUM(CI$6:CI$19)+SUM(CK$6:CK$19)+SUM(CM$6:CM$19)</f>
        <v>277986</v>
      </c>
      <c r="O131" s="124">
        <f>SUM(CO$6:CO$19)+SUM(CQ$6:CQ$19)+SUM(CS$6:CS$19)+SUM(CU$6:CU$19)</f>
        <v>259496.39999999997</v>
      </c>
    </row>
    <row r="132" spans="2:15" x14ac:dyDescent="0.2">
      <c r="C132" s="123" t="s">
        <v>127</v>
      </c>
      <c r="D132" s="124">
        <f>SUM(E$20:E$36)+SUM(G$20:G$36)+SUM(I$20:I$36)+SUM(K$20:K$36)</f>
        <v>550861.19999999995</v>
      </c>
      <c r="E132" s="124">
        <f>SUM(M$20:M$36)+SUM(O$20:O$36)+SUM(Q$20:Q$36)+SUM(S$20:S$36)</f>
        <v>439732.79999999993</v>
      </c>
      <c r="F132" s="124">
        <f>SUM(U$20:U$36)+SUM(W$20:W$36)+SUM(Y$20:Y$36)+SUM(AA$20:AA$36)</f>
        <v>496467.6</v>
      </c>
      <c r="G132" s="124">
        <f>SUM(AC$20:AC$36)+SUM(AE$20:AE$36)+SUM(AG$20:AG$36)+SUM(AI$20:AI$36)</f>
        <v>573340.80000000005</v>
      </c>
      <c r="H132" s="124">
        <f>SUM(AK$20:AK$36)+SUM(AM$20:AM$36)+SUM(AO$20:AO$36)+SUM(AQ$20:AQ$36)</f>
        <v>563313.6</v>
      </c>
      <c r="I132" s="124">
        <f>SUM(AS$20:AS$36)+SUM(AU$20:AU$36)+SUM(AW$20:AW$36)+SUM(AY$20:AY$36)</f>
        <v>496435.19999999995</v>
      </c>
      <c r="J132" s="124">
        <f>SUM(BA$20:BA$36)+SUM(BC$20:BC$36)+SUM(BE$20:BE$36)+SUM(BG$20:BG$36)</f>
        <v>681322.8</v>
      </c>
      <c r="K132" s="124">
        <f>SUM(BI$20:BI$36)+SUM(BK$20:BK$36)+SUM(BM$20:BM$36)+SUM(BO$20:BO$36)</f>
        <v>618788.4</v>
      </c>
      <c r="L132" s="124">
        <f>SUM(BQ$20:BQ$36)+SUM(BS$20:BS$36)+SUM(BU$20:BU$36)+SUM(BW$20:BW$36)</f>
        <v>625002</v>
      </c>
      <c r="M132" s="124">
        <f>SUM(BY$20:BY$36)+SUM(CA$20:CA$36)+SUM(CC$20:CC$36)+SUM(CE$20:CE$36)</f>
        <v>571157.99999999988</v>
      </c>
      <c r="N132" s="124">
        <f>SUM(CG$20:CG$36)+SUM(CI$20:CI$36)+SUM(CK$20:CK$36)+SUM(CM$20:CM$36)</f>
        <v>440552.39999999997</v>
      </c>
      <c r="O132" s="124">
        <f>SUM(CO$20:CO$36)+SUM(CQ$20:CQ$36)+SUM(CS$20:CS$36)+SUM(CU$20:CU$36)</f>
        <v>470221.19999999995</v>
      </c>
    </row>
    <row r="133" spans="2:15" x14ac:dyDescent="0.2">
      <c r="C133" s="123" t="s">
        <v>128</v>
      </c>
      <c r="D133" s="124">
        <f>SUM(E$37:E$48)+SUM(G$37:G$48)+SUM(I$37:I$48)+SUM(K$37:K$48)</f>
        <v>897424.8</v>
      </c>
      <c r="E133" s="124">
        <f>SUM(M$37:M$48)+SUM(O$37:O$48)+SUM(Q$37:Q$48)+SUM(S$37:S$48)</f>
        <v>887059.2</v>
      </c>
      <c r="F133" s="124">
        <f>SUM(U$37:U$48)+SUM(W$37:W$48)+SUM(Y$37:Y$48)+SUM(AA$37:AA$48)</f>
        <v>789945.6</v>
      </c>
      <c r="G133" s="124">
        <f>SUM(AC$37:AC$48)+SUM(AE$37:AE$48)+SUM(AG$37:AG$48)+SUM(AI$37:AI$48)</f>
        <v>750816</v>
      </c>
      <c r="H133" s="124">
        <f>SUM(AK$37:AK$48)+SUM(AM$37:AM$48)+SUM(AO$37:AO$48)+SUM(AQ$37:AQ$48)</f>
        <v>811902</v>
      </c>
      <c r="I133" s="124">
        <f>SUM(AS$37:AS$48)+SUM(AU$37:AU$48)+SUM(AW$37:AW$48)+SUM(AY$37:AY$48)</f>
        <v>918050.39999999991</v>
      </c>
      <c r="J133" s="124">
        <f>SUM(BA$37:BA$48)+SUM(BC$37:BC$48)+SUM(BE$37:BE$48)+SUM(BG$37:BG$48)</f>
        <v>984320.4</v>
      </c>
      <c r="K133" s="124">
        <f>SUM(BI$37:BI$48)+SUM(BK$37:BK$48)+SUM(BM$37:BM$48)+SUM(BO$37:BO$48)</f>
        <v>857840.39999999991</v>
      </c>
      <c r="L133" s="124">
        <f>SUM(BQ$37:BQ$48)+SUM(BS$37:BS$48)+SUM(BU$37:BU$48)+SUM(BW$37:BW$48)</f>
        <v>795975.60000000009</v>
      </c>
      <c r="M133" s="124">
        <f>SUM(BY$37:BY$48)+SUM(CA$37:CA$48)+SUM(CC$37:CC$48)+SUM(CE$37:CE$48)</f>
        <v>771386.39999999991</v>
      </c>
      <c r="N133" s="124">
        <f>SUM(CG$37:CG$48)+SUM(CI$37:CI$48)+SUM(CK$37:CK$48)+SUM(CM$37:CM$48)</f>
        <v>794920.8</v>
      </c>
      <c r="O133" s="124">
        <f>SUM(CO$37:CO$48)+SUM(CQ$37:CQ$48)+SUM(CS$37:CS$48)+SUM(CU$37:CU$48)</f>
        <v>894298.8</v>
      </c>
    </row>
    <row r="134" spans="2:15" x14ac:dyDescent="0.2">
      <c r="C134" s="123" t="s">
        <v>129</v>
      </c>
      <c r="D134" s="124">
        <f>SUM(E$49:E$70)+SUM(G$49:G$70)+SUM(I$49:I$70)+SUM(K$49:K$70)</f>
        <v>1251042</v>
      </c>
      <c r="E134" s="124">
        <f>SUM(M$49:M$70)+SUM(O$49:O$70)+SUM(Q$49:Q$70)+SUM(S$49:S$70)</f>
        <v>1118386.7999999998</v>
      </c>
      <c r="F134" s="124">
        <f>SUM(U$49:U$70)+SUM(W$49:W$70)+SUM(Y$49:Y$70)+SUM(AA$49:AA$70)</f>
        <v>993144</v>
      </c>
      <c r="G134" s="124">
        <f>SUM(AC$49:AC$70)+SUM(AE$49:AE$70)+SUM(AG$49:AG$70)+SUM(AI$49:AI$70)</f>
        <v>900596.4</v>
      </c>
      <c r="H134" s="124">
        <f>SUM(AK$49:AK$70)+SUM(AM$49:AM$70)+SUM(AO$49:AO$70)+SUM(AQ$49:AQ$70)</f>
        <v>1039008.0000000001</v>
      </c>
      <c r="I134" s="124">
        <f>SUM(AS$49:AS$70)+SUM(AU$49:AU$70)+SUM(AW$49:AW$70)+SUM(AY$49:AY$70)</f>
        <v>852136.8</v>
      </c>
      <c r="J134" s="124">
        <f>SUM(BA$49:BA$70)+SUM(BC$49:BC$70)+SUM(BE$49:BE$70)+SUM(BG$49:BG$70)</f>
        <v>864948</v>
      </c>
      <c r="K134" s="124">
        <f>SUM(BI$49:BI$70)+SUM(BK$49:BK$70)+SUM(BM$49:BM$70)+SUM(BO$49:BO$70)</f>
        <v>1158570</v>
      </c>
      <c r="L134" s="124">
        <f>SUM(BQ$49:BQ$70)+SUM(BS$49:BS$70)+SUM(BU$49:BU$70)+SUM(BW$49:BW$70)</f>
        <v>1133469.6000000001</v>
      </c>
      <c r="M134" s="124">
        <f>SUM(BY$49:BY$70)+SUM(CA$49:CA$70)+SUM(CC$49:CC$70)+SUM(CE$49:CE$70)</f>
        <v>1099216.7999999998</v>
      </c>
      <c r="N134" s="124">
        <f>SUM(CG$49:CG$70)+SUM(CI$49:CI$70)+SUM(CK$49:CK$70)+SUM(CM$49:CM$70)</f>
        <v>1106040</v>
      </c>
      <c r="O134" s="124">
        <f>SUM(CO$49:CO$70)+SUM(CQ$49:CQ$70)+SUM(CS$49:CS$70)+SUM(CU$49:CU$70)</f>
        <v>1166700</v>
      </c>
    </row>
    <row r="135" spans="2:15" x14ac:dyDescent="0.2">
      <c r="C135" s="123" t="s">
        <v>130</v>
      </c>
      <c r="D135" s="124">
        <f>SUM(E$71:E$86)+SUM(G$71:G$86)+SUM(I$71:I$86)+SUM(K$71:K$86)</f>
        <v>469495.19999999995</v>
      </c>
      <c r="E135" s="124">
        <f>SUM(M$71:M$86)+SUM(O$71:O$86)+SUM(Q$71:Q$86)+SUM(S$71:S$86)</f>
        <v>402318</v>
      </c>
      <c r="F135" s="124">
        <f>SUM(U$71:U$86)+SUM(W$71:W$86)+SUM(Y$71:Y$86)+SUM(AA$71:AA$86)</f>
        <v>0</v>
      </c>
      <c r="G135" s="124">
        <f>SUM(AC$71:AC$86)+SUM(AE$71:AE$86)+SUM(AG$71:AG$86)+SUM(AI$71:AI$86)</f>
        <v>0</v>
      </c>
      <c r="H135" s="124">
        <f>SUM(AK$71:AK$86)+SUM(AM$71:AM$86)+SUM(AO$71:AO$86)+SUM(AQ$71:AQ$86)</f>
        <v>0</v>
      </c>
      <c r="I135" s="124">
        <f>SUM(AS$71:AS$86)+SUM(AU$71:AU$86)+SUM(AW$71:AW$86)+SUM(AY$71:AY$86)</f>
        <v>0</v>
      </c>
      <c r="J135" s="124">
        <f>SUM(BA$71:BA$86)+SUM(BC$71:BC$86)+SUM(BE$71:BE$86)+SUM(BG$71:BG$86)</f>
        <v>0</v>
      </c>
      <c r="K135" s="124">
        <f>SUM(BI$71:BI$86)+SUM(BK$71:BK$86)+SUM(BM$71:BM$86)+SUM(BO$71:BO$86)</f>
        <v>0</v>
      </c>
      <c r="L135" s="124">
        <f>SUM(BQ$71:BQ$86)+SUM(BS$71:BS$86)+SUM(BU$71:BU$86)+SUM(BW$71:BW$86)</f>
        <v>0</v>
      </c>
      <c r="M135" s="124">
        <f>SUM(BY$71:BY$86)+SUM(CA$71:CA$86)+SUM(CC$71:CC$86)+SUM(CE$71:CE$86)</f>
        <v>0</v>
      </c>
      <c r="N135" s="124">
        <f>SUM(CG$71:CG$86)+SUM(CI$71:CI$86)+SUM(CK$71:CK$86)+SUM(CM$71:CM$86)</f>
        <v>0</v>
      </c>
      <c r="O135" s="124">
        <f>SUM(CO$71:CO$86)+SUM(CQ$71:CQ$86)+SUM(CS$71:CS$86)+SUM(CU$71:CU$86)</f>
        <v>0</v>
      </c>
    </row>
    <row r="136" spans="2:15" x14ac:dyDescent="0.2">
      <c r="C136" s="123" t="s">
        <v>131</v>
      </c>
      <c r="D136" s="124">
        <f>SUM(E$87:E$94)+SUM(G$87:G$94)+SUM(I$87:I$94)+SUM(K$87:K$94)</f>
        <v>899557.2</v>
      </c>
      <c r="E136" s="124">
        <f>SUM(M$87:M$94)+SUM(O$87:O$94)+SUM(Q$87:Q$94)+SUM(S$87:S$94)</f>
        <v>660962.39999999991</v>
      </c>
      <c r="F136" s="124">
        <f>SUM(U$87:U$94)+SUM(W$87:W$94)+SUM(Y$87:Y$94)+SUM(AA$87:AA$94)</f>
        <v>0</v>
      </c>
      <c r="G136" s="124">
        <f>SUM(AC$87:AC$94)+SUM(AE$87:AE$94)+SUM(AG$87:AG$94)+SUM(AI$87:AI$94)</f>
        <v>0</v>
      </c>
      <c r="H136" s="124">
        <f>SUM(AK$87:AK$94)+SUM(AM$87:AM$94)+SUM(AO$87:AO$94)+SUM(AQ$87:AQ$94)</f>
        <v>0</v>
      </c>
      <c r="I136" s="124">
        <f>SUM(AS$87:AS$94)+SUM(AU$87:AU$94)+SUM(AW$87:AW$94)+SUM(AY$87:AY$94)</f>
        <v>0</v>
      </c>
      <c r="J136" s="124">
        <f>SUM(BA$87:BA$94)+SUM(BC$87:BC$94)+SUM(BE$87:BE$94)+SUM(BG$87:BG$94)</f>
        <v>0</v>
      </c>
      <c r="K136" s="124">
        <f>SUM(BI$87:BI$94)+SUM(BK$87:BK$94)+SUM(BM$87:BM$94)+SUM(BO$87:BO$94)</f>
        <v>0</v>
      </c>
      <c r="L136" s="124">
        <f>SUM(BQ$87:BQ$94)+SUM(BS$87:BS$94)+SUM(BU$87:BU$94)+SUM(BW$87:BW$94)</f>
        <v>0</v>
      </c>
      <c r="M136" s="124">
        <f>SUM(BY$87:BY$94)+SUM(CA$87:CA$94)+SUM(CC$87:CC$94)+SUM(CE$87:CE$94)</f>
        <v>0</v>
      </c>
      <c r="N136" s="124">
        <f>SUM(CG$87:CG$94)+SUM(CI$87:CI$94)+SUM(CK$87:CK$94)+SUM(CM$87:CM$94)</f>
        <v>0</v>
      </c>
      <c r="O136" s="124">
        <f>SUM(CO$87:CO$94)+SUM(CQ$87:CQ$94)+SUM(CS$87:CS$94)+SUM(CU$87:CU$94)</f>
        <v>0</v>
      </c>
    </row>
    <row r="137" spans="2:15" x14ac:dyDescent="0.2">
      <c r="C137" s="123" t="s">
        <v>132</v>
      </c>
      <c r="D137" s="124">
        <f>SUM(E$95:E$105)+SUM(G$95:G$105)+SUM(I$95:I$105)+SUM(K$95:K$105)</f>
        <v>1084768.7999999998</v>
      </c>
      <c r="E137" s="124">
        <f>SUM(M$95:M$105)+SUM(O$95:O$105)+SUM(Q$95:Q$105)+SUM(S$95:S$105)</f>
        <v>621536.4</v>
      </c>
      <c r="F137" s="124">
        <f>SUM(U$95:U$105)+SUM(W$95:W$105)+SUM(Y$95:Y$105)+SUM(AA$95:AA$105)</f>
        <v>0</v>
      </c>
      <c r="G137" s="124">
        <f>SUM(AC$95:AC$105)+SUM(AE$95:AE$105)+SUM(AG$95:AG$105)+SUM(AI$95:AI$105)</f>
        <v>0</v>
      </c>
      <c r="H137" s="124">
        <f>SUM(AK$95:AK$105)+SUM(AM$95:AM$105)+SUM(AO$95:AO$105)+SUM(AQ$95:AQ$105)</f>
        <v>0</v>
      </c>
      <c r="I137" s="124">
        <f>SUM(AS$95:AS$105)+SUM(AU$95:AU$105)+SUM(AW$95:AW$105)+SUM(AY$95:AY$105)</f>
        <v>0</v>
      </c>
      <c r="J137" s="124">
        <f>SUM(BA$95:BA$105)+SUM(BC$95:BC$105)+SUM(BE$95:BE$105)+SUM(BG$95:BG$105)</f>
        <v>0</v>
      </c>
      <c r="K137" s="124">
        <f>SUM(BI$95:BI$105)+SUM(BK$95:BK$105)+SUM(BM$95:BM$105)+SUM(BO$95:BO$105)</f>
        <v>0</v>
      </c>
      <c r="L137" s="124">
        <f>SUM(BQ$95:BQ$105)+SUM(BS$95:BS$105)+SUM(BU$95:BU$105)+SUM(BW$95:BW$105)</f>
        <v>0</v>
      </c>
      <c r="M137" s="124">
        <f>SUM(BY$95:BY$105)+SUM(CA$95:CA$105)+SUM(CC$95:CC$105)+SUM(CE$95:CE$105)</f>
        <v>0</v>
      </c>
      <c r="N137" s="124">
        <f>SUM(CG$95:CG$105)+SUM(CI$95:CI$105)+SUM(CK$95:CK$105)+SUM(CM$95:CM$105)</f>
        <v>0</v>
      </c>
      <c r="O137" s="124">
        <f>SUM(CO$95:CO$105)+SUM(CQ$95:CQ$105)+SUM(CS$95:CS$105)+SUM(CU$95:CU$105)</f>
        <v>0</v>
      </c>
    </row>
    <row r="138" spans="2:15" x14ac:dyDescent="0.2">
      <c r="C138" s="123" t="s">
        <v>278</v>
      </c>
      <c r="D138">
        <f t="shared" ref="D138:O138" si="2">SUM(D$131:D$137)</f>
        <v>5392033.2000000002</v>
      </c>
      <c r="E138">
        <f t="shared" si="2"/>
        <v>4368123.5999999996</v>
      </c>
      <c r="F138">
        <f t="shared" si="2"/>
        <v>2500627.2000000002</v>
      </c>
      <c r="G138">
        <f t="shared" si="2"/>
        <v>2473960.7999999998</v>
      </c>
      <c r="H138">
        <f t="shared" si="2"/>
        <v>2682796.8000000003</v>
      </c>
      <c r="I138">
        <f t="shared" si="2"/>
        <v>2504324.4</v>
      </c>
      <c r="J138">
        <f t="shared" si="2"/>
        <v>2747694</v>
      </c>
      <c r="K138">
        <f t="shared" si="2"/>
        <v>2879493.5999999996</v>
      </c>
      <c r="L138">
        <f t="shared" si="2"/>
        <v>2791009.2</v>
      </c>
      <c r="M138">
        <f t="shared" si="2"/>
        <v>2724697.1999999997</v>
      </c>
      <c r="N138">
        <f t="shared" si="2"/>
        <v>2619499.2000000002</v>
      </c>
      <c r="O138">
        <f t="shared" si="2"/>
        <v>2790716.4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21" t="s">
        <v>282</v>
      </c>
    </row>
    <row r="4" spans="1:99" x14ac:dyDescent="0.2">
      <c r="A4" s="120"/>
      <c r="B4" s="120"/>
      <c r="C4" s="119" t="s">
        <v>274</v>
      </c>
      <c r="D4" s="119" t="s">
        <v>92</v>
      </c>
      <c r="E4" s="120"/>
      <c r="F4" s="120"/>
      <c r="G4" s="120"/>
      <c r="H4" s="120"/>
      <c r="I4" s="120"/>
      <c r="J4" s="120"/>
      <c r="K4" s="120"/>
      <c r="L4" s="119" t="s">
        <v>93</v>
      </c>
      <c r="M4" s="120"/>
      <c r="N4" s="120"/>
      <c r="O4" s="120"/>
      <c r="P4" s="120"/>
      <c r="Q4" s="120"/>
      <c r="R4" s="120"/>
      <c r="S4" s="120"/>
      <c r="T4" s="119" t="s">
        <v>94</v>
      </c>
      <c r="U4" s="120"/>
      <c r="V4" s="120"/>
      <c r="W4" s="120"/>
      <c r="X4" s="120"/>
      <c r="Y4" s="120"/>
      <c r="Z4" s="120"/>
      <c r="AA4" s="120"/>
      <c r="AB4" s="119" t="s">
        <v>95</v>
      </c>
      <c r="AC4" s="120"/>
      <c r="AD4" s="120"/>
      <c r="AE4" s="120"/>
      <c r="AF4" s="120"/>
      <c r="AG4" s="120"/>
      <c r="AH4" s="120"/>
      <c r="AI4" s="120"/>
      <c r="AJ4" s="119" t="s">
        <v>96</v>
      </c>
      <c r="AK4" s="120"/>
      <c r="AL4" s="120"/>
      <c r="AM4" s="120"/>
      <c r="AN4" s="120"/>
      <c r="AO4" s="120"/>
      <c r="AP4" s="120"/>
      <c r="AQ4" s="120"/>
      <c r="AR4" s="119" t="s">
        <v>97</v>
      </c>
      <c r="AS4" s="120"/>
      <c r="AT4" s="120"/>
      <c r="AU4" s="120"/>
      <c r="AV4" s="120"/>
      <c r="AW4" s="120"/>
      <c r="AX4" s="120"/>
      <c r="AY4" s="120"/>
      <c r="AZ4" s="119" t="s">
        <v>98</v>
      </c>
      <c r="BA4" s="120"/>
      <c r="BB4" s="120"/>
      <c r="BC4" s="120"/>
      <c r="BD4" s="120"/>
      <c r="BE4" s="120"/>
      <c r="BF4" s="120"/>
      <c r="BG4" s="120"/>
      <c r="BH4" s="119" t="s">
        <v>99</v>
      </c>
      <c r="BI4" s="120"/>
      <c r="BJ4" s="120"/>
      <c r="BK4" s="120"/>
      <c r="BL4" s="120"/>
      <c r="BM4" s="120"/>
      <c r="BN4" s="120"/>
      <c r="BO4" s="120"/>
      <c r="BP4" s="119" t="s">
        <v>100</v>
      </c>
      <c r="BQ4" s="120"/>
      <c r="BR4" s="120"/>
      <c r="BS4" s="120"/>
      <c r="BT4" s="120"/>
      <c r="BU4" s="120"/>
      <c r="BV4" s="120"/>
      <c r="BW4" s="120"/>
      <c r="BX4" s="119" t="s">
        <v>101</v>
      </c>
      <c r="BY4" s="120"/>
      <c r="BZ4" s="120"/>
      <c r="CA4" s="120"/>
      <c r="CB4" s="120"/>
      <c r="CC4" s="120"/>
      <c r="CD4" s="120"/>
      <c r="CE4" s="120"/>
      <c r="CF4" s="119" t="s">
        <v>102</v>
      </c>
      <c r="CG4" s="120"/>
      <c r="CH4" s="120"/>
      <c r="CI4" s="120"/>
      <c r="CJ4" s="120"/>
      <c r="CK4" s="120"/>
      <c r="CL4" s="120"/>
      <c r="CM4" s="120"/>
      <c r="CN4" s="119" t="s">
        <v>103</v>
      </c>
      <c r="CO4" s="120"/>
      <c r="CP4" s="120"/>
      <c r="CQ4" s="120"/>
      <c r="CR4" s="120"/>
      <c r="CS4" s="120"/>
      <c r="CT4" s="120"/>
      <c r="CU4" s="120"/>
    </row>
    <row r="5" spans="1:99" x14ac:dyDescent="0.2">
      <c r="B5" s="119" t="s">
        <v>167</v>
      </c>
      <c r="C5" s="119" t="s">
        <v>275</v>
      </c>
      <c r="D5" s="119">
        <v>1</v>
      </c>
      <c r="E5" s="119"/>
      <c r="F5" s="119">
        <v>2</v>
      </c>
      <c r="G5" s="119"/>
      <c r="H5" s="119">
        <v>3</v>
      </c>
      <c r="I5" s="119"/>
      <c r="J5" s="119">
        <v>4</v>
      </c>
      <c r="K5" s="119"/>
      <c r="L5" s="119">
        <v>1</v>
      </c>
      <c r="M5" s="119"/>
      <c r="N5" s="119">
        <v>2</v>
      </c>
      <c r="O5" s="119"/>
      <c r="P5" s="119">
        <v>3</v>
      </c>
      <c r="Q5" s="119"/>
      <c r="R5" s="119">
        <v>4</v>
      </c>
      <c r="S5" s="119"/>
      <c r="T5" s="119">
        <v>1</v>
      </c>
      <c r="U5" s="119"/>
      <c r="V5" s="119">
        <v>2</v>
      </c>
      <c r="W5" s="119"/>
      <c r="X5" s="119">
        <v>3</v>
      </c>
      <c r="Y5" s="119"/>
      <c r="Z5" s="119">
        <v>4</v>
      </c>
      <c r="AA5" s="119"/>
      <c r="AB5" s="119">
        <v>1</v>
      </c>
      <c r="AC5" s="119"/>
      <c r="AD5" s="119">
        <v>2</v>
      </c>
      <c r="AE5" s="119"/>
      <c r="AF5" s="119">
        <v>3</v>
      </c>
      <c r="AG5" s="119"/>
      <c r="AH5" s="119">
        <v>4</v>
      </c>
      <c r="AI5" s="119"/>
      <c r="AJ5" s="119">
        <v>1</v>
      </c>
      <c r="AK5" s="119"/>
      <c r="AL5" s="119">
        <v>2</v>
      </c>
      <c r="AM5" s="119"/>
      <c r="AN5" s="119">
        <v>3</v>
      </c>
      <c r="AO5" s="119"/>
      <c r="AP5" s="119">
        <v>4</v>
      </c>
      <c r="AQ5" s="119"/>
      <c r="AR5" s="119">
        <v>1</v>
      </c>
      <c r="AS5" s="119"/>
      <c r="AT5" s="119">
        <v>2</v>
      </c>
      <c r="AU5" s="119"/>
      <c r="AV5" s="119">
        <v>3</v>
      </c>
      <c r="AW5" s="119"/>
      <c r="AX5" s="119">
        <v>4</v>
      </c>
      <c r="AY5" s="119"/>
      <c r="AZ5" s="119">
        <v>1</v>
      </c>
      <c r="BA5" s="119"/>
      <c r="BB5" s="119">
        <v>2</v>
      </c>
      <c r="BC5" s="119"/>
      <c r="BD5" s="119">
        <v>3</v>
      </c>
      <c r="BE5" s="119"/>
      <c r="BF5" s="119">
        <v>4</v>
      </c>
      <c r="BG5" s="119"/>
      <c r="BH5" s="119">
        <v>1</v>
      </c>
      <c r="BI5" s="119"/>
      <c r="BJ5" s="119">
        <v>2</v>
      </c>
      <c r="BK5" s="119"/>
      <c r="BL5" s="119">
        <v>3</v>
      </c>
      <c r="BM5" s="119"/>
      <c r="BN5" s="119">
        <v>4</v>
      </c>
      <c r="BO5" s="119"/>
      <c r="BP5" s="119">
        <v>1</v>
      </c>
      <c r="BQ5" s="119"/>
      <c r="BR5" s="119">
        <v>2</v>
      </c>
      <c r="BS5" s="119"/>
      <c r="BT5" s="119">
        <v>3</v>
      </c>
      <c r="BU5" s="119"/>
      <c r="BV5" s="119">
        <v>4</v>
      </c>
      <c r="BW5" s="119"/>
      <c r="BX5" s="119">
        <v>1</v>
      </c>
      <c r="BY5" s="119"/>
      <c r="BZ5" s="119">
        <v>2</v>
      </c>
      <c r="CA5" s="119"/>
      <c r="CB5" s="119">
        <v>3</v>
      </c>
      <c r="CC5" s="119"/>
      <c r="CD5" s="119">
        <v>4</v>
      </c>
      <c r="CE5" s="119"/>
      <c r="CF5" s="119">
        <v>1</v>
      </c>
      <c r="CG5" s="119"/>
      <c r="CH5" s="119">
        <v>2</v>
      </c>
      <c r="CI5" s="119"/>
      <c r="CJ5" s="119">
        <v>3</v>
      </c>
      <c r="CK5" s="119"/>
      <c r="CL5" s="119">
        <v>4</v>
      </c>
      <c r="CM5" s="119"/>
      <c r="CN5" s="119">
        <v>1</v>
      </c>
      <c r="CO5" s="119"/>
      <c r="CP5" s="119">
        <v>2</v>
      </c>
      <c r="CQ5" s="119"/>
      <c r="CR5" s="119">
        <v>3</v>
      </c>
      <c r="CS5" s="119"/>
      <c r="CT5" s="119">
        <v>4</v>
      </c>
      <c r="CU5" s="119"/>
    </row>
    <row r="6" spans="1:99" x14ac:dyDescent="0.2">
      <c r="B6" s="119" t="s">
        <v>126</v>
      </c>
      <c r="C6" s="119" t="s">
        <v>172</v>
      </c>
      <c r="D6">
        <v>10</v>
      </c>
      <c r="E6">
        <v>5784</v>
      </c>
      <c r="F6">
        <v>0.85023529102831819</v>
      </c>
      <c r="G6">
        <v>491.77609233077919</v>
      </c>
      <c r="H6">
        <v>0.19512317907284088</v>
      </c>
      <c r="I6">
        <v>112.85924677573117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</row>
    <row r="7" spans="1:99" x14ac:dyDescent="0.2">
      <c r="C7" s="119" t="s">
        <v>173</v>
      </c>
      <c r="D7">
        <v>9</v>
      </c>
      <c r="E7">
        <v>7095.5999999999995</v>
      </c>
      <c r="F7">
        <v>0.7439558796497785</v>
      </c>
      <c r="G7">
        <v>586.53481551588538</v>
      </c>
      <c r="H7">
        <v>0.19512317907284088</v>
      </c>
      <c r="I7">
        <v>153.83511438102775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</row>
    <row r="8" spans="1:99" x14ac:dyDescent="0.2">
      <c r="C8" s="119" t="s">
        <v>174</v>
      </c>
      <c r="D8">
        <v>11</v>
      </c>
      <c r="E8">
        <v>3405.5999999999995</v>
      </c>
      <c r="F8">
        <v>0.85023529102831819</v>
      </c>
      <c r="G8">
        <v>263.23284610236726</v>
      </c>
      <c r="H8">
        <v>0.22299791894038956</v>
      </c>
      <c r="I8">
        <v>69.040155703944606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</row>
    <row r="9" spans="1:99" x14ac:dyDescent="0.2">
      <c r="C9" s="119" t="s">
        <v>175</v>
      </c>
      <c r="D9">
        <v>11</v>
      </c>
      <c r="E9">
        <v>7722</v>
      </c>
      <c r="F9">
        <v>0.9565147024068581</v>
      </c>
      <c r="G9">
        <v>671.47332108961439</v>
      </c>
      <c r="H9">
        <v>0.19512317907284088</v>
      </c>
      <c r="I9">
        <v>136.9764717091343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</row>
    <row r="10" spans="1:99" x14ac:dyDescent="0.2">
      <c r="C10" s="119" t="s">
        <v>176</v>
      </c>
      <c r="D10">
        <v>10</v>
      </c>
      <c r="E10">
        <v>5448</v>
      </c>
      <c r="F10">
        <v>0.85023529102831819</v>
      </c>
      <c r="G10">
        <v>463.20818655222769</v>
      </c>
      <c r="H10">
        <v>0.19512317907284088</v>
      </c>
      <c r="I10">
        <v>106.3031079588837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</row>
    <row r="11" spans="1:99" x14ac:dyDescent="0.2">
      <c r="C11" s="119" t="s">
        <v>177</v>
      </c>
      <c r="D11">
        <v>11</v>
      </c>
      <c r="E11">
        <v>5860.7999999999993</v>
      </c>
      <c r="F11">
        <v>0.85023529102831819</v>
      </c>
      <c r="G11">
        <v>453.00536305988788</v>
      </c>
      <c r="H11">
        <v>0.22299791894038956</v>
      </c>
      <c r="I11">
        <v>118.81329121143955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</row>
    <row r="12" spans="1:99" x14ac:dyDescent="0.2">
      <c r="C12" s="119" t="s">
        <v>178</v>
      </c>
      <c r="D12">
        <v>9</v>
      </c>
      <c r="E12">
        <v>5065.2</v>
      </c>
      <c r="F12">
        <v>0.85023529102831819</v>
      </c>
      <c r="G12">
        <v>478.51242179073745</v>
      </c>
      <c r="H12">
        <v>0.22299791894038956</v>
      </c>
      <c r="I12">
        <v>125.50322877965124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</row>
    <row r="13" spans="1:99" x14ac:dyDescent="0.2">
      <c r="C13" s="119" t="s">
        <v>179</v>
      </c>
      <c r="D13">
        <v>11</v>
      </c>
      <c r="E13">
        <v>937.2</v>
      </c>
      <c r="F13">
        <v>0.85023529102831819</v>
      </c>
      <c r="G13">
        <v>72.440046795612716</v>
      </c>
      <c r="H13">
        <v>0.19512317907284088</v>
      </c>
      <c r="I13">
        <v>16.624494857006045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</row>
    <row r="14" spans="1:99" x14ac:dyDescent="0.2">
      <c r="C14" s="119" t="s">
        <v>180</v>
      </c>
      <c r="D14">
        <v>9</v>
      </c>
      <c r="E14">
        <v>4395.5999999999995</v>
      </c>
      <c r="F14">
        <v>0.7439558796497785</v>
      </c>
      <c r="G14">
        <v>363.34805162095182</v>
      </c>
      <c r="H14">
        <v>0.19512317907284088</v>
      </c>
      <c r="I14">
        <v>95.29816065917548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</row>
    <row r="15" spans="1:99" x14ac:dyDescent="0.2">
      <c r="C15" s="119" t="s">
        <v>181</v>
      </c>
      <c r="D15">
        <v>9</v>
      </c>
      <c r="E15">
        <v>6868.7999999999993</v>
      </c>
      <c r="F15">
        <v>0.7439558796497785</v>
      </c>
      <c r="G15">
        <v>567.7871273487109</v>
      </c>
      <c r="H15">
        <v>0.19512317907284088</v>
      </c>
      <c r="I15">
        <v>148.91801026839215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</row>
    <row r="16" spans="1:99" x14ac:dyDescent="0.2">
      <c r="C16" s="119" t="s">
        <v>182</v>
      </c>
      <c r="D16">
        <v>10</v>
      </c>
      <c r="E16">
        <v>3408</v>
      </c>
      <c r="F16">
        <v>0.85023529102831819</v>
      </c>
      <c r="G16">
        <v>289.76018718245086</v>
      </c>
      <c r="H16">
        <v>0.19512317907284088</v>
      </c>
      <c r="I16">
        <v>66.49797942802418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</row>
    <row r="17" spans="2:99" x14ac:dyDescent="0.2">
      <c r="C17" s="119" t="s">
        <v>183</v>
      </c>
      <c r="D17">
        <v>9</v>
      </c>
      <c r="E17">
        <v>3801.6</v>
      </c>
      <c r="F17">
        <v>0.85023529102831819</v>
      </c>
      <c r="G17">
        <v>359.13938693036158</v>
      </c>
      <c r="H17">
        <v>0.22299791894038956</v>
      </c>
      <c r="I17">
        <v>94.194320960420541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</row>
    <row r="18" spans="2:99" x14ac:dyDescent="0.2">
      <c r="C18" s="119" t="s">
        <v>184</v>
      </c>
      <c r="D18">
        <v>10</v>
      </c>
      <c r="E18">
        <v>6528</v>
      </c>
      <c r="F18">
        <v>0.85023529102831819</v>
      </c>
      <c r="G18">
        <v>555.03359798328609</v>
      </c>
      <c r="H18">
        <v>0.22299791894038956</v>
      </c>
      <c r="I18">
        <v>145.57304148428631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</row>
    <row r="19" spans="2:99" x14ac:dyDescent="0.2">
      <c r="C19" s="119" t="s">
        <v>185</v>
      </c>
      <c r="D19">
        <v>9</v>
      </c>
      <c r="E19">
        <v>2970</v>
      </c>
      <c r="F19">
        <v>0.85023529102831819</v>
      </c>
      <c r="G19">
        <v>280.57764603934498</v>
      </c>
      <c r="H19">
        <v>0.19512317907284088</v>
      </c>
      <c r="I19">
        <v>64.390649094037485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</row>
    <row r="20" spans="2:99" x14ac:dyDescent="0.2">
      <c r="B20" s="119" t="s">
        <v>127</v>
      </c>
      <c r="C20" s="119" t="s">
        <v>186</v>
      </c>
      <c r="D20">
        <v>14</v>
      </c>
      <c r="E20">
        <v>4015.2000000000003</v>
      </c>
      <c r="F20">
        <v>1.8067499934351763</v>
      </c>
      <c r="G20">
        <v>518.17589811720859</v>
      </c>
      <c r="H20">
        <v>0.39024635814568176</v>
      </c>
      <c r="I20">
        <v>111.92265551618154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</row>
    <row r="21" spans="2:99" x14ac:dyDescent="0.2">
      <c r="C21" s="119" t="s">
        <v>187</v>
      </c>
      <c r="D21">
        <v>16</v>
      </c>
      <c r="E21">
        <v>998.4</v>
      </c>
      <c r="F21">
        <v>1.5941911706780967</v>
      </c>
      <c r="G21">
        <v>99.477529050313237</v>
      </c>
      <c r="H21">
        <v>0.39024635814568176</v>
      </c>
      <c r="I21">
        <v>24.35137274829054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</row>
    <row r="22" spans="2:99" x14ac:dyDescent="0.2">
      <c r="C22" s="119" t="s">
        <v>188</v>
      </c>
      <c r="D22">
        <v>14</v>
      </c>
      <c r="E22">
        <v>2620.7999999999997</v>
      </c>
      <c r="F22">
        <v>1.7004705820566364</v>
      </c>
      <c r="G22">
        <v>318.32809296100231</v>
      </c>
      <c r="H22">
        <v>0.41812109801323044</v>
      </c>
      <c r="I22">
        <v>78.272269548076736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</row>
    <row r="23" spans="2:99" x14ac:dyDescent="0.2">
      <c r="C23" s="119" t="s">
        <v>189</v>
      </c>
      <c r="D23">
        <v>15</v>
      </c>
      <c r="E23">
        <v>4410</v>
      </c>
      <c r="F23">
        <v>1.5941911706780967</v>
      </c>
      <c r="G23">
        <v>468.69220417936043</v>
      </c>
      <c r="H23">
        <v>0.36237161827813308</v>
      </c>
      <c r="I23">
        <v>106.53725577377112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</row>
    <row r="24" spans="2:99" x14ac:dyDescent="0.2">
      <c r="C24" s="119" t="s">
        <v>190</v>
      </c>
      <c r="D24">
        <v>15</v>
      </c>
      <c r="E24">
        <v>5508</v>
      </c>
      <c r="F24">
        <v>1.8067499934351763</v>
      </c>
      <c r="G24">
        <v>663.43859758939675</v>
      </c>
      <c r="H24">
        <v>0.44599583788077912</v>
      </c>
      <c r="I24">
        <v>163.76967166982209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</row>
    <row r="25" spans="2:99" x14ac:dyDescent="0.2">
      <c r="C25" s="119" t="s">
        <v>191</v>
      </c>
      <c r="D25">
        <v>13</v>
      </c>
      <c r="E25">
        <v>6895.2</v>
      </c>
      <c r="F25">
        <v>1.7004705820566364</v>
      </c>
      <c r="G25">
        <v>901.92959672283985</v>
      </c>
      <c r="H25">
        <v>0.36237161827813308</v>
      </c>
      <c r="I25">
        <v>192.20190633472177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</row>
    <row r="26" spans="2:99" x14ac:dyDescent="0.2">
      <c r="C26" s="119" t="s">
        <v>192</v>
      </c>
      <c r="D26">
        <v>13</v>
      </c>
      <c r="E26">
        <v>6318</v>
      </c>
      <c r="F26">
        <v>1.7004705820566364</v>
      </c>
      <c r="G26">
        <v>826.4287028795253</v>
      </c>
      <c r="H26">
        <v>0.39024635814568176</v>
      </c>
      <c r="I26">
        <v>189.65973005880133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</row>
    <row r="27" spans="2:99" x14ac:dyDescent="0.2">
      <c r="C27" s="119" t="s">
        <v>193</v>
      </c>
      <c r="D27">
        <v>14</v>
      </c>
      <c r="E27">
        <v>5980.8</v>
      </c>
      <c r="F27">
        <v>1.7004705820566364</v>
      </c>
      <c r="G27">
        <v>726.44103265459501</v>
      </c>
      <c r="H27">
        <v>0.44599583788077912</v>
      </c>
      <c r="I27">
        <v>190.52942194266885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</row>
    <row r="28" spans="2:99" x14ac:dyDescent="0.2">
      <c r="C28" s="119" t="s">
        <v>194</v>
      </c>
      <c r="D28">
        <v>14</v>
      </c>
      <c r="E28">
        <v>10332</v>
      </c>
      <c r="F28">
        <v>1.5941911706780967</v>
      </c>
      <c r="G28">
        <v>1176.5130839604353</v>
      </c>
      <c r="H28">
        <v>0.36237161827813308</v>
      </c>
      <c r="I28">
        <v>267.43025428926222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</row>
    <row r="29" spans="2:99" x14ac:dyDescent="0.2">
      <c r="C29" s="119" t="s">
        <v>195</v>
      </c>
      <c r="D29">
        <v>13</v>
      </c>
      <c r="E29">
        <v>4399.2</v>
      </c>
      <c r="F29">
        <v>1.7004705820566364</v>
      </c>
      <c r="G29">
        <v>575.43924496796569</v>
      </c>
      <c r="H29">
        <v>0.39024635814568176</v>
      </c>
      <c r="I29">
        <v>132.0593675964987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</row>
    <row r="30" spans="2:99" x14ac:dyDescent="0.2">
      <c r="C30" s="119" t="s">
        <v>196</v>
      </c>
      <c r="D30">
        <v>16</v>
      </c>
      <c r="E30">
        <v>2227.1999999999998</v>
      </c>
      <c r="F30">
        <v>1.7004705820566364</v>
      </c>
      <c r="G30">
        <v>236.70550502228377</v>
      </c>
      <c r="H30">
        <v>0.41812109801323044</v>
      </c>
      <c r="I30">
        <v>58.202456843441674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</row>
    <row r="31" spans="2:99" x14ac:dyDescent="0.2">
      <c r="C31" s="119" t="s">
        <v>197</v>
      </c>
      <c r="D31">
        <v>13</v>
      </c>
      <c r="E31">
        <v>4430.4000000000005</v>
      </c>
      <c r="F31">
        <v>1.8067499934351763</v>
      </c>
      <c r="G31">
        <v>615.74039776270808</v>
      </c>
      <c r="H31">
        <v>0.39024635814568176</v>
      </c>
      <c r="I31">
        <v>132.99595885604836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</row>
    <row r="32" spans="2:99" x14ac:dyDescent="0.2">
      <c r="C32" s="119" t="s">
        <v>198</v>
      </c>
      <c r="D32">
        <v>14</v>
      </c>
      <c r="E32">
        <v>11760</v>
      </c>
      <c r="F32">
        <v>1.7004705820566364</v>
      </c>
      <c r="G32">
        <v>1428.3952889275745</v>
      </c>
      <c r="H32">
        <v>0.36237161827813308</v>
      </c>
      <c r="I32">
        <v>304.39215935363177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</row>
    <row r="33" spans="2:99" x14ac:dyDescent="0.2">
      <c r="C33" s="119" t="s">
        <v>199</v>
      </c>
      <c r="D33">
        <v>15</v>
      </c>
      <c r="E33">
        <v>7110</v>
      </c>
      <c r="F33">
        <v>1.8067499934351763</v>
      </c>
      <c r="G33">
        <v>856.39949688827357</v>
      </c>
      <c r="H33">
        <v>0.41812109801323044</v>
      </c>
      <c r="I33">
        <v>198.18940045827122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</row>
    <row r="34" spans="2:99" x14ac:dyDescent="0.2">
      <c r="C34" s="119" t="s">
        <v>200</v>
      </c>
      <c r="D34">
        <v>15</v>
      </c>
      <c r="E34">
        <v>8226</v>
      </c>
      <c r="F34">
        <v>1.487911759299557</v>
      </c>
      <c r="G34">
        <v>815.97080879987698</v>
      </c>
      <c r="H34">
        <v>0.39024635814568176</v>
      </c>
      <c r="I34">
        <v>214.01110280709187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</row>
    <row r="35" spans="2:99" x14ac:dyDescent="0.2">
      <c r="C35" s="119" t="s">
        <v>201</v>
      </c>
      <c r="D35">
        <v>13</v>
      </c>
      <c r="E35">
        <v>6536.3999999999987</v>
      </c>
      <c r="F35">
        <v>1.5941911706780967</v>
      </c>
      <c r="G35">
        <v>801.55932061694682</v>
      </c>
      <c r="H35">
        <v>0.39024635814568176</v>
      </c>
      <c r="I35">
        <v>196.21586887564874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</row>
    <row r="36" spans="2:99" x14ac:dyDescent="0.2">
      <c r="C36" s="119" t="s">
        <v>202</v>
      </c>
      <c r="D36">
        <v>13</v>
      </c>
      <c r="E36">
        <v>9890.4</v>
      </c>
      <c r="F36">
        <v>1.487911759299557</v>
      </c>
      <c r="G36">
        <v>1132.0032664751029</v>
      </c>
      <c r="H36">
        <v>0.36237161827813308</v>
      </c>
      <c r="I36">
        <v>275.69232718600364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</row>
    <row r="37" spans="2:99" x14ac:dyDescent="0.2">
      <c r="B37" s="119" t="s">
        <v>128</v>
      </c>
      <c r="C37" s="119" t="s">
        <v>203</v>
      </c>
      <c r="D37">
        <v>29</v>
      </c>
      <c r="E37">
        <v>24951.599999999999</v>
      </c>
      <c r="F37">
        <v>2.1255882275707956</v>
      </c>
      <c r="G37">
        <v>1828.8561110019125</v>
      </c>
      <c r="H37">
        <v>0.52962005748342522</v>
      </c>
      <c r="I37">
        <v>455.68509745873905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</row>
    <row r="38" spans="2:99" x14ac:dyDescent="0.2">
      <c r="C38" s="119" t="s">
        <v>204</v>
      </c>
      <c r="D38">
        <v>24</v>
      </c>
      <c r="E38">
        <v>29808</v>
      </c>
      <c r="F38">
        <v>2.1255882275707956</v>
      </c>
      <c r="G38">
        <v>2639.9805786429283</v>
      </c>
      <c r="H38">
        <v>0.55749479735097385</v>
      </c>
      <c r="I38">
        <v>692.40853830990955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</row>
    <row r="39" spans="2:99" x14ac:dyDescent="0.2">
      <c r="C39" s="119" t="s">
        <v>205</v>
      </c>
      <c r="D39">
        <v>25</v>
      </c>
      <c r="E39">
        <v>35580</v>
      </c>
      <c r="F39">
        <v>2.1255882275707956</v>
      </c>
      <c r="G39">
        <v>3025.1371654787563</v>
      </c>
      <c r="H39">
        <v>0.52962005748342522</v>
      </c>
      <c r="I39">
        <v>753.75526581041083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</row>
    <row r="40" spans="2:99" x14ac:dyDescent="0.2">
      <c r="C40" s="119" t="s">
        <v>206</v>
      </c>
      <c r="D40">
        <v>29</v>
      </c>
      <c r="E40">
        <v>21019.199999999997</v>
      </c>
      <c r="F40">
        <v>2.2318676389493355</v>
      </c>
      <c r="G40">
        <v>1617.6576647104782</v>
      </c>
      <c r="H40">
        <v>0.50174531761587648</v>
      </c>
      <c r="I40">
        <v>363.66500620798723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</row>
    <row r="41" spans="2:99" x14ac:dyDescent="0.2">
      <c r="C41" s="119" t="s">
        <v>207</v>
      </c>
      <c r="D41">
        <v>28</v>
      </c>
      <c r="E41">
        <v>18480</v>
      </c>
      <c r="F41">
        <v>2.2318676389493355</v>
      </c>
      <c r="G41">
        <v>1473.0326417065614</v>
      </c>
      <c r="H41">
        <v>0.55749479735097385</v>
      </c>
      <c r="I41">
        <v>367.94656625164276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</row>
    <row r="42" spans="2:99" x14ac:dyDescent="0.2">
      <c r="C42" s="119" t="s">
        <v>208</v>
      </c>
      <c r="D42">
        <v>24</v>
      </c>
      <c r="E42">
        <v>20304</v>
      </c>
      <c r="F42">
        <v>2.4444264617064149</v>
      </c>
      <c r="G42">
        <v>2067.9847866036271</v>
      </c>
      <c r="H42">
        <v>0.52962005748342522</v>
      </c>
      <c r="I42">
        <v>448.05856863097773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</row>
    <row r="43" spans="2:99" x14ac:dyDescent="0.2">
      <c r="C43" s="119" t="s">
        <v>209</v>
      </c>
      <c r="D43">
        <v>24</v>
      </c>
      <c r="E43">
        <v>24537.599999999999</v>
      </c>
      <c r="F43">
        <v>2.2318676389493355</v>
      </c>
      <c r="G43">
        <v>2281.8614740618004</v>
      </c>
      <c r="H43">
        <v>0.58536953721852258</v>
      </c>
      <c r="I43">
        <v>598.48181485221744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</row>
    <row r="44" spans="2:99" x14ac:dyDescent="0.2">
      <c r="C44" s="119" t="s">
        <v>210</v>
      </c>
      <c r="D44">
        <v>26</v>
      </c>
      <c r="E44">
        <v>26582.399999999998</v>
      </c>
      <c r="F44">
        <v>2.4444264617064149</v>
      </c>
      <c r="G44">
        <v>2499.1816144486384</v>
      </c>
      <c r="H44">
        <v>0.55749479735097385</v>
      </c>
      <c r="I44">
        <v>569.98268081163565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</row>
    <row r="45" spans="2:99" x14ac:dyDescent="0.2">
      <c r="C45" s="119" t="s">
        <v>211</v>
      </c>
      <c r="D45">
        <v>27</v>
      </c>
      <c r="E45">
        <v>33728.400000000001</v>
      </c>
      <c r="F45">
        <v>2.0193088161922561</v>
      </c>
      <c r="G45">
        <v>2522.5205731873666</v>
      </c>
      <c r="H45">
        <v>0.55749479735097385</v>
      </c>
      <c r="I45">
        <v>696.42250085083651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</row>
    <row r="46" spans="2:99" x14ac:dyDescent="0.2">
      <c r="C46" s="119" t="s">
        <v>212</v>
      </c>
      <c r="D46">
        <v>27</v>
      </c>
      <c r="E46">
        <v>32724</v>
      </c>
      <c r="F46">
        <v>2.3381470503278754</v>
      </c>
      <c r="G46">
        <v>2833.8342249973848</v>
      </c>
      <c r="H46">
        <v>0.55749479735097385</v>
      </c>
      <c r="I46">
        <v>675.68369438938032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</row>
    <row r="47" spans="2:99" x14ac:dyDescent="0.2">
      <c r="C47" s="119" t="s">
        <v>213</v>
      </c>
      <c r="D47">
        <v>23</v>
      </c>
      <c r="E47">
        <v>35134.799999999996</v>
      </c>
      <c r="F47">
        <v>2.0193088161922561</v>
      </c>
      <c r="G47">
        <v>3084.6961476152901</v>
      </c>
      <c r="H47">
        <v>0.55749479735097385</v>
      </c>
      <c r="I47">
        <v>851.62905243334762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</row>
    <row r="48" spans="2:99" x14ac:dyDescent="0.2">
      <c r="C48" s="119" t="s">
        <v>214</v>
      </c>
      <c r="D48">
        <v>27</v>
      </c>
      <c r="E48">
        <v>23425.200000000001</v>
      </c>
      <c r="F48">
        <v>2.4444264617064149</v>
      </c>
      <c r="G48">
        <v>2120.7843981764854</v>
      </c>
      <c r="H48">
        <v>0.50174531761587648</v>
      </c>
      <c r="I48">
        <v>435.31423756353445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</row>
    <row r="49" spans="2:99" x14ac:dyDescent="0.2">
      <c r="B49" s="119" t="s">
        <v>129</v>
      </c>
      <c r="C49" s="119" t="s">
        <v>215</v>
      </c>
      <c r="D49">
        <v>2.5676922271135001</v>
      </c>
      <c r="E49">
        <v>2529.6903821522201</v>
      </c>
      <c r="F49">
        <v>14</v>
      </c>
      <c r="G49">
        <v>13792.8</v>
      </c>
      <c r="H49">
        <v>16</v>
      </c>
      <c r="I49">
        <v>15763.199999999999</v>
      </c>
      <c r="J49">
        <v>11</v>
      </c>
      <c r="K49">
        <v>10837.199999999999</v>
      </c>
      <c r="L49">
        <v>12</v>
      </c>
      <c r="M49">
        <v>11822.4</v>
      </c>
      <c r="N49">
        <v>16</v>
      </c>
      <c r="O49">
        <v>15763.199999999999</v>
      </c>
      <c r="P49">
        <v>20</v>
      </c>
      <c r="Q49">
        <v>19704</v>
      </c>
      <c r="R49">
        <v>16</v>
      </c>
      <c r="S49">
        <v>15763.199999999999</v>
      </c>
      <c r="T49">
        <v>12</v>
      </c>
      <c r="U49">
        <v>11822.4</v>
      </c>
      <c r="V49">
        <v>12</v>
      </c>
      <c r="W49">
        <v>11822.4</v>
      </c>
      <c r="X49">
        <v>16</v>
      </c>
      <c r="Y49">
        <v>15763.199999999999</v>
      </c>
      <c r="Z49">
        <v>12</v>
      </c>
      <c r="AA49">
        <v>11822.4</v>
      </c>
      <c r="AB49">
        <v>15</v>
      </c>
      <c r="AC49">
        <v>14777.999999999998</v>
      </c>
      <c r="AD49">
        <v>16</v>
      </c>
      <c r="AE49">
        <v>15763.199999999999</v>
      </c>
      <c r="AF49">
        <v>18</v>
      </c>
      <c r="AG49">
        <v>17733.599999999999</v>
      </c>
      <c r="AH49">
        <v>21</v>
      </c>
      <c r="AI49">
        <v>20689.199999999997</v>
      </c>
      <c r="AJ49">
        <v>17</v>
      </c>
      <c r="AK49">
        <v>16748.399999999998</v>
      </c>
      <c r="AL49">
        <v>19</v>
      </c>
      <c r="AM49">
        <v>18718.8</v>
      </c>
      <c r="AN49">
        <v>13</v>
      </c>
      <c r="AO49">
        <v>12807.599999999999</v>
      </c>
      <c r="AP49">
        <v>15</v>
      </c>
      <c r="AQ49">
        <v>14777.999999999998</v>
      </c>
      <c r="AR49">
        <v>16</v>
      </c>
      <c r="AS49">
        <v>15763.199999999999</v>
      </c>
      <c r="AT49">
        <v>17</v>
      </c>
      <c r="AU49">
        <v>16748.399999999998</v>
      </c>
      <c r="AV49">
        <v>20</v>
      </c>
      <c r="AW49">
        <v>19704</v>
      </c>
      <c r="AX49">
        <v>16</v>
      </c>
      <c r="AY49">
        <v>15763.199999999999</v>
      </c>
      <c r="AZ49">
        <v>10</v>
      </c>
      <c r="BA49">
        <v>9852</v>
      </c>
      <c r="BB49">
        <v>13</v>
      </c>
      <c r="BC49">
        <v>12807.599999999999</v>
      </c>
      <c r="BD49">
        <v>12</v>
      </c>
      <c r="BE49">
        <v>11822.4</v>
      </c>
      <c r="BF49">
        <v>13</v>
      </c>
      <c r="BG49">
        <v>12807.599999999999</v>
      </c>
      <c r="BH49">
        <v>17</v>
      </c>
      <c r="BI49">
        <v>16748.399999999998</v>
      </c>
      <c r="BJ49">
        <v>16</v>
      </c>
      <c r="BK49">
        <v>15763.199999999999</v>
      </c>
      <c r="BL49">
        <v>16</v>
      </c>
      <c r="BM49">
        <v>15763.199999999999</v>
      </c>
      <c r="BN49">
        <v>16</v>
      </c>
      <c r="BO49">
        <v>15763.199999999999</v>
      </c>
      <c r="BP49">
        <v>16</v>
      </c>
      <c r="BQ49">
        <v>15763.199999999999</v>
      </c>
      <c r="BR49">
        <v>17</v>
      </c>
      <c r="BS49">
        <v>16748.399999999998</v>
      </c>
      <c r="BT49">
        <v>12</v>
      </c>
      <c r="BU49">
        <v>11822.4</v>
      </c>
      <c r="BV49">
        <v>12</v>
      </c>
      <c r="BW49">
        <v>11822.4</v>
      </c>
      <c r="BX49">
        <v>17</v>
      </c>
      <c r="BY49">
        <v>16748.399999999998</v>
      </c>
      <c r="BZ49">
        <v>20</v>
      </c>
      <c r="CA49">
        <v>19704</v>
      </c>
      <c r="CB49">
        <v>16</v>
      </c>
      <c r="CC49">
        <v>15763.199999999999</v>
      </c>
      <c r="CD49">
        <v>17</v>
      </c>
      <c r="CE49">
        <v>16748.399999999998</v>
      </c>
      <c r="CF49">
        <v>15</v>
      </c>
      <c r="CG49">
        <v>14777.999999999998</v>
      </c>
      <c r="CH49">
        <v>15</v>
      </c>
      <c r="CI49">
        <v>14777.999999999998</v>
      </c>
      <c r="CJ49">
        <v>14</v>
      </c>
      <c r="CK49">
        <v>13792.8</v>
      </c>
      <c r="CL49">
        <v>12</v>
      </c>
      <c r="CM49">
        <v>11822.4</v>
      </c>
      <c r="CN49">
        <v>16</v>
      </c>
      <c r="CO49">
        <v>15763.199999999999</v>
      </c>
      <c r="CP49">
        <v>17</v>
      </c>
      <c r="CQ49">
        <v>16748.399999999998</v>
      </c>
      <c r="CR49">
        <v>13</v>
      </c>
      <c r="CS49">
        <v>12807.599999999999</v>
      </c>
      <c r="CT49">
        <v>18</v>
      </c>
      <c r="CU49">
        <v>17733.599999999999</v>
      </c>
    </row>
    <row r="50" spans="2:99" x14ac:dyDescent="0.2">
      <c r="C50" s="119" t="s">
        <v>216</v>
      </c>
      <c r="D50">
        <v>13</v>
      </c>
      <c r="E50">
        <v>3666</v>
      </c>
      <c r="F50">
        <v>1.487911759299557</v>
      </c>
      <c r="G50">
        <v>419.59111612247506</v>
      </c>
      <c r="H50">
        <v>0.44599583788077912</v>
      </c>
      <c r="I50">
        <v>125.77082628237972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</row>
    <row r="51" spans="2:99" x14ac:dyDescent="0.2">
      <c r="C51" s="119" t="s">
        <v>217</v>
      </c>
      <c r="D51">
        <v>12</v>
      </c>
      <c r="E51">
        <v>10252.799999999999</v>
      </c>
      <c r="F51">
        <v>1.487911759299557</v>
      </c>
      <c r="G51">
        <v>1271.2718071455415</v>
      </c>
      <c r="H51">
        <v>0.44599583788077912</v>
      </c>
      <c r="I51">
        <v>381.05884388533769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</row>
    <row r="52" spans="2:99" x14ac:dyDescent="0.2">
      <c r="C52" s="119" t="s">
        <v>218</v>
      </c>
      <c r="D52">
        <v>14</v>
      </c>
      <c r="E52">
        <v>7560</v>
      </c>
      <c r="F52">
        <v>1.3816323479210173</v>
      </c>
      <c r="G52">
        <v>746.08146787734938</v>
      </c>
      <c r="H52">
        <v>0.50174531761587648</v>
      </c>
      <c r="I52">
        <v>270.94247151257332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</row>
    <row r="53" spans="2:99" x14ac:dyDescent="0.2">
      <c r="C53" s="119" t="s">
        <v>219</v>
      </c>
      <c r="D53">
        <v>14</v>
      </c>
      <c r="E53">
        <v>5695.2</v>
      </c>
      <c r="F53">
        <v>1.5941911706780967</v>
      </c>
      <c r="G53">
        <v>648.51696823184977</v>
      </c>
      <c r="H53">
        <v>0.44599583788077912</v>
      </c>
      <c r="I53">
        <v>181.43110684990094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</row>
    <row r="54" spans="2:99" x14ac:dyDescent="0.2">
      <c r="C54" s="119" t="s">
        <v>220</v>
      </c>
      <c r="D54">
        <v>13</v>
      </c>
      <c r="E54">
        <v>4352.4000000000005</v>
      </c>
      <c r="F54">
        <v>1.487911759299557</v>
      </c>
      <c r="G54">
        <v>498.15285701349171</v>
      </c>
      <c r="H54">
        <v>0.52962005748342522</v>
      </c>
      <c r="I54">
        <v>177.31679524545078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</row>
    <row r="55" spans="2:99" x14ac:dyDescent="0.2">
      <c r="C55" s="119" t="s">
        <v>221</v>
      </c>
      <c r="D55">
        <v>12</v>
      </c>
      <c r="E55">
        <v>7963.2000000000007</v>
      </c>
      <c r="F55">
        <v>1.5941911706780967</v>
      </c>
      <c r="G55">
        <v>1057.905260861985</v>
      </c>
      <c r="H55">
        <v>0.44599583788077912</v>
      </c>
      <c r="I55">
        <v>295.96283801768504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</row>
    <row r="56" spans="2:99" x14ac:dyDescent="0.2">
      <c r="C56" s="119" t="s">
        <v>222</v>
      </c>
      <c r="D56">
        <v>2.3537178748540422</v>
      </c>
      <c r="E56">
        <v>2708.6585303820316</v>
      </c>
      <c r="F56">
        <v>12</v>
      </c>
      <c r="G56">
        <v>13809.599999999999</v>
      </c>
      <c r="H56">
        <v>15</v>
      </c>
      <c r="I56">
        <v>17262</v>
      </c>
      <c r="J56">
        <v>11</v>
      </c>
      <c r="K56">
        <v>12658.8</v>
      </c>
      <c r="L56">
        <v>13</v>
      </c>
      <c r="M56">
        <v>14960.4</v>
      </c>
      <c r="N56">
        <v>15</v>
      </c>
      <c r="O56">
        <v>17262</v>
      </c>
      <c r="P56">
        <v>19</v>
      </c>
      <c r="Q56">
        <v>21865.200000000001</v>
      </c>
      <c r="R56">
        <v>14</v>
      </c>
      <c r="S56">
        <v>16111.199999999999</v>
      </c>
      <c r="T56">
        <v>11</v>
      </c>
      <c r="U56">
        <v>12658.8</v>
      </c>
      <c r="V56">
        <v>12</v>
      </c>
      <c r="W56">
        <v>13809.599999999999</v>
      </c>
      <c r="X56">
        <v>14</v>
      </c>
      <c r="Y56">
        <v>16111.199999999999</v>
      </c>
      <c r="Z56">
        <v>13</v>
      </c>
      <c r="AA56">
        <v>14960.4</v>
      </c>
      <c r="AB56">
        <v>17</v>
      </c>
      <c r="AC56">
        <v>19563.599999999999</v>
      </c>
      <c r="AD56">
        <v>16</v>
      </c>
      <c r="AE56">
        <v>18412.8</v>
      </c>
      <c r="AF56">
        <v>19</v>
      </c>
      <c r="AG56">
        <v>21865.200000000001</v>
      </c>
      <c r="AH56">
        <v>20</v>
      </c>
      <c r="AI56">
        <v>23016</v>
      </c>
      <c r="AJ56">
        <v>18</v>
      </c>
      <c r="AK56">
        <v>20714.399999999998</v>
      </c>
      <c r="AL56">
        <v>17</v>
      </c>
      <c r="AM56">
        <v>19563.599999999999</v>
      </c>
      <c r="AN56">
        <v>13</v>
      </c>
      <c r="AO56">
        <v>14960.4</v>
      </c>
      <c r="AP56">
        <v>14</v>
      </c>
      <c r="AQ56">
        <v>16111.199999999999</v>
      </c>
      <c r="AR56">
        <v>15</v>
      </c>
      <c r="AS56">
        <v>17262</v>
      </c>
      <c r="AT56">
        <v>17</v>
      </c>
      <c r="AU56">
        <v>19563.599999999999</v>
      </c>
      <c r="AV56">
        <v>19</v>
      </c>
      <c r="AW56">
        <v>21865.200000000001</v>
      </c>
      <c r="AX56">
        <v>16</v>
      </c>
      <c r="AY56">
        <v>18412.8</v>
      </c>
      <c r="AZ56">
        <v>10</v>
      </c>
      <c r="BA56">
        <v>11508</v>
      </c>
      <c r="BB56">
        <v>14</v>
      </c>
      <c r="BC56">
        <v>16111.199999999999</v>
      </c>
      <c r="BD56">
        <v>12</v>
      </c>
      <c r="BE56">
        <v>13809.599999999999</v>
      </c>
      <c r="BF56">
        <v>11</v>
      </c>
      <c r="BG56">
        <v>12658.8</v>
      </c>
      <c r="BH56">
        <v>16</v>
      </c>
      <c r="BI56">
        <v>18412.8</v>
      </c>
      <c r="BJ56">
        <v>15</v>
      </c>
      <c r="BK56">
        <v>17262</v>
      </c>
      <c r="BL56">
        <v>17</v>
      </c>
      <c r="BM56">
        <v>19563.599999999999</v>
      </c>
      <c r="BN56">
        <v>18</v>
      </c>
      <c r="BO56">
        <v>20714.399999999998</v>
      </c>
      <c r="BP56">
        <v>18</v>
      </c>
      <c r="BQ56">
        <v>20714.399999999998</v>
      </c>
      <c r="BR56">
        <v>17</v>
      </c>
      <c r="BS56">
        <v>19563.599999999999</v>
      </c>
      <c r="BT56">
        <v>10</v>
      </c>
      <c r="BU56">
        <v>11508</v>
      </c>
      <c r="BV56">
        <v>12</v>
      </c>
      <c r="BW56">
        <v>13809.599999999999</v>
      </c>
      <c r="BX56">
        <v>18</v>
      </c>
      <c r="BY56">
        <v>20714.399999999998</v>
      </c>
      <c r="BZ56">
        <v>17</v>
      </c>
      <c r="CA56">
        <v>19563.599999999999</v>
      </c>
      <c r="CB56">
        <v>17</v>
      </c>
      <c r="CC56">
        <v>19563.599999999999</v>
      </c>
      <c r="CD56">
        <v>16</v>
      </c>
      <c r="CE56">
        <v>18412.8</v>
      </c>
      <c r="CF56">
        <v>15</v>
      </c>
      <c r="CG56">
        <v>17262</v>
      </c>
      <c r="CH56">
        <v>15</v>
      </c>
      <c r="CI56">
        <v>17262</v>
      </c>
      <c r="CJ56">
        <v>13</v>
      </c>
      <c r="CK56">
        <v>14960.4</v>
      </c>
      <c r="CL56">
        <v>13</v>
      </c>
      <c r="CM56">
        <v>14960.4</v>
      </c>
      <c r="CN56">
        <v>18</v>
      </c>
      <c r="CO56">
        <v>20714.399999999998</v>
      </c>
      <c r="CP56">
        <v>17</v>
      </c>
      <c r="CQ56">
        <v>19563.599999999999</v>
      </c>
      <c r="CR56">
        <v>16</v>
      </c>
      <c r="CS56">
        <v>18412.8</v>
      </c>
      <c r="CT56">
        <v>18</v>
      </c>
      <c r="CU56">
        <v>20714.399999999998</v>
      </c>
    </row>
    <row r="57" spans="2:99" x14ac:dyDescent="0.2">
      <c r="C57" s="119" t="s">
        <v>223</v>
      </c>
      <c r="D57">
        <v>12</v>
      </c>
      <c r="E57">
        <v>16934.400000000001</v>
      </c>
      <c r="F57">
        <v>1.2753529365424774</v>
      </c>
      <c r="G57">
        <v>1799.7780640487442</v>
      </c>
      <c r="H57">
        <v>0.41812109801323044</v>
      </c>
      <c r="I57">
        <v>590.05249351627083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</row>
    <row r="58" spans="2:99" x14ac:dyDescent="0.2">
      <c r="C58" s="119" t="s">
        <v>224</v>
      </c>
      <c r="D58">
        <v>2.7816665793729585</v>
      </c>
      <c r="E58">
        <v>3274.5778972378466</v>
      </c>
      <c r="F58">
        <v>13</v>
      </c>
      <c r="G58">
        <v>15303.6</v>
      </c>
      <c r="H58">
        <v>18</v>
      </c>
      <c r="I58">
        <v>21189.600000000002</v>
      </c>
      <c r="J58">
        <v>9</v>
      </c>
      <c r="K58">
        <v>10594.800000000001</v>
      </c>
      <c r="L58">
        <v>11</v>
      </c>
      <c r="M58">
        <v>12949.2</v>
      </c>
      <c r="N58">
        <v>14</v>
      </c>
      <c r="O58">
        <v>16480.8</v>
      </c>
      <c r="P58">
        <v>20</v>
      </c>
      <c r="Q58">
        <v>23544</v>
      </c>
      <c r="R58">
        <v>17</v>
      </c>
      <c r="S58">
        <v>20012.400000000001</v>
      </c>
      <c r="T58">
        <v>12</v>
      </c>
      <c r="U58">
        <v>14126.400000000001</v>
      </c>
      <c r="V58">
        <v>11</v>
      </c>
      <c r="W58">
        <v>12949.2</v>
      </c>
      <c r="X58">
        <v>15</v>
      </c>
      <c r="Y58">
        <v>17658</v>
      </c>
      <c r="Z58">
        <v>11</v>
      </c>
      <c r="AA58">
        <v>12949.2</v>
      </c>
      <c r="AB58">
        <v>17</v>
      </c>
      <c r="AC58">
        <v>20012.400000000001</v>
      </c>
      <c r="AD58">
        <v>16</v>
      </c>
      <c r="AE58">
        <v>18835.2</v>
      </c>
      <c r="AF58">
        <v>20</v>
      </c>
      <c r="AG58">
        <v>23544</v>
      </c>
      <c r="AH58">
        <v>20</v>
      </c>
      <c r="AI58">
        <v>23544</v>
      </c>
      <c r="AJ58">
        <v>16</v>
      </c>
      <c r="AK58">
        <v>18835.2</v>
      </c>
      <c r="AL58">
        <v>18</v>
      </c>
      <c r="AM58">
        <v>21189.600000000002</v>
      </c>
      <c r="AN58">
        <v>13</v>
      </c>
      <c r="AO58">
        <v>15303.6</v>
      </c>
      <c r="AP58">
        <v>14</v>
      </c>
      <c r="AQ58">
        <v>16480.8</v>
      </c>
      <c r="AR58">
        <v>17</v>
      </c>
      <c r="AS58">
        <v>20012.400000000001</v>
      </c>
      <c r="AT58">
        <v>17</v>
      </c>
      <c r="AU58">
        <v>20012.400000000001</v>
      </c>
      <c r="AV58">
        <v>19</v>
      </c>
      <c r="AW58">
        <v>22366.799999999999</v>
      </c>
      <c r="AX58">
        <v>14</v>
      </c>
      <c r="AY58">
        <v>16480.8</v>
      </c>
      <c r="AZ58">
        <v>10</v>
      </c>
      <c r="BA58">
        <v>11772</v>
      </c>
      <c r="BB58">
        <v>13</v>
      </c>
      <c r="BC58">
        <v>15303.6</v>
      </c>
      <c r="BD58">
        <v>12</v>
      </c>
      <c r="BE58">
        <v>14126.400000000001</v>
      </c>
      <c r="BF58">
        <v>13</v>
      </c>
      <c r="BG58">
        <v>15303.6</v>
      </c>
      <c r="BH58">
        <v>15</v>
      </c>
      <c r="BI58">
        <v>17658</v>
      </c>
      <c r="BJ58">
        <v>17</v>
      </c>
      <c r="BK58">
        <v>20012.400000000001</v>
      </c>
      <c r="BL58">
        <v>15</v>
      </c>
      <c r="BM58">
        <v>17658</v>
      </c>
      <c r="BN58">
        <v>18</v>
      </c>
      <c r="BO58">
        <v>21189.600000000002</v>
      </c>
      <c r="BP58">
        <v>16</v>
      </c>
      <c r="BQ58">
        <v>18835.2</v>
      </c>
      <c r="BR58">
        <v>16</v>
      </c>
      <c r="BS58">
        <v>18835.2</v>
      </c>
      <c r="BT58">
        <v>10</v>
      </c>
      <c r="BU58">
        <v>11772</v>
      </c>
      <c r="BV58">
        <v>12</v>
      </c>
      <c r="BW58">
        <v>14126.400000000001</v>
      </c>
      <c r="BX58">
        <v>17</v>
      </c>
      <c r="BY58">
        <v>20012.400000000001</v>
      </c>
      <c r="BZ58">
        <v>19</v>
      </c>
      <c r="CA58">
        <v>22366.799999999999</v>
      </c>
      <c r="CB58">
        <v>15</v>
      </c>
      <c r="CC58">
        <v>17658</v>
      </c>
      <c r="CD58">
        <v>16</v>
      </c>
      <c r="CE58">
        <v>18835.2</v>
      </c>
      <c r="CF58">
        <v>16</v>
      </c>
      <c r="CG58">
        <v>18835.2</v>
      </c>
      <c r="CH58">
        <v>15</v>
      </c>
      <c r="CI58">
        <v>17658</v>
      </c>
      <c r="CJ58">
        <v>14</v>
      </c>
      <c r="CK58">
        <v>16480.8</v>
      </c>
      <c r="CL58">
        <v>13</v>
      </c>
      <c r="CM58">
        <v>15303.6</v>
      </c>
      <c r="CN58">
        <v>18</v>
      </c>
      <c r="CO58">
        <v>21189.600000000002</v>
      </c>
      <c r="CP58">
        <v>18</v>
      </c>
      <c r="CQ58">
        <v>21189.600000000002</v>
      </c>
      <c r="CR58">
        <v>15</v>
      </c>
      <c r="CS58">
        <v>17658</v>
      </c>
      <c r="CT58">
        <v>17</v>
      </c>
      <c r="CU58">
        <v>20012.400000000001</v>
      </c>
    </row>
    <row r="59" spans="2:99" x14ac:dyDescent="0.2">
      <c r="C59" s="119" t="s">
        <v>225</v>
      </c>
      <c r="D59">
        <v>14</v>
      </c>
      <c r="E59">
        <v>4250.3999999999996</v>
      </c>
      <c r="F59">
        <v>1.7004705820566364</v>
      </c>
      <c r="G59">
        <v>516.26286871239472</v>
      </c>
      <c r="H59">
        <v>0.52962005748342522</v>
      </c>
      <c r="I59">
        <v>160.79264945196789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</row>
    <row r="60" spans="2:99" x14ac:dyDescent="0.2">
      <c r="C60" s="119" t="s">
        <v>226</v>
      </c>
      <c r="D60">
        <v>13</v>
      </c>
      <c r="E60">
        <v>8470.8000000000011</v>
      </c>
      <c r="F60">
        <v>1.5941911706780967</v>
      </c>
      <c r="G60">
        <v>1038.7749668138479</v>
      </c>
      <c r="H60">
        <v>0.50174531761587648</v>
      </c>
      <c r="I60">
        <v>326.93724895850511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</row>
    <row r="61" spans="2:99" x14ac:dyDescent="0.2">
      <c r="C61" s="119" t="s">
        <v>227</v>
      </c>
      <c r="D61">
        <v>13</v>
      </c>
      <c r="E61">
        <v>12370.8</v>
      </c>
      <c r="F61">
        <v>1.3816323479210173</v>
      </c>
      <c r="G61">
        <v>1314.7613422816398</v>
      </c>
      <c r="H61">
        <v>0.4738705777483278</v>
      </c>
      <c r="I61">
        <v>450.93524178530868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</row>
    <row r="62" spans="2:99" x14ac:dyDescent="0.2">
      <c r="C62" s="119" t="s">
        <v>228</v>
      </c>
      <c r="D62">
        <v>13</v>
      </c>
      <c r="E62">
        <v>22167.600000000002</v>
      </c>
      <c r="F62">
        <v>1.3816323479210173</v>
      </c>
      <c r="G62">
        <v>2355.9594796749188</v>
      </c>
      <c r="H62">
        <v>0.41812109801323044</v>
      </c>
      <c r="I62">
        <v>712.98009633216054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</row>
    <row r="63" spans="2:99" x14ac:dyDescent="0.2">
      <c r="C63" s="119" t="s">
        <v>229</v>
      </c>
      <c r="D63">
        <v>13</v>
      </c>
      <c r="E63">
        <v>10342.800000000001</v>
      </c>
      <c r="F63">
        <v>1.487911759299557</v>
      </c>
      <c r="G63">
        <v>1183.7825956987276</v>
      </c>
      <c r="H63">
        <v>0.50174531761587648</v>
      </c>
      <c r="I63">
        <v>399.18857469519133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</row>
    <row r="64" spans="2:99" x14ac:dyDescent="0.2">
      <c r="C64" s="119" t="s">
        <v>230</v>
      </c>
      <c r="D64">
        <v>13</v>
      </c>
      <c r="E64">
        <v>13119.599999999999</v>
      </c>
      <c r="F64">
        <v>1.487911759299557</v>
      </c>
      <c r="G64">
        <v>1501.6005474851127</v>
      </c>
      <c r="H64">
        <v>0.50174531761587648</v>
      </c>
      <c r="I64">
        <v>506.36137453794248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</row>
    <row r="65" spans="2:99" x14ac:dyDescent="0.2">
      <c r="C65" s="119" t="s">
        <v>231</v>
      </c>
      <c r="D65">
        <v>12</v>
      </c>
      <c r="E65">
        <v>12312</v>
      </c>
      <c r="F65">
        <v>1.487911759299557</v>
      </c>
      <c r="G65">
        <v>1526.5974650413455</v>
      </c>
      <c r="H65">
        <v>0.44599583788077912</v>
      </c>
      <c r="I65">
        <v>457.5917296656794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</row>
    <row r="66" spans="2:99" x14ac:dyDescent="0.2">
      <c r="C66" s="119" t="s">
        <v>232</v>
      </c>
      <c r="D66">
        <v>13</v>
      </c>
      <c r="E66">
        <v>15475.199999999999</v>
      </c>
      <c r="F66">
        <v>1.487911759299557</v>
      </c>
      <c r="G66">
        <v>1771.2101582701926</v>
      </c>
      <c r="H66">
        <v>0.41812109801323044</v>
      </c>
      <c r="I66">
        <v>497.73135507494948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</row>
    <row r="67" spans="2:99" x14ac:dyDescent="0.2">
      <c r="C67" s="119" t="s">
        <v>233</v>
      </c>
      <c r="D67">
        <v>12</v>
      </c>
      <c r="E67">
        <v>13478.400000000001</v>
      </c>
      <c r="F67">
        <v>1.487911759299557</v>
      </c>
      <c r="G67">
        <v>1671.2224880452625</v>
      </c>
      <c r="H67">
        <v>0.41812109801323044</v>
      </c>
      <c r="I67">
        <v>469.63361728846047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</row>
    <row r="68" spans="2:99" x14ac:dyDescent="0.2">
      <c r="C68" s="119" t="s">
        <v>234</v>
      </c>
      <c r="D68">
        <v>13</v>
      </c>
      <c r="E68">
        <v>13431.6</v>
      </c>
      <c r="F68">
        <v>1.3816323479210173</v>
      </c>
      <c r="G68">
        <v>1427.5025418719952</v>
      </c>
      <c r="H68">
        <v>0.50174531761587648</v>
      </c>
      <c r="I68">
        <v>518.40326216072356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</row>
    <row r="69" spans="2:99" x14ac:dyDescent="0.2">
      <c r="C69" s="119" t="s">
        <v>235</v>
      </c>
      <c r="D69">
        <v>13</v>
      </c>
      <c r="E69">
        <v>9859.1999999999989</v>
      </c>
      <c r="F69">
        <v>1.5941911706780967</v>
      </c>
      <c r="G69">
        <v>1209.0345838422684</v>
      </c>
      <c r="H69">
        <v>0.41812109801323044</v>
      </c>
      <c r="I69">
        <v>317.10304073323397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</row>
    <row r="70" spans="2:99" x14ac:dyDescent="0.2">
      <c r="C70" s="119" t="s">
        <v>236</v>
      </c>
      <c r="D70">
        <v>12</v>
      </c>
      <c r="E70">
        <v>6422.4</v>
      </c>
      <c r="F70">
        <v>1.487911759299557</v>
      </c>
      <c r="G70">
        <v>796.33037357712283</v>
      </c>
      <c r="H70">
        <v>0.44599583788077912</v>
      </c>
      <c r="I70">
        <v>238.69697243379295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</row>
    <row r="71" spans="2:99" x14ac:dyDescent="0.2">
      <c r="B71" s="119" t="s">
        <v>130</v>
      </c>
      <c r="C71" s="119" t="s">
        <v>237</v>
      </c>
      <c r="D71">
        <v>3.8515383406702508</v>
      </c>
      <c r="E71">
        <v>2172.2676241380213</v>
      </c>
      <c r="F71">
        <v>28</v>
      </c>
      <c r="G71">
        <v>15792</v>
      </c>
      <c r="H71">
        <v>19</v>
      </c>
      <c r="I71">
        <v>10716</v>
      </c>
      <c r="J71">
        <v>22</v>
      </c>
      <c r="K71">
        <v>12408</v>
      </c>
      <c r="L71">
        <v>25</v>
      </c>
      <c r="M71">
        <v>14100</v>
      </c>
      <c r="N71">
        <v>20</v>
      </c>
      <c r="O71">
        <v>11280</v>
      </c>
      <c r="P71">
        <v>27</v>
      </c>
      <c r="Q71">
        <v>15228</v>
      </c>
      <c r="R71">
        <v>25</v>
      </c>
      <c r="S71">
        <v>14100</v>
      </c>
      <c r="T71">
        <v>29</v>
      </c>
      <c r="U71">
        <v>16356</v>
      </c>
      <c r="V71">
        <v>27</v>
      </c>
      <c r="W71">
        <v>15228</v>
      </c>
      <c r="X71">
        <v>27</v>
      </c>
      <c r="Y71">
        <v>15228</v>
      </c>
      <c r="Z71">
        <v>26</v>
      </c>
      <c r="AA71">
        <v>14664</v>
      </c>
      <c r="AB71">
        <v>25</v>
      </c>
      <c r="AC71">
        <v>14100</v>
      </c>
      <c r="AD71">
        <v>32</v>
      </c>
      <c r="AE71">
        <v>18048</v>
      </c>
      <c r="AF71">
        <v>22</v>
      </c>
      <c r="AG71">
        <v>12408</v>
      </c>
      <c r="AH71">
        <v>28</v>
      </c>
      <c r="AI71">
        <v>15792</v>
      </c>
      <c r="AJ71">
        <v>20</v>
      </c>
      <c r="AK71">
        <v>11280</v>
      </c>
      <c r="AL71">
        <v>19</v>
      </c>
      <c r="AM71">
        <v>10716</v>
      </c>
      <c r="AN71">
        <v>27</v>
      </c>
      <c r="AO71">
        <v>15228</v>
      </c>
      <c r="AP71">
        <v>32</v>
      </c>
      <c r="AQ71">
        <v>18048</v>
      </c>
      <c r="AR71">
        <v>33</v>
      </c>
      <c r="AS71">
        <v>18612</v>
      </c>
      <c r="AT71">
        <v>19</v>
      </c>
      <c r="AU71">
        <v>10716</v>
      </c>
      <c r="AV71">
        <v>28</v>
      </c>
      <c r="AW71">
        <v>15792</v>
      </c>
      <c r="AX71">
        <v>24</v>
      </c>
      <c r="AY71">
        <v>13536</v>
      </c>
      <c r="AZ71">
        <v>24</v>
      </c>
      <c r="BA71">
        <v>13536</v>
      </c>
      <c r="BB71">
        <v>19</v>
      </c>
      <c r="BC71">
        <v>10716</v>
      </c>
      <c r="BD71">
        <v>26</v>
      </c>
      <c r="BE71">
        <v>14664</v>
      </c>
      <c r="BF71">
        <v>30</v>
      </c>
      <c r="BG71">
        <v>16920</v>
      </c>
      <c r="BH71">
        <v>23</v>
      </c>
      <c r="BI71">
        <v>12972</v>
      </c>
      <c r="BJ71">
        <v>26</v>
      </c>
      <c r="BK71">
        <v>14664</v>
      </c>
      <c r="BL71">
        <v>28</v>
      </c>
      <c r="BM71">
        <v>15792</v>
      </c>
      <c r="BN71">
        <v>23</v>
      </c>
      <c r="BO71">
        <v>12972</v>
      </c>
      <c r="BP71">
        <v>20</v>
      </c>
      <c r="BQ71">
        <v>11280</v>
      </c>
      <c r="BR71">
        <v>23</v>
      </c>
      <c r="BS71">
        <v>12972</v>
      </c>
      <c r="BT71">
        <v>22</v>
      </c>
      <c r="BU71">
        <v>12408</v>
      </c>
      <c r="BV71">
        <v>30</v>
      </c>
      <c r="BW71">
        <v>16920</v>
      </c>
      <c r="BX71">
        <v>32</v>
      </c>
      <c r="BY71">
        <v>18048</v>
      </c>
      <c r="BZ71">
        <v>29</v>
      </c>
      <c r="CA71">
        <v>16356</v>
      </c>
      <c r="CB71">
        <v>23</v>
      </c>
      <c r="CC71">
        <v>12972</v>
      </c>
      <c r="CD71">
        <v>23</v>
      </c>
      <c r="CE71">
        <v>12972</v>
      </c>
      <c r="CF71">
        <v>27</v>
      </c>
      <c r="CG71">
        <v>15228</v>
      </c>
      <c r="CH71">
        <v>19</v>
      </c>
      <c r="CI71">
        <v>10716</v>
      </c>
      <c r="CJ71">
        <v>19</v>
      </c>
      <c r="CK71">
        <v>10716</v>
      </c>
      <c r="CL71">
        <v>18</v>
      </c>
      <c r="CM71">
        <v>10152</v>
      </c>
      <c r="CN71">
        <v>22</v>
      </c>
      <c r="CO71">
        <v>12408</v>
      </c>
      <c r="CP71">
        <v>17</v>
      </c>
      <c r="CQ71">
        <v>9588</v>
      </c>
      <c r="CR71">
        <v>34</v>
      </c>
      <c r="CS71">
        <v>19176</v>
      </c>
      <c r="CT71">
        <v>20</v>
      </c>
      <c r="CU71">
        <v>11280</v>
      </c>
    </row>
    <row r="72" spans="2:99" x14ac:dyDescent="0.2">
      <c r="C72" s="119" t="s">
        <v>238</v>
      </c>
      <c r="D72">
        <v>4.0655126929297083</v>
      </c>
      <c r="E72">
        <v>302.47414435397025</v>
      </c>
      <c r="F72">
        <v>33</v>
      </c>
      <c r="G72">
        <v>2455.1999999999998</v>
      </c>
      <c r="H72">
        <v>22</v>
      </c>
      <c r="I72">
        <v>1636.7999999999997</v>
      </c>
      <c r="J72">
        <v>22</v>
      </c>
      <c r="K72">
        <v>1636.7999999999997</v>
      </c>
      <c r="L72">
        <v>29</v>
      </c>
      <c r="M72">
        <v>2157.6</v>
      </c>
      <c r="N72">
        <v>18</v>
      </c>
      <c r="O72">
        <v>1339.1999999999998</v>
      </c>
      <c r="P72">
        <v>28</v>
      </c>
      <c r="Q72">
        <v>2083.1999999999998</v>
      </c>
      <c r="R72">
        <v>24</v>
      </c>
      <c r="S72">
        <v>1785.6</v>
      </c>
      <c r="T72">
        <v>28</v>
      </c>
      <c r="U72">
        <v>2083.1999999999998</v>
      </c>
      <c r="V72">
        <v>26</v>
      </c>
      <c r="W72">
        <v>1934.3999999999999</v>
      </c>
      <c r="X72">
        <v>29</v>
      </c>
      <c r="Y72">
        <v>2157.6</v>
      </c>
      <c r="Z72">
        <v>28</v>
      </c>
      <c r="AA72">
        <v>2083.1999999999998</v>
      </c>
      <c r="AB72">
        <v>26</v>
      </c>
      <c r="AC72">
        <v>1934.3999999999999</v>
      </c>
      <c r="AD72">
        <v>33</v>
      </c>
      <c r="AE72">
        <v>2455.1999999999998</v>
      </c>
      <c r="AF72">
        <v>24</v>
      </c>
      <c r="AG72">
        <v>1785.6</v>
      </c>
      <c r="AH72">
        <v>28</v>
      </c>
      <c r="AI72">
        <v>2083.1999999999998</v>
      </c>
      <c r="AJ72">
        <v>19</v>
      </c>
      <c r="AK72">
        <v>1413.6</v>
      </c>
      <c r="AL72">
        <v>19</v>
      </c>
      <c r="AM72">
        <v>1413.6</v>
      </c>
      <c r="AN72">
        <v>31</v>
      </c>
      <c r="AO72">
        <v>2306.3999999999996</v>
      </c>
      <c r="AP72">
        <v>32</v>
      </c>
      <c r="AQ72">
        <v>2380.7999999999997</v>
      </c>
      <c r="AR72">
        <v>36</v>
      </c>
      <c r="AS72">
        <v>2678.3999999999996</v>
      </c>
      <c r="AT72">
        <v>19</v>
      </c>
      <c r="AU72">
        <v>1413.6</v>
      </c>
      <c r="AV72">
        <v>30</v>
      </c>
      <c r="AW72">
        <v>2231.9999999999995</v>
      </c>
      <c r="AX72">
        <v>26</v>
      </c>
      <c r="AY72">
        <v>1934.3999999999999</v>
      </c>
      <c r="AZ72">
        <v>25</v>
      </c>
      <c r="BA72">
        <v>1859.9999999999998</v>
      </c>
      <c r="BB72">
        <v>19</v>
      </c>
      <c r="BC72">
        <v>1413.6</v>
      </c>
      <c r="BD72">
        <v>27</v>
      </c>
      <c r="BE72">
        <v>2008.7999999999997</v>
      </c>
      <c r="BF72">
        <v>27</v>
      </c>
      <c r="BG72">
        <v>2008.7999999999997</v>
      </c>
      <c r="BH72">
        <v>28</v>
      </c>
      <c r="BI72">
        <v>2083.1999999999998</v>
      </c>
      <c r="BJ72">
        <v>30</v>
      </c>
      <c r="BK72">
        <v>2231.9999999999995</v>
      </c>
      <c r="BL72">
        <v>25</v>
      </c>
      <c r="BM72">
        <v>1859.9999999999998</v>
      </c>
      <c r="BN72">
        <v>24</v>
      </c>
      <c r="BO72">
        <v>1785.6</v>
      </c>
      <c r="BP72">
        <v>20</v>
      </c>
      <c r="BQ72">
        <v>1487.9999999999998</v>
      </c>
      <c r="BR72">
        <v>22</v>
      </c>
      <c r="BS72">
        <v>1636.7999999999997</v>
      </c>
      <c r="BT72">
        <v>21</v>
      </c>
      <c r="BU72">
        <v>1562.3999999999999</v>
      </c>
      <c r="BV72">
        <v>32</v>
      </c>
      <c r="BW72">
        <v>2380.7999999999997</v>
      </c>
      <c r="BX72">
        <v>35</v>
      </c>
      <c r="BY72">
        <v>2603.9999999999995</v>
      </c>
      <c r="BZ72">
        <v>31</v>
      </c>
      <c r="CA72">
        <v>2306.3999999999996</v>
      </c>
      <c r="CB72">
        <v>26</v>
      </c>
      <c r="CC72">
        <v>1934.3999999999999</v>
      </c>
      <c r="CD72">
        <v>25</v>
      </c>
      <c r="CE72">
        <v>1859.9999999999998</v>
      </c>
      <c r="CF72">
        <v>25</v>
      </c>
      <c r="CG72">
        <v>1859.9999999999998</v>
      </c>
      <c r="CH72">
        <v>22</v>
      </c>
      <c r="CI72">
        <v>1636.7999999999997</v>
      </c>
      <c r="CJ72">
        <v>21</v>
      </c>
      <c r="CK72">
        <v>1562.3999999999999</v>
      </c>
      <c r="CL72">
        <v>21</v>
      </c>
      <c r="CM72">
        <v>1562.3999999999999</v>
      </c>
      <c r="CN72">
        <v>22</v>
      </c>
      <c r="CO72">
        <v>1636.7999999999997</v>
      </c>
      <c r="CP72">
        <v>20</v>
      </c>
      <c r="CQ72">
        <v>1487.9999999999998</v>
      </c>
      <c r="CR72">
        <v>35</v>
      </c>
      <c r="CS72">
        <v>2603.9999999999995</v>
      </c>
      <c r="CT72">
        <v>20</v>
      </c>
      <c r="CU72">
        <v>1487.9999999999998</v>
      </c>
    </row>
    <row r="73" spans="2:99" x14ac:dyDescent="0.2">
      <c r="C73" s="119" t="s">
        <v>239</v>
      </c>
      <c r="D73">
        <v>3.8515383406702508</v>
      </c>
      <c r="E73">
        <v>2153.7802401028039</v>
      </c>
      <c r="F73">
        <v>30</v>
      </c>
      <c r="G73">
        <v>16775.999999999996</v>
      </c>
      <c r="H73">
        <v>20</v>
      </c>
      <c r="I73">
        <v>11183.999999999998</v>
      </c>
      <c r="J73">
        <v>21</v>
      </c>
      <c r="K73">
        <v>11743.199999999999</v>
      </c>
      <c r="L73">
        <v>25</v>
      </c>
      <c r="M73">
        <v>13979.999999999998</v>
      </c>
      <c r="N73">
        <v>17</v>
      </c>
      <c r="O73">
        <v>9506.4</v>
      </c>
      <c r="P73">
        <v>27</v>
      </c>
      <c r="Q73">
        <v>15098.399999999998</v>
      </c>
      <c r="R73">
        <v>24</v>
      </c>
      <c r="S73">
        <v>13420.8</v>
      </c>
      <c r="T73">
        <v>29</v>
      </c>
      <c r="U73">
        <v>16216.799999999997</v>
      </c>
      <c r="V73">
        <v>25</v>
      </c>
      <c r="W73">
        <v>13979.999999999998</v>
      </c>
      <c r="X73">
        <v>29</v>
      </c>
      <c r="Y73">
        <v>16216.799999999997</v>
      </c>
      <c r="Z73">
        <v>29</v>
      </c>
      <c r="AA73">
        <v>16216.799999999997</v>
      </c>
      <c r="AB73">
        <v>27</v>
      </c>
      <c r="AC73">
        <v>15098.399999999998</v>
      </c>
      <c r="AD73">
        <v>34</v>
      </c>
      <c r="AE73">
        <v>19012.8</v>
      </c>
      <c r="AF73">
        <v>23</v>
      </c>
      <c r="AG73">
        <v>12861.599999999999</v>
      </c>
      <c r="AH73">
        <v>26</v>
      </c>
      <c r="AI73">
        <v>14539.199999999999</v>
      </c>
      <c r="AJ73">
        <v>18</v>
      </c>
      <c r="AK73">
        <v>10065.599999999999</v>
      </c>
      <c r="AL73">
        <v>18</v>
      </c>
      <c r="AM73">
        <v>10065.599999999999</v>
      </c>
      <c r="AN73">
        <v>28</v>
      </c>
      <c r="AO73">
        <v>15657.599999999999</v>
      </c>
      <c r="AP73">
        <v>32</v>
      </c>
      <c r="AQ73">
        <v>17894.399999999998</v>
      </c>
      <c r="AR73">
        <v>34</v>
      </c>
      <c r="AS73">
        <v>19012.8</v>
      </c>
      <c r="AT73">
        <v>16</v>
      </c>
      <c r="AU73">
        <v>8947.1999999999989</v>
      </c>
      <c r="AV73">
        <v>24</v>
      </c>
      <c r="AW73">
        <v>13420.8</v>
      </c>
      <c r="AX73">
        <v>25</v>
      </c>
      <c r="AY73">
        <v>13979.999999999998</v>
      </c>
      <c r="AZ73">
        <v>25</v>
      </c>
      <c r="BA73">
        <v>13979.999999999998</v>
      </c>
      <c r="BB73">
        <v>19</v>
      </c>
      <c r="BC73">
        <v>10624.8</v>
      </c>
      <c r="BD73">
        <v>26</v>
      </c>
      <c r="BE73">
        <v>14539.199999999999</v>
      </c>
      <c r="BF73">
        <v>30</v>
      </c>
      <c r="BG73">
        <v>16775.999999999996</v>
      </c>
      <c r="BH73">
        <v>26</v>
      </c>
      <c r="BI73">
        <v>14539.199999999999</v>
      </c>
      <c r="BJ73">
        <v>26</v>
      </c>
      <c r="BK73">
        <v>14539.199999999999</v>
      </c>
      <c r="BL73">
        <v>25</v>
      </c>
      <c r="BM73">
        <v>13979.999999999998</v>
      </c>
      <c r="BN73">
        <v>21</v>
      </c>
      <c r="BO73">
        <v>11743.199999999999</v>
      </c>
      <c r="BP73">
        <v>18</v>
      </c>
      <c r="BQ73">
        <v>10065.599999999999</v>
      </c>
      <c r="BR73">
        <v>24</v>
      </c>
      <c r="BS73">
        <v>13420.8</v>
      </c>
      <c r="BT73">
        <v>20</v>
      </c>
      <c r="BU73">
        <v>11183.999999999998</v>
      </c>
      <c r="BV73">
        <v>31</v>
      </c>
      <c r="BW73">
        <v>17335.199999999997</v>
      </c>
      <c r="BX73">
        <v>32</v>
      </c>
      <c r="BY73">
        <v>17894.399999999998</v>
      </c>
      <c r="BZ73">
        <v>29</v>
      </c>
      <c r="CA73">
        <v>16216.799999999997</v>
      </c>
      <c r="CB73">
        <v>22</v>
      </c>
      <c r="CC73">
        <v>12302.399999999998</v>
      </c>
      <c r="CD73">
        <v>23</v>
      </c>
      <c r="CE73">
        <v>12861.599999999999</v>
      </c>
      <c r="CF73">
        <v>25</v>
      </c>
      <c r="CG73">
        <v>13979.999999999998</v>
      </c>
      <c r="CH73">
        <v>18</v>
      </c>
      <c r="CI73">
        <v>10065.599999999999</v>
      </c>
      <c r="CJ73">
        <v>19</v>
      </c>
      <c r="CK73">
        <v>10624.8</v>
      </c>
      <c r="CL73">
        <v>18</v>
      </c>
      <c r="CM73">
        <v>10065.599999999999</v>
      </c>
      <c r="CN73">
        <v>21</v>
      </c>
      <c r="CO73">
        <v>11743.199999999999</v>
      </c>
      <c r="CP73">
        <v>17</v>
      </c>
      <c r="CQ73">
        <v>9506.4</v>
      </c>
      <c r="CR73">
        <v>34</v>
      </c>
      <c r="CS73">
        <v>19012.8</v>
      </c>
      <c r="CT73">
        <v>19</v>
      </c>
      <c r="CU73">
        <v>10624.8</v>
      </c>
    </row>
    <row r="74" spans="2:99" x14ac:dyDescent="0.2">
      <c r="C74" s="119" t="s">
        <v>240</v>
      </c>
      <c r="D74">
        <v>4.493461397448625</v>
      </c>
      <c r="E74">
        <v>1811.7636354512856</v>
      </c>
      <c r="F74">
        <v>31</v>
      </c>
      <c r="G74">
        <v>12499.199999999999</v>
      </c>
      <c r="H74">
        <v>21</v>
      </c>
      <c r="I74">
        <v>8467.1999999999989</v>
      </c>
      <c r="J74">
        <v>23</v>
      </c>
      <c r="K74">
        <v>9273.6</v>
      </c>
      <c r="L74">
        <v>25</v>
      </c>
      <c r="M74">
        <v>10080</v>
      </c>
      <c r="N74">
        <v>21</v>
      </c>
      <c r="O74">
        <v>8467.1999999999989</v>
      </c>
      <c r="P74">
        <v>25</v>
      </c>
      <c r="Q74">
        <v>10080</v>
      </c>
      <c r="R74">
        <v>25</v>
      </c>
      <c r="S74">
        <v>10080</v>
      </c>
      <c r="T74">
        <v>31</v>
      </c>
      <c r="U74">
        <v>12499.199999999999</v>
      </c>
      <c r="V74">
        <v>29</v>
      </c>
      <c r="W74">
        <v>11692.8</v>
      </c>
      <c r="X74">
        <v>29</v>
      </c>
      <c r="Y74">
        <v>11692.8</v>
      </c>
      <c r="Z74">
        <v>26</v>
      </c>
      <c r="AA74">
        <v>10483.199999999999</v>
      </c>
      <c r="AB74">
        <v>26</v>
      </c>
      <c r="AC74">
        <v>10483.199999999999</v>
      </c>
      <c r="AD74">
        <v>34</v>
      </c>
      <c r="AE74">
        <v>13708.8</v>
      </c>
      <c r="AF74">
        <v>24</v>
      </c>
      <c r="AG74">
        <v>9676.7999999999993</v>
      </c>
      <c r="AH74">
        <v>31</v>
      </c>
      <c r="AI74">
        <v>12499.199999999999</v>
      </c>
      <c r="AJ74">
        <v>19</v>
      </c>
      <c r="AK74">
        <v>7660.8</v>
      </c>
      <c r="AL74">
        <v>18</v>
      </c>
      <c r="AM74">
        <v>7257.5999999999995</v>
      </c>
      <c r="AN74">
        <v>27</v>
      </c>
      <c r="AO74">
        <v>10886.4</v>
      </c>
      <c r="AP74">
        <v>33</v>
      </c>
      <c r="AQ74">
        <v>13305.6</v>
      </c>
      <c r="AR74">
        <v>33</v>
      </c>
      <c r="AS74">
        <v>13305.6</v>
      </c>
      <c r="AT74">
        <v>19</v>
      </c>
      <c r="AU74">
        <v>7660.8</v>
      </c>
      <c r="AV74">
        <v>29</v>
      </c>
      <c r="AW74">
        <v>11692.8</v>
      </c>
      <c r="AX74">
        <v>27</v>
      </c>
      <c r="AY74">
        <v>10886.4</v>
      </c>
      <c r="AZ74">
        <v>27</v>
      </c>
      <c r="BA74">
        <v>10886.4</v>
      </c>
      <c r="BB74">
        <v>17</v>
      </c>
      <c r="BC74">
        <v>6854.4</v>
      </c>
      <c r="BD74">
        <v>24</v>
      </c>
      <c r="BE74">
        <v>9676.7999999999993</v>
      </c>
      <c r="BF74">
        <v>29</v>
      </c>
      <c r="BG74">
        <v>11692.8</v>
      </c>
      <c r="BH74">
        <v>23</v>
      </c>
      <c r="BI74">
        <v>9273.6</v>
      </c>
      <c r="BJ74">
        <v>25</v>
      </c>
      <c r="BK74">
        <v>10080</v>
      </c>
      <c r="BL74">
        <v>24</v>
      </c>
      <c r="BM74">
        <v>9676.7999999999993</v>
      </c>
      <c r="BN74">
        <v>22</v>
      </c>
      <c r="BO74">
        <v>8870.4</v>
      </c>
      <c r="BP74">
        <v>18</v>
      </c>
      <c r="BQ74">
        <v>7257.5999999999995</v>
      </c>
      <c r="BR74">
        <v>23</v>
      </c>
      <c r="BS74">
        <v>9273.6</v>
      </c>
      <c r="BT74">
        <v>22</v>
      </c>
      <c r="BU74">
        <v>8870.4</v>
      </c>
      <c r="BV74">
        <v>29</v>
      </c>
      <c r="BW74">
        <v>11692.8</v>
      </c>
      <c r="BX74">
        <v>34</v>
      </c>
      <c r="BY74">
        <v>13708.8</v>
      </c>
      <c r="BZ74">
        <v>34</v>
      </c>
      <c r="CA74">
        <v>13708.8</v>
      </c>
      <c r="CB74">
        <v>24</v>
      </c>
      <c r="CC74">
        <v>9676.7999999999993</v>
      </c>
      <c r="CD74">
        <v>23</v>
      </c>
      <c r="CE74">
        <v>9273.6</v>
      </c>
      <c r="CF74">
        <v>26</v>
      </c>
      <c r="CG74">
        <v>10483.199999999999</v>
      </c>
      <c r="CH74">
        <v>19</v>
      </c>
      <c r="CI74">
        <v>7660.8</v>
      </c>
      <c r="CJ74">
        <v>23</v>
      </c>
      <c r="CK74">
        <v>9273.6</v>
      </c>
      <c r="CL74">
        <v>21</v>
      </c>
      <c r="CM74">
        <v>8467.1999999999989</v>
      </c>
      <c r="CN74">
        <v>22</v>
      </c>
      <c r="CO74">
        <v>8870.4</v>
      </c>
      <c r="CP74">
        <v>18</v>
      </c>
      <c r="CQ74">
        <v>7257.5999999999995</v>
      </c>
      <c r="CR74">
        <v>39</v>
      </c>
      <c r="CS74">
        <v>15724.8</v>
      </c>
      <c r="CT74">
        <v>18</v>
      </c>
      <c r="CU74">
        <v>7257.5999999999995</v>
      </c>
    </row>
    <row r="75" spans="2:99" x14ac:dyDescent="0.2">
      <c r="C75" s="119" t="s">
        <v>241</v>
      </c>
      <c r="D75">
        <v>4.493461397448625</v>
      </c>
      <c r="E75">
        <v>2890.1943708389554</v>
      </c>
      <c r="F75">
        <v>32</v>
      </c>
      <c r="G75">
        <v>20582.399999999998</v>
      </c>
      <c r="H75">
        <v>23</v>
      </c>
      <c r="I75">
        <v>14793.599999999999</v>
      </c>
      <c r="J75">
        <v>23</v>
      </c>
      <c r="K75">
        <v>14793.599999999999</v>
      </c>
      <c r="L75">
        <v>26</v>
      </c>
      <c r="M75">
        <v>16723.199999999997</v>
      </c>
      <c r="N75">
        <v>19</v>
      </c>
      <c r="O75">
        <v>12220.8</v>
      </c>
      <c r="P75">
        <v>24</v>
      </c>
      <c r="Q75">
        <v>15436.8</v>
      </c>
      <c r="R75">
        <v>21</v>
      </c>
      <c r="S75">
        <v>13507.199999999999</v>
      </c>
      <c r="T75">
        <v>30</v>
      </c>
      <c r="U75">
        <v>19295.999999999996</v>
      </c>
      <c r="V75">
        <v>25</v>
      </c>
      <c r="W75">
        <v>16079.999999999998</v>
      </c>
      <c r="X75">
        <v>26</v>
      </c>
      <c r="Y75">
        <v>16723.199999999997</v>
      </c>
      <c r="Z75">
        <v>28</v>
      </c>
      <c r="AA75">
        <v>18009.599999999999</v>
      </c>
      <c r="AB75">
        <v>25</v>
      </c>
      <c r="AC75">
        <v>16079.999999999998</v>
      </c>
      <c r="AD75">
        <v>32</v>
      </c>
      <c r="AE75">
        <v>20582.399999999998</v>
      </c>
      <c r="AF75">
        <v>22</v>
      </c>
      <c r="AG75">
        <v>14150.399999999998</v>
      </c>
      <c r="AH75">
        <v>30</v>
      </c>
      <c r="AI75">
        <v>19295.999999999996</v>
      </c>
      <c r="AJ75">
        <v>18</v>
      </c>
      <c r="AK75">
        <v>11577.599999999999</v>
      </c>
      <c r="AL75">
        <v>19</v>
      </c>
      <c r="AM75">
        <v>12220.8</v>
      </c>
      <c r="AN75">
        <v>26</v>
      </c>
      <c r="AO75">
        <v>16723.199999999997</v>
      </c>
      <c r="AP75">
        <v>33</v>
      </c>
      <c r="AQ75">
        <v>21225.599999999999</v>
      </c>
      <c r="AR75">
        <v>29</v>
      </c>
      <c r="AS75">
        <v>18652.8</v>
      </c>
      <c r="AT75">
        <v>17</v>
      </c>
      <c r="AU75">
        <v>10934.4</v>
      </c>
      <c r="AV75">
        <v>27</v>
      </c>
      <c r="AW75">
        <v>17366.399999999998</v>
      </c>
      <c r="AX75">
        <v>24</v>
      </c>
      <c r="AY75">
        <v>15436.8</v>
      </c>
      <c r="AZ75">
        <v>24</v>
      </c>
      <c r="BA75">
        <v>15436.8</v>
      </c>
      <c r="BB75">
        <v>17</v>
      </c>
      <c r="BC75">
        <v>10934.4</v>
      </c>
      <c r="BD75">
        <v>26</v>
      </c>
      <c r="BE75">
        <v>16723.199999999997</v>
      </c>
      <c r="BF75">
        <v>30</v>
      </c>
      <c r="BG75">
        <v>19295.999999999996</v>
      </c>
      <c r="BH75">
        <v>26</v>
      </c>
      <c r="BI75">
        <v>16723.199999999997</v>
      </c>
      <c r="BJ75">
        <v>29</v>
      </c>
      <c r="BK75">
        <v>18652.8</v>
      </c>
      <c r="BL75">
        <v>28</v>
      </c>
      <c r="BM75">
        <v>18009.599999999999</v>
      </c>
      <c r="BN75">
        <v>22</v>
      </c>
      <c r="BO75">
        <v>14150.399999999998</v>
      </c>
      <c r="BP75">
        <v>20</v>
      </c>
      <c r="BQ75">
        <v>12863.999999999998</v>
      </c>
      <c r="BR75">
        <v>21</v>
      </c>
      <c r="BS75">
        <v>13507.199999999999</v>
      </c>
      <c r="BT75">
        <v>21</v>
      </c>
      <c r="BU75">
        <v>13507.199999999999</v>
      </c>
      <c r="BV75">
        <v>30</v>
      </c>
      <c r="BW75">
        <v>19295.999999999996</v>
      </c>
      <c r="BX75">
        <v>32</v>
      </c>
      <c r="BY75">
        <v>20582.399999999998</v>
      </c>
      <c r="BZ75">
        <v>32</v>
      </c>
      <c r="CA75">
        <v>20582.399999999998</v>
      </c>
      <c r="CB75">
        <v>24</v>
      </c>
      <c r="CC75">
        <v>15436.8</v>
      </c>
      <c r="CD75">
        <v>23</v>
      </c>
      <c r="CE75">
        <v>14793.599999999999</v>
      </c>
      <c r="CF75">
        <v>25</v>
      </c>
      <c r="CG75">
        <v>16079.999999999998</v>
      </c>
      <c r="CH75">
        <v>20</v>
      </c>
      <c r="CI75">
        <v>12863.999999999998</v>
      </c>
      <c r="CJ75">
        <v>18</v>
      </c>
      <c r="CK75">
        <v>11577.599999999999</v>
      </c>
      <c r="CL75">
        <v>18</v>
      </c>
      <c r="CM75">
        <v>11577.599999999999</v>
      </c>
      <c r="CN75">
        <v>21</v>
      </c>
      <c r="CO75">
        <v>13507.199999999999</v>
      </c>
      <c r="CP75">
        <v>20</v>
      </c>
      <c r="CQ75">
        <v>12863.999999999998</v>
      </c>
      <c r="CR75">
        <v>36</v>
      </c>
      <c r="CS75">
        <v>23155.199999999997</v>
      </c>
      <c r="CT75">
        <v>17</v>
      </c>
      <c r="CU75">
        <v>10934.4</v>
      </c>
    </row>
    <row r="76" spans="2:99" x14ac:dyDescent="0.2">
      <c r="C76" s="119" t="s">
        <v>242</v>
      </c>
      <c r="D76">
        <v>4.2794870451891676</v>
      </c>
      <c r="E76">
        <v>3332.8645107933235</v>
      </c>
      <c r="F76">
        <v>31</v>
      </c>
      <c r="G76">
        <v>24142.799999999999</v>
      </c>
      <c r="H76">
        <v>21</v>
      </c>
      <c r="I76">
        <v>16354.8</v>
      </c>
      <c r="J76">
        <v>22</v>
      </c>
      <c r="K76">
        <v>17133.599999999999</v>
      </c>
      <c r="L76">
        <v>23</v>
      </c>
      <c r="M76">
        <v>17912.399999999998</v>
      </c>
      <c r="N76">
        <v>19</v>
      </c>
      <c r="O76">
        <v>14797.199999999999</v>
      </c>
      <c r="P76">
        <v>27</v>
      </c>
      <c r="Q76">
        <v>21027.599999999999</v>
      </c>
      <c r="R76">
        <v>22</v>
      </c>
      <c r="S76">
        <v>17133.599999999999</v>
      </c>
      <c r="T76">
        <v>31</v>
      </c>
      <c r="U76">
        <v>24142.799999999999</v>
      </c>
      <c r="V76">
        <v>24</v>
      </c>
      <c r="W76">
        <v>18691.199999999997</v>
      </c>
      <c r="X76">
        <v>27</v>
      </c>
      <c r="Y76">
        <v>21027.599999999999</v>
      </c>
      <c r="Z76">
        <v>27</v>
      </c>
      <c r="AA76">
        <v>21027.599999999999</v>
      </c>
      <c r="AB76">
        <v>25</v>
      </c>
      <c r="AC76">
        <v>19470</v>
      </c>
      <c r="AD76">
        <v>35</v>
      </c>
      <c r="AE76">
        <v>27258</v>
      </c>
      <c r="AF76">
        <v>25</v>
      </c>
      <c r="AG76">
        <v>19470</v>
      </c>
      <c r="AH76">
        <v>25</v>
      </c>
      <c r="AI76">
        <v>19470</v>
      </c>
      <c r="AJ76">
        <v>17</v>
      </c>
      <c r="AK76">
        <v>13239.599999999999</v>
      </c>
      <c r="AL76">
        <v>19</v>
      </c>
      <c r="AM76">
        <v>14797.199999999999</v>
      </c>
      <c r="AN76">
        <v>29</v>
      </c>
      <c r="AO76">
        <v>22585.199999999997</v>
      </c>
      <c r="AP76">
        <v>32</v>
      </c>
      <c r="AQ76">
        <v>24921.599999999999</v>
      </c>
      <c r="AR76">
        <v>30</v>
      </c>
      <c r="AS76">
        <v>23364</v>
      </c>
      <c r="AT76">
        <v>16</v>
      </c>
      <c r="AU76">
        <v>12460.8</v>
      </c>
      <c r="AV76">
        <v>25</v>
      </c>
      <c r="AW76">
        <v>19470</v>
      </c>
      <c r="AX76">
        <v>26</v>
      </c>
      <c r="AY76">
        <v>20248.8</v>
      </c>
      <c r="AZ76">
        <v>25</v>
      </c>
      <c r="BA76">
        <v>19470</v>
      </c>
      <c r="BB76">
        <v>18</v>
      </c>
      <c r="BC76">
        <v>14018.4</v>
      </c>
      <c r="BD76">
        <v>24</v>
      </c>
      <c r="BE76">
        <v>18691.199999999997</v>
      </c>
      <c r="BF76">
        <v>26</v>
      </c>
      <c r="BG76">
        <v>20248.8</v>
      </c>
      <c r="BH76">
        <v>26</v>
      </c>
      <c r="BI76">
        <v>20248.8</v>
      </c>
      <c r="BJ76">
        <v>28</v>
      </c>
      <c r="BK76">
        <v>21806.399999999998</v>
      </c>
      <c r="BL76">
        <v>24</v>
      </c>
      <c r="BM76">
        <v>18691.199999999997</v>
      </c>
      <c r="BN76">
        <v>20</v>
      </c>
      <c r="BO76">
        <v>15576</v>
      </c>
      <c r="BP76">
        <v>20</v>
      </c>
      <c r="BQ76">
        <v>15576</v>
      </c>
      <c r="BR76">
        <v>20</v>
      </c>
      <c r="BS76">
        <v>15576</v>
      </c>
      <c r="BT76">
        <v>19</v>
      </c>
      <c r="BU76">
        <v>14797.199999999999</v>
      </c>
      <c r="BV76">
        <v>31</v>
      </c>
      <c r="BW76">
        <v>24142.799999999999</v>
      </c>
      <c r="BX76">
        <v>31</v>
      </c>
      <c r="BY76">
        <v>24142.799999999999</v>
      </c>
      <c r="BZ76">
        <v>31</v>
      </c>
      <c r="CA76">
        <v>24142.799999999999</v>
      </c>
      <c r="CB76">
        <v>24</v>
      </c>
      <c r="CC76">
        <v>18691.199999999997</v>
      </c>
      <c r="CD76">
        <v>24</v>
      </c>
      <c r="CE76">
        <v>18691.199999999997</v>
      </c>
      <c r="CF76">
        <v>25</v>
      </c>
      <c r="CG76">
        <v>19470</v>
      </c>
      <c r="CH76">
        <v>19</v>
      </c>
      <c r="CI76">
        <v>14797.199999999999</v>
      </c>
      <c r="CJ76">
        <v>19</v>
      </c>
      <c r="CK76">
        <v>14797.199999999999</v>
      </c>
      <c r="CL76">
        <v>20</v>
      </c>
      <c r="CM76">
        <v>15576</v>
      </c>
      <c r="CN76">
        <v>18</v>
      </c>
      <c r="CO76">
        <v>14018.4</v>
      </c>
      <c r="CP76">
        <v>17</v>
      </c>
      <c r="CQ76">
        <v>13239.599999999999</v>
      </c>
      <c r="CR76">
        <v>33</v>
      </c>
      <c r="CS76">
        <v>25700.399999999998</v>
      </c>
      <c r="CT76">
        <v>19</v>
      </c>
      <c r="CU76">
        <v>14797.199999999999</v>
      </c>
    </row>
    <row r="77" spans="2:99" x14ac:dyDescent="0.2">
      <c r="C77" s="119" t="s">
        <v>243</v>
      </c>
      <c r="D77">
        <v>4.0655126929297083</v>
      </c>
      <c r="E77">
        <v>1131.8387337116308</v>
      </c>
      <c r="F77">
        <v>34</v>
      </c>
      <c r="G77">
        <v>9465.5999999999985</v>
      </c>
      <c r="H77">
        <v>22</v>
      </c>
      <c r="I77">
        <v>6124.7999999999993</v>
      </c>
      <c r="J77">
        <v>21</v>
      </c>
      <c r="K77">
        <v>5846.4</v>
      </c>
      <c r="L77">
        <v>26</v>
      </c>
      <c r="M77">
        <v>7238.4</v>
      </c>
      <c r="N77">
        <v>21</v>
      </c>
      <c r="O77">
        <v>5846.4</v>
      </c>
      <c r="P77">
        <v>30</v>
      </c>
      <c r="Q77">
        <v>8352</v>
      </c>
      <c r="R77">
        <v>24</v>
      </c>
      <c r="S77">
        <v>6681.5999999999995</v>
      </c>
      <c r="T77">
        <v>32</v>
      </c>
      <c r="U77">
        <v>8908.7999999999993</v>
      </c>
      <c r="V77">
        <v>26</v>
      </c>
      <c r="W77">
        <v>7238.4</v>
      </c>
      <c r="X77">
        <v>29</v>
      </c>
      <c r="Y77">
        <v>8073.5999999999995</v>
      </c>
      <c r="Z77">
        <v>27</v>
      </c>
      <c r="AA77">
        <v>7516.7999999999993</v>
      </c>
      <c r="AB77">
        <v>25</v>
      </c>
      <c r="AC77">
        <v>6959.9999999999991</v>
      </c>
      <c r="AD77">
        <v>36</v>
      </c>
      <c r="AE77">
        <v>10022.4</v>
      </c>
      <c r="AF77">
        <v>24</v>
      </c>
      <c r="AG77">
        <v>6681.5999999999995</v>
      </c>
      <c r="AH77">
        <v>30</v>
      </c>
      <c r="AI77">
        <v>8352</v>
      </c>
      <c r="AJ77">
        <v>21</v>
      </c>
      <c r="AK77">
        <v>5846.4</v>
      </c>
      <c r="AL77">
        <v>20</v>
      </c>
      <c r="AM77">
        <v>5568</v>
      </c>
      <c r="AN77">
        <v>28</v>
      </c>
      <c r="AO77">
        <v>7795.1999999999989</v>
      </c>
      <c r="AP77">
        <v>35</v>
      </c>
      <c r="AQ77">
        <v>9744</v>
      </c>
      <c r="AR77">
        <v>34</v>
      </c>
      <c r="AS77">
        <v>9465.5999999999985</v>
      </c>
      <c r="AT77">
        <v>17</v>
      </c>
      <c r="AU77">
        <v>4732.7999999999993</v>
      </c>
      <c r="AV77">
        <v>29</v>
      </c>
      <c r="AW77">
        <v>8073.5999999999995</v>
      </c>
      <c r="AX77">
        <v>29</v>
      </c>
      <c r="AY77">
        <v>8073.5999999999995</v>
      </c>
      <c r="AZ77">
        <v>28</v>
      </c>
      <c r="BA77">
        <v>7795.1999999999989</v>
      </c>
      <c r="BB77">
        <v>20</v>
      </c>
      <c r="BC77">
        <v>5568</v>
      </c>
      <c r="BD77">
        <v>26</v>
      </c>
      <c r="BE77">
        <v>7238.4</v>
      </c>
      <c r="BF77">
        <v>26</v>
      </c>
      <c r="BG77">
        <v>7238.4</v>
      </c>
      <c r="BH77">
        <v>27</v>
      </c>
      <c r="BI77">
        <v>7516.7999999999993</v>
      </c>
      <c r="BJ77">
        <v>31</v>
      </c>
      <c r="BK77">
        <v>8630.4</v>
      </c>
      <c r="BL77">
        <v>29</v>
      </c>
      <c r="BM77">
        <v>8073.5999999999995</v>
      </c>
      <c r="BN77">
        <v>23</v>
      </c>
      <c r="BO77">
        <v>6403.2</v>
      </c>
      <c r="BP77">
        <v>21</v>
      </c>
      <c r="BQ77">
        <v>5846.4</v>
      </c>
      <c r="BR77">
        <v>25</v>
      </c>
      <c r="BS77">
        <v>6959.9999999999991</v>
      </c>
      <c r="BT77">
        <v>23</v>
      </c>
      <c r="BU77">
        <v>6403.2</v>
      </c>
      <c r="BV77">
        <v>31</v>
      </c>
      <c r="BW77">
        <v>8630.4</v>
      </c>
      <c r="BX77">
        <v>38</v>
      </c>
      <c r="BY77">
        <v>10579.199999999999</v>
      </c>
      <c r="BZ77">
        <v>30</v>
      </c>
      <c r="CA77">
        <v>8352</v>
      </c>
      <c r="CB77">
        <v>26</v>
      </c>
      <c r="CC77">
        <v>7238.4</v>
      </c>
      <c r="CD77">
        <v>21</v>
      </c>
      <c r="CE77">
        <v>5846.4</v>
      </c>
      <c r="CF77">
        <v>26</v>
      </c>
      <c r="CG77">
        <v>7238.4</v>
      </c>
      <c r="CH77">
        <v>18</v>
      </c>
      <c r="CI77">
        <v>5011.2</v>
      </c>
      <c r="CJ77">
        <v>20</v>
      </c>
      <c r="CK77">
        <v>5568</v>
      </c>
      <c r="CL77">
        <v>22</v>
      </c>
      <c r="CM77">
        <v>6124.7999999999993</v>
      </c>
      <c r="CN77">
        <v>21</v>
      </c>
      <c r="CO77">
        <v>5846.4</v>
      </c>
      <c r="CP77">
        <v>19</v>
      </c>
      <c r="CQ77">
        <v>5289.5999999999995</v>
      </c>
      <c r="CR77">
        <v>36</v>
      </c>
      <c r="CS77">
        <v>10022.4</v>
      </c>
      <c r="CT77">
        <v>18</v>
      </c>
      <c r="CU77">
        <v>5011.2</v>
      </c>
    </row>
    <row r="78" spans="2:99" x14ac:dyDescent="0.2">
      <c r="C78" s="119" t="s">
        <v>244</v>
      </c>
      <c r="D78">
        <v>3.8515383406702508</v>
      </c>
      <c r="E78">
        <v>2126.0491640499786</v>
      </c>
      <c r="F78">
        <v>29</v>
      </c>
      <c r="G78">
        <v>16008</v>
      </c>
      <c r="H78">
        <v>20</v>
      </c>
      <c r="I78">
        <v>11040</v>
      </c>
      <c r="J78">
        <v>22</v>
      </c>
      <c r="K78">
        <v>12144</v>
      </c>
      <c r="L78">
        <v>26</v>
      </c>
      <c r="M78">
        <v>14352</v>
      </c>
      <c r="N78">
        <v>20</v>
      </c>
      <c r="O78">
        <v>11040</v>
      </c>
      <c r="P78">
        <v>28</v>
      </c>
      <c r="Q78">
        <v>15456</v>
      </c>
      <c r="R78">
        <v>25</v>
      </c>
      <c r="S78">
        <v>13800</v>
      </c>
      <c r="T78">
        <v>30</v>
      </c>
      <c r="U78">
        <v>16560</v>
      </c>
      <c r="V78">
        <v>25</v>
      </c>
      <c r="W78">
        <v>13800</v>
      </c>
      <c r="X78">
        <v>30</v>
      </c>
      <c r="Y78">
        <v>16560</v>
      </c>
      <c r="Z78">
        <v>28</v>
      </c>
      <c r="AA78">
        <v>15456</v>
      </c>
      <c r="AB78">
        <v>27</v>
      </c>
      <c r="AC78">
        <v>14904</v>
      </c>
      <c r="AD78">
        <v>36</v>
      </c>
      <c r="AE78">
        <v>19872</v>
      </c>
      <c r="AF78">
        <v>23</v>
      </c>
      <c r="AG78">
        <v>12696</v>
      </c>
      <c r="AH78">
        <v>28</v>
      </c>
      <c r="AI78">
        <v>15456</v>
      </c>
      <c r="AJ78">
        <v>18</v>
      </c>
      <c r="AK78">
        <v>9936</v>
      </c>
      <c r="AL78">
        <v>17</v>
      </c>
      <c r="AM78">
        <v>9384</v>
      </c>
      <c r="AN78">
        <v>29</v>
      </c>
      <c r="AO78">
        <v>16008</v>
      </c>
      <c r="AP78">
        <v>32</v>
      </c>
      <c r="AQ78">
        <v>17664</v>
      </c>
      <c r="AR78">
        <v>33</v>
      </c>
      <c r="AS78">
        <v>18216</v>
      </c>
      <c r="AT78">
        <v>19</v>
      </c>
      <c r="AU78">
        <v>10488</v>
      </c>
      <c r="AV78">
        <v>25</v>
      </c>
      <c r="AW78">
        <v>13800</v>
      </c>
      <c r="AX78">
        <v>27</v>
      </c>
      <c r="AY78">
        <v>14904</v>
      </c>
      <c r="AZ78">
        <v>24</v>
      </c>
      <c r="BA78">
        <v>13248</v>
      </c>
      <c r="BB78">
        <v>18</v>
      </c>
      <c r="BC78">
        <v>9936</v>
      </c>
      <c r="BD78">
        <v>26</v>
      </c>
      <c r="BE78">
        <v>14352</v>
      </c>
      <c r="BF78">
        <v>28</v>
      </c>
      <c r="BG78">
        <v>15456</v>
      </c>
      <c r="BH78">
        <v>23</v>
      </c>
      <c r="BI78">
        <v>12696</v>
      </c>
      <c r="BJ78">
        <v>25</v>
      </c>
      <c r="BK78">
        <v>13800</v>
      </c>
      <c r="BL78">
        <v>28</v>
      </c>
      <c r="BM78">
        <v>15456</v>
      </c>
      <c r="BN78">
        <v>19</v>
      </c>
      <c r="BO78">
        <v>10488</v>
      </c>
      <c r="BP78">
        <v>19</v>
      </c>
      <c r="BQ78">
        <v>10488</v>
      </c>
      <c r="BR78">
        <v>22</v>
      </c>
      <c r="BS78">
        <v>12144</v>
      </c>
      <c r="BT78">
        <v>21</v>
      </c>
      <c r="BU78">
        <v>11592</v>
      </c>
      <c r="BV78">
        <v>29</v>
      </c>
      <c r="BW78">
        <v>16008</v>
      </c>
      <c r="BX78">
        <v>32</v>
      </c>
      <c r="BY78">
        <v>17664</v>
      </c>
      <c r="BZ78">
        <v>29</v>
      </c>
      <c r="CA78">
        <v>16008</v>
      </c>
      <c r="CB78">
        <v>25</v>
      </c>
      <c r="CC78">
        <v>13800</v>
      </c>
      <c r="CD78">
        <v>25</v>
      </c>
      <c r="CE78">
        <v>13800</v>
      </c>
      <c r="CF78">
        <v>25</v>
      </c>
      <c r="CG78">
        <v>13800</v>
      </c>
      <c r="CH78">
        <v>18</v>
      </c>
      <c r="CI78">
        <v>9936</v>
      </c>
      <c r="CJ78">
        <v>22</v>
      </c>
      <c r="CK78">
        <v>12144</v>
      </c>
      <c r="CL78">
        <v>22</v>
      </c>
      <c r="CM78">
        <v>12144</v>
      </c>
      <c r="CN78">
        <v>21</v>
      </c>
      <c r="CO78">
        <v>11592</v>
      </c>
      <c r="CP78">
        <v>18</v>
      </c>
      <c r="CQ78">
        <v>9936</v>
      </c>
      <c r="CR78">
        <v>36</v>
      </c>
      <c r="CS78">
        <v>19872</v>
      </c>
      <c r="CT78">
        <v>20</v>
      </c>
      <c r="CU78">
        <v>11040</v>
      </c>
    </row>
    <row r="79" spans="2:99" x14ac:dyDescent="0.2">
      <c r="C79" s="119" t="s">
        <v>245</v>
      </c>
      <c r="D79">
        <v>4.2794870451891676</v>
      </c>
      <c r="E79">
        <v>3240.4275906172375</v>
      </c>
      <c r="F79">
        <v>32</v>
      </c>
      <c r="G79">
        <v>24230.399999999998</v>
      </c>
      <c r="H79">
        <v>21</v>
      </c>
      <c r="I79">
        <v>15901.199999999999</v>
      </c>
      <c r="J79">
        <v>20</v>
      </c>
      <c r="K79">
        <v>15143.999999999998</v>
      </c>
      <c r="L79">
        <v>23</v>
      </c>
      <c r="M79">
        <v>17415.599999999999</v>
      </c>
      <c r="N79">
        <v>18</v>
      </c>
      <c r="O79">
        <v>13629.599999999999</v>
      </c>
      <c r="P79">
        <v>25</v>
      </c>
      <c r="Q79">
        <v>18930</v>
      </c>
      <c r="R79">
        <v>22</v>
      </c>
      <c r="S79">
        <v>16658.399999999998</v>
      </c>
      <c r="T79">
        <v>29</v>
      </c>
      <c r="U79">
        <v>21958.799999999999</v>
      </c>
      <c r="V79">
        <v>25</v>
      </c>
      <c r="W79">
        <v>18930</v>
      </c>
      <c r="X79">
        <v>26</v>
      </c>
      <c r="Y79">
        <v>19687.199999999997</v>
      </c>
      <c r="Z79">
        <v>27</v>
      </c>
      <c r="AA79">
        <v>20444.399999999998</v>
      </c>
      <c r="AB79">
        <v>24</v>
      </c>
      <c r="AC79">
        <v>18172.8</v>
      </c>
      <c r="AD79">
        <v>34</v>
      </c>
      <c r="AE79">
        <v>25744.799999999999</v>
      </c>
      <c r="AF79">
        <v>24</v>
      </c>
      <c r="AG79">
        <v>18172.8</v>
      </c>
      <c r="AH79">
        <v>28</v>
      </c>
      <c r="AI79">
        <v>21201.599999999999</v>
      </c>
      <c r="AJ79">
        <v>20</v>
      </c>
      <c r="AK79">
        <v>15143.999999999998</v>
      </c>
      <c r="AL79">
        <v>19</v>
      </c>
      <c r="AM79">
        <v>14386.8</v>
      </c>
      <c r="AN79">
        <v>28</v>
      </c>
      <c r="AO79">
        <v>21201.599999999999</v>
      </c>
      <c r="AP79">
        <v>29</v>
      </c>
      <c r="AQ79">
        <v>21958.799999999999</v>
      </c>
      <c r="AR79">
        <v>28</v>
      </c>
      <c r="AS79">
        <v>21201.599999999999</v>
      </c>
      <c r="AT79">
        <v>18</v>
      </c>
      <c r="AU79">
        <v>13629.599999999999</v>
      </c>
      <c r="AV79">
        <v>26</v>
      </c>
      <c r="AW79">
        <v>19687.199999999997</v>
      </c>
      <c r="AX79">
        <v>25</v>
      </c>
      <c r="AY79">
        <v>18930</v>
      </c>
      <c r="AZ79">
        <v>25</v>
      </c>
      <c r="BA79">
        <v>18930</v>
      </c>
      <c r="BB79">
        <v>20</v>
      </c>
      <c r="BC79">
        <v>15143.999999999998</v>
      </c>
      <c r="BD79">
        <v>26</v>
      </c>
      <c r="BE79">
        <v>19687.199999999997</v>
      </c>
      <c r="BF79">
        <v>30</v>
      </c>
      <c r="BG79">
        <v>22715.999999999996</v>
      </c>
      <c r="BH79">
        <v>25</v>
      </c>
      <c r="BI79">
        <v>18930</v>
      </c>
      <c r="BJ79">
        <v>27</v>
      </c>
      <c r="BK79">
        <v>20444.399999999998</v>
      </c>
      <c r="BL79">
        <v>25</v>
      </c>
      <c r="BM79">
        <v>18930</v>
      </c>
      <c r="BN79">
        <v>22</v>
      </c>
      <c r="BO79">
        <v>16658.399999999998</v>
      </c>
      <c r="BP79">
        <v>20</v>
      </c>
      <c r="BQ79">
        <v>15143.999999999998</v>
      </c>
      <c r="BR79">
        <v>24</v>
      </c>
      <c r="BS79">
        <v>18172.8</v>
      </c>
      <c r="BT79">
        <v>19</v>
      </c>
      <c r="BU79">
        <v>14386.8</v>
      </c>
      <c r="BV79">
        <v>28</v>
      </c>
      <c r="BW79">
        <v>21201.599999999999</v>
      </c>
      <c r="BX79">
        <v>32</v>
      </c>
      <c r="BY79">
        <v>24230.399999999998</v>
      </c>
      <c r="BZ79">
        <v>29</v>
      </c>
      <c r="CA79">
        <v>21958.799999999999</v>
      </c>
      <c r="CB79">
        <v>22</v>
      </c>
      <c r="CC79">
        <v>16658.399999999998</v>
      </c>
      <c r="CD79">
        <v>24</v>
      </c>
      <c r="CE79">
        <v>18172.8</v>
      </c>
      <c r="CF79">
        <v>26</v>
      </c>
      <c r="CG79">
        <v>19687.199999999997</v>
      </c>
      <c r="CH79">
        <v>18</v>
      </c>
      <c r="CI79">
        <v>13629.599999999999</v>
      </c>
      <c r="CJ79">
        <v>19</v>
      </c>
      <c r="CK79">
        <v>14386.8</v>
      </c>
      <c r="CL79">
        <v>18</v>
      </c>
      <c r="CM79">
        <v>13629.599999999999</v>
      </c>
      <c r="CN79">
        <v>20</v>
      </c>
      <c r="CO79">
        <v>15143.999999999998</v>
      </c>
      <c r="CP79">
        <v>17</v>
      </c>
      <c r="CQ79">
        <v>12872.4</v>
      </c>
      <c r="CR79">
        <v>36</v>
      </c>
      <c r="CS79">
        <v>27259.199999999997</v>
      </c>
      <c r="CT79">
        <v>19</v>
      </c>
      <c r="CU79">
        <v>14386.8</v>
      </c>
    </row>
    <row r="80" spans="2:99" x14ac:dyDescent="0.2">
      <c r="C80" s="119" t="s">
        <v>246</v>
      </c>
      <c r="D80">
        <v>4.493461397448625</v>
      </c>
      <c r="E80">
        <v>3618.1351172256327</v>
      </c>
      <c r="F80">
        <v>30</v>
      </c>
      <c r="G80">
        <v>24155.999999999996</v>
      </c>
      <c r="H80">
        <v>20</v>
      </c>
      <c r="I80">
        <v>16103.999999999998</v>
      </c>
      <c r="J80">
        <v>21</v>
      </c>
      <c r="K80">
        <v>16909.199999999997</v>
      </c>
      <c r="L80">
        <v>27</v>
      </c>
      <c r="M80">
        <v>21740.399999999998</v>
      </c>
      <c r="N80">
        <v>19</v>
      </c>
      <c r="O80">
        <v>15298.8</v>
      </c>
      <c r="P80">
        <v>27</v>
      </c>
      <c r="Q80">
        <v>21740.399999999998</v>
      </c>
      <c r="R80">
        <v>23</v>
      </c>
      <c r="S80">
        <v>18519.599999999999</v>
      </c>
      <c r="T80">
        <v>27</v>
      </c>
      <c r="U80">
        <v>21740.399999999998</v>
      </c>
      <c r="V80">
        <v>23</v>
      </c>
      <c r="W80">
        <v>18519.599999999999</v>
      </c>
      <c r="X80">
        <v>26</v>
      </c>
      <c r="Y80">
        <v>20935.199999999997</v>
      </c>
      <c r="Z80">
        <v>28</v>
      </c>
      <c r="AA80">
        <v>22545.599999999999</v>
      </c>
      <c r="AB80">
        <v>26</v>
      </c>
      <c r="AC80">
        <v>20935.199999999997</v>
      </c>
      <c r="AD80">
        <v>30</v>
      </c>
      <c r="AE80">
        <v>24155.999999999996</v>
      </c>
      <c r="AF80">
        <v>25</v>
      </c>
      <c r="AG80">
        <v>20130</v>
      </c>
      <c r="AH80">
        <v>27</v>
      </c>
      <c r="AI80">
        <v>21740.399999999998</v>
      </c>
      <c r="AJ80">
        <v>20</v>
      </c>
      <c r="AK80">
        <v>16103.999999999998</v>
      </c>
      <c r="AL80">
        <v>19</v>
      </c>
      <c r="AM80">
        <v>15298.8</v>
      </c>
      <c r="AN80">
        <v>26</v>
      </c>
      <c r="AO80">
        <v>20935.199999999997</v>
      </c>
      <c r="AP80">
        <v>33</v>
      </c>
      <c r="AQ80">
        <v>26571.599999999999</v>
      </c>
      <c r="AR80">
        <v>29</v>
      </c>
      <c r="AS80">
        <v>23350.799999999999</v>
      </c>
      <c r="AT80">
        <v>18</v>
      </c>
      <c r="AU80">
        <v>14493.599999999999</v>
      </c>
      <c r="AV80">
        <v>24</v>
      </c>
      <c r="AW80">
        <v>19324.8</v>
      </c>
      <c r="AX80">
        <v>24</v>
      </c>
      <c r="AY80">
        <v>19324.8</v>
      </c>
      <c r="AZ80">
        <v>25</v>
      </c>
      <c r="BA80">
        <v>20130</v>
      </c>
      <c r="BB80">
        <v>18</v>
      </c>
      <c r="BC80">
        <v>14493.599999999999</v>
      </c>
      <c r="BD80">
        <v>24</v>
      </c>
      <c r="BE80">
        <v>19324.8</v>
      </c>
      <c r="BF80">
        <v>28</v>
      </c>
      <c r="BG80">
        <v>22545.599999999999</v>
      </c>
      <c r="BH80">
        <v>23</v>
      </c>
      <c r="BI80">
        <v>18519.599999999999</v>
      </c>
      <c r="BJ80">
        <v>28</v>
      </c>
      <c r="BK80">
        <v>22545.599999999999</v>
      </c>
      <c r="BL80">
        <v>25</v>
      </c>
      <c r="BM80">
        <v>20130</v>
      </c>
      <c r="BN80">
        <v>21</v>
      </c>
      <c r="BO80">
        <v>16909.199999999997</v>
      </c>
      <c r="BP80">
        <v>20</v>
      </c>
      <c r="BQ80">
        <v>16103.999999999998</v>
      </c>
      <c r="BR80">
        <v>23</v>
      </c>
      <c r="BS80">
        <v>18519.599999999999</v>
      </c>
      <c r="BT80">
        <v>21</v>
      </c>
      <c r="BU80">
        <v>16909.199999999997</v>
      </c>
      <c r="BV80">
        <v>27</v>
      </c>
      <c r="BW80">
        <v>21740.399999999998</v>
      </c>
      <c r="BX80">
        <v>34</v>
      </c>
      <c r="BY80">
        <v>27376.799999999999</v>
      </c>
      <c r="BZ80">
        <v>31</v>
      </c>
      <c r="CA80">
        <v>24961.199999999997</v>
      </c>
      <c r="CB80">
        <v>25</v>
      </c>
      <c r="CC80">
        <v>20130</v>
      </c>
      <c r="CD80">
        <v>24</v>
      </c>
      <c r="CE80">
        <v>19324.8</v>
      </c>
      <c r="CF80">
        <v>25</v>
      </c>
      <c r="CG80">
        <v>20130</v>
      </c>
      <c r="CH80">
        <v>18</v>
      </c>
      <c r="CI80">
        <v>14493.599999999999</v>
      </c>
      <c r="CJ80">
        <v>21</v>
      </c>
      <c r="CK80">
        <v>16909.199999999997</v>
      </c>
      <c r="CL80">
        <v>20</v>
      </c>
      <c r="CM80">
        <v>16103.999999999998</v>
      </c>
      <c r="CN80">
        <v>21</v>
      </c>
      <c r="CO80">
        <v>16909.199999999997</v>
      </c>
      <c r="CP80">
        <v>20</v>
      </c>
      <c r="CQ80">
        <v>16103.999999999998</v>
      </c>
      <c r="CR80">
        <v>36</v>
      </c>
      <c r="CS80">
        <v>28987.199999999997</v>
      </c>
      <c r="CT80">
        <v>17</v>
      </c>
      <c r="CU80">
        <v>13688.4</v>
      </c>
    </row>
    <row r="81" spans="2:99" x14ac:dyDescent="0.2">
      <c r="C81" s="119" t="s">
        <v>247</v>
      </c>
      <c r="D81">
        <v>4.0655126929297083</v>
      </c>
      <c r="E81">
        <v>3063.7703653918284</v>
      </c>
      <c r="F81">
        <v>28</v>
      </c>
      <c r="G81">
        <v>21100.799999999999</v>
      </c>
      <c r="H81">
        <v>22</v>
      </c>
      <c r="I81">
        <v>16579.2</v>
      </c>
      <c r="J81">
        <v>21</v>
      </c>
      <c r="K81">
        <v>15825.6</v>
      </c>
      <c r="L81">
        <v>26</v>
      </c>
      <c r="M81">
        <v>19593.600000000002</v>
      </c>
      <c r="N81">
        <v>17</v>
      </c>
      <c r="O81">
        <v>12811.2</v>
      </c>
      <c r="P81">
        <v>25</v>
      </c>
      <c r="Q81">
        <v>18840</v>
      </c>
      <c r="R81">
        <v>24</v>
      </c>
      <c r="S81">
        <v>18086.400000000001</v>
      </c>
      <c r="T81">
        <v>29</v>
      </c>
      <c r="U81">
        <v>21854.400000000001</v>
      </c>
      <c r="V81">
        <v>25</v>
      </c>
      <c r="W81">
        <v>18840</v>
      </c>
      <c r="X81">
        <v>30</v>
      </c>
      <c r="Y81">
        <v>22608</v>
      </c>
      <c r="Z81">
        <v>27</v>
      </c>
      <c r="AA81">
        <v>20347.2</v>
      </c>
      <c r="AB81">
        <v>27</v>
      </c>
      <c r="AC81">
        <v>20347.2</v>
      </c>
      <c r="AD81">
        <v>34</v>
      </c>
      <c r="AE81">
        <v>25622.400000000001</v>
      </c>
      <c r="AF81">
        <v>24</v>
      </c>
      <c r="AG81">
        <v>18086.400000000001</v>
      </c>
      <c r="AH81">
        <v>29</v>
      </c>
      <c r="AI81">
        <v>21854.400000000001</v>
      </c>
      <c r="AJ81">
        <v>18</v>
      </c>
      <c r="AK81">
        <v>13564.800000000001</v>
      </c>
      <c r="AL81">
        <v>16</v>
      </c>
      <c r="AM81">
        <v>12057.6</v>
      </c>
      <c r="AN81">
        <v>28</v>
      </c>
      <c r="AO81">
        <v>21100.799999999999</v>
      </c>
      <c r="AP81">
        <v>32</v>
      </c>
      <c r="AQ81">
        <v>24115.200000000001</v>
      </c>
      <c r="AR81">
        <v>32</v>
      </c>
      <c r="AS81">
        <v>24115.200000000001</v>
      </c>
      <c r="AT81">
        <v>18</v>
      </c>
      <c r="AU81">
        <v>13564.800000000001</v>
      </c>
      <c r="AV81">
        <v>25</v>
      </c>
      <c r="AW81">
        <v>18840</v>
      </c>
      <c r="AX81">
        <v>24</v>
      </c>
      <c r="AY81">
        <v>18086.400000000001</v>
      </c>
      <c r="AZ81">
        <v>26</v>
      </c>
      <c r="BA81">
        <v>19593.600000000002</v>
      </c>
      <c r="BB81">
        <v>19</v>
      </c>
      <c r="BC81">
        <v>14318.4</v>
      </c>
      <c r="BD81">
        <v>22</v>
      </c>
      <c r="BE81">
        <v>16579.2</v>
      </c>
      <c r="BF81">
        <v>28</v>
      </c>
      <c r="BG81">
        <v>21100.799999999999</v>
      </c>
      <c r="BH81">
        <v>26</v>
      </c>
      <c r="BI81">
        <v>19593.600000000002</v>
      </c>
      <c r="BJ81">
        <v>26</v>
      </c>
      <c r="BK81">
        <v>19593.600000000002</v>
      </c>
      <c r="BL81">
        <v>24</v>
      </c>
      <c r="BM81">
        <v>18086.400000000001</v>
      </c>
      <c r="BN81">
        <v>21</v>
      </c>
      <c r="BO81">
        <v>15825.6</v>
      </c>
      <c r="BP81">
        <v>17</v>
      </c>
      <c r="BQ81">
        <v>12811.2</v>
      </c>
      <c r="BR81">
        <v>21</v>
      </c>
      <c r="BS81">
        <v>15825.6</v>
      </c>
      <c r="BT81">
        <v>20</v>
      </c>
      <c r="BU81">
        <v>15072</v>
      </c>
      <c r="BV81">
        <v>29</v>
      </c>
      <c r="BW81">
        <v>21854.400000000001</v>
      </c>
      <c r="BX81">
        <v>32</v>
      </c>
      <c r="BY81">
        <v>24115.200000000001</v>
      </c>
      <c r="BZ81">
        <v>31</v>
      </c>
      <c r="CA81">
        <v>23361.600000000002</v>
      </c>
      <c r="CB81">
        <v>25</v>
      </c>
      <c r="CC81">
        <v>18840</v>
      </c>
      <c r="CD81">
        <v>22</v>
      </c>
      <c r="CE81">
        <v>16579.2</v>
      </c>
      <c r="CF81">
        <v>26</v>
      </c>
      <c r="CG81">
        <v>19593.600000000002</v>
      </c>
      <c r="CH81">
        <v>20</v>
      </c>
      <c r="CI81">
        <v>15072</v>
      </c>
      <c r="CJ81">
        <v>20</v>
      </c>
      <c r="CK81">
        <v>15072</v>
      </c>
      <c r="CL81">
        <v>18</v>
      </c>
      <c r="CM81">
        <v>13564.800000000001</v>
      </c>
      <c r="CN81">
        <v>19</v>
      </c>
      <c r="CO81">
        <v>14318.4</v>
      </c>
      <c r="CP81">
        <v>20</v>
      </c>
      <c r="CQ81">
        <v>15072</v>
      </c>
      <c r="CR81">
        <v>34</v>
      </c>
      <c r="CS81">
        <v>25622.400000000001</v>
      </c>
      <c r="CT81">
        <v>17</v>
      </c>
      <c r="CU81">
        <v>12811.2</v>
      </c>
    </row>
    <row r="82" spans="2:99" x14ac:dyDescent="0.2">
      <c r="C82" s="119" t="s">
        <v>248</v>
      </c>
      <c r="D82">
        <v>4.2794870451891676</v>
      </c>
      <c r="E82">
        <v>2177.4030085922482</v>
      </c>
      <c r="F82">
        <v>29</v>
      </c>
      <c r="G82">
        <v>14755.199999999997</v>
      </c>
      <c r="H82">
        <v>20</v>
      </c>
      <c r="I82">
        <v>10175.999999999998</v>
      </c>
      <c r="J82">
        <v>20</v>
      </c>
      <c r="K82">
        <v>10175.999999999998</v>
      </c>
      <c r="L82">
        <v>28</v>
      </c>
      <c r="M82">
        <v>14246.399999999998</v>
      </c>
      <c r="N82">
        <v>19</v>
      </c>
      <c r="O82">
        <v>9667.1999999999989</v>
      </c>
      <c r="P82">
        <v>25</v>
      </c>
      <c r="Q82">
        <v>12719.999999999998</v>
      </c>
      <c r="R82">
        <v>25</v>
      </c>
      <c r="S82">
        <v>12719.999999999998</v>
      </c>
      <c r="T82">
        <v>32</v>
      </c>
      <c r="U82">
        <v>16281.599999999997</v>
      </c>
      <c r="V82">
        <v>24</v>
      </c>
      <c r="W82">
        <v>12211.199999999997</v>
      </c>
      <c r="X82">
        <v>26</v>
      </c>
      <c r="Y82">
        <v>13228.799999999997</v>
      </c>
      <c r="Z82">
        <v>26</v>
      </c>
      <c r="AA82">
        <v>13228.799999999997</v>
      </c>
      <c r="AB82">
        <v>27</v>
      </c>
      <c r="AC82">
        <v>13737.599999999997</v>
      </c>
      <c r="AD82">
        <v>34</v>
      </c>
      <c r="AE82">
        <v>17299.199999999997</v>
      </c>
      <c r="AF82">
        <v>24</v>
      </c>
      <c r="AG82">
        <v>12211.199999999997</v>
      </c>
      <c r="AH82">
        <v>28</v>
      </c>
      <c r="AI82">
        <v>14246.399999999998</v>
      </c>
      <c r="AJ82">
        <v>19</v>
      </c>
      <c r="AK82">
        <v>9667.1999999999989</v>
      </c>
      <c r="AL82">
        <v>17</v>
      </c>
      <c r="AM82">
        <v>8649.5999999999985</v>
      </c>
      <c r="AN82">
        <v>30</v>
      </c>
      <c r="AO82">
        <v>15263.999999999996</v>
      </c>
      <c r="AP82">
        <v>31</v>
      </c>
      <c r="AQ82">
        <v>15772.799999999997</v>
      </c>
      <c r="AR82">
        <v>30</v>
      </c>
      <c r="AS82">
        <v>15263.999999999996</v>
      </c>
      <c r="AT82">
        <v>18</v>
      </c>
      <c r="AU82">
        <v>9158.3999999999978</v>
      </c>
      <c r="AV82">
        <v>24</v>
      </c>
      <c r="AW82">
        <v>12211.199999999997</v>
      </c>
      <c r="AX82">
        <v>27</v>
      </c>
      <c r="AY82">
        <v>13737.599999999997</v>
      </c>
      <c r="AZ82">
        <v>26</v>
      </c>
      <c r="BA82">
        <v>13228.799999999997</v>
      </c>
      <c r="BB82">
        <v>19</v>
      </c>
      <c r="BC82">
        <v>9667.1999999999989</v>
      </c>
      <c r="BD82">
        <v>26</v>
      </c>
      <c r="BE82">
        <v>13228.799999999997</v>
      </c>
      <c r="BF82">
        <v>28</v>
      </c>
      <c r="BG82">
        <v>14246.399999999998</v>
      </c>
      <c r="BH82">
        <v>26</v>
      </c>
      <c r="BI82">
        <v>13228.799999999997</v>
      </c>
      <c r="BJ82">
        <v>29</v>
      </c>
      <c r="BK82">
        <v>14755.199999999997</v>
      </c>
      <c r="BL82">
        <v>24</v>
      </c>
      <c r="BM82">
        <v>12211.199999999997</v>
      </c>
      <c r="BN82">
        <v>19</v>
      </c>
      <c r="BO82">
        <v>9667.1999999999989</v>
      </c>
      <c r="BP82">
        <v>19</v>
      </c>
      <c r="BQ82">
        <v>9667.1999999999989</v>
      </c>
      <c r="BR82">
        <v>24</v>
      </c>
      <c r="BS82">
        <v>12211.199999999997</v>
      </c>
      <c r="BT82">
        <v>18</v>
      </c>
      <c r="BU82">
        <v>9158.3999999999978</v>
      </c>
      <c r="BV82">
        <v>30</v>
      </c>
      <c r="BW82">
        <v>15263.999999999996</v>
      </c>
      <c r="BX82">
        <v>33</v>
      </c>
      <c r="BY82">
        <v>16790.399999999998</v>
      </c>
      <c r="BZ82">
        <v>28</v>
      </c>
      <c r="CA82">
        <v>14246.399999999998</v>
      </c>
      <c r="CB82">
        <v>21</v>
      </c>
      <c r="CC82">
        <v>10684.799999999997</v>
      </c>
      <c r="CD82">
        <v>25</v>
      </c>
      <c r="CE82">
        <v>12719.999999999998</v>
      </c>
      <c r="CF82">
        <v>24</v>
      </c>
      <c r="CG82">
        <v>12211.199999999997</v>
      </c>
      <c r="CH82">
        <v>19</v>
      </c>
      <c r="CI82">
        <v>9667.1999999999989</v>
      </c>
      <c r="CJ82">
        <v>21</v>
      </c>
      <c r="CK82">
        <v>10684.799999999997</v>
      </c>
      <c r="CL82">
        <v>22</v>
      </c>
      <c r="CM82">
        <v>11193.599999999999</v>
      </c>
      <c r="CN82">
        <v>23</v>
      </c>
      <c r="CO82">
        <v>11702.399999999998</v>
      </c>
      <c r="CP82">
        <v>20</v>
      </c>
      <c r="CQ82">
        <v>10175.999999999998</v>
      </c>
      <c r="CR82">
        <v>34</v>
      </c>
      <c r="CS82">
        <v>17299.199999999997</v>
      </c>
      <c r="CT82">
        <v>18</v>
      </c>
      <c r="CU82">
        <v>9158.3999999999978</v>
      </c>
    </row>
    <row r="83" spans="2:99" x14ac:dyDescent="0.2">
      <c r="C83" s="119" t="s">
        <v>249</v>
      </c>
      <c r="D83">
        <v>4.2794870451891676</v>
      </c>
      <c r="E83">
        <v>3682.0706536807597</v>
      </c>
      <c r="F83">
        <v>29</v>
      </c>
      <c r="G83">
        <v>24951.599999999999</v>
      </c>
      <c r="H83">
        <v>20</v>
      </c>
      <c r="I83">
        <v>17208</v>
      </c>
      <c r="J83">
        <v>19</v>
      </c>
      <c r="K83">
        <v>16347.6</v>
      </c>
      <c r="L83">
        <v>27</v>
      </c>
      <c r="M83">
        <v>23230.799999999999</v>
      </c>
      <c r="N83">
        <v>17</v>
      </c>
      <c r="O83">
        <v>14626.8</v>
      </c>
      <c r="P83">
        <v>26</v>
      </c>
      <c r="Q83">
        <v>22370.399999999998</v>
      </c>
      <c r="R83">
        <v>24</v>
      </c>
      <c r="S83">
        <v>20649.599999999999</v>
      </c>
      <c r="T83">
        <v>29</v>
      </c>
      <c r="U83">
        <v>24951.599999999999</v>
      </c>
      <c r="V83">
        <v>26</v>
      </c>
      <c r="W83">
        <v>22370.399999999998</v>
      </c>
      <c r="X83">
        <v>26</v>
      </c>
      <c r="Y83">
        <v>22370.399999999998</v>
      </c>
      <c r="Z83">
        <v>27</v>
      </c>
      <c r="AA83">
        <v>23230.799999999999</v>
      </c>
      <c r="AB83">
        <v>27</v>
      </c>
      <c r="AC83">
        <v>23230.799999999999</v>
      </c>
      <c r="AD83">
        <v>31</v>
      </c>
      <c r="AE83">
        <v>26672.399999999998</v>
      </c>
      <c r="AF83">
        <v>22</v>
      </c>
      <c r="AG83">
        <v>18928.8</v>
      </c>
      <c r="AH83">
        <v>26</v>
      </c>
      <c r="AI83">
        <v>22370.399999999998</v>
      </c>
      <c r="AJ83">
        <v>18</v>
      </c>
      <c r="AK83">
        <v>15487.199999999999</v>
      </c>
      <c r="AL83">
        <v>17</v>
      </c>
      <c r="AM83">
        <v>14626.8</v>
      </c>
      <c r="AN83">
        <v>28</v>
      </c>
      <c r="AO83">
        <v>24091.200000000001</v>
      </c>
      <c r="AP83">
        <v>29</v>
      </c>
      <c r="AQ83">
        <v>24951.599999999999</v>
      </c>
      <c r="AR83">
        <v>29</v>
      </c>
      <c r="AS83">
        <v>24951.599999999999</v>
      </c>
      <c r="AT83">
        <v>18</v>
      </c>
      <c r="AU83">
        <v>15487.199999999999</v>
      </c>
      <c r="AV83">
        <v>23</v>
      </c>
      <c r="AW83">
        <v>19789.2</v>
      </c>
      <c r="AX83">
        <v>27</v>
      </c>
      <c r="AY83">
        <v>23230.799999999999</v>
      </c>
      <c r="AZ83">
        <v>24</v>
      </c>
      <c r="BA83">
        <v>20649.599999999999</v>
      </c>
      <c r="BB83">
        <v>18</v>
      </c>
      <c r="BC83">
        <v>15487.199999999999</v>
      </c>
      <c r="BD83">
        <v>23</v>
      </c>
      <c r="BE83">
        <v>19789.2</v>
      </c>
      <c r="BF83">
        <v>27</v>
      </c>
      <c r="BG83">
        <v>23230.799999999999</v>
      </c>
      <c r="BH83">
        <v>26</v>
      </c>
      <c r="BI83">
        <v>22370.399999999998</v>
      </c>
      <c r="BJ83">
        <v>27</v>
      </c>
      <c r="BK83">
        <v>23230.799999999999</v>
      </c>
      <c r="BL83">
        <v>27</v>
      </c>
      <c r="BM83">
        <v>23230.799999999999</v>
      </c>
      <c r="BN83">
        <v>20</v>
      </c>
      <c r="BO83">
        <v>17208</v>
      </c>
      <c r="BP83">
        <v>18</v>
      </c>
      <c r="BQ83">
        <v>15487.199999999999</v>
      </c>
      <c r="BR83">
        <v>23</v>
      </c>
      <c r="BS83">
        <v>19789.2</v>
      </c>
      <c r="BT83">
        <v>19</v>
      </c>
      <c r="BU83">
        <v>16347.6</v>
      </c>
      <c r="BV83">
        <v>26</v>
      </c>
      <c r="BW83">
        <v>22370.399999999998</v>
      </c>
      <c r="BX83">
        <v>32</v>
      </c>
      <c r="BY83">
        <v>27532.799999999999</v>
      </c>
      <c r="BZ83">
        <v>27</v>
      </c>
      <c r="CA83">
        <v>23230.799999999999</v>
      </c>
      <c r="CB83">
        <v>22</v>
      </c>
      <c r="CC83">
        <v>18928.8</v>
      </c>
      <c r="CD83">
        <v>21</v>
      </c>
      <c r="CE83">
        <v>18068.399999999998</v>
      </c>
      <c r="CF83">
        <v>25</v>
      </c>
      <c r="CG83">
        <v>21510</v>
      </c>
      <c r="CH83">
        <v>18</v>
      </c>
      <c r="CI83">
        <v>15487.199999999999</v>
      </c>
      <c r="CJ83">
        <v>20</v>
      </c>
      <c r="CK83">
        <v>17208</v>
      </c>
      <c r="CL83">
        <v>20</v>
      </c>
      <c r="CM83">
        <v>17208</v>
      </c>
      <c r="CN83">
        <v>21</v>
      </c>
      <c r="CO83">
        <v>18068.399999999998</v>
      </c>
      <c r="CP83">
        <v>20</v>
      </c>
      <c r="CQ83">
        <v>17208</v>
      </c>
      <c r="CR83">
        <v>33</v>
      </c>
      <c r="CS83">
        <v>28393.200000000001</v>
      </c>
      <c r="CT83">
        <v>17</v>
      </c>
      <c r="CU83">
        <v>14626.8</v>
      </c>
    </row>
    <row r="84" spans="2:99" x14ac:dyDescent="0.2">
      <c r="C84" s="119" t="s">
        <v>250</v>
      </c>
      <c r="D84">
        <v>4.0655126929297083</v>
      </c>
      <c r="E84">
        <v>3175.978515716688</v>
      </c>
      <c r="F84">
        <v>30</v>
      </c>
      <c r="G84">
        <v>23435.999999999996</v>
      </c>
      <c r="H84">
        <v>21</v>
      </c>
      <c r="I84">
        <v>16405.199999999997</v>
      </c>
      <c r="J84">
        <v>21</v>
      </c>
      <c r="K84">
        <v>16405.199999999997</v>
      </c>
      <c r="L84">
        <v>26</v>
      </c>
      <c r="M84">
        <v>20311.199999999997</v>
      </c>
      <c r="N84">
        <v>17</v>
      </c>
      <c r="O84">
        <v>13280.4</v>
      </c>
      <c r="P84">
        <v>28</v>
      </c>
      <c r="Q84">
        <v>21873.599999999999</v>
      </c>
      <c r="R84">
        <v>23</v>
      </c>
      <c r="S84">
        <v>17967.599999999999</v>
      </c>
      <c r="T84">
        <v>31</v>
      </c>
      <c r="U84">
        <v>24217.199999999997</v>
      </c>
      <c r="V84">
        <v>24</v>
      </c>
      <c r="W84">
        <v>18748.8</v>
      </c>
      <c r="X84">
        <v>26</v>
      </c>
      <c r="Y84">
        <v>20311.199999999997</v>
      </c>
      <c r="Z84">
        <v>24</v>
      </c>
      <c r="AA84">
        <v>18748.8</v>
      </c>
      <c r="AB84">
        <v>24</v>
      </c>
      <c r="AC84">
        <v>18748.8</v>
      </c>
      <c r="AD84">
        <v>29</v>
      </c>
      <c r="AE84">
        <v>22654.799999999999</v>
      </c>
      <c r="AF84">
        <v>22</v>
      </c>
      <c r="AG84">
        <v>17186.399999999998</v>
      </c>
      <c r="AH84">
        <v>27</v>
      </c>
      <c r="AI84">
        <v>21092.399999999998</v>
      </c>
      <c r="AJ84">
        <v>18</v>
      </c>
      <c r="AK84">
        <v>14061.599999999999</v>
      </c>
      <c r="AL84">
        <v>18</v>
      </c>
      <c r="AM84">
        <v>14061.599999999999</v>
      </c>
      <c r="AN84">
        <v>26</v>
      </c>
      <c r="AO84">
        <v>20311.199999999997</v>
      </c>
      <c r="AP84">
        <v>32</v>
      </c>
      <c r="AQ84">
        <v>24998.399999999998</v>
      </c>
      <c r="AR84">
        <v>28</v>
      </c>
      <c r="AS84">
        <v>21873.599999999999</v>
      </c>
      <c r="AT84">
        <v>17</v>
      </c>
      <c r="AU84">
        <v>13280.4</v>
      </c>
      <c r="AV84">
        <v>25</v>
      </c>
      <c r="AW84">
        <v>19530</v>
      </c>
      <c r="AX84">
        <v>24</v>
      </c>
      <c r="AY84">
        <v>18748.8</v>
      </c>
      <c r="AZ84">
        <v>24</v>
      </c>
      <c r="BA84">
        <v>18748.8</v>
      </c>
      <c r="BB84">
        <v>19</v>
      </c>
      <c r="BC84">
        <v>14842.8</v>
      </c>
      <c r="BD84">
        <v>25</v>
      </c>
      <c r="BE84">
        <v>19530</v>
      </c>
      <c r="BF84">
        <v>28</v>
      </c>
      <c r="BG84">
        <v>21873.599999999999</v>
      </c>
      <c r="BH84">
        <v>26</v>
      </c>
      <c r="BI84">
        <v>20311.199999999997</v>
      </c>
      <c r="BJ84">
        <v>27</v>
      </c>
      <c r="BK84">
        <v>21092.399999999998</v>
      </c>
      <c r="BL84">
        <v>27</v>
      </c>
      <c r="BM84">
        <v>21092.399999999998</v>
      </c>
      <c r="BN84">
        <v>19</v>
      </c>
      <c r="BO84">
        <v>14842.8</v>
      </c>
      <c r="BP84">
        <v>19</v>
      </c>
      <c r="BQ84">
        <v>14842.8</v>
      </c>
      <c r="BR84">
        <v>20</v>
      </c>
      <c r="BS84">
        <v>15623.999999999998</v>
      </c>
      <c r="BT84">
        <v>19</v>
      </c>
      <c r="BU84">
        <v>14842.8</v>
      </c>
      <c r="BV84">
        <v>26</v>
      </c>
      <c r="BW84">
        <v>20311.199999999997</v>
      </c>
      <c r="BX84">
        <v>32</v>
      </c>
      <c r="BY84">
        <v>24998.399999999998</v>
      </c>
      <c r="BZ84">
        <v>32</v>
      </c>
      <c r="CA84">
        <v>24998.399999999998</v>
      </c>
      <c r="CB84">
        <v>21</v>
      </c>
      <c r="CC84">
        <v>16405.199999999997</v>
      </c>
      <c r="CD84">
        <v>24</v>
      </c>
      <c r="CE84">
        <v>18748.8</v>
      </c>
      <c r="CF84">
        <v>25</v>
      </c>
      <c r="CG84">
        <v>19530</v>
      </c>
      <c r="CH84">
        <v>20</v>
      </c>
      <c r="CI84">
        <v>15623.999999999998</v>
      </c>
      <c r="CJ84">
        <v>18</v>
      </c>
      <c r="CK84">
        <v>14061.599999999999</v>
      </c>
      <c r="CL84">
        <v>20</v>
      </c>
      <c r="CM84">
        <v>15623.999999999998</v>
      </c>
      <c r="CN84">
        <v>22</v>
      </c>
      <c r="CO84">
        <v>17186.399999999998</v>
      </c>
      <c r="CP84">
        <v>18</v>
      </c>
      <c r="CQ84">
        <v>14061.599999999999</v>
      </c>
      <c r="CR84">
        <v>35</v>
      </c>
      <c r="CS84">
        <v>27341.999999999996</v>
      </c>
      <c r="CT84">
        <v>16</v>
      </c>
      <c r="CU84">
        <v>12499.199999999999</v>
      </c>
    </row>
    <row r="85" spans="2:99" x14ac:dyDescent="0.2">
      <c r="C85" s="119" t="s">
        <v>251</v>
      </c>
      <c r="D85">
        <v>4.2794870451891676</v>
      </c>
      <c r="E85">
        <v>641.9230567783751</v>
      </c>
      <c r="F85">
        <v>30</v>
      </c>
      <c r="G85">
        <v>4500</v>
      </c>
      <c r="H85">
        <v>23</v>
      </c>
      <c r="I85">
        <v>3450</v>
      </c>
      <c r="J85">
        <v>23</v>
      </c>
      <c r="K85">
        <v>3450</v>
      </c>
      <c r="L85">
        <v>29</v>
      </c>
      <c r="M85">
        <v>4350</v>
      </c>
      <c r="N85">
        <v>19</v>
      </c>
      <c r="O85">
        <v>2850</v>
      </c>
      <c r="P85">
        <v>28</v>
      </c>
      <c r="Q85">
        <v>4200</v>
      </c>
      <c r="R85">
        <v>24</v>
      </c>
      <c r="S85">
        <v>3600</v>
      </c>
      <c r="T85">
        <v>33</v>
      </c>
      <c r="U85">
        <v>4950</v>
      </c>
      <c r="V85">
        <v>27</v>
      </c>
      <c r="W85">
        <v>4050</v>
      </c>
      <c r="X85">
        <v>30</v>
      </c>
      <c r="Y85">
        <v>4500</v>
      </c>
      <c r="Z85">
        <v>30</v>
      </c>
      <c r="AA85">
        <v>4500</v>
      </c>
      <c r="AB85">
        <v>29</v>
      </c>
      <c r="AC85">
        <v>4350</v>
      </c>
      <c r="AD85">
        <v>37</v>
      </c>
      <c r="AE85">
        <v>5550</v>
      </c>
      <c r="AF85">
        <v>27</v>
      </c>
      <c r="AG85">
        <v>4050</v>
      </c>
      <c r="AH85">
        <v>30</v>
      </c>
      <c r="AI85">
        <v>4500</v>
      </c>
      <c r="AJ85">
        <v>21</v>
      </c>
      <c r="AK85">
        <v>3150</v>
      </c>
      <c r="AL85">
        <v>18</v>
      </c>
      <c r="AM85">
        <v>2700</v>
      </c>
      <c r="AN85">
        <v>28</v>
      </c>
      <c r="AO85">
        <v>4200</v>
      </c>
      <c r="AP85">
        <v>35</v>
      </c>
      <c r="AQ85">
        <v>5250</v>
      </c>
      <c r="AR85">
        <v>32</v>
      </c>
      <c r="AS85">
        <v>4800</v>
      </c>
      <c r="AT85">
        <v>18</v>
      </c>
      <c r="AU85">
        <v>2700</v>
      </c>
      <c r="AV85">
        <v>28</v>
      </c>
      <c r="AW85">
        <v>4200</v>
      </c>
      <c r="AX85">
        <v>29</v>
      </c>
      <c r="AY85">
        <v>4350</v>
      </c>
      <c r="AZ85">
        <v>29</v>
      </c>
      <c r="BA85">
        <v>4350</v>
      </c>
      <c r="BB85">
        <v>21</v>
      </c>
      <c r="BC85">
        <v>3150</v>
      </c>
      <c r="BD85">
        <v>27</v>
      </c>
      <c r="BE85">
        <v>4050</v>
      </c>
      <c r="BF85">
        <v>29</v>
      </c>
      <c r="BG85">
        <v>4350</v>
      </c>
      <c r="BH85">
        <v>26</v>
      </c>
      <c r="BI85">
        <v>3900</v>
      </c>
      <c r="BJ85">
        <v>28</v>
      </c>
      <c r="BK85">
        <v>4200</v>
      </c>
      <c r="BL85">
        <v>27</v>
      </c>
      <c r="BM85">
        <v>4050</v>
      </c>
      <c r="BN85">
        <v>22</v>
      </c>
      <c r="BO85">
        <v>3300</v>
      </c>
      <c r="BP85">
        <v>18</v>
      </c>
      <c r="BQ85">
        <v>2700</v>
      </c>
      <c r="BR85">
        <v>23</v>
      </c>
      <c r="BS85">
        <v>3450</v>
      </c>
      <c r="BT85">
        <v>23</v>
      </c>
      <c r="BU85">
        <v>3450</v>
      </c>
      <c r="BV85">
        <v>34</v>
      </c>
      <c r="BW85">
        <v>5100</v>
      </c>
      <c r="BX85">
        <v>33</v>
      </c>
      <c r="BY85">
        <v>4950</v>
      </c>
      <c r="BZ85">
        <v>29</v>
      </c>
      <c r="CA85">
        <v>4350</v>
      </c>
      <c r="CB85">
        <v>26</v>
      </c>
      <c r="CC85">
        <v>3900</v>
      </c>
      <c r="CD85">
        <v>25</v>
      </c>
      <c r="CE85">
        <v>3750</v>
      </c>
      <c r="CF85">
        <v>28</v>
      </c>
      <c r="CG85">
        <v>4200</v>
      </c>
      <c r="CH85">
        <v>19</v>
      </c>
      <c r="CI85">
        <v>2850</v>
      </c>
      <c r="CJ85">
        <v>19</v>
      </c>
      <c r="CK85">
        <v>2850</v>
      </c>
      <c r="CL85">
        <v>22</v>
      </c>
      <c r="CM85">
        <v>3300</v>
      </c>
      <c r="CN85">
        <v>23</v>
      </c>
      <c r="CO85">
        <v>3450</v>
      </c>
      <c r="CP85">
        <v>20</v>
      </c>
      <c r="CQ85">
        <v>3000</v>
      </c>
      <c r="CR85">
        <v>35</v>
      </c>
      <c r="CS85">
        <v>5250</v>
      </c>
      <c r="CT85">
        <v>19</v>
      </c>
      <c r="CU85">
        <v>2850</v>
      </c>
    </row>
    <row r="86" spans="2:99" x14ac:dyDescent="0.2">
      <c r="C86" s="119" t="s">
        <v>252</v>
      </c>
      <c r="D86">
        <v>4.0655126929297083</v>
      </c>
      <c r="E86">
        <v>2195.3768541820423</v>
      </c>
      <c r="F86">
        <v>31</v>
      </c>
      <c r="G86">
        <v>16740</v>
      </c>
      <c r="H86">
        <v>20</v>
      </c>
      <c r="I86">
        <v>10800</v>
      </c>
      <c r="J86">
        <v>21</v>
      </c>
      <c r="K86">
        <v>11340</v>
      </c>
      <c r="L86">
        <v>25</v>
      </c>
      <c r="M86">
        <v>13500</v>
      </c>
      <c r="N86">
        <v>20</v>
      </c>
      <c r="O86">
        <v>10800</v>
      </c>
      <c r="P86">
        <v>29</v>
      </c>
      <c r="Q86">
        <v>15660</v>
      </c>
      <c r="R86">
        <v>21</v>
      </c>
      <c r="S86">
        <v>11340</v>
      </c>
      <c r="T86">
        <v>31</v>
      </c>
      <c r="U86">
        <v>16740</v>
      </c>
      <c r="V86">
        <v>28</v>
      </c>
      <c r="W86">
        <v>15120</v>
      </c>
      <c r="X86">
        <v>26</v>
      </c>
      <c r="Y86">
        <v>14040</v>
      </c>
      <c r="Z86">
        <v>28</v>
      </c>
      <c r="AA86">
        <v>15120</v>
      </c>
      <c r="AB86">
        <v>28</v>
      </c>
      <c r="AC86">
        <v>15120</v>
      </c>
      <c r="AD86">
        <v>30</v>
      </c>
      <c r="AE86">
        <v>16200</v>
      </c>
      <c r="AF86">
        <v>23</v>
      </c>
      <c r="AG86">
        <v>12420</v>
      </c>
      <c r="AH86">
        <v>27</v>
      </c>
      <c r="AI86">
        <v>14580</v>
      </c>
      <c r="AJ86">
        <v>17</v>
      </c>
      <c r="AK86">
        <v>9180</v>
      </c>
      <c r="AL86">
        <v>18</v>
      </c>
      <c r="AM86">
        <v>9720</v>
      </c>
      <c r="AN86">
        <v>27</v>
      </c>
      <c r="AO86">
        <v>14580</v>
      </c>
      <c r="AP86">
        <v>30</v>
      </c>
      <c r="AQ86">
        <v>16200</v>
      </c>
      <c r="AR86">
        <v>30</v>
      </c>
      <c r="AS86">
        <v>16200</v>
      </c>
      <c r="AT86">
        <v>19</v>
      </c>
      <c r="AU86">
        <v>10260</v>
      </c>
      <c r="AV86">
        <v>25</v>
      </c>
      <c r="AW86">
        <v>13500</v>
      </c>
      <c r="AX86">
        <v>27</v>
      </c>
      <c r="AY86">
        <v>14580</v>
      </c>
      <c r="AZ86">
        <v>27</v>
      </c>
      <c r="BA86">
        <v>14580</v>
      </c>
      <c r="BB86">
        <v>20</v>
      </c>
      <c r="BC86">
        <v>10800</v>
      </c>
      <c r="BD86">
        <v>23</v>
      </c>
      <c r="BE86">
        <v>12420</v>
      </c>
      <c r="BF86">
        <v>30</v>
      </c>
      <c r="BG86">
        <v>16200</v>
      </c>
      <c r="BH86">
        <v>26</v>
      </c>
      <c r="BI86">
        <v>14040</v>
      </c>
      <c r="BJ86">
        <v>26</v>
      </c>
      <c r="BK86">
        <v>14040</v>
      </c>
      <c r="BL86">
        <v>26</v>
      </c>
      <c r="BM86">
        <v>14040</v>
      </c>
      <c r="BN86">
        <v>21</v>
      </c>
      <c r="BO86">
        <v>11340</v>
      </c>
      <c r="BP86">
        <v>20</v>
      </c>
      <c r="BQ86">
        <v>10800</v>
      </c>
      <c r="BR86">
        <v>22</v>
      </c>
      <c r="BS86">
        <v>11880</v>
      </c>
      <c r="BT86">
        <v>21</v>
      </c>
      <c r="BU86">
        <v>11340</v>
      </c>
      <c r="BV86">
        <v>30</v>
      </c>
      <c r="BW86">
        <v>16200</v>
      </c>
      <c r="BX86">
        <v>35</v>
      </c>
      <c r="BY86">
        <v>18900</v>
      </c>
      <c r="BZ86">
        <v>29</v>
      </c>
      <c r="CA86">
        <v>15660</v>
      </c>
      <c r="CB86">
        <v>22</v>
      </c>
      <c r="CC86">
        <v>11880</v>
      </c>
      <c r="CD86">
        <v>23</v>
      </c>
      <c r="CE86">
        <v>12420</v>
      </c>
      <c r="CF86">
        <v>26</v>
      </c>
      <c r="CG86">
        <v>14040</v>
      </c>
      <c r="CH86">
        <v>21</v>
      </c>
      <c r="CI86">
        <v>11340</v>
      </c>
      <c r="CJ86">
        <v>19</v>
      </c>
      <c r="CK86">
        <v>10260</v>
      </c>
      <c r="CL86">
        <v>20</v>
      </c>
      <c r="CM86">
        <v>10800</v>
      </c>
      <c r="CN86">
        <v>20</v>
      </c>
      <c r="CO86">
        <v>10800</v>
      </c>
      <c r="CP86">
        <v>17</v>
      </c>
      <c r="CQ86">
        <v>9180</v>
      </c>
      <c r="CR86">
        <v>37</v>
      </c>
      <c r="CS86">
        <v>19980</v>
      </c>
      <c r="CT86">
        <v>20</v>
      </c>
      <c r="CU86">
        <v>10800</v>
      </c>
    </row>
    <row r="87" spans="2:99" x14ac:dyDescent="0.2">
      <c r="B87" s="119" t="s">
        <v>131</v>
      </c>
      <c r="C87" s="119" t="s">
        <v>253</v>
      </c>
      <c r="D87">
        <v>2.5676922271135001</v>
      </c>
      <c r="E87">
        <v>5019.3247655614696</v>
      </c>
      <c r="F87">
        <v>17</v>
      </c>
      <c r="G87">
        <v>33231.599999999999</v>
      </c>
      <c r="H87">
        <v>14</v>
      </c>
      <c r="I87">
        <v>27367.200000000001</v>
      </c>
      <c r="J87">
        <v>14</v>
      </c>
      <c r="K87">
        <v>27367.200000000001</v>
      </c>
      <c r="L87">
        <v>11</v>
      </c>
      <c r="M87">
        <v>21502.799999999999</v>
      </c>
      <c r="N87">
        <v>19</v>
      </c>
      <c r="O87">
        <v>37141.199999999997</v>
      </c>
      <c r="P87">
        <v>17</v>
      </c>
      <c r="Q87">
        <v>33231.599999999999</v>
      </c>
      <c r="R87">
        <v>11</v>
      </c>
      <c r="S87">
        <v>21502.799999999999</v>
      </c>
      <c r="T87">
        <v>15</v>
      </c>
      <c r="U87">
        <v>29322</v>
      </c>
      <c r="V87">
        <v>11</v>
      </c>
      <c r="W87">
        <v>21502.799999999999</v>
      </c>
      <c r="X87">
        <v>17</v>
      </c>
      <c r="Y87">
        <v>33231.599999999999</v>
      </c>
      <c r="Z87">
        <v>19</v>
      </c>
      <c r="AA87">
        <v>37141.199999999997</v>
      </c>
      <c r="AB87">
        <v>18</v>
      </c>
      <c r="AC87">
        <v>35186.400000000001</v>
      </c>
      <c r="AD87">
        <v>16</v>
      </c>
      <c r="AE87">
        <v>31276.799999999999</v>
      </c>
      <c r="AF87">
        <v>12</v>
      </c>
      <c r="AG87">
        <v>23457.599999999999</v>
      </c>
      <c r="AH87">
        <v>13</v>
      </c>
      <c r="AI87">
        <v>25412.399999999998</v>
      </c>
      <c r="AJ87">
        <v>20</v>
      </c>
      <c r="AK87">
        <v>39096</v>
      </c>
      <c r="AL87">
        <v>12</v>
      </c>
      <c r="AM87">
        <v>23457.599999999999</v>
      </c>
      <c r="AN87">
        <v>22</v>
      </c>
      <c r="AO87">
        <v>43005.599999999999</v>
      </c>
      <c r="AP87">
        <v>22</v>
      </c>
      <c r="AQ87">
        <v>43005.599999999999</v>
      </c>
      <c r="AR87">
        <v>12</v>
      </c>
      <c r="AS87">
        <v>23457.599999999999</v>
      </c>
      <c r="AT87">
        <v>13</v>
      </c>
      <c r="AU87">
        <v>25412.399999999998</v>
      </c>
      <c r="AV87">
        <v>12</v>
      </c>
      <c r="AW87">
        <v>23457.599999999999</v>
      </c>
      <c r="AX87">
        <v>24</v>
      </c>
      <c r="AY87">
        <v>46915.199999999997</v>
      </c>
      <c r="AZ87">
        <v>12</v>
      </c>
      <c r="BA87">
        <v>23457.599999999999</v>
      </c>
      <c r="BB87">
        <v>14</v>
      </c>
      <c r="BC87">
        <v>27367.200000000001</v>
      </c>
      <c r="BD87">
        <v>13</v>
      </c>
      <c r="BE87">
        <v>25412.399999999998</v>
      </c>
      <c r="BF87">
        <v>16</v>
      </c>
      <c r="BG87">
        <v>31276.799999999999</v>
      </c>
      <c r="BH87">
        <v>18</v>
      </c>
      <c r="BI87">
        <v>35186.400000000001</v>
      </c>
      <c r="BJ87">
        <v>13</v>
      </c>
      <c r="BK87">
        <v>25412.399999999998</v>
      </c>
      <c r="BL87">
        <v>23</v>
      </c>
      <c r="BM87">
        <v>44960.4</v>
      </c>
      <c r="BN87">
        <v>21</v>
      </c>
      <c r="BO87">
        <v>41050.799999999996</v>
      </c>
      <c r="BP87">
        <v>14</v>
      </c>
      <c r="BQ87">
        <v>27367.200000000001</v>
      </c>
      <c r="BR87">
        <v>13</v>
      </c>
      <c r="BS87">
        <v>25412.399999999998</v>
      </c>
      <c r="BT87">
        <v>25</v>
      </c>
      <c r="BU87">
        <v>48870</v>
      </c>
      <c r="BV87">
        <v>18</v>
      </c>
      <c r="BW87">
        <v>35186.400000000001</v>
      </c>
      <c r="BX87">
        <v>16</v>
      </c>
      <c r="BY87">
        <v>31276.799999999999</v>
      </c>
      <c r="BZ87">
        <v>13</v>
      </c>
      <c r="CA87">
        <v>25412.399999999998</v>
      </c>
      <c r="CB87">
        <v>16</v>
      </c>
      <c r="CC87">
        <v>31276.799999999999</v>
      </c>
      <c r="CD87">
        <v>22</v>
      </c>
      <c r="CE87">
        <v>43005.599999999999</v>
      </c>
      <c r="CF87">
        <v>18</v>
      </c>
      <c r="CG87">
        <v>35186.400000000001</v>
      </c>
      <c r="CH87">
        <v>23</v>
      </c>
      <c r="CI87">
        <v>44960.4</v>
      </c>
      <c r="CJ87">
        <v>18</v>
      </c>
      <c r="CK87">
        <v>35186.400000000001</v>
      </c>
      <c r="CL87">
        <v>14</v>
      </c>
      <c r="CM87">
        <v>27367.200000000001</v>
      </c>
      <c r="CN87">
        <v>14</v>
      </c>
      <c r="CO87">
        <v>27367.200000000001</v>
      </c>
      <c r="CP87">
        <v>19</v>
      </c>
      <c r="CQ87">
        <v>37141.199999999997</v>
      </c>
      <c r="CR87">
        <v>21</v>
      </c>
      <c r="CS87">
        <v>41050.799999999996</v>
      </c>
      <c r="CT87">
        <v>21</v>
      </c>
      <c r="CU87">
        <v>41050.799999999996</v>
      </c>
    </row>
    <row r="88" spans="2:99" x14ac:dyDescent="0.2">
      <c r="C88" s="119" t="s">
        <v>254</v>
      </c>
      <c r="D88">
        <v>2.7816665793729585</v>
      </c>
      <c r="E88">
        <v>5264.0258348053858</v>
      </c>
      <c r="F88">
        <v>18</v>
      </c>
      <c r="G88">
        <v>34063.199999999997</v>
      </c>
      <c r="H88">
        <v>13</v>
      </c>
      <c r="I88">
        <v>24601.199999999997</v>
      </c>
      <c r="J88">
        <v>14</v>
      </c>
      <c r="K88">
        <v>26493.599999999999</v>
      </c>
      <c r="L88">
        <v>12</v>
      </c>
      <c r="M88">
        <v>22708.799999999999</v>
      </c>
      <c r="N88">
        <v>19</v>
      </c>
      <c r="O88">
        <v>35955.599999999999</v>
      </c>
      <c r="P88">
        <v>14</v>
      </c>
      <c r="Q88">
        <v>26493.599999999999</v>
      </c>
      <c r="R88">
        <v>13</v>
      </c>
      <c r="S88">
        <v>24601.199999999997</v>
      </c>
      <c r="T88">
        <v>14</v>
      </c>
      <c r="U88">
        <v>26493.599999999999</v>
      </c>
      <c r="V88">
        <v>12</v>
      </c>
      <c r="W88">
        <v>22708.799999999999</v>
      </c>
      <c r="X88">
        <v>18</v>
      </c>
      <c r="Y88">
        <v>34063.199999999997</v>
      </c>
      <c r="Z88">
        <v>20</v>
      </c>
      <c r="AA88">
        <v>37848</v>
      </c>
      <c r="AB88">
        <v>18</v>
      </c>
      <c r="AC88">
        <v>34063.199999999997</v>
      </c>
      <c r="AD88">
        <v>14</v>
      </c>
      <c r="AE88">
        <v>26493.599999999999</v>
      </c>
      <c r="AF88">
        <v>11</v>
      </c>
      <c r="AG88">
        <v>20816.399999999998</v>
      </c>
      <c r="AH88">
        <v>12</v>
      </c>
      <c r="AI88">
        <v>22708.799999999999</v>
      </c>
      <c r="AJ88">
        <v>20</v>
      </c>
      <c r="AK88">
        <v>37848</v>
      </c>
      <c r="AL88">
        <v>12</v>
      </c>
      <c r="AM88">
        <v>22708.799999999999</v>
      </c>
      <c r="AN88">
        <v>22</v>
      </c>
      <c r="AO88">
        <v>41632.799999999996</v>
      </c>
      <c r="AP88">
        <v>20</v>
      </c>
      <c r="AQ88">
        <v>37848</v>
      </c>
      <c r="AR88">
        <v>14</v>
      </c>
      <c r="AS88">
        <v>26493.599999999999</v>
      </c>
      <c r="AT88">
        <v>12</v>
      </c>
      <c r="AU88">
        <v>22708.799999999999</v>
      </c>
      <c r="AV88">
        <v>12</v>
      </c>
      <c r="AW88">
        <v>22708.799999999999</v>
      </c>
      <c r="AX88">
        <v>21</v>
      </c>
      <c r="AY88">
        <v>39740.399999999994</v>
      </c>
      <c r="AZ88">
        <v>11</v>
      </c>
      <c r="BA88">
        <v>20816.399999999998</v>
      </c>
      <c r="BB88">
        <v>15</v>
      </c>
      <c r="BC88">
        <v>28385.999999999996</v>
      </c>
      <c r="BD88">
        <v>13</v>
      </c>
      <c r="BE88">
        <v>24601.199999999997</v>
      </c>
      <c r="BF88">
        <v>16</v>
      </c>
      <c r="BG88">
        <v>30278.399999999998</v>
      </c>
      <c r="BH88">
        <v>19</v>
      </c>
      <c r="BI88">
        <v>35955.599999999999</v>
      </c>
      <c r="BJ88">
        <v>13</v>
      </c>
      <c r="BK88">
        <v>24601.199999999997</v>
      </c>
      <c r="BL88">
        <v>21</v>
      </c>
      <c r="BM88">
        <v>39740.399999999994</v>
      </c>
      <c r="BN88">
        <v>24</v>
      </c>
      <c r="BO88">
        <v>45417.599999999999</v>
      </c>
      <c r="BP88">
        <v>16</v>
      </c>
      <c r="BQ88">
        <v>30278.399999999998</v>
      </c>
      <c r="BR88">
        <v>14</v>
      </c>
      <c r="BS88">
        <v>26493.599999999999</v>
      </c>
      <c r="BT88">
        <v>25</v>
      </c>
      <c r="BU88">
        <v>47310</v>
      </c>
      <c r="BV88">
        <v>19</v>
      </c>
      <c r="BW88">
        <v>35955.599999999999</v>
      </c>
      <c r="BX88">
        <v>14</v>
      </c>
      <c r="BY88">
        <v>26493.599999999999</v>
      </c>
      <c r="BZ88">
        <v>16</v>
      </c>
      <c r="CA88">
        <v>30278.399999999998</v>
      </c>
      <c r="CB88">
        <v>17</v>
      </c>
      <c r="CC88">
        <v>32170.799999999999</v>
      </c>
      <c r="CD88">
        <v>20</v>
      </c>
      <c r="CE88">
        <v>37848</v>
      </c>
      <c r="CF88">
        <v>17</v>
      </c>
      <c r="CG88">
        <v>32170.799999999999</v>
      </c>
      <c r="CH88">
        <v>19</v>
      </c>
      <c r="CI88">
        <v>35955.599999999999</v>
      </c>
      <c r="CJ88">
        <v>16</v>
      </c>
      <c r="CK88">
        <v>30278.399999999998</v>
      </c>
      <c r="CL88">
        <v>15</v>
      </c>
      <c r="CM88">
        <v>28385.999999999996</v>
      </c>
      <c r="CN88">
        <v>14</v>
      </c>
      <c r="CO88">
        <v>26493.599999999999</v>
      </c>
      <c r="CP88">
        <v>20</v>
      </c>
      <c r="CQ88">
        <v>37848</v>
      </c>
      <c r="CR88">
        <v>18</v>
      </c>
      <c r="CS88">
        <v>34063.199999999997</v>
      </c>
      <c r="CT88">
        <v>19</v>
      </c>
      <c r="CU88">
        <v>35955.599999999999</v>
      </c>
    </row>
    <row r="89" spans="2:99" x14ac:dyDescent="0.2">
      <c r="C89" s="119" t="s">
        <v>255</v>
      </c>
      <c r="D89">
        <v>2.3537178748540422</v>
      </c>
      <c r="E89">
        <v>5643.2739767500516</v>
      </c>
      <c r="F89">
        <v>16</v>
      </c>
      <c r="G89">
        <v>38361.599999999999</v>
      </c>
      <c r="H89">
        <v>12</v>
      </c>
      <c r="I89">
        <v>28771.199999999997</v>
      </c>
      <c r="J89">
        <v>14</v>
      </c>
      <c r="K89">
        <v>33566.400000000001</v>
      </c>
      <c r="L89">
        <v>11</v>
      </c>
      <c r="M89">
        <v>26373.599999999999</v>
      </c>
      <c r="N89">
        <v>18</v>
      </c>
      <c r="O89">
        <v>43156.799999999996</v>
      </c>
      <c r="P89">
        <v>14</v>
      </c>
      <c r="Q89">
        <v>33566.400000000001</v>
      </c>
      <c r="R89">
        <v>10</v>
      </c>
      <c r="S89">
        <v>23976</v>
      </c>
      <c r="T89">
        <v>13</v>
      </c>
      <c r="U89">
        <v>31168.799999999999</v>
      </c>
      <c r="V89">
        <v>10</v>
      </c>
      <c r="W89">
        <v>23976</v>
      </c>
      <c r="X89">
        <v>16</v>
      </c>
      <c r="Y89">
        <v>38361.599999999999</v>
      </c>
      <c r="Z89">
        <v>21</v>
      </c>
      <c r="AA89">
        <v>50349.599999999999</v>
      </c>
      <c r="AB89">
        <v>17</v>
      </c>
      <c r="AC89">
        <v>40759.199999999997</v>
      </c>
      <c r="AD89">
        <v>15</v>
      </c>
      <c r="AE89">
        <v>35964</v>
      </c>
      <c r="AF89">
        <v>10</v>
      </c>
      <c r="AG89">
        <v>23976</v>
      </c>
      <c r="AH89">
        <v>12</v>
      </c>
      <c r="AI89">
        <v>28771.199999999997</v>
      </c>
      <c r="AJ89">
        <v>21</v>
      </c>
      <c r="AK89">
        <v>50349.599999999999</v>
      </c>
      <c r="AL89">
        <v>10</v>
      </c>
      <c r="AM89">
        <v>23976</v>
      </c>
      <c r="AN89">
        <v>20</v>
      </c>
      <c r="AO89">
        <v>47952</v>
      </c>
      <c r="AP89">
        <v>19</v>
      </c>
      <c r="AQ89">
        <v>45554.400000000001</v>
      </c>
      <c r="AR89">
        <v>13</v>
      </c>
      <c r="AS89">
        <v>31168.799999999999</v>
      </c>
      <c r="AT89">
        <v>12</v>
      </c>
      <c r="AU89">
        <v>28771.199999999997</v>
      </c>
      <c r="AV89">
        <v>11</v>
      </c>
      <c r="AW89">
        <v>26373.599999999999</v>
      </c>
      <c r="AX89">
        <v>21</v>
      </c>
      <c r="AY89">
        <v>50349.599999999999</v>
      </c>
      <c r="AZ89">
        <v>11</v>
      </c>
      <c r="BA89">
        <v>26373.599999999999</v>
      </c>
      <c r="BB89">
        <v>14</v>
      </c>
      <c r="BC89">
        <v>33566.400000000001</v>
      </c>
      <c r="BD89">
        <v>15</v>
      </c>
      <c r="BE89">
        <v>35964</v>
      </c>
      <c r="BF89">
        <v>16</v>
      </c>
      <c r="BG89">
        <v>38361.599999999999</v>
      </c>
      <c r="BH89">
        <v>17</v>
      </c>
      <c r="BI89">
        <v>40759.199999999997</v>
      </c>
      <c r="BJ89">
        <v>14</v>
      </c>
      <c r="BK89">
        <v>33566.400000000001</v>
      </c>
      <c r="BL89">
        <v>22</v>
      </c>
      <c r="BM89">
        <v>52747.199999999997</v>
      </c>
      <c r="BN89">
        <v>23</v>
      </c>
      <c r="BO89">
        <v>55144.799999999996</v>
      </c>
      <c r="BP89">
        <v>14</v>
      </c>
      <c r="BQ89">
        <v>33566.400000000001</v>
      </c>
      <c r="BR89">
        <v>14</v>
      </c>
      <c r="BS89">
        <v>33566.400000000001</v>
      </c>
      <c r="BT89">
        <v>22</v>
      </c>
      <c r="BU89">
        <v>52747.199999999997</v>
      </c>
      <c r="BV89">
        <v>18</v>
      </c>
      <c r="BW89">
        <v>43156.799999999996</v>
      </c>
      <c r="BX89">
        <v>15</v>
      </c>
      <c r="BY89">
        <v>35964</v>
      </c>
      <c r="BZ89">
        <v>15</v>
      </c>
      <c r="CA89">
        <v>35964</v>
      </c>
      <c r="CB89">
        <v>17</v>
      </c>
      <c r="CC89">
        <v>40759.199999999997</v>
      </c>
      <c r="CD89">
        <v>22</v>
      </c>
      <c r="CE89">
        <v>52747.199999999997</v>
      </c>
      <c r="CF89">
        <v>17</v>
      </c>
      <c r="CG89">
        <v>40759.199999999997</v>
      </c>
      <c r="CH89">
        <v>21</v>
      </c>
      <c r="CI89">
        <v>50349.599999999999</v>
      </c>
      <c r="CJ89">
        <v>18</v>
      </c>
      <c r="CK89">
        <v>43156.799999999996</v>
      </c>
      <c r="CL89">
        <v>15</v>
      </c>
      <c r="CM89">
        <v>35964</v>
      </c>
      <c r="CN89">
        <v>14</v>
      </c>
      <c r="CO89">
        <v>33566.400000000001</v>
      </c>
      <c r="CP89">
        <v>18</v>
      </c>
      <c r="CQ89">
        <v>43156.799999999996</v>
      </c>
      <c r="CR89">
        <v>20</v>
      </c>
      <c r="CS89">
        <v>47952</v>
      </c>
      <c r="CT89">
        <v>19</v>
      </c>
      <c r="CU89">
        <v>45554.400000000001</v>
      </c>
    </row>
    <row r="90" spans="2:99" x14ac:dyDescent="0.2">
      <c r="C90" s="119" t="s">
        <v>256</v>
      </c>
      <c r="D90">
        <v>2.3537178748540422</v>
      </c>
      <c r="E90">
        <v>5171.5889146293011</v>
      </c>
      <c r="F90">
        <v>17</v>
      </c>
      <c r="G90">
        <v>37352.399999999994</v>
      </c>
      <c r="H90">
        <v>13</v>
      </c>
      <c r="I90">
        <v>28563.599999999999</v>
      </c>
      <c r="J90">
        <v>13</v>
      </c>
      <c r="K90">
        <v>28563.599999999999</v>
      </c>
      <c r="L90">
        <v>10</v>
      </c>
      <c r="M90">
        <v>21972</v>
      </c>
      <c r="N90">
        <v>18</v>
      </c>
      <c r="O90">
        <v>39549.599999999999</v>
      </c>
      <c r="P90">
        <v>14</v>
      </c>
      <c r="Q90">
        <v>30760.799999999996</v>
      </c>
      <c r="R90">
        <v>12</v>
      </c>
      <c r="S90">
        <v>26366.399999999998</v>
      </c>
      <c r="T90">
        <v>14</v>
      </c>
      <c r="U90">
        <v>30760.799999999996</v>
      </c>
      <c r="V90">
        <v>10</v>
      </c>
      <c r="W90">
        <v>21972</v>
      </c>
      <c r="X90">
        <v>18</v>
      </c>
      <c r="Y90">
        <v>39549.599999999999</v>
      </c>
      <c r="Z90">
        <v>21</v>
      </c>
      <c r="AA90">
        <v>46141.2</v>
      </c>
      <c r="AB90">
        <v>18</v>
      </c>
      <c r="AC90">
        <v>39549.599999999999</v>
      </c>
      <c r="AD90">
        <v>14</v>
      </c>
      <c r="AE90">
        <v>30760.799999999996</v>
      </c>
      <c r="AF90">
        <v>10</v>
      </c>
      <c r="AG90">
        <v>21972</v>
      </c>
      <c r="AH90">
        <v>11</v>
      </c>
      <c r="AI90">
        <v>24169.199999999997</v>
      </c>
      <c r="AJ90">
        <v>23</v>
      </c>
      <c r="AK90">
        <v>50535.6</v>
      </c>
      <c r="AL90">
        <v>11</v>
      </c>
      <c r="AM90">
        <v>24169.199999999997</v>
      </c>
      <c r="AN90">
        <v>18</v>
      </c>
      <c r="AO90">
        <v>39549.599999999999</v>
      </c>
      <c r="AP90">
        <v>19</v>
      </c>
      <c r="AQ90">
        <v>41746.799999999996</v>
      </c>
      <c r="AR90">
        <v>11</v>
      </c>
      <c r="AS90">
        <v>24169.199999999997</v>
      </c>
      <c r="AT90">
        <v>12</v>
      </c>
      <c r="AU90">
        <v>26366.399999999998</v>
      </c>
      <c r="AV90">
        <v>13</v>
      </c>
      <c r="AW90">
        <v>28563.599999999999</v>
      </c>
      <c r="AX90">
        <v>20</v>
      </c>
      <c r="AY90">
        <v>43944</v>
      </c>
      <c r="AZ90">
        <v>12</v>
      </c>
      <c r="BA90">
        <v>26366.399999999998</v>
      </c>
      <c r="BB90">
        <v>16</v>
      </c>
      <c r="BC90">
        <v>35155.199999999997</v>
      </c>
      <c r="BD90">
        <v>15</v>
      </c>
      <c r="BE90">
        <v>32958</v>
      </c>
      <c r="BF90">
        <v>16</v>
      </c>
      <c r="BG90">
        <v>35155.199999999997</v>
      </c>
      <c r="BH90">
        <v>19</v>
      </c>
      <c r="BI90">
        <v>41746.799999999996</v>
      </c>
      <c r="BJ90">
        <v>13</v>
      </c>
      <c r="BK90">
        <v>28563.599999999999</v>
      </c>
      <c r="BL90">
        <v>20</v>
      </c>
      <c r="BM90">
        <v>43944</v>
      </c>
      <c r="BN90">
        <v>21</v>
      </c>
      <c r="BO90">
        <v>46141.2</v>
      </c>
      <c r="BP90">
        <v>14</v>
      </c>
      <c r="BQ90">
        <v>30760.799999999996</v>
      </c>
      <c r="BR90">
        <v>14</v>
      </c>
      <c r="BS90">
        <v>30760.799999999996</v>
      </c>
      <c r="BT90">
        <v>20</v>
      </c>
      <c r="BU90">
        <v>43944</v>
      </c>
      <c r="BV90">
        <v>20</v>
      </c>
      <c r="BW90">
        <v>43944</v>
      </c>
      <c r="BX90">
        <v>14</v>
      </c>
      <c r="BY90">
        <v>30760.799999999996</v>
      </c>
      <c r="BZ90">
        <v>15</v>
      </c>
      <c r="CA90">
        <v>32958</v>
      </c>
      <c r="CB90">
        <v>16</v>
      </c>
      <c r="CC90">
        <v>35155.199999999997</v>
      </c>
      <c r="CD90">
        <v>19</v>
      </c>
      <c r="CE90">
        <v>41746.799999999996</v>
      </c>
      <c r="CF90">
        <v>16</v>
      </c>
      <c r="CG90">
        <v>35155.199999999997</v>
      </c>
      <c r="CH90">
        <v>22</v>
      </c>
      <c r="CI90">
        <v>48338.399999999994</v>
      </c>
      <c r="CJ90">
        <v>17</v>
      </c>
      <c r="CK90">
        <v>37352.399999999994</v>
      </c>
      <c r="CL90">
        <v>14</v>
      </c>
      <c r="CM90">
        <v>30760.799999999996</v>
      </c>
      <c r="CN90">
        <v>17</v>
      </c>
      <c r="CO90">
        <v>37352.399999999994</v>
      </c>
      <c r="CP90">
        <v>18</v>
      </c>
      <c r="CQ90">
        <v>39549.599999999999</v>
      </c>
      <c r="CR90">
        <v>20</v>
      </c>
      <c r="CS90">
        <v>43944</v>
      </c>
      <c r="CT90">
        <v>21</v>
      </c>
      <c r="CU90">
        <v>46141.2</v>
      </c>
    </row>
    <row r="91" spans="2:99" x14ac:dyDescent="0.2">
      <c r="C91" s="119" t="s">
        <v>257</v>
      </c>
      <c r="D91">
        <v>2.5676922271135001</v>
      </c>
      <c r="E91">
        <v>5897.4755072342859</v>
      </c>
      <c r="F91">
        <v>18</v>
      </c>
      <c r="G91">
        <v>41342.399999999994</v>
      </c>
      <c r="H91">
        <v>14</v>
      </c>
      <c r="I91">
        <v>32155.199999999997</v>
      </c>
      <c r="J91">
        <v>13</v>
      </c>
      <c r="K91">
        <v>29858.399999999998</v>
      </c>
      <c r="L91">
        <v>10</v>
      </c>
      <c r="M91">
        <v>22967.999999999996</v>
      </c>
      <c r="N91">
        <v>19</v>
      </c>
      <c r="O91">
        <v>43639.199999999997</v>
      </c>
      <c r="P91">
        <v>16</v>
      </c>
      <c r="Q91">
        <v>36748.799999999996</v>
      </c>
      <c r="R91">
        <v>12</v>
      </c>
      <c r="S91">
        <v>27561.599999999999</v>
      </c>
      <c r="T91">
        <v>14</v>
      </c>
      <c r="U91">
        <v>32155.199999999997</v>
      </c>
      <c r="V91">
        <v>10</v>
      </c>
      <c r="W91">
        <v>22967.999999999996</v>
      </c>
      <c r="X91">
        <v>15</v>
      </c>
      <c r="Y91">
        <v>34451.999999999993</v>
      </c>
      <c r="Z91">
        <v>20</v>
      </c>
      <c r="AA91">
        <v>45935.999999999993</v>
      </c>
      <c r="AB91">
        <v>19</v>
      </c>
      <c r="AC91">
        <v>43639.199999999997</v>
      </c>
      <c r="AD91">
        <v>15</v>
      </c>
      <c r="AE91">
        <v>34451.999999999993</v>
      </c>
      <c r="AF91">
        <v>10</v>
      </c>
      <c r="AG91">
        <v>22967.999999999996</v>
      </c>
      <c r="AH91">
        <v>12</v>
      </c>
      <c r="AI91">
        <v>27561.599999999999</v>
      </c>
      <c r="AJ91">
        <v>21</v>
      </c>
      <c r="AK91">
        <v>48232.799999999996</v>
      </c>
      <c r="AL91">
        <v>12</v>
      </c>
      <c r="AM91">
        <v>27561.599999999999</v>
      </c>
      <c r="AN91">
        <v>18</v>
      </c>
      <c r="AO91">
        <v>41342.399999999994</v>
      </c>
      <c r="AP91">
        <v>21</v>
      </c>
      <c r="AQ91">
        <v>48232.799999999996</v>
      </c>
      <c r="AR91">
        <v>11</v>
      </c>
      <c r="AS91">
        <v>25264.799999999996</v>
      </c>
      <c r="AT91">
        <v>13</v>
      </c>
      <c r="AU91">
        <v>29858.399999999998</v>
      </c>
      <c r="AV91">
        <v>11</v>
      </c>
      <c r="AW91">
        <v>25264.799999999996</v>
      </c>
      <c r="AX91">
        <v>21</v>
      </c>
      <c r="AY91">
        <v>48232.799999999996</v>
      </c>
      <c r="AZ91">
        <v>11</v>
      </c>
      <c r="BA91">
        <v>25264.799999999996</v>
      </c>
      <c r="BB91">
        <v>15</v>
      </c>
      <c r="BC91">
        <v>34451.999999999993</v>
      </c>
      <c r="BD91">
        <v>13</v>
      </c>
      <c r="BE91">
        <v>29858.399999999998</v>
      </c>
      <c r="BF91">
        <v>14</v>
      </c>
      <c r="BG91">
        <v>32155.199999999997</v>
      </c>
      <c r="BH91">
        <v>19</v>
      </c>
      <c r="BI91">
        <v>43639.199999999997</v>
      </c>
      <c r="BJ91">
        <v>14</v>
      </c>
      <c r="BK91">
        <v>32155.199999999997</v>
      </c>
      <c r="BL91">
        <v>22</v>
      </c>
      <c r="BM91">
        <v>50529.599999999991</v>
      </c>
      <c r="BN91">
        <v>22</v>
      </c>
      <c r="BO91">
        <v>50529.599999999991</v>
      </c>
      <c r="BP91">
        <v>14</v>
      </c>
      <c r="BQ91">
        <v>32155.199999999997</v>
      </c>
      <c r="BR91">
        <v>13</v>
      </c>
      <c r="BS91">
        <v>29858.399999999998</v>
      </c>
      <c r="BT91">
        <v>22</v>
      </c>
      <c r="BU91">
        <v>50529.599999999991</v>
      </c>
      <c r="BV91">
        <v>18</v>
      </c>
      <c r="BW91">
        <v>41342.399999999994</v>
      </c>
      <c r="BX91">
        <v>16</v>
      </c>
      <c r="BY91">
        <v>36748.799999999996</v>
      </c>
      <c r="BZ91">
        <v>13</v>
      </c>
      <c r="CA91">
        <v>29858.399999999998</v>
      </c>
      <c r="CB91">
        <v>17</v>
      </c>
      <c r="CC91">
        <v>39045.599999999999</v>
      </c>
      <c r="CD91">
        <v>18</v>
      </c>
      <c r="CE91">
        <v>41342.399999999994</v>
      </c>
      <c r="CF91">
        <v>18</v>
      </c>
      <c r="CG91">
        <v>41342.399999999994</v>
      </c>
      <c r="CH91">
        <v>22</v>
      </c>
      <c r="CI91">
        <v>50529.599999999991</v>
      </c>
      <c r="CJ91">
        <v>18</v>
      </c>
      <c r="CK91">
        <v>41342.399999999994</v>
      </c>
      <c r="CL91">
        <v>13</v>
      </c>
      <c r="CM91">
        <v>29858.399999999998</v>
      </c>
      <c r="CN91">
        <v>14</v>
      </c>
      <c r="CO91">
        <v>32155.199999999997</v>
      </c>
      <c r="CP91">
        <v>20</v>
      </c>
      <c r="CQ91">
        <v>45935.999999999993</v>
      </c>
      <c r="CR91">
        <v>20</v>
      </c>
      <c r="CS91">
        <v>45935.999999999993</v>
      </c>
      <c r="CT91">
        <v>19</v>
      </c>
      <c r="CU91">
        <v>43639.199999999997</v>
      </c>
    </row>
    <row r="92" spans="2:99" x14ac:dyDescent="0.2">
      <c r="C92" s="119" t="s">
        <v>258</v>
      </c>
      <c r="D92">
        <v>2.7816665793729585</v>
      </c>
      <c r="E92">
        <v>3952.1918759730993</v>
      </c>
      <c r="F92">
        <v>18</v>
      </c>
      <c r="G92">
        <v>25574.399999999998</v>
      </c>
      <c r="H92">
        <v>15</v>
      </c>
      <c r="I92">
        <v>21312</v>
      </c>
      <c r="J92">
        <v>16</v>
      </c>
      <c r="K92">
        <v>22732.799999999999</v>
      </c>
      <c r="L92">
        <v>11</v>
      </c>
      <c r="M92">
        <v>15628.8</v>
      </c>
      <c r="N92">
        <v>21</v>
      </c>
      <c r="O92">
        <v>29836.799999999999</v>
      </c>
      <c r="P92">
        <v>15</v>
      </c>
      <c r="Q92">
        <v>21312</v>
      </c>
      <c r="R92">
        <v>11</v>
      </c>
      <c r="S92">
        <v>15628.8</v>
      </c>
      <c r="T92">
        <v>16</v>
      </c>
      <c r="U92">
        <v>22732.799999999999</v>
      </c>
      <c r="V92">
        <v>12</v>
      </c>
      <c r="W92">
        <v>17049.599999999999</v>
      </c>
      <c r="X92">
        <v>17</v>
      </c>
      <c r="Y92">
        <v>24153.599999999999</v>
      </c>
      <c r="Z92">
        <v>21</v>
      </c>
      <c r="AA92">
        <v>29836.799999999999</v>
      </c>
      <c r="AB92">
        <v>19</v>
      </c>
      <c r="AC92">
        <v>26995.200000000001</v>
      </c>
      <c r="AD92">
        <v>14</v>
      </c>
      <c r="AE92">
        <v>19891.2</v>
      </c>
      <c r="AF92">
        <v>11</v>
      </c>
      <c r="AG92">
        <v>15628.8</v>
      </c>
      <c r="AH92">
        <v>13</v>
      </c>
      <c r="AI92">
        <v>18470.399999999998</v>
      </c>
      <c r="AJ92">
        <v>25</v>
      </c>
      <c r="AK92">
        <v>35520</v>
      </c>
      <c r="AL92">
        <v>11</v>
      </c>
      <c r="AM92">
        <v>15628.8</v>
      </c>
      <c r="AN92">
        <v>19</v>
      </c>
      <c r="AO92">
        <v>26995.200000000001</v>
      </c>
      <c r="AP92">
        <v>20</v>
      </c>
      <c r="AQ92">
        <v>28416</v>
      </c>
      <c r="AR92">
        <v>13</v>
      </c>
      <c r="AS92">
        <v>18470.399999999998</v>
      </c>
      <c r="AT92">
        <v>13</v>
      </c>
      <c r="AU92">
        <v>18470.399999999998</v>
      </c>
      <c r="AV92">
        <v>12</v>
      </c>
      <c r="AW92">
        <v>17049.599999999999</v>
      </c>
      <c r="AX92">
        <v>22</v>
      </c>
      <c r="AY92">
        <v>31257.599999999999</v>
      </c>
      <c r="AZ92">
        <v>11</v>
      </c>
      <c r="BA92">
        <v>15628.8</v>
      </c>
      <c r="BB92">
        <v>15</v>
      </c>
      <c r="BC92">
        <v>21312</v>
      </c>
      <c r="BD92">
        <v>14</v>
      </c>
      <c r="BE92">
        <v>19891.2</v>
      </c>
      <c r="BF92">
        <v>16</v>
      </c>
      <c r="BG92">
        <v>22732.799999999999</v>
      </c>
      <c r="BH92">
        <v>23</v>
      </c>
      <c r="BI92">
        <v>32678.399999999998</v>
      </c>
      <c r="BJ92">
        <v>16</v>
      </c>
      <c r="BK92">
        <v>22732.799999999999</v>
      </c>
      <c r="BL92">
        <v>24</v>
      </c>
      <c r="BM92">
        <v>34099.199999999997</v>
      </c>
      <c r="BN92">
        <v>23</v>
      </c>
      <c r="BO92">
        <v>32678.399999999998</v>
      </c>
      <c r="BP92">
        <v>16</v>
      </c>
      <c r="BQ92">
        <v>22732.799999999999</v>
      </c>
      <c r="BR92">
        <v>15</v>
      </c>
      <c r="BS92">
        <v>21312</v>
      </c>
      <c r="BT92">
        <v>24</v>
      </c>
      <c r="BU92">
        <v>34099.199999999997</v>
      </c>
      <c r="BV92">
        <v>21</v>
      </c>
      <c r="BW92">
        <v>29836.799999999999</v>
      </c>
      <c r="BX92">
        <v>17</v>
      </c>
      <c r="BY92">
        <v>24153.599999999999</v>
      </c>
      <c r="BZ92">
        <v>16</v>
      </c>
      <c r="CA92">
        <v>22732.799999999999</v>
      </c>
      <c r="CB92">
        <v>17</v>
      </c>
      <c r="CC92">
        <v>24153.599999999999</v>
      </c>
      <c r="CD92">
        <v>22</v>
      </c>
      <c r="CE92">
        <v>31257.599999999999</v>
      </c>
      <c r="CF92">
        <v>21</v>
      </c>
      <c r="CG92">
        <v>29836.799999999999</v>
      </c>
      <c r="CH92">
        <v>24</v>
      </c>
      <c r="CI92">
        <v>34099.199999999997</v>
      </c>
      <c r="CJ92">
        <v>20</v>
      </c>
      <c r="CK92">
        <v>28416</v>
      </c>
      <c r="CL92">
        <v>15</v>
      </c>
      <c r="CM92">
        <v>21312</v>
      </c>
      <c r="CN92">
        <v>17</v>
      </c>
      <c r="CO92">
        <v>24153.599999999999</v>
      </c>
      <c r="CP92">
        <v>19</v>
      </c>
      <c r="CQ92">
        <v>26995.200000000001</v>
      </c>
      <c r="CR92">
        <v>22</v>
      </c>
      <c r="CS92">
        <v>31257.599999999999</v>
      </c>
      <c r="CT92">
        <v>20</v>
      </c>
      <c r="CU92">
        <v>28416</v>
      </c>
    </row>
    <row r="93" spans="2:99" x14ac:dyDescent="0.2">
      <c r="C93" s="119" t="s">
        <v>259</v>
      </c>
      <c r="D93">
        <v>2.5676922271135001</v>
      </c>
      <c r="E93">
        <v>4550.9777033359669</v>
      </c>
      <c r="F93">
        <v>18</v>
      </c>
      <c r="G93">
        <v>31903.199999999997</v>
      </c>
      <c r="H93">
        <v>12</v>
      </c>
      <c r="I93">
        <v>21268.799999999999</v>
      </c>
      <c r="J93">
        <v>14</v>
      </c>
      <c r="K93">
        <v>24813.599999999999</v>
      </c>
      <c r="L93">
        <v>10</v>
      </c>
      <c r="M93">
        <v>17724</v>
      </c>
      <c r="N93">
        <v>20</v>
      </c>
      <c r="O93">
        <v>35448</v>
      </c>
      <c r="P93">
        <v>16</v>
      </c>
      <c r="Q93">
        <v>28358.399999999998</v>
      </c>
      <c r="R93">
        <v>12</v>
      </c>
      <c r="S93">
        <v>21268.799999999999</v>
      </c>
      <c r="T93">
        <v>14</v>
      </c>
      <c r="U93">
        <v>24813.599999999999</v>
      </c>
      <c r="V93">
        <v>11</v>
      </c>
      <c r="W93">
        <v>19496.399999999998</v>
      </c>
      <c r="X93">
        <v>18</v>
      </c>
      <c r="Y93">
        <v>31903.199999999997</v>
      </c>
      <c r="Z93">
        <v>21</v>
      </c>
      <c r="AA93">
        <v>37220.399999999994</v>
      </c>
      <c r="AB93">
        <v>19</v>
      </c>
      <c r="AC93">
        <v>33675.599999999999</v>
      </c>
      <c r="AD93">
        <v>16</v>
      </c>
      <c r="AE93">
        <v>28358.399999999998</v>
      </c>
      <c r="AF93">
        <v>12</v>
      </c>
      <c r="AG93">
        <v>21268.799999999999</v>
      </c>
      <c r="AH93">
        <v>14</v>
      </c>
      <c r="AI93">
        <v>24813.599999999999</v>
      </c>
      <c r="AJ93">
        <v>20</v>
      </c>
      <c r="AK93">
        <v>35448</v>
      </c>
      <c r="AL93">
        <v>11</v>
      </c>
      <c r="AM93">
        <v>19496.399999999998</v>
      </c>
      <c r="AN93">
        <v>21</v>
      </c>
      <c r="AO93">
        <v>37220.399999999994</v>
      </c>
      <c r="AP93">
        <v>21</v>
      </c>
      <c r="AQ93">
        <v>37220.399999999994</v>
      </c>
      <c r="AR93">
        <v>12</v>
      </c>
      <c r="AS93">
        <v>21268.799999999999</v>
      </c>
      <c r="AT93">
        <v>13</v>
      </c>
      <c r="AU93">
        <v>23041.199999999997</v>
      </c>
      <c r="AV93">
        <v>14</v>
      </c>
      <c r="AW93">
        <v>24813.599999999999</v>
      </c>
      <c r="AX93">
        <v>23</v>
      </c>
      <c r="AY93">
        <v>40765.199999999997</v>
      </c>
      <c r="AZ93">
        <v>12</v>
      </c>
      <c r="BA93">
        <v>21268.799999999999</v>
      </c>
      <c r="BB93">
        <v>15</v>
      </c>
      <c r="BC93">
        <v>26585.999999999996</v>
      </c>
      <c r="BD93">
        <v>13</v>
      </c>
      <c r="BE93">
        <v>23041.199999999997</v>
      </c>
      <c r="BF93">
        <v>18</v>
      </c>
      <c r="BG93">
        <v>31903.199999999997</v>
      </c>
      <c r="BH93">
        <v>18</v>
      </c>
      <c r="BI93">
        <v>31903.199999999997</v>
      </c>
      <c r="BJ93">
        <v>14</v>
      </c>
      <c r="BK93">
        <v>24813.599999999999</v>
      </c>
      <c r="BL93">
        <v>22</v>
      </c>
      <c r="BM93">
        <v>38992.799999999996</v>
      </c>
      <c r="BN93">
        <v>22</v>
      </c>
      <c r="BO93">
        <v>38992.799999999996</v>
      </c>
      <c r="BP93">
        <v>16</v>
      </c>
      <c r="BQ93">
        <v>28358.399999999998</v>
      </c>
      <c r="BR93">
        <v>14</v>
      </c>
      <c r="BS93">
        <v>24813.599999999999</v>
      </c>
      <c r="BT93">
        <v>23</v>
      </c>
      <c r="BU93">
        <v>40765.199999999997</v>
      </c>
      <c r="BV93">
        <v>18</v>
      </c>
      <c r="BW93">
        <v>31903.199999999997</v>
      </c>
      <c r="BX93">
        <v>16</v>
      </c>
      <c r="BY93">
        <v>28358.399999999998</v>
      </c>
      <c r="BZ93">
        <v>15</v>
      </c>
      <c r="CA93">
        <v>26585.999999999996</v>
      </c>
      <c r="CB93">
        <v>19</v>
      </c>
      <c r="CC93">
        <v>33675.599999999999</v>
      </c>
      <c r="CD93">
        <v>20</v>
      </c>
      <c r="CE93">
        <v>35448</v>
      </c>
      <c r="CF93">
        <v>18</v>
      </c>
      <c r="CG93">
        <v>31903.199999999997</v>
      </c>
      <c r="CH93">
        <v>20</v>
      </c>
      <c r="CI93">
        <v>35448</v>
      </c>
      <c r="CJ93">
        <v>18</v>
      </c>
      <c r="CK93">
        <v>31903.199999999997</v>
      </c>
      <c r="CL93">
        <v>14</v>
      </c>
      <c r="CM93">
        <v>24813.599999999999</v>
      </c>
      <c r="CN93">
        <v>15</v>
      </c>
      <c r="CO93">
        <v>26585.999999999996</v>
      </c>
      <c r="CP93">
        <v>18</v>
      </c>
      <c r="CQ93">
        <v>31903.199999999997</v>
      </c>
      <c r="CR93">
        <v>18</v>
      </c>
      <c r="CS93">
        <v>31903.199999999997</v>
      </c>
      <c r="CT93">
        <v>21</v>
      </c>
      <c r="CU93">
        <v>37220.399999999994</v>
      </c>
    </row>
    <row r="94" spans="2:99" x14ac:dyDescent="0.2">
      <c r="C94" s="119" t="s">
        <v>260</v>
      </c>
      <c r="D94">
        <v>2.3537178748540422</v>
      </c>
      <c r="E94">
        <v>5637.6250538504009</v>
      </c>
      <c r="F94">
        <v>17</v>
      </c>
      <c r="G94">
        <v>40718.399999999994</v>
      </c>
      <c r="H94">
        <v>13</v>
      </c>
      <c r="I94">
        <v>31137.599999999999</v>
      </c>
      <c r="J94">
        <v>13</v>
      </c>
      <c r="K94">
        <v>31137.599999999999</v>
      </c>
      <c r="L94">
        <v>10</v>
      </c>
      <c r="M94">
        <v>23952</v>
      </c>
      <c r="N94">
        <v>19</v>
      </c>
      <c r="O94">
        <v>45508.799999999996</v>
      </c>
      <c r="P94">
        <v>16</v>
      </c>
      <c r="Q94">
        <v>38323.199999999997</v>
      </c>
      <c r="R94">
        <v>10</v>
      </c>
      <c r="S94">
        <v>23952</v>
      </c>
      <c r="T94">
        <v>15</v>
      </c>
      <c r="U94">
        <v>35928</v>
      </c>
      <c r="V94">
        <v>11</v>
      </c>
      <c r="W94">
        <v>26347.199999999997</v>
      </c>
      <c r="X94">
        <v>15</v>
      </c>
      <c r="Y94">
        <v>35928</v>
      </c>
      <c r="Z94">
        <v>20</v>
      </c>
      <c r="AA94">
        <v>47904</v>
      </c>
      <c r="AB94">
        <v>16</v>
      </c>
      <c r="AC94">
        <v>38323.199999999997</v>
      </c>
      <c r="AD94">
        <v>14</v>
      </c>
      <c r="AE94">
        <v>33532.799999999996</v>
      </c>
      <c r="AF94">
        <v>11</v>
      </c>
      <c r="AG94">
        <v>26347.199999999997</v>
      </c>
      <c r="AH94">
        <v>11</v>
      </c>
      <c r="AI94">
        <v>26347.199999999997</v>
      </c>
      <c r="AJ94">
        <v>22</v>
      </c>
      <c r="AK94">
        <v>52694.399999999994</v>
      </c>
      <c r="AL94">
        <v>10</v>
      </c>
      <c r="AM94">
        <v>23952</v>
      </c>
      <c r="AN94">
        <v>19</v>
      </c>
      <c r="AO94">
        <v>45508.799999999996</v>
      </c>
      <c r="AP94">
        <v>20</v>
      </c>
      <c r="AQ94">
        <v>47904</v>
      </c>
      <c r="AR94">
        <v>11</v>
      </c>
      <c r="AS94">
        <v>26347.199999999997</v>
      </c>
      <c r="AT94">
        <v>11</v>
      </c>
      <c r="AU94">
        <v>26347.199999999997</v>
      </c>
      <c r="AV94">
        <v>11</v>
      </c>
      <c r="AW94">
        <v>26347.199999999997</v>
      </c>
      <c r="AX94">
        <v>21</v>
      </c>
      <c r="AY94">
        <v>50299.199999999997</v>
      </c>
      <c r="AZ94">
        <v>11</v>
      </c>
      <c r="BA94">
        <v>26347.199999999997</v>
      </c>
      <c r="BB94">
        <v>14</v>
      </c>
      <c r="BC94">
        <v>33532.799999999996</v>
      </c>
      <c r="BD94">
        <v>14</v>
      </c>
      <c r="BE94">
        <v>33532.799999999996</v>
      </c>
      <c r="BF94">
        <v>14</v>
      </c>
      <c r="BG94">
        <v>33532.799999999996</v>
      </c>
      <c r="BH94">
        <v>18</v>
      </c>
      <c r="BI94">
        <v>43113.599999999999</v>
      </c>
      <c r="BJ94">
        <v>13</v>
      </c>
      <c r="BK94">
        <v>31137.599999999999</v>
      </c>
      <c r="BL94">
        <v>20</v>
      </c>
      <c r="BM94">
        <v>47904</v>
      </c>
      <c r="BN94">
        <v>20</v>
      </c>
      <c r="BO94">
        <v>47904</v>
      </c>
      <c r="BP94">
        <v>14</v>
      </c>
      <c r="BQ94">
        <v>33532.799999999996</v>
      </c>
      <c r="BR94">
        <v>14</v>
      </c>
      <c r="BS94">
        <v>33532.799999999996</v>
      </c>
      <c r="BT94">
        <v>21</v>
      </c>
      <c r="BU94">
        <v>50299.199999999997</v>
      </c>
      <c r="BV94">
        <v>20</v>
      </c>
      <c r="BW94">
        <v>47904</v>
      </c>
      <c r="BX94">
        <v>14</v>
      </c>
      <c r="BY94">
        <v>33532.799999999996</v>
      </c>
      <c r="BZ94">
        <v>14</v>
      </c>
      <c r="CA94">
        <v>33532.799999999996</v>
      </c>
      <c r="CB94">
        <v>17</v>
      </c>
      <c r="CC94">
        <v>40718.399999999994</v>
      </c>
      <c r="CD94">
        <v>22</v>
      </c>
      <c r="CE94">
        <v>52694.399999999994</v>
      </c>
      <c r="CF94">
        <v>16</v>
      </c>
      <c r="CG94">
        <v>38323.199999999997</v>
      </c>
      <c r="CH94">
        <v>20</v>
      </c>
      <c r="CI94">
        <v>47904</v>
      </c>
      <c r="CJ94">
        <v>16</v>
      </c>
      <c r="CK94">
        <v>38323.199999999997</v>
      </c>
      <c r="CL94">
        <v>15</v>
      </c>
      <c r="CM94">
        <v>35928</v>
      </c>
      <c r="CN94">
        <v>16</v>
      </c>
      <c r="CO94">
        <v>38323.199999999997</v>
      </c>
      <c r="CP94">
        <v>18</v>
      </c>
      <c r="CQ94">
        <v>43113.599999999999</v>
      </c>
      <c r="CR94">
        <v>19</v>
      </c>
      <c r="CS94">
        <v>45508.799999999996</v>
      </c>
      <c r="CT94">
        <v>18</v>
      </c>
      <c r="CU94">
        <v>43113.599999999999</v>
      </c>
    </row>
    <row r="95" spans="2:99" x14ac:dyDescent="0.2">
      <c r="B95" s="119" t="s">
        <v>132</v>
      </c>
      <c r="C95" s="119" t="s">
        <v>261</v>
      </c>
      <c r="D95">
        <v>2.7816665793729585</v>
      </c>
      <c r="E95">
        <v>4820.0718487374625</v>
      </c>
      <c r="F95">
        <v>14</v>
      </c>
      <c r="G95">
        <v>24259.200000000001</v>
      </c>
      <c r="H95">
        <v>19</v>
      </c>
      <c r="I95">
        <v>32923.199999999997</v>
      </c>
      <c r="J95">
        <v>9</v>
      </c>
      <c r="K95">
        <v>15595.199999999999</v>
      </c>
      <c r="L95">
        <v>11</v>
      </c>
      <c r="M95">
        <v>19060.8</v>
      </c>
      <c r="N95">
        <v>14</v>
      </c>
      <c r="O95">
        <v>24259.200000000001</v>
      </c>
      <c r="P95">
        <v>16</v>
      </c>
      <c r="Q95">
        <v>27724.799999999999</v>
      </c>
      <c r="R95">
        <v>11</v>
      </c>
      <c r="S95">
        <v>19060.8</v>
      </c>
      <c r="T95">
        <v>13</v>
      </c>
      <c r="U95">
        <v>22526.399999999998</v>
      </c>
      <c r="V95">
        <v>14</v>
      </c>
      <c r="W95">
        <v>24259.200000000001</v>
      </c>
      <c r="X95">
        <v>11</v>
      </c>
      <c r="Y95">
        <v>19060.8</v>
      </c>
      <c r="Z95">
        <v>15</v>
      </c>
      <c r="AA95">
        <v>25992</v>
      </c>
      <c r="AB95">
        <v>10</v>
      </c>
      <c r="AC95">
        <v>17328</v>
      </c>
      <c r="AD95">
        <v>18</v>
      </c>
      <c r="AE95">
        <v>31190.399999999998</v>
      </c>
      <c r="AF95">
        <v>16</v>
      </c>
      <c r="AG95">
        <v>27724.799999999999</v>
      </c>
      <c r="AH95">
        <v>12</v>
      </c>
      <c r="AI95">
        <v>20793.599999999999</v>
      </c>
      <c r="AJ95">
        <v>9</v>
      </c>
      <c r="AK95">
        <v>15595.199999999999</v>
      </c>
      <c r="AL95">
        <v>18</v>
      </c>
      <c r="AM95">
        <v>31190.399999999998</v>
      </c>
      <c r="AN95">
        <v>18</v>
      </c>
      <c r="AO95">
        <v>31190.399999999998</v>
      </c>
      <c r="AP95">
        <v>10</v>
      </c>
      <c r="AQ95">
        <v>17328</v>
      </c>
      <c r="AR95">
        <v>13</v>
      </c>
      <c r="AS95">
        <v>22526.399999999998</v>
      </c>
      <c r="AT95">
        <v>13</v>
      </c>
      <c r="AU95">
        <v>22526.399999999998</v>
      </c>
      <c r="AV95">
        <v>11</v>
      </c>
      <c r="AW95">
        <v>19060.8</v>
      </c>
      <c r="AX95">
        <v>15</v>
      </c>
      <c r="AY95">
        <v>25992</v>
      </c>
      <c r="AZ95">
        <v>12</v>
      </c>
      <c r="BA95">
        <v>20793.599999999999</v>
      </c>
      <c r="BB95">
        <v>13</v>
      </c>
      <c r="BC95">
        <v>22526.399999999998</v>
      </c>
      <c r="BD95">
        <v>15</v>
      </c>
      <c r="BE95">
        <v>25992</v>
      </c>
      <c r="BF95">
        <v>12</v>
      </c>
      <c r="BG95">
        <v>20793.599999999999</v>
      </c>
      <c r="BH95">
        <v>17</v>
      </c>
      <c r="BI95">
        <v>29457.599999999999</v>
      </c>
      <c r="BJ95">
        <v>13</v>
      </c>
      <c r="BK95">
        <v>22526.399999999998</v>
      </c>
      <c r="BL95">
        <v>15</v>
      </c>
      <c r="BM95">
        <v>25992</v>
      </c>
      <c r="BN95">
        <v>12</v>
      </c>
      <c r="BO95">
        <v>20793.599999999999</v>
      </c>
      <c r="BP95">
        <v>18</v>
      </c>
      <c r="BQ95">
        <v>31190.399999999998</v>
      </c>
      <c r="BR95">
        <v>12</v>
      </c>
      <c r="BS95">
        <v>20793.599999999999</v>
      </c>
      <c r="BT95">
        <v>11</v>
      </c>
      <c r="BU95">
        <v>19060.8</v>
      </c>
      <c r="BV95">
        <v>16</v>
      </c>
      <c r="BW95">
        <v>27724.799999999999</v>
      </c>
      <c r="BX95">
        <v>16</v>
      </c>
      <c r="BY95">
        <v>27724.799999999999</v>
      </c>
      <c r="BZ95">
        <v>17</v>
      </c>
      <c r="CA95">
        <v>29457.599999999999</v>
      </c>
      <c r="CB95">
        <v>17</v>
      </c>
      <c r="CC95">
        <v>29457.599999999999</v>
      </c>
      <c r="CD95">
        <v>15</v>
      </c>
      <c r="CE95">
        <v>25992</v>
      </c>
      <c r="CF95">
        <v>11</v>
      </c>
      <c r="CG95">
        <v>19060.8</v>
      </c>
      <c r="CH95">
        <v>18</v>
      </c>
      <c r="CI95">
        <v>31190.399999999998</v>
      </c>
      <c r="CJ95">
        <v>17</v>
      </c>
      <c r="CK95">
        <v>29457.599999999999</v>
      </c>
      <c r="CL95">
        <v>10</v>
      </c>
      <c r="CM95">
        <v>17328</v>
      </c>
      <c r="CN95">
        <v>15</v>
      </c>
      <c r="CO95">
        <v>25992</v>
      </c>
      <c r="CP95">
        <v>14</v>
      </c>
      <c r="CQ95">
        <v>24259.200000000001</v>
      </c>
      <c r="CR95">
        <v>12</v>
      </c>
      <c r="CS95">
        <v>20793.599999999999</v>
      </c>
      <c r="CT95">
        <v>18</v>
      </c>
      <c r="CU95">
        <v>31190.399999999998</v>
      </c>
    </row>
    <row r="96" spans="2:99" x14ac:dyDescent="0.2">
      <c r="C96" s="119" t="s">
        <v>262</v>
      </c>
      <c r="D96">
        <v>2.7816665793729585</v>
      </c>
      <c r="E96">
        <v>2289.867928139819</v>
      </c>
      <c r="F96">
        <v>15</v>
      </c>
      <c r="G96">
        <v>12347.999999999998</v>
      </c>
      <c r="H96">
        <v>19</v>
      </c>
      <c r="I96">
        <v>15640.8</v>
      </c>
      <c r="J96">
        <v>11</v>
      </c>
      <c r="K96">
        <v>9055.1999999999989</v>
      </c>
      <c r="L96">
        <v>14</v>
      </c>
      <c r="M96">
        <v>11524.8</v>
      </c>
      <c r="N96">
        <v>13</v>
      </c>
      <c r="O96">
        <v>10701.599999999999</v>
      </c>
      <c r="P96">
        <v>17</v>
      </c>
      <c r="Q96">
        <v>13994.4</v>
      </c>
      <c r="R96">
        <v>10</v>
      </c>
      <c r="S96">
        <v>8232</v>
      </c>
      <c r="T96">
        <v>13</v>
      </c>
      <c r="U96">
        <v>10701.599999999999</v>
      </c>
      <c r="V96">
        <v>13</v>
      </c>
      <c r="W96">
        <v>10701.599999999999</v>
      </c>
      <c r="X96">
        <v>11</v>
      </c>
      <c r="Y96">
        <v>9055.1999999999989</v>
      </c>
      <c r="Z96">
        <v>18</v>
      </c>
      <c r="AA96">
        <v>14817.599999999999</v>
      </c>
      <c r="AB96">
        <v>12</v>
      </c>
      <c r="AC96">
        <v>9878.4</v>
      </c>
      <c r="AD96">
        <v>17</v>
      </c>
      <c r="AE96">
        <v>13994.4</v>
      </c>
      <c r="AF96">
        <v>20</v>
      </c>
      <c r="AG96">
        <v>16464</v>
      </c>
      <c r="AH96">
        <v>15</v>
      </c>
      <c r="AI96">
        <v>12347.999999999998</v>
      </c>
      <c r="AJ96">
        <v>11</v>
      </c>
      <c r="AK96">
        <v>9055.1999999999989</v>
      </c>
      <c r="AL96">
        <v>18</v>
      </c>
      <c r="AM96">
        <v>14817.599999999999</v>
      </c>
      <c r="AN96">
        <v>18</v>
      </c>
      <c r="AO96">
        <v>14817.599999999999</v>
      </c>
      <c r="AP96">
        <v>11</v>
      </c>
      <c r="AQ96">
        <v>9055.1999999999989</v>
      </c>
      <c r="AR96">
        <v>15</v>
      </c>
      <c r="AS96">
        <v>12347.999999999998</v>
      </c>
      <c r="AT96">
        <v>14</v>
      </c>
      <c r="AU96">
        <v>11524.8</v>
      </c>
      <c r="AV96">
        <v>13</v>
      </c>
      <c r="AW96">
        <v>10701.599999999999</v>
      </c>
      <c r="AX96">
        <v>14</v>
      </c>
      <c r="AY96">
        <v>11524.8</v>
      </c>
      <c r="AZ96">
        <v>12</v>
      </c>
      <c r="BA96">
        <v>9878.4</v>
      </c>
      <c r="BB96">
        <v>16</v>
      </c>
      <c r="BC96">
        <v>13171.199999999999</v>
      </c>
      <c r="BD96">
        <v>14</v>
      </c>
      <c r="BE96">
        <v>11524.8</v>
      </c>
      <c r="BF96">
        <v>11</v>
      </c>
      <c r="BG96">
        <v>9055.1999999999989</v>
      </c>
      <c r="BH96">
        <v>17</v>
      </c>
      <c r="BI96">
        <v>13994.4</v>
      </c>
      <c r="BJ96">
        <v>13</v>
      </c>
      <c r="BK96">
        <v>10701.599999999999</v>
      </c>
      <c r="BL96">
        <v>15</v>
      </c>
      <c r="BM96">
        <v>12347.999999999998</v>
      </c>
      <c r="BN96">
        <v>14</v>
      </c>
      <c r="BO96">
        <v>11524.8</v>
      </c>
      <c r="BP96">
        <v>20</v>
      </c>
      <c r="BQ96">
        <v>16464</v>
      </c>
      <c r="BR96">
        <v>13</v>
      </c>
      <c r="BS96">
        <v>10701.599999999999</v>
      </c>
      <c r="BT96">
        <v>12</v>
      </c>
      <c r="BU96">
        <v>9878.4</v>
      </c>
      <c r="BV96">
        <v>18</v>
      </c>
      <c r="BW96">
        <v>14817.599999999999</v>
      </c>
      <c r="BX96">
        <v>16</v>
      </c>
      <c r="BY96">
        <v>13171.199999999999</v>
      </c>
      <c r="BZ96">
        <v>19</v>
      </c>
      <c r="CA96">
        <v>15640.8</v>
      </c>
      <c r="CB96">
        <v>18</v>
      </c>
      <c r="CC96">
        <v>14817.599999999999</v>
      </c>
      <c r="CD96">
        <v>18</v>
      </c>
      <c r="CE96">
        <v>14817.599999999999</v>
      </c>
      <c r="CF96">
        <v>12</v>
      </c>
      <c r="CG96">
        <v>9878.4</v>
      </c>
      <c r="CH96">
        <v>19</v>
      </c>
      <c r="CI96">
        <v>15640.8</v>
      </c>
      <c r="CJ96">
        <v>17</v>
      </c>
      <c r="CK96">
        <v>13994.4</v>
      </c>
      <c r="CL96">
        <v>11</v>
      </c>
      <c r="CM96">
        <v>9055.1999999999989</v>
      </c>
      <c r="CN96">
        <v>15</v>
      </c>
      <c r="CO96">
        <v>12347.999999999998</v>
      </c>
      <c r="CP96">
        <v>13</v>
      </c>
      <c r="CQ96">
        <v>10701.599999999999</v>
      </c>
      <c r="CR96">
        <v>12</v>
      </c>
      <c r="CS96">
        <v>9878.4</v>
      </c>
      <c r="CT96">
        <v>17</v>
      </c>
      <c r="CU96">
        <v>13994.4</v>
      </c>
    </row>
    <row r="97" spans="2:99" x14ac:dyDescent="0.2">
      <c r="C97" s="119" t="s">
        <v>263</v>
      </c>
      <c r="D97">
        <v>2.3537178748540422</v>
      </c>
      <c r="E97">
        <v>4304.4792495330721</v>
      </c>
      <c r="F97">
        <v>14</v>
      </c>
      <c r="G97">
        <v>25603.200000000001</v>
      </c>
      <c r="H97">
        <v>17</v>
      </c>
      <c r="I97">
        <v>31089.599999999999</v>
      </c>
      <c r="J97">
        <v>9</v>
      </c>
      <c r="K97">
        <v>16459.2</v>
      </c>
      <c r="L97">
        <v>13</v>
      </c>
      <c r="M97">
        <v>23774.399999999998</v>
      </c>
      <c r="N97">
        <v>13</v>
      </c>
      <c r="O97">
        <v>23774.399999999998</v>
      </c>
      <c r="P97">
        <v>16</v>
      </c>
      <c r="Q97">
        <v>29260.799999999999</v>
      </c>
      <c r="R97">
        <v>11</v>
      </c>
      <c r="S97">
        <v>20116.8</v>
      </c>
      <c r="T97">
        <v>12</v>
      </c>
      <c r="U97">
        <v>21945.599999999999</v>
      </c>
      <c r="V97">
        <v>14</v>
      </c>
      <c r="W97">
        <v>25603.200000000001</v>
      </c>
      <c r="X97">
        <v>10</v>
      </c>
      <c r="Y97">
        <v>18288</v>
      </c>
      <c r="Z97">
        <v>17</v>
      </c>
      <c r="AA97">
        <v>31089.599999999999</v>
      </c>
      <c r="AB97">
        <v>10</v>
      </c>
      <c r="AC97">
        <v>18288</v>
      </c>
      <c r="AD97">
        <v>16</v>
      </c>
      <c r="AE97">
        <v>29260.799999999999</v>
      </c>
      <c r="AF97">
        <v>16</v>
      </c>
      <c r="AG97">
        <v>29260.799999999999</v>
      </c>
      <c r="AH97">
        <v>14</v>
      </c>
      <c r="AI97">
        <v>25603.200000000001</v>
      </c>
      <c r="AJ97">
        <v>9</v>
      </c>
      <c r="AK97">
        <v>16459.2</v>
      </c>
      <c r="AL97">
        <v>15</v>
      </c>
      <c r="AM97">
        <v>27432</v>
      </c>
      <c r="AN97">
        <v>18</v>
      </c>
      <c r="AO97">
        <v>32918.400000000001</v>
      </c>
      <c r="AP97">
        <v>12</v>
      </c>
      <c r="AQ97">
        <v>21945.599999999999</v>
      </c>
      <c r="AR97">
        <v>13</v>
      </c>
      <c r="AS97">
        <v>23774.399999999998</v>
      </c>
      <c r="AT97">
        <v>13</v>
      </c>
      <c r="AU97">
        <v>23774.399999999998</v>
      </c>
      <c r="AV97">
        <v>12</v>
      </c>
      <c r="AW97">
        <v>21945.599999999999</v>
      </c>
      <c r="AX97">
        <v>13</v>
      </c>
      <c r="AY97">
        <v>23774.399999999998</v>
      </c>
      <c r="AZ97">
        <v>13</v>
      </c>
      <c r="BA97">
        <v>23774.399999999998</v>
      </c>
      <c r="BB97">
        <v>14</v>
      </c>
      <c r="BC97">
        <v>25603.200000000001</v>
      </c>
      <c r="BD97">
        <v>14</v>
      </c>
      <c r="BE97">
        <v>25603.200000000001</v>
      </c>
      <c r="BF97">
        <v>11</v>
      </c>
      <c r="BG97">
        <v>20116.8</v>
      </c>
      <c r="BH97">
        <v>19</v>
      </c>
      <c r="BI97">
        <v>34747.199999999997</v>
      </c>
      <c r="BJ97">
        <v>13</v>
      </c>
      <c r="BK97">
        <v>23774.399999999998</v>
      </c>
      <c r="BL97">
        <v>14</v>
      </c>
      <c r="BM97">
        <v>25603.200000000001</v>
      </c>
      <c r="BN97">
        <v>11</v>
      </c>
      <c r="BO97">
        <v>20116.8</v>
      </c>
      <c r="BP97">
        <v>19</v>
      </c>
      <c r="BQ97">
        <v>34747.199999999997</v>
      </c>
      <c r="BR97">
        <v>10</v>
      </c>
      <c r="BS97">
        <v>18288</v>
      </c>
      <c r="BT97">
        <v>12</v>
      </c>
      <c r="BU97">
        <v>21945.599999999999</v>
      </c>
      <c r="BV97">
        <v>15</v>
      </c>
      <c r="BW97">
        <v>27432</v>
      </c>
      <c r="BX97">
        <v>14</v>
      </c>
      <c r="BY97">
        <v>25603.200000000001</v>
      </c>
      <c r="BZ97">
        <v>15</v>
      </c>
      <c r="CA97">
        <v>27432</v>
      </c>
      <c r="CB97">
        <v>18</v>
      </c>
      <c r="CC97">
        <v>32918.400000000001</v>
      </c>
      <c r="CD97">
        <v>16</v>
      </c>
      <c r="CE97">
        <v>29260.799999999999</v>
      </c>
      <c r="CF97">
        <v>12</v>
      </c>
      <c r="CG97">
        <v>21945.599999999999</v>
      </c>
      <c r="CH97">
        <v>17</v>
      </c>
      <c r="CI97">
        <v>31089.599999999999</v>
      </c>
      <c r="CJ97">
        <v>16</v>
      </c>
      <c r="CK97">
        <v>29260.799999999999</v>
      </c>
      <c r="CL97">
        <v>11</v>
      </c>
      <c r="CM97">
        <v>20116.8</v>
      </c>
      <c r="CN97">
        <v>15</v>
      </c>
      <c r="CO97">
        <v>27432</v>
      </c>
      <c r="CP97">
        <v>12</v>
      </c>
      <c r="CQ97">
        <v>21945.599999999999</v>
      </c>
      <c r="CR97">
        <v>12</v>
      </c>
      <c r="CS97">
        <v>21945.599999999999</v>
      </c>
      <c r="CT97">
        <v>19</v>
      </c>
      <c r="CU97">
        <v>34747.199999999997</v>
      </c>
    </row>
    <row r="98" spans="2:99" x14ac:dyDescent="0.2">
      <c r="C98" s="119" t="s">
        <v>264</v>
      </c>
      <c r="D98">
        <v>2.7816665793729585</v>
      </c>
      <c r="E98">
        <v>3514.9138896956702</v>
      </c>
      <c r="F98">
        <v>14</v>
      </c>
      <c r="G98">
        <v>17690.399999999998</v>
      </c>
      <c r="H98">
        <v>21</v>
      </c>
      <c r="I98">
        <v>26535.599999999999</v>
      </c>
      <c r="J98">
        <v>10</v>
      </c>
      <c r="K98">
        <v>12636</v>
      </c>
      <c r="L98">
        <v>11</v>
      </c>
      <c r="M98">
        <v>13899.599999999999</v>
      </c>
      <c r="N98">
        <v>12</v>
      </c>
      <c r="O98">
        <v>15163.199999999999</v>
      </c>
      <c r="P98">
        <v>16</v>
      </c>
      <c r="Q98">
        <v>20217.599999999999</v>
      </c>
      <c r="R98">
        <v>11</v>
      </c>
      <c r="S98">
        <v>13899.599999999999</v>
      </c>
      <c r="T98">
        <v>13</v>
      </c>
      <c r="U98">
        <v>16426.8</v>
      </c>
      <c r="V98">
        <v>13</v>
      </c>
      <c r="W98">
        <v>16426.8</v>
      </c>
      <c r="X98">
        <v>9</v>
      </c>
      <c r="Y98">
        <v>11372.4</v>
      </c>
      <c r="Z98">
        <v>18</v>
      </c>
      <c r="AA98">
        <v>22744.799999999999</v>
      </c>
      <c r="AB98">
        <v>12</v>
      </c>
      <c r="AC98">
        <v>15163.199999999999</v>
      </c>
      <c r="AD98">
        <v>17</v>
      </c>
      <c r="AE98">
        <v>21481.199999999997</v>
      </c>
      <c r="AF98">
        <v>17</v>
      </c>
      <c r="AG98">
        <v>21481.199999999997</v>
      </c>
      <c r="AH98">
        <v>13</v>
      </c>
      <c r="AI98">
        <v>16426.8</v>
      </c>
      <c r="AJ98">
        <v>10</v>
      </c>
      <c r="AK98">
        <v>12636</v>
      </c>
      <c r="AL98">
        <v>17</v>
      </c>
      <c r="AM98">
        <v>21481.199999999997</v>
      </c>
      <c r="AN98">
        <v>18</v>
      </c>
      <c r="AO98">
        <v>22744.799999999999</v>
      </c>
      <c r="AP98">
        <v>11</v>
      </c>
      <c r="AQ98">
        <v>13899.599999999999</v>
      </c>
      <c r="AR98">
        <v>12</v>
      </c>
      <c r="AS98">
        <v>15163.199999999999</v>
      </c>
      <c r="AT98">
        <v>14</v>
      </c>
      <c r="AU98">
        <v>17690.399999999998</v>
      </c>
      <c r="AV98">
        <v>11</v>
      </c>
      <c r="AW98">
        <v>13899.599999999999</v>
      </c>
      <c r="AX98">
        <v>14</v>
      </c>
      <c r="AY98">
        <v>17690.399999999998</v>
      </c>
      <c r="AZ98">
        <v>13</v>
      </c>
      <c r="BA98">
        <v>16426.8</v>
      </c>
      <c r="BB98">
        <v>16</v>
      </c>
      <c r="BC98">
        <v>20217.599999999999</v>
      </c>
      <c r="BD98">
        <v>14</v>
      </c>
      <c r="BE98">
        <v>17690.399999999998</v>
      </c>
      <c r="BF98">
        <v>11</v>
      </c>
      <c r="BG98">
        <v>13899.599999999999</v>
      </c>
      <c r="BH98">
        <v>19</v>
      </c>
      <c r="BI98">
        <v>24008.399999999998</v>
      </c>
      <c r="BJ98">
        <v>13</v>
      </c>
      <c r="BK98">
        <v>16426.8</v>
      </c>
      <c r="BL98">
        <v>14</v>
      </c>
      <c r="BM98">
        <v>17690.399999999998</v>
      </c>
      <c r="BN98">
        <v>12</v>
      </c>
      <c r="BO98">
        <v>15163.199999999999</v>
      </c>
      <c r="BP98">
        <v>20</v>
      </c>
      <c r="BQ98">
        <v>25272</v>
      </c>
      <c r="BR98">
        <v>12</v>
      </c>
      <c r="BS98">
        <v>15163.199999999999</v>
      </c>
      <c r="BT98">
        <v>11</v>
      </c>
      <c r="BU98">
        <v>13899.599999999999</v>
      </c>
      <c r="BV98">
        <v>15</v>
      </c>
      <c r="BW98">
        <v>18954</v>
      </c>
      <c r="BX98">
        <v>14</v>
      </c>
      <c r="BY98">
        <v>17690.399999999998</v>
      </c>
      <c r="BZ98">
        <v>18</v>
      </c>
      <c r="CA98">
        <v>22744.799999999999</v>
      </c>
      <c r="CB98">
        <v>19</v>
      </c>
      <c r="CC98">
        <v>24008.399999999998</v>
      </c>
      <c r="CD98">
        <v>18</v>
      </c>
      <c r="CE98">
        <v>22744.799999999999</v>
      </c>
      <c r="CF98">
        <v>12</v>
      </c>
      <c r="CG98">
        <v>15163.199999999999</v>
      </c>
      <c r="CH98">
        <v>17</v>
      </c>
      <c r="CI98">
        <v>21481.199999999997</v>
      </c>
      <c r="CJ98">
        <v>16</v>
      </c>
      <c r="CK98">
        <v>20217.599999999999</v>
      </c>
      <c r="CL98">
        <v>11</v>
      </c>
      <c r="CM98">
        <v>13899.599999999999</v>
      </c>
      <c r="CN98">
        <v>14</v>
      </c>
      <c r="CO98">
        <v>17690.399999999998</v>
      </c>
      <c r="CP98">
        <v>13</v>
      </c>
      <c r="CQ98">
        <v>16426.8</v>
      </c>
      <c r="CR98">
        <v>14</v>
      </c>
      <c r="CS98">
        <v>17690.399999999998</v>
      </c>
      <c r="CT98">
        <v>17</v>
      </c>
      <c r="CU98">
        <v>21481.199999999997</v>
      </c>
    </row>
    <row r="99" spans="2:99" x14ac:dyDescent="0.2">
      <c r="C99" s="119" t="s">
        <v>265</v>
      </c>
      <c r="D99">
        <v>1.9257691703351254</v>
      </c>
      <c r="E99">
        <v>10556.296284109023</v>
      </c>
      <c r="F99">
        <v>11</v>
      </c>
      <c r="G99">
        <v>60297.599999999991</v>
      </c>
      <c r="H99">
        <v>14</v>
      </c>
      <c r="I99">
        <v>76742.399999999994</v>
      </c>
      <c r="J99">
        <v>7</v>
      </c>
      <c r="K99">
        <v>38371.199999999997</v>
      </c>
      <c r="L99">
        <v>9</v>
      </c>
      <c r="M99">
        <v>49334.399999999994</v>
      </c>
      <c r="N99">
        <v>9</v>
      </c>
      <c r="O99">
        <v>49334.399999999994</v>
      </c>
      <c r="P99">
        <v>11</v>
      </c>
      <c r="Q99">
        <v>60297.599999999991</v>
      </c>
      <c r="R99">
        <v>9</v>
      </c>
      <c r="S99">
        <v>49334.399999999994</v>
      </c>
      <c r="T99">
        <v>10</v>
      </c>
      <c r="U99">
        <v>54815.999999999993</v>
      </c>
      <c r="V99">
        <v>9</v>
      </c>
      <c r="W99">
        <v>49334.399999999994</v>
      </c>
      <c r="X99">
        <v>7</v>
      </c>
      <c r="Y99">
        <v>38371.199999999997</v>
      </c>
      <c r="Z99">
        <v>13</v>
      </c>
      <c r="AA99">
        <v>71260.799999999988</v>
      </c>
      <c r="AB99">
        <v>8</v>
      </c>
      <c r="AC99">
        <v>43852.799999999996</v>
      </c>
      <c r="AD99">
        <v>11</v>
      </c>
      <c r="AE99">
        <v>60297.599999999991</v>
      </c>
      <c r="AF99">
        <v>12</v>
      </c>
      <c r="AG99">
        <v>65779.199999999997</v>
      </c>
      <c r="AH99">
        <v>9</v>
      </c>
      <c r="AI99">
        <v>49334.399999999994</v>
      </c>
      <c r="AJ99">
        <v>7</v>
      </c>
      <c r="AK99">
        <v>38371.199999999997</v>
      </c>
      <c r="AL99">
        <v>13</v>
      </c>
      <c r="AM99">
        <v>71260.799999999988</v>
      </c>
      <c r="AN99">
        <v>12</v>
      </c>
      <c r="AO99">
        <v>65779.199999999997</v>
      </c>
      <c r="AP99">
        <v>8</v>
      </c>
      <c r="AQ99">
        <v>43852.799999999996</v>
      </c>
      <c r="AR99">
        <v>9</v>
      </c>
      <c r="AS99">
        <v>49334.399999999994</v>
      </c>
      <c r="AT99">
        <v>9</v>
      </c>
      <c r="AU99">
        <v>49334.399999999994</v>
      </c>
      <c r="AV99">
        <v>9</v>
      </c>
      <c r="AW99">
        <v>49334.399999999994</v>
      </c>
      <c r="AX99">
        <v>10</v>
      </c>
      <c r="AY99">
        <v>54815.999999999993</v>
      </c>
      <c r="AZ99">
        <v>10</v>
      </c>
      <c r="BA99">
        <v>54815.999999999993</v>
      </c>
      <c r="BB99">
        <v>10</v>
      </c>
      <c r="BC99">
        <v>54815.999999999993</v>
      </c>
      <c r="BD99">
        <v>11</v>
      </c>
      <c r="BE99">
        <v>60297.599999999991</v>
      </c>
      <c r="BF99">
        <v>8</v>
      </c>
      <c r="BG99">
        <v>43852.799999999996</v>
      </c>
      <c r="BH99">
        <v>14</v>
      </c>
      <c r="BI99">
        <v>76742.399999999994</v>
      </c>
      <c r="BJ99">
        <v>10</v>
      </c>
      <c r="BK99">
        <v>54815.999999999993</v>
      </c>
      <c r="BL99">
        <v>11</v>
      </c>
      <c r="BM99">
        <v>60297.599999999991</v>
      </c>
      <c r="BN99">
        <v>9</v>
      </c>
      <c r="BO99">
        <v>49334.399999999994</v>
      </c>
      <c r="BP99">
        <v>13</v>
      </c>
      <c r="BQ99">
        <v>71260.799999999988</v>
      </c>
      <c r="BR99">
        <v>8</v>
      </c>
      <c r="BS99">
        <v>43852.799999999996</v>
      </c>
      <c r="BT99">
        <v>9</v>
      </c>
      <c r="BU99">
        <v>49334.399999999994</v>
      </c>
      <c r="BV99">
        <v>12</v>
      </c>
      <c r="BW99">
        <v>65779.199999999997</v>
      </c>
      <c r="BX99">
        <v>10</v>
      </c>
      <c r="BY99">
        <v>54815.999999999993</v>
      </c>
      <c r="BZ99">
        <v>12</v>
      </c>
      <c r="CA99">
        <v>65779.199999999997</v>
      </c>
      <c r="CB99">
        <v>12</v>
      </c>
      <c r="CC99">
        <v>65779.199999999997</v>
      </c>
      <c r="CD99">
        <v>12</v>
      </c>
      <c r="CE99">
        <v>65779.199999999997</v>
      </c>
      <c r="CF99">
        <v>9</v>
      </c>
      <c r="CG99">
        <v>49334.399999999994</v>
      </c>
      <c r="CH99">
        <v>14</v>
      </c>
      <c r="CI99">
        <v>76742.399999999994</v>
      </c>
      <c r="CJ99">
        <v>12</v>
      </c>
      <c r="CK99">
        <v>65779.199999999997</v>
      </c>
      <c r="CL99">
        <v>8</v>
      </c>
      <c r="CM99">
        <v>43852.799999999996</v>
      </c>
      <c r="CN99">
        <v>10</v>
      </c>
      <c r="CO99">
        <v>54815.999999999993</v>
      </c>
      <c r="CP99">
        <v>10</v>
      </c>
      <c r="CQ99">
        <v>54815.999999999993</v>
      </c>
      <c r="CR99">
        <v>9</v>
      </c>
      <c r="CS99">
        <v>49334.399999999994</v>
      </c>
      <c r="CT99">
        <v>13</v>
      </c>
      <c r="CU99">
        <v>71260.799999999988</v>
      </c>
    </row>
    <row r="100" spans="2:99" x14ac:dyDescent="0.2">
      <c r="C100" s="119" t="s">
        <v>266</v>
      </c>
      <c r="D100">
        <v>2.5676922271135001</v>
      </c>
      <c r="E100">
        <v>4165.823869268942</v>
      </c>
      <c r="F100">
        <v>15</v>
      </c>
      <c r="G100">
        <v>24335.999999999996</v>
      </c>
      <c r="H100">
        <v>20</v>
      </c>
      <c r="I100">
        <v>32447.999999999996</v>
      </c>
      <c r="J100">
        <v>10</v>
      </c>
      <c r="K100">
        <v>16223.999999999998</v>
      </c>
      <c r="L100">
        <v>13</v>
      </c>
      <c r="M100">
        <v>21091.199999999997</v>
      </c>
      <c r="N100">
        <v>12</v>
      </c>
      <c r="O100">
        <v>19468.8</v>
      </c>
      <c r="P100">
        <v>16</v>
      </c>
      <c r="Q100">
        <v>25958.399999999998</v>
      </c>
      <c r="R100">
        <v>10</v>
      </c>
      <c r="S100">
        <v>16223.999999999998</v>
      </c>
      <c r="T100">
        <v>12</v>
      </c>
      <c r="U100">
        <v>19468.8</v>
      </c>
      <c r="V100">
        <v>12</v>
      </c>
      <c r="W100">
        <v>19468.8</v>
      </c>
      <c r="X100">
        <v>11</v>
      </c>
      <c r="Y100">
        <v>17846.399999999998</v>
      </c>
      <c r="Z100">
        <v>15</v>
      </c>
      <c r="AA100">
        <v>24335.999999999996</v>
      </c>
      <c r="AB100">
        <v>10</v>
      </c>
      <c r="AC100">
        <v>16223.999999999998</v>
      </c>
      <c r="AD100">
        <v>18</v>
      </c>
      <c r="AE100">
        <v>29203.199999999997</v>
      </c>
      <c r="AF100">
        <v>17</v>
      </c>
      <c r="AG100">
        <v>27580.799999999999</v>
      </c>
      <c r="AH100">
        <v>13</v>
      </c>
      <c r="AI100">
        <v>21091.199999999997</v>
      </c>
      <c r="AJ100">
        <v>9</v>
      </c>
      <c r="AK100">
        <v>14601.599999999999</v>
      </c>
      <c r="AL100">
        <v>17</v>
      </c>
      <c r="AM100">
        <v>27580.799999999999</v>
      </c>
      <c r="AN100">
        <v>18</v>
      </c>
      <c r="AO100">
        <v>29203.199999999997</v>
      </c>
      <c r="AP100">
        <v>12</v>
      </c>
      <c r="AQ100">
        <v>19468.8</v>
      </c>
      <c r="AR100">
        <v>13</v>
      </c>
      <c r="AS100">
        <v>21091.199999999997</v>
      </c>
      <c r="AT100">
        <v>12</v>
      </c>
      <c r="AU100">
        <v>19468.8</v>
      </c>
      <c r="AV100">
        <v>11</v>
      </c>
      <c r="AW100">
        <v>17846.399999999998</v>
      </c>
      <c r="AX100">
        <v>15</v>
      </c>
      <c r="AY100">
        <v>24335.999999999996</v>
      </c>
      <c r="AZ100">
        <v>11</v>
      </c>
      <c r="BA100">
        <v>17846.399999999998</v>
      </c>
      <c r="BB100">
        <v>15</v>
      </c>
      <c r="BC100">
        <v>24335.999999999996</v>
      </c>
      <c r="BD100">
        <v>13</v>
      </c>
      <c r="BE100">
        <v>21091.199999999997</v>
      </c>
      <c r="BF100">
        <v>10</v>
      </c>
      <c r="BG100">
        <v>16223.999999999998</v>
      </c>
      <c r="BH100">
        <v>18</v>
      </c>
      <c r="BI100">
        <v>29203.199999999997</v>
      </c>
      <c r="BJ100">
        <v>13</v>
      </c>
      <c r="BK100">
        <v>21091.199999999997</v>
      </c>
      <c r="BL100">
        <v>13</v>
      </c>
      <c r="BM100">
        <v>21091.199999999997</v>
      </c>
      <c r="BN100">
        <v>11</v>
      </c>
      <c r="BO100">
        <v>17846.399999999998</v>
      </c>
      <c r="BP100">
        <v>20</v>
      </c>
      <c r="BQ100">
        <v>32447.999999999996</v>
      </c>
      <c r="BR100">
        <v>11</v>
      </c>
      <c r="BS100">
        <v>17846.399999999998</v>
      </c>
      <c r="BT100">
        <v>13</v>
      </c>
      <c r="BU100">
        <v>21091.199999999997</v>
      </c>
      <c r="BV100">
        <v>16</v>
      </c>
      <c r="BW100">
        <v>25958.399999999998</v>
      </c>
      <c r="BX100">
        <v>14</v>
      </c>
      <c r="BY100">
        <v>22713.599999999999</v>
      </c>
      <c r="BZ100">
        <v>16</v>
      </c>
      <c r="CA100">
        <v>25958.399999999998</v>
      </c>
      <c r="CB100">
        <v>17</v>
      </c>
      <c r="CC100">
        <v>27580.799999999999</v>
      </c>
      <c r="CD100">
        <v>17</v>
      </c>
      <c r="CE100">
        <v>27580.799999999999</v>
      </c>
      <c r="CF100">
        <v>12</v>
      </c>
      <c r="CG100">
        <v>19468.8</v>
      </c>
      <c r="CH100">
        <v>18</v>
      </c>
      <c r="CI100">
        <v>29203.199999999997</v>
      </c>
      <c r="CJ100">
        <v>16</v>
      </c>
      <c r="CK100">
        <v>25958.399999999998</v>
      </c>
      <c r="CL100">
        <v>9</v>
      </c>
      <c r="CM100">
        <v>14601.599999999999</v>
      </c>
      <c r="CN100">
        <v>14</v>
      </c>
      <c r="CO100">
        <v>22713.599999999999</v>
      </c>
      <c r="CP100">
        <v>12</v>
      </c>
      <c r="CQ100">
        <v>19468.8</v>
      </c>
      <c r="CR100">
        <v>13</v>
      </c>
      <c r="CS100">
        <v>21091.199999999997</v>
      </c>
      <c r="CT100">
        <v>16</v>
      </c>
      <c r="CU100">
        <v>25958.399999999998</v>
      </c>
    </row>
    <row r="101" spans="2:99" x14ac:dyDescent="0.2">
      <c r="C101" s="119" t="s">
        <v>267</v>
      </c>
      <c r="D101">
        <v>2.5676922271135001</v>
      </c>
      <c r="E101">
        <v>3056.5808271559104</v>
      </c>
      <c r="F101">
        <v>13</v>
      </c>
      <c r="G101">
        <v>15475.199999999999</v>
      </c>
      <c r="H101">
        <v>19</v>
      </c>
      <c r="I101">
        <v>22617.599999999999</v>
      </c>
      <c r="J101">
        <v>10</v>
      </c>
      <c r="K101">
        <v>11903.999999999998</v>
      </c>
      <c r="L101">
        <v>14</v>
      </c>
      <c r="M101">
        <v>16665.599999999999</v>
      </c>
      <c r="N101">
        <v>13</v>
      </c>
      <c r="O101">
        <v>15475.199999999999</v>
      </c>
      <c r="P101">
        <v>17</v>
      </c>
      <c r="Q101">
        <v>20236.8</v>
      </c>
      <c r="R101">
        <v>10</v>
      </c>
      <c r="S101">
        <v>11903.999999999998</v>
      </c>
      <c r="T101">
        <v>13</v>
      </c>
      <c r="U101">
        <v>15475.199999999999</v>
      </c>
      <c r="V101">
        <v>15</v>
      </c>
      <c r="W101">
        <v>17855.999999999996</v>
      </c>
      <c r="X101">
        <v>10</v>
      </c>
      <c r="Y101">
        <v>11903.999999999998</v>
      </c>
      <c r="Z101">
        <v>16</v>
      </c>
      <c r="AA101">
        <v>19046.399999999998</v>
      </c>
      <c r="AB101">
        <v>13</v>
      </c>
      <c r="AC101">
        <v>15475.199999999999</v>
      </c>
      <c r="AD101">
        <v>17</v>
      </c>
      <c r="AE101">
        <v>20236.8</v>
      </c>
      <c r="AF101">
        <v>19</v>
      </c>
      <c r="AG101">
        <v>22617.599999999999</v>
      </c>
      <c r="AH101">
        <v>13</v>
      </c>
      <c r="AI101">
        <v>15475.199999999999</v>
      </c>
      <c r="AJ101">
        <v>11</v>
      </c>
      <c r="AK101">
        <v>13094.399999999998</v>
      </c>
      <c r="AL101">
        <v>17</v>
      </c>
      <c r="AM101">
        <v>20236.8</v>
      </c>
      <c r="AN101">
        <v>16</v>
      </c>
      <c r="AO101">
        <v>19046.399999999998</v>
      </c>
      <c r="AP101">
        <v>12</v>
      </c>
      <c r="AQ101">
        <v>14284.8</v>
      </c>
      <c r="AR101">
        <v>13</v>
      </c>
      <c r="AS101">
        <v>15475.199999999999</v>
      </c>
      <c r="AT101">
        <v>13</v>
      </c>
      <c r="AU101">
        <v>15475.199999999999</v>
      </c>
      <c r="AV101">
        <v>13</v>
      </c>
      <c r="AW101">
        <v>15475.199999999999</v>
      </c>
      <c r="AX101">
        <v>13</v>
      </c>
      <c r="AY101">
        <v>15475.199999999999</v>
      </c>
      <c r="AZ101">
        <v>14</v>
      </c>
      <c r="BA101">
        <v>16665.599999999999</v>
      </c>
      <c r="BB101">
        <v>14</v>
      </c>
      <c r="BC101">
        <v>16665.599999999999</v>
      </c>
      <c r="BD101">
        <v>13</v>
      </c>
      <c r="BE101">
        <v>15475.199999999999</v>
      </c>
      <c r="BF101">
        <v>11</v>
      </c>
      <c r="BG101">
        <v>13094.399999999998</v>
      </c>
      <c r="BH101">
        <v>19</v>
      </c>
      <c r="BI101">
        <v>22617.599999999999</v>
      </c>
      <c r="BJ101">
        <v>13</v>
      </c>
      <c r="BK101">
        <v>15475.199999999999</v>
      </c>
      <c r="BL101">
        <v>15</v>
      </c>
      <c r="BM101">
        <v>17855.999999999996</v>
      </c>
      <c r="BN101">
        <v>13</v>
      </c>
      <c r="BO101">
        <v>15475.199999999999</v>
      </c>
      <c r="BP101">
        <v>18</v>
      </c>
      <c r="BQ101">
        <v>21427.199999999997</v>
      </c>
      <c r="BR101">
        <v>13</v>
      </c>
      <c r="BS101">
        <v>15475.199999999999</v>
      </c>
      <c r="BT101">
        <v>11</v>
      </c>
      <c r="BU101">
        <v>13094.399999999998</v>
      </c>
      <c r="BV101">
        <v>15</v>
      </c>
      <c r="BW101">
        <v>17855.999999999996</v>
      </c>
      <c r="BX101">
        <v>15</v>
      </c>
      <c r="BY101">
        <v>17855.999999999996</v>
      </c>
      <c r="BZ101">
        <v>19</v>
      </c>
      <c r="CA101">
        <v>22617.599999999999</v>
      </c>
      <c r="CB101">
        <v>19</v>
      </c>
      <c r="CC101">
        <v>22617.599999999999</v>
      </c>
      <c r="CD101">
        <v>15</v>
      </c>
      <c r="CE101">
        <v>17855.999999999996</v>
      </c>
      <c r="CF101">
        <v>12</v>
      </c>
      <c r="CG101">
        <v>14284.8</v>
      </c>
      <c r="CH101">
        <v>18</v>
      </c>
      <c r="CI101">
        <v>21427.199999999997</v>
      </c>
      <c r="CJ101">
        <v>17</v>
      </c>
      <c r="CK101">
        <v>20236.8</v>
      </c>
      <c r="CL101">
        <v>10</v>
      </c>
      <c r="CM101">
        <v>11903.999999999998</v>
      </c>
      <c r="CN101">
        <v>15</v>
      </c>
      <c r="CO101">
        <v>17855.999999999996</v>
      </c>
      <c r="CP101">
        <v>13</v>
      </c>
      <c r="CQ101">
        <v>15475.199999999999</v>
      </c>
      <c r="CR101">
        <v>12</v>
      </c>
      <c r="CS101">
        <v>14284.8</v>
      </c>
      <c r="CT101">
        <v>18</v>
      </c>
      <c r="CU101">
        <v>21427.199999999997</v>
      </c>
    </row>
    <row r="102" spans="2:99" x14ac:dyDescent="0.2">
      <c r="C102" s="119" t="s">
        <v>268</v>
      </c>
      <c r="D102">
        <v>2.5676922271135001</v>
      </c>
      <c r="E102">
        <v>4979.268766818499</v>
      </c>
      <c r="F102">
        <v>12</v>
      </c>
      <c r="G102">
        <v>23270.399999999998</v>
      </c>
      <c r="H102">
        <v>19</v>
      </c>
      <c r="I102">
        <v>36844.799999999996</v>
      </c>
      <c r="J102">
        <v>10</v>
      </c>
      <c r="K102">
        <v>19392</v>
      </c>
      <c r="L102">
        <v>11</v>
      </c>
      <c r="M102">
        <v>21331.199999999997</v>
      </c>
      <c r="N102">
        <v>13</v>
      </c>
      <c r="O102">
        <v>25209.599999999999</v>
      </c>
      <c r="P102">
        <v>15</v>
      </c>
      <c r="Q102">
        <v>29087.999999999996</v>
      </c>
      <c r="R102">
        <v>10</v>
      </c>
      <c r="S102">
        <v>19392</v>
      </c>
      <c r="T102">
        <v>13</v>
      </c>
      <c r="U102">
        <v>25209.599999999999</v>
      </c>
      <c r="V102">
        <v>13</v>
      </c>
      <c r="W102">
        <v>25209.599999999999</v>
      </c>
      <c r="X102">
        <v>9</v>
      </c>
      <c r="Y102">
        <v>17452.8</v>
      </c>
      <c r="Z102">
        <v>17</v>
      </c>
      <c r="AA102">
        <v>32966.399999999994</v>
      </c>
      <c r="AB102">
        <v>12</v>
      </c>
      <c r="AC102">
        <v>23270.399999999998</v>
      </c>
      <c r="AD102">
        <v>15</v>
      </c>
      <c r="AE102">
        <v>29087.999999999996</v>
      </c>
      <c r="AF102">
        <v>16</v>
      </c>
      <c r="AG102">
        <v>31027.199999999997</v>
      </c>
      <c r="AH102">
        <v>12</v>
      </c>
      <c r="AI102">
        <v>23270.399999999998</v>
      </c>
      <c r="AJ102">
        <v>9</v>
      </c>
      <c r="AK102">
        <v>17452.8</v>
      </c>
      <c r="AL102">
        <v>17</v>
      </c>
      <c r="AM102">
        <v>32966.399999999994</v>
      </c>
      <c r="AN102">
        <v>16</v>
      </c>
      <c r="AO102">
        <v>31027.199999999997</v>
      </c>
      <c r="AP102">
        <v>10</v>
      </c>
      <c r="AQ102">
        <v>19392</v>
      </c>
      <c r="AR102">
        <v>12</v>
      </c>
      <c r="AS102">
        <v>23270.399999999998</v>
      </c>
      <c r="AT102">
        <v>12</v>
      </c>
      <c r="AU102">
        <v>23270.399999999998</v>
      </c>
      <c r="AV102">
        <v>11</v>
      </c>
      <c r="AW102">
        <v>21331.199999999997</v>
      </c>
      <c r="AX102">
        <v>13</v>
      </c>
      <c r="AY102">
        <v>25209.599999999999</v>
      </c>
      <c r="AZ102">
        <v>12</v>
      </c>
      <c r="BA102">
        <v>23270.399999999998</v>
      </c>
      <c r="BB102">
        <v>14</v>
      </c>
      <c r="BC102">
        <v>27148.799999999996</v>
      </c>
      <c r="BD102">
        <v>13</v>
      </c>
      <c r="BE102">
        <v>25209.599999999999</v>
      </c>
      <c r="BF102">
        <v>10</v>
      </c>
      <c r="BG102">
        <v>19392</v>
      </c>
      <c r="BH102">
        <v>18</v>
      </c>
      <c r="BI102">
        <v>34905.599999999999</v>
      </c>
      <c r="BJ102">
        <v>13</v>
      </c>
      <c r="BK102">
        <v>25209.599999999999</v>
      </c>
      <c r="BL102">
        <v>14</v>
      </c>
      <c r="BM102">
        <v>27148.799999999996</v>
      </c>
      <c r="BN102">
        <v>12</v>
      </c>
      <c r="BO102">
        <v>23270.399999999998</v>
      </c>
      <c r="BP102">
        <v>18</v>
      </c>
      <c r="BQ102">
        <v>34905.599999999999</v>
      </c>
      <c r="BR102">
        <v>10</v>
      </c>
      <c r="BS102">
        <v>19392</v>
      </c>
      <c r="BT102">
        <v>12</v>
      </c>
      <c r="BU102">
        <v>23270.399999999998</v>
      </c>
      <c r="BV102">
        <v>15</v>
      </c>
      <c r="BW102">
        <v>29087.999999999996</v>
      </c>
      <c r="BX102">
        <v>14</v>
      </c>
      <c r="BY102">
        <v>27148.799999999996</v>
      </c>
      <c r="BZ102">
        <v>16</v>
      </c>
      <c r="CA102">
        <v>31027.199999999997</v>
      </c>
      <c r="CB102">
        <v>16</v>
      </c>
      <c r="CC102">
        <v>31027.199999999997</v>
      </c>
      <c r="CD102">
        <v>15</v>
      </c>
      <c r="CE102">
        <v>29087.999999999996</v>
      </c>
      <c r="CF102">
        <v>11</v>
      </c>
      <c r="CG102">
        <v>21331.199999999997</v>
      </c>
      <c r="CH102">
        <v>19</v>
      </c>
      <c r="CI102">
        <v>36844.799999999996</v>
      </c>
      <c r="CJ102">
        <v>17</v>
      </c>
      <c r="CK102">
        <v>32966.399999999994</v>
      </c>
      <c r="CL102">
        <v>10</v>
      </c>
      <c r="CM102">
        <v>19392</v>
      </c>
      <c r="CN102">
        <v>15</v>
      </c>
      <c r="CO102">
        <v>29087.999999999996</v>
      </c>
      <c r="CP102">
        <v>12</v>
      </c>
      <c r="CQ102">
        <v>23270.399999999998</v>
      </c>
      <c r="CR102">
        <v>11</v>
      </c>
      <c r="CS102">
        <v>21331.199999999997</v>
      </c>
      <c r="CT102">
        <v>17</v>
      </c>
      <c r="CU102">
        <v>32966.399999999994</v>
      </c>
    </row>
    <row r="103" spans="2:99" x14ac:dyDescent="0.2">
      <c r="C103" s="119" t="s">
        <v>269</v>
      </c>
      <c r="D103">
        <v>2.3537178748540422</v>
      </c>
      <c r="E103">
        <v>4773.3398502039972</v>
      </c>
      <c r="F103">
        <v>14</v>
      </c>
      <c r="G103">
        <v>28392</v>
      </c>
      <c r="H103">
        <v>16</v>
      </c>
      <c r="I103">
        <v>32448</v>
      </c>
      <c r="J103">
        <v>9</v>
      </c>
      <c r="K103">
        <v>18252</v>
      </c>
      <c r="L103">
        <v>12</v>
      </c>
      <c r="M103">
        <v>24336</v>
      </c>
      <c r="N103">
        <v>12</v>
      </c>
      <c r="O103">
        <v>24336</v>
      </c>
      <c r="P103">
        <v>16</v>
      </c>
      <c r="Q103">
        <v>32448</v>
      </c>
      <c r="R103">
        <v>11</v>
      </c>
      <c r="S103">
        <v>22308</v>
      </c>
      <c r="T103">
        <v>11</v>
      </c>
      <c r="U103">
        <v>22308</v>
      </c>
      <c r="V103">
        <v>12</v>
      </c>
      <c r="W103">
        <v>24336</v>
      </c>
      <c r="X103">
        <v>9</v>
      </c>
      <c r="Y103">
        <v>18252</v>
      </c>
      <c r="Z103">
        <v>17</v>
      </c>
      <c r="AA103">
        <v>34476</v>
      </c>
      <c r="AB103">
        <v>10</v>
      </c>
      <c r="AC103">
        <v>20280</v>
      </c>
      <c r="AD103">
        <v>16</v>
      </c>
      <c r="AE103">
        <v>32448</v>
      </c>
      <c r="AF103">
        <v>18</v>
      </c>
      <c r="AG103">
        <v>36504</v>
      </c>
      <c r="AH103">
        <v>13</v>
      </c>
      <c r="AI103">
        <v>26364</v>
      </c>
      <c r="AJ103">
        <v>10</v>
      </c>
      <c r="AK103">
        <v>20280</v>
      </c>
      <c r="AL103">
        <v>15</v>
      </c>
      <c r="AM103">
        <v>30420</v>
      </c>
      <c r="AN103">
        <v>17</v>
      </c>
      <c r="AO103">
        <v>34476</v>
      </c>
      <c r="AP103">
        <v>10</v>
      </c>
      <c r="AQ103">
        <v>20280</v>
      </c>
      <c r="AR103">
        <v>13</v>
      </c>
      <c r="AS103">
        <v>26364</v>
      </c>
      <c r="AT103">
        <v>11</v>
      </c>
      <c r="AU103">
        <v>22308</v>
      </c>
      <c r="AV103">
        <v>10</v>
      </c>
      <c r="AW103">
        <v>20280</v>
      </c>
      <c r="AX103">
        <v>13</v>
      </c>
      <c r="AY103">
        <v>26364</v>
      </c>
      <c r="AZ103">
        <v>13</v>
      </c>
      <c r="BA103">
        <v>26364</v>
      </c>
      <c r="BB103">
        <v>14</v>
      </c>
      <c r="BC103">
        <v>28392</v>
      </c>
      <c r="BD103">
        <v>13</v>
      </c>
      <c r="BE103">
        <v>26364</v>
      </c>
      <c r="BF103">
        <v>11</v>
      </c>
      <c r="BG103">
        <v>22308</v>
      </c>
      <c r="BH103">
        <v>16</v>
      </c>
      <c r="BI103">
        <v>32448</v>
      </c>
      <c r="BJ103">
        <v>14</v>
      </c>
      <c r="BK103">
        <v>28392</v>
      </c>
      <c r="BL103">
        <v>14</v>
      </c>
      <c r="BM103">
        <v>28392</v>
      </c>
      <c r="BN103">
        <v>11</v>
      </c>
      <c r="BO103">
        <v>22308</v>
      </c>
      <c r="BP103">
        <v>18</v>
      </c>
      <c r="BQ103">
        <v>36504</v>
      </c>
      <c r="BR103">
        <v>11</v>
      </c>
      <c r="BS103">
        <v>22308</v>
      </c>
      <c r="BT103">
        <v>11</v>
      </c>
      <c r="BU103">
        <v>22308</v>
      </c>
      <c r="BV103">
        <v>15</v>
      </c>
      <c r="BW103">
        <v>30420</v>
      </c>
      <c r="BX103">
        <v>14</v>
      </c>
      <c r="BY103">
        <v>28392</v>
      </c>
      <c r="BZ103">
        <v>18</v>
      </c>
      <c r="CA103">
        <v>36504</v>
      </c>
      <c r="CB103">
        <v>15</v>
      </c>
      <c r="CC103">
        <v>30420</v>
      </c>
      <c r="CD103">
        <v>14</v>
      </c>
      <c r="CE103">
        <v>28392</v>
      </c>
      <c r="CF103">
        <v>11</v>
      </c>
      <c r="CG103">
        <v>22308</v>
      </c>
      <c r="CH103">
        <v>16</v>
      </c>
      <c r="CI103">
        <v>32448</v>
      </c>
      <c r="CJ103">
        <v>15</v>
      </c>
      <c r="CK103">
        <v>30420</v>
      </c>
      <c r="CL103">
        <v>9</v>
      </c>
      <c r="CM103">
        <v>18252</v>
      </c>
      <c r="CN103">
        <v>14</v>
      </c>
      <c r="CO103">
        <v>28392</v>
      </c>
      <c r="CP103">
        <v>14</v>
      </c>
      <c r="CQ103">
        <v>28392</v>
      </c>
      <c r="CR103">
        <v>12</v>
      </c>
      <c r="CS103">
        <v>24336</v>
      </c>
      <c r="CT103">
        <v>17</v>
      </c>
      <c r="CU103">
        <v>34476</v>
      </c>
    </row>
    <row r="104" spans="2:99" x14ac:dyDescent="0.2">
      <c r="C104" s="119" t="s">
        <v>270</v>
      </c>
      <c r="D104">
        <v>2.5676922271135001</v>
      </c>
      <c r="E104">
        <v>5321.2853714700177</v>
      </c>
      <c r="F104">
        <v>14</v>
      </c>
      <c r="G104">
        <v>29013.600000000002</v>
      </c>
      <c r="H104">
        <v>19</v>
      </c>
      <c r="I104">
        <v>39375.599999999999</v>
      </c>
      <c r="J104">
        <v>10</v>
      </c>
      <c r="K104">
        <v>20724</v>
      </c>
      <c r="L104">
        <v>12</v>
      </c>
      <c r="M104">
        <v>24868.800000000003</v>
      </c>
      <c r="N104">
        <v>13</v>
      </c>
      <c r="O104">
        <v>26941.200000000001</v>
      </c>
      <c r="P104">
        <v>14</v>
      </c>
      <c r="Q104">
        <v>29013.600000000002</v>
      </c>
      <c r="R104">
        <v>10</v>
      </c>
      <c r="S104">
        <v>20724</v>
      </c>
      <c r="T104">
        <v>11</v>
      </c>
      <c r="U104">
        <v>22796.400000000001</v>
      </c>
      <c r="V104">
        <v>14</v>
      </c>
      <c r="W104">
        <v>29013.600000000002</v>
      </c>
      <c r="X104">
        <v>9</v>
      </c>
      <c r="Y104">
        <v>18651.600000000002</v>
      </c>
      <c r="Z104">
        <v>16</v>
      </c>
      <c r="AA104">
        <v>33158.400000000001</v>
      </c>
      <c r="AB104">
        <v>10</v>
      </c>
      <c r="AC104">
        <v>20724</v>
      </c>
      <c r="AD104">
        <v>15</v>
      </c>
      <c r="AE104">
        <v>31086</v>
      </c>
      <c r="AF104">
        <v>17</v>
      </c>
      <c r="AG104">
        <v>35230.800000000003</v>
      </c>
      <c r="AH104">
        <v>11</v>
      </c>
      <c r="AI104">
        <v>22796.400000000001</v>
      </c>
      <c r="AJ104">
        <v>9</v>
      </c>
      <c r="AK104">
        <v>18651.600000000002</v>
      </c>
      <c r="AL104">
        <v>15</v>
      </c>
      <c r="AM104">
        <v>31086</v>
      </c>
      <c r="AN104">
        <v>16</v>
      </c>
      <c r="AO104">
        <v>33158.400000000001</v>
      </c>
      <c r="AP104">
        <v>10</v>
      </c>
      <c r="AQ104">
        <v>20724</v>
      </c>
      <c r="AR104">
        <v>12</v>
      </c>
      <c r="AS104">
        <v>24868.800000000003</v>
      </c>
      <c r="AT104">
        <v>13</v>
      </c>
      <c r="AU104">
        <v>26941.200000000001</v>
      </c>
      <c r="AV104">
        <v>11</v>
      </c>
      <c r="AW104">
        <v>22796.400000000001</v>
      </c>
      <c r="AX104">
        <v>14</v>
      </c>
      <c r="AY104">
        <v>29013.600000000002</v>
      </c>
      <c r="AZ104">
        <v>12</v>
      </c>
      <c r="BA104">
        <v>24868.800000000003</v>
      </c>
      <c r="BB104">
        <v>13</v>
      </c>
      <c r="BC104">
        <v>26941.200000000001</v>
      </c>
      <c r="BD104">
        <v>13</v>
      </c>
      <c r="BE104">
        <v>26941.200000000001</v>
      </c>
      <c r="BF104">
        <v>11</v>
      </c>
      <c r="BG104">
        <v>22796.400000000001</v>
      </c>
      <c r="BH104">
        <v>17</v>
      </c>
      <c r="BI104">
        <v>35230.800000000003</v>
      </c>
      <c r="BJ104">
        <v>14</v>
      </c>
      <c r="BK104">
        <v>29013.600000000002</v>
      </c>
      <c r="BL104">
        <v>14</v>
      </c>
      <c r="BM104">
        <v>29013.600000000002</v>
      </c>
      <c r="BN104">
        <v>12</v>
      </c>
      <c r="BO104">
        <v>24868.800000000003</v>
      </c>
      <c r="BP104">
        <v>20</v>
      </c>
      <c r="BQ104">
        <v>41448</v>
      </c>
      <c r="BR104">
        <v>10</v>
      </c>
      <c r="BS104">
        <v>20724</v>
      </c>
      <c r="BT104">
        <v>11</v>
      </c>
      <c r="BU104">
        <v>22796.400000000001</v>
      </c>
      <c r="BV104">
        <v>16</v>
      </c>
      <c r="BW104">
        <v>33158.400000000001</v>
      </c>
      <c r="BX104">
        <v>13</v>
      </c>
      <c r="BY104">
        <v>26941.200000000001</v>
      </c>
      <c r="BZ104">
        <v>15</v>
      </c>
      <c r="CA104">
        <v>31086</v>
      </c>
      <c r="CB104">
        <v>16</v>
      </c>
      <c r="CC104">
        <v>33158.400000000001</v>
      </c>
      <c r="CD104">
        <v>16</v>
      </c>
      <c r="CE104">
        <v>33158.400000000001</v>
      </c>
      <c r="CF104">
        <v>10</v>
      </c>
      <c r="CG104">
        <v>20724</v>
      </c>
      <c r="CH104">
        <v>19</v>
      </c>
      <c r="CI104">
        <v>39375.599999999999</v>
      </c>
      <c r="CJ104">
        <v>15</v>
      </c>
      <c r="CK104">
        <v>31086</v>
      </c>
      <c r="CL104">
        <v>11</v>
      </c>
      <c r="CM104">
        <v>22796.400000000001</v>
      </c>
      <c r="CN104">
        <v>13</v>
      </c>
      <c r="CO104">
        <v>26941.200000000001</v>
      </c>
      <c r="CP104">
        <v>13</v>
      </c>
      <c r="CQ104">
        <v>26941.200000000001</v>
      </c>
      <c r="CR104">
        <v>11</v>
      </c>
      <c r="CS104">
        <v>22796.400000000001</v>
      </c>
      <c r="CT104">
        <v>17</v>
      </c>
      <c r="CU104">
        <v>35230.800000000003</v>
      </c>
    </row>
    <row r="105" spans="2:99" x14ac:dyDescent="0.2">
      <c r="C105" s="119" t="s">
        <v>271</v>
      </c>
      <c r="D105">
        <v>2.3537178748540422</v>
      </c>
      <c r="E105">
        <v>4702.728313958376</v>
      </c>
      <c r="F105">
        <v>13</v>
      </c>
      <c r="G105">
        <v>25974</v>
      </c>
      <c r="H105">
        <v>18</v>
      </c>
      <c r="I105">
        <v>35964</v>
      </c>
      <c r="J105">
        <v>9</v>
      </c>
      <c r="K105">
        <v>17982</v>
      </c>
      <c r="L105">
        <v>13</v>
      </c>
      <c r="M105">
        <v>25974</v>
      </c>
      <c r="N105">
        <v>13</v>
      </c>
      <c r="O105">
        <v>25974</v>
      </c>
      <c r="P105">
        <v>14</v>
      </c>
      <c r="Q105">
        <v>27972</v>
      </c>
      <c r="R105">
        <v>11</v>
      </c>
      <c r="S105">
        <v>21978</v>
      </c>
      <c r="T105">
        <v>13</v>
      </c>
      <c r="U105">
        <v>25974</v>
      </c>
      <c r="V105">
        <v>13</v>
      </c>
      <c r="W105">
        <v>25974</v>
      </c>
      <c r="X105">
        <v>9</v>
      </c>
      <c r="Y105">
        <v>17982</v>
      </c>
      <c r="Z105">
        <v>16</v>
      </c>
      <c r="AA105">
        <v>31968</v>
      </c>
      <c r="AB105">
        <v>10</v>
      </c>
      <c r="AC105">
        <v>19980</v>
      </c>
      <c r="AD105">
        <v>16</v>
      </c>
      <c r="AE105">
        <v>31968</v>
      </c>
      <c r="AF105">
        <v>15</v>
      </c>
      <c r="AG105">
        <v>29970</v>
      </c>
      <c r="AH105">
        <v>12</v>
      </c>
      <c r="AI105">
        <v>23976</v>
      </c>
      <c r="AJ105">
        <v>10</v>
      </c>
      <c r="AK105">
        <v>19980</v>
      </c>
      <c r="AL105">
        <v>16</v>
      </c>
      <c r="AM105">
        <v>31968</v>
      </c>
      <c r="AN105">
        <v>16</v>
      </c>
      <c r="AO105">
        <v>31968</v>
      </c>
      <c r="AP105">
        <v>11</v>
      </c>
      <c r="AQ105">
        <v>21978</v>
      </c>
      <c r="AR105">
        <v>12</v>
      </c>
      <c r="AS105">
        <v>23976</v>
      </c>
      <c r="AT105">
        <v>13</v>
      </c>
      <c r="AU105">
        <v>25974</v>
      </c>
      <c r="AV105">
        <v>12</v>
      </c>
      <c r="AW105">
        <v>23976</v>
      </c>
      <c r="AX105">
        <v>12</v>
      </c>
      <c r="AY105">
        <v>23976</v>
      </c>
      <c r="AZ105">
        <v>13</v>
      </c>
      <c r="BA105">
        <v>25974</v>
      </c>
      <c r="BB105">
        <v>14</v>
      </c>
      <c r="BC105">
        <v>27972</v>
      </c>
      <c r="BD105">
        <v>13</v>
      </c>
      <c r="BE105">
        <v>25974</v>
      </c>
      <c r="BF105">
        <v>11</v>
      </c>
      <c r="BG105">
        <v>21978</v>
      </c>
      <c r="BH105">
        <v>15</v>
      </c>
      <c r="BI105">
        <v>29970</v>
      </c>
      <c r="BJ105">
        <v>14</v>
      </c>
      <c r="BK105">
        <v>27972</v>
      </c>
      <c r="BL105">
        <v>14</v>
      </c>
      <c r="BM105">
        <v>27972</v>
      </c>
      <c r="BN105">
        <v>11</v>
      </c>
      <c r="BO105">
        <v>21978</v>
      </c>
      <c r="BP105">
        <v>18</v>
      </c>
      <c r="BQ105">
        <v>35964</v>
      </c>
      <c r="BR105">
        <v>11</v>
      </c>
      <c r="BS105">
        <v>21978</v>
      </c>
      <c r="BT105">
        <v>12</v>
      </c>
      <c r="BU105">
        <v>23976</v>
      </c>
      <c r="BV105">
        <v>14</v>
      </c>
      <c r="BW105">
        <v>27972</v>
      </c>
      <c r="BX105">
        <v>15</v>
      </c>
      <c r="BY105">
        <v>29970</v>
      </c>
      <c r="BZ105">
        <v>17</v>
      </c>
      <c r="CA105">
        <v>33966</v>
      </c>
      <c r="CB105">
        <v>17</v>
      </c>
      <c r="CC105">
        <v>33966</v>
      </c>
      <c r="CD105">
        <v>15</v>
      </c>
      <c r="CE105">
        <v>29970</v>
      </c>
      <c r="CF105">
        <v>11</v>
      </c>
      <c r="CG105">
        <v>21978</v>
      </c>
      <c r="CH105">
        <v>18</v>
      </c>
      <c r="CI105">
        <v>35964</v>
      </c>
      <c r="CJ105">
        <v>16</v>
      </c>
      <c r="CK105">
        <v>31968</v>
      </c>
      <c r="CL105">
        <v>10</v>
      </c>
      <c r="CM105">
        <v>19980</v>
      </c>
      <c r="CN105">
        <v>14</v>
      </c>
      <c r="CO105">
        <v>27972</v>
      </c>
      <c r="CP105">
        <v>14</v>
      </c>
      <c r="CQ105">
        <v>27972</v>
      </c>
      <c r="CR105">
        <v>12</v>
      </c>
      <c r="CS105">
        <v>23976</v>
      </c>
      <c r="CT105">
        <v>17</v>
      </c>
      <c r="CU105">
        <v>33966</v>
      </c>
    </row>
    <row r="107" spans="2:99" x14ac:dyDescent="0.2">
      <c r="B107" s="122" t="s">
        <v>276</v>
      </c>
    </row>
    <row r="108" spans="2:99" x14ac:dyDescent="0.2">
      <c r="C108" s="119" t="s">
        <v>277</v>
      </c>
      <c r="D108" s="119" t="s">
        <v>92</v>
      </c>
      <c r="E108" s="119" t="s">
        <v>93</v>
      </c>
      <c r="F108" s="119" t="s">
        <v>94</v>
      </c>
      <c r="G108" s="119" t="s">
        <v>95</v>
      </c>
      <c r="H108" s="119" t="s">
        <v>96</v>
      </c>
      <c r="I108" s="119" t="s">
        <v>97</v>
      </c>
      <c r="J108" s="119" t="s">
        <v>98</v>
      </c>
      <c r="K108" s="119" t="s">
        <v>99</v>
      </c>
      <c r="L108" s="119" t="s">
        <v>100</v>
      </c>
      <c r="M108" s="119" t="s">
        <v>101</v>
      </c>
      <c r="N108" s="119" t="s">
        <v>102</v>
      </c>
      <c r="O108" s="119" t="s">
        <v>103</v>
      </c>
    </row>
    <row r="109" spans="2:99" x14ac:dyDescent="0.2">
      <c r="C109" s="119" t="s">
        <v>126</v>
      </c>
      <c r="D109">
        <f>SUM(D$6:D$19)+SUM(F$6:F$19)+SUM(H$6:H$19)+SUM(J$6:J$19)</f>
        <v>152.5618334579969</v>
      </c>
      <c r="E109">
        <f>SUM(L$6:L$19)+SUM(N$6:N$19)+SUM(P$6:P$19)+SUM(R$6:R$19)</f>
        <v>0</v>
      </c>
      <c r="F109">
        <f>SUM(T$6:T$19)+SUM(V$6:V$19)+SUM(X$6:X$19)+SUM(Z$6:Z$19)</f>
        <v>0</v>
      </c>
      <c r="G109">
        <f>SUM(AB$6:AB$19)+SUM(AD$6:AD$19)+SUM(AF$6:AF$19)+SUM(AH$6:AH$19)</f>
        <v>0</v>
      </c>
      <c r="H109">
        <f>SUM(AJ$6:AJ$19)+SUM(AL$6:AL$19)+SUM(AN$6:AN$19)+SUM(AP$6:AP$19)</f>
        <v>0</v>
      </c>
      <c r="I109">
        <f>SUM(AR$6:AR$19)+SUM(AT$6:AT$19)+SUM(AV$6:AV$19)+SUM(AX$6:AX$19)</f>
        <v>0</v>
      </c>
      <c r="J109">
        <f>SUM(AZ$6:AZ$19)+SUM(BB$6:BB$19)+SUM(BD$6:BD$19)+SUM(BF$6:BF$19)</f>
        <v>0</v>
      </c>
      <c r="K109">
        <f>SUM(BH$6:BH$19)+SUM(BJ$6:BJ$19)+SUM(BL$6:BL$19)+SUM(BN$6:BN$19)</f>
        <v>0</v>
      </c>
      <c r="L109">
        <f>SUM(BP$6:BP$19)+SUM(BR$6:BR$19)+SUM(BT$6:BT$19)+SUM(BV$6:BV$19)</f>
        <v>0</v>
      </c>
      <c r="M109">
        <f>SUM(BX$6:BX$19)+SUM(BZ$6:BZ$19)+SUM(CB$6:CB$19)+SUM(CD$6:CD$19)</f>
        <v>0</v>
      </c>
      <c r="N109">
        <f>SUM(CF$6:CF$19)+SUM(CH$6:CH$19)+SUM(CJ$6:CJ$19)+SUM(CL$6:CL$19)</f>
        <v>0</v>
      </c>
      <c r="O109">
        <f>SUM(CN$6:CN$19)+SUM(CP$6:CP$19)+SUM(CR$6:CR$19)+SUM(CT$6:CT$19)</f>
        <v>0</v>
      </c>
    </row>
    <row r="110" spans="2:99" x14ac:dyDescent="0.2">
      <c r="C110" s="119" t="s">
        <v>127</v>
      </c>
      <c r="D110">
        <f>SUM(D$20:D$36)+SUM(F$20:F$36)+SUM(H$20:H$36)+SUM(J$20:J$36)</f>
        <v>275.17281981766035</v>
      </c>
      <c r="E110">
        <f>SUM(L$20:L$36)+SUM(N$20:N$36)+SUM(P$20:P$36)+SUM(R$20:R$36)</f>
        <v>0</v>
      </c>
      <c r="F110">
        <f>SUM(T$20:T$36)+SUM(V$20:V$36)+SUM(X$20:X$36)+SUM(Z$20:Z$36)</f>
        <v>0</v>
      </c>
      <c r="G110">
        <f>SUM(AB$20:AB$36)+SUM(AD$20:AD$36)+SUM(AF$20:AF$36)+SUM(AH$20:AH$36)</f>
        <v>0</v>
      </c>
      <c r="H110">
        <f>SUM(AJ$20:AJ$36)+SUM(AL$20:AL$36)+SUM(AN$20:AN$36)+SUM(AP$20:AP$36)</f>
        <v>0</v>
      </c>
      <c r="I110">
        <f>SUM(AR$20:AR$36)+SUM(AT$20:AT$36)+SUM(AV$20:AV$36)+SUM(AX$20:AX$36)</f>
        <v>0</v>
      </c>
      <c r="J110">
        <f>SUM(AZ$20:AZ$36)+SUM(BB$20:BB$36)+SUM(BD$20:BD$36)+SUM(BF$20:BF$36)</f>
        <v>0</v>
      </c>
      <c r="K110">
        <f>SUM(BH$20:BH$36)+SUM(BJ$20:BJ$36)+SUM(BL$20:BL$36)+SUM(BN$20:BN$36)</f>
        <v>0</v>
      </c>
      <c r="L110">
        <f>SUM(BP$20:BP$36)+SUM(BR$20:BR$36)+SUM(BT$20:BT$36)+SUM(BV$20:BV$36)</f>
        <v>0</v>
      </c>
      <c r="M110">
        <f>SUM(BX$20:BX$36)+SUM(BZ$20:BZ$36)+SUM(CB$20:CB$36)+SUM(CD$20:CD$36)</f>
        <v>0</v>
      </c>
      <c r="N110">
        <f>SUM(CF$20:CF$36)+SUM(CH$20:CH$36)+SUM(CJ$20:CJ$36)+SUM(CL$20:CL$36)</f>
        <v>0</v>
      </c>
      <c r="O110">
        <f>SUM(CN$20:CN$36)+SUM(CP$20:CP$36)+SUM(CR$20:CR$36)+SUM(CT$20:CT$36)</f>
        <v>0</v>
      </c>
    </row>
    <row r="111" spans="2:99" x14ac:dyDescent="0.2">
      <c r="C111" s="119" t="s">
        <v>128</v>
      </c>
      <c r="D111">
        <f>SUM(D$37:D$48)+SUM(F$37:F$48)+SUM(H$37:H$48)+SUM(J$37:J$48)</f>
        <v>346.30510079639839</v>
      </c>
      <c r="E111">
        <f>SUM(L$37:L$48)+SUM(N$37:N$48)+SUM(P$37:P$48)+SUM(R$37:R$48)</f>
        <v>0</v>
      </c>
      <c r="F111">
        <f>SUM(T$37:T$48)+SUM(V$37:V$48)+SUM(X$37:X$48)+SUM(Z$37:Z$48)</f>
        <v>0</v>
      </c>
      <c r="G111">
        <f>SUM(AB$37:AB$48)+SUM(AD$37:AD$48)+SUM(AF$37:AF$48)+SUM(AH$37:AH$48)</f>
        <v>0</v>
      </c>
      <c r="H111">
        <f>SUM(AJ$37:AJ$48)+SUM(AL$37:AL$48)+SUM(AN$37:AN$48)+SUM(AP$37:AP$48)</f>
        <v>0</v>
      </c>
      <c r="I111">
        <f>SUM(AR$37:AR$48)+SUM(AT$37:AT$48)+SUM(AV$37:AV$48)+SUM(AX$37:AX$48)</f>
        <v>0</v>
      </c>
      <c r="J111">
        <f>SUM(AZ$37:AZ$48)+SUM(BB$37:BB$48)+SUM(BD$37:BD$48)+SUM(BF$37:BF$48)</f>
        <v>0</v>
      </c>
      <c r="K111">
        <f>SUM(BH$37:BH$48)+SUM(BJ$37:BJ$48)+SUM(BL$37:BL$48)+SUM(BN$37:BN$48)</f>
        <v>0</v>
      </c>
      <c r="L111">
        <f>SUM(BP$37:BP$48)+SUM(BR$37:BR$48)+SUM(BT$37:BT$48)+SUM(BV$37:BV$48)</f>
        <v>0</v>
      </c>
      <c r="M111">
        <f>SUM(BX$37:BX$48)+SUM(BZ$37:BZ$48)+SUM(CB$37:CB$48)+SUM(CD$37:CD$48)</f>
        <v>0</v>
      </c>
      <c r="N111">
        <f>SUM(CF$37:CF$48)+SUM(CH$37:CH$48)+SUM(CJ$37:CJ$48)+SUM(CL$37:CL$48)</f>
        <v>0</v>
      </c>
      <c r="O111">
        <f>SUM(CN$37:CN$48)+SUM(CP$37:CP$48)+SUM(CR$37:CR$48)+SUM(CT$37:CT$48)</f>
        <v>0</v>
      </c>
    </row>
    <row r="112" spans="2:99" x14ac:dyDescent="0.2">
      <c r="C112" s="119" t="s">
        <v>129</v>
      </c>
      <c r="D112">
        <f>SUM(D$49:D$70)+SUM(F$49:F$70)+SUM(H$49:H$70)+SUM(J$49:J$70)</f>
        <v>407.78181790617748</v>
      </c>
      <c r="E112">
        <f>SUM(L$49:L$70)+SUM(N$49:N$70)+SUM(P$49:P$70)+SUM(R$49:R$70)</f>
        <v>187</v>
      </c>
      <c r="F112">
        <f>SUM(T$49:T$70)+SUM(V$49:V$70)+SUM(X$49:X$70)+SUM(Z$49:Z$70)</f>
        <v>151</v>
      </c>
      <c r="G112">
        <f>SUM(AB$49:AB$70)+SUM(AD$49:AD$70)+SUM(AF$49:AF$70)+SUM(AH$49:AH$70)</f>
        <v>215</v>
      </c>
      <c r="H112">
        <f>SUM(AJ$49:AJ$70)+SUM(AL$49:AL$70)+SUM(AN$49:AN$70)+SUM(AP$49:AP$70)</f>
        <v>187</v>
      </c>
      <c r="I112">
        <f>SUM(AR$49:AR$70)+SUM(AT$49:AT$70)+SUM(AV$49:AV$70)+SUM(AX$49:AX$70)</f>
        <v>203</v>
      </c>
      <c r="J112">
        <f>SUM(AZ$49:AZ$70)+SUM(BB$49:BB$70)+SUM(BD$49:BD$70)+SUM(BF$49:BF$70)</f>
        <v>143</v>
      </c>
      <c r="K112">
        <f>SUM(BH$49:BH$70)+SUM(BJ$49:BJ$70)+SUM(BL$49:BL$70)+SUM(BN$49:BN$70)</f>
        <v>196</v>
      </c>
      <c r="L112">
        <f>SUM(BP$49:BP$70)+SUM(BR$49:BR$70)+SUM(BT$49:BT$70)+SUM(BV$49:BV$70)</f>
        <v>168</v>
      </c>
      <c r="M112">
        <f>SUM(BX$49:BX$70)+SUM(BZ$49:BZ$70)+SUM(CB$49:CB$70)+SUM(CD$49:CD$70)</f>
        <v>205</v>
      </c>
      <c r="N112">
        <f>SUM(CF$49:CF$70)+SUM(CH$49:CH$70)+SUM(CJ$49:CJ$70)+SUM(CL$49:CL$70)</f>
        <v>170</v>
      </c>
      <c r="O112">
        <f>SUM(CN$49:CN$70)+SUM(CP$49:CP$70)+SUM(CR$49:CR$70)+SUM(CT$49:CT$70)</f>
        <v>201</v>
      </c>
    </row>
    <row r="113" spans="2:15" x14ac:dyDescent="0.2">
      <c r="C113" s="119" t="s">
        <v>130</v>
      </c>
      <c r="D113">
        <f>SUM(D$71:D$86)+SUM(F$71:F$86)+SUM(H$71:H$86)+SUM(J$71:J$86)</f>
        <v>1230.759997904951</v>
      </c>
      <c r="E113">
        <f>SUM(L$71:L$86)+SUM(N$71:N$86)+SUM(P$71:P$86)+SUM(R$71:R$86)</f>
        <v>1522</v>
      </c>
      <c r="F113">
        <f>SUM(T$71:T$86)+SUM(V$71:V$86)+SUM(X$71:X$86)+SUM(Z$71:Z$86)</f>
        <v>1768</v>
      </c>
      <c r="G113">
        <f>SUM(AB$71:AB$86)+SUM(AD$71:AD$86)+SUM(AF$71:AF$86)+SUM(AH$71:AH$86)</f>
        <v>1775</v>
      </c>
      <c r="H113">
        <f>SUM(AJ$71:AJ$86)+SUM(AL$71:AL$86)+SUM(AN$71:AN$86)+SUM(AP$71:AP$86)</f>
        <v>1550</v>
      </c>
      <c r="I113">
        <f>SUM(AR$71:AR$86)+SUM(AT$71:AT$86)+SUM(AV$71:AV$86)+SUM(AX$71:AX$86)</f>
        <v>1618</v>
      </c>
      <c r="J113">
        <f>SUM(AZ$71:AZ$86)+SUM(BB$71:BB$86)+SUM(BD$71:BD$86)+SUM(BF$71:BF$86)</f>
        <v>1564</v>
      </c>
      <c r="K113">
        <f>SUM(BH$71:BH$86)+SUM(BJ$71:BJ$86)+SUM(BL$71:BL$86)+SUM(BN$71:BN$86)</f>
        <v>1599</v>
      </c>
      <c r="L113">
        <f>SUM(BP$71:BP$86)+SUM(BR$71:BR$86)+SUM(BT$71:BT$86)+SUM(BV$71:BV$86)</f>
        <v>1469</v>
      </c>
      <c r="M113">
        <f>SUM(BX$71:BX$86)+SUM(BZ$71:BZ$86)+SUM(CB$71:CB$86)+SUM(CD$71:CD$86)</f>
        <v>1763</v>
      </c>
      <c r="N113">
        <f>SUM(CF$71:CF$86)+SUM(CH$71:CH$86)+SUM(CJ$71:CJ$86)+SUM(CL$71:CL$86)</f>
        <v>1353</v>
      </c>
      <c r="O113">
        <f>SUM(CN$71:CN$86)+SUM(CP$71:CP$86)+SUM(CR$71:CR$86)+SUM(CT$71:CT$86)</f>
        <v>1492</v>
      </c>
    </row>
    <row r="114" spans="2:15" x14ac:dyDescent="0.2">
      <c r="C114" s="119" t="s">
        <v>131</v>
      </c>
      <c r="D114">
        <f>SUM(D$87:D$94)+SUM(F$87:F$94)+SUM(H$87:H$94)+SUM(J$87:J$94)</f>
        <v>376.32756346464851</v>
      </c>
      <c r="E114">
        <f>SUM(L$87:L$94)+SUM(N$87:N$94)+SUM(P$87:P$94)+SUM(R$87:R$94)</f>
        <v>451</v>
      </c>
      <c r="F114">
        <f>SUM(T$87:T$94)+SUM(V$87:V$94)+SUM(X$87:X$94)+SUM(Z$87:Z$94)</f>
        <v>499</v>
      </c>
      <c r="G114">
        <f>SUM(AB$87:AB$94)+SUM(AD$87:AD$94)+SUM(AF$87:AF$94)+SUM(AH$87:AH$94)</f>
        <v>447</v>
      </c>
      <c r="H114">
        <f>SUM(AJ$87:AJ$94)+SUM(AL$87:AL$94)+SUM(AN$87:AN$94)+SUM(AP$87:AP$94)</f>
        <v>582</v>
      </c>
      <c r="I114">
        <f>SUM(AR$87:AR$94)+SUM(AT$87:AT$94)+SUM(AV$87:AV$94)+SUM(AX$87:AX$94)</f>
        <v>465</v>
      </c>
      <c r="J114">
        <f>SUM(AZ$87:AZ$94)+SUM(BB$87:BB$94)+SUM(BD$87:BD$94)+SUM(BF$87:BF$94)</f>
        <v>445</v>
      </c>
      <c r="K114">
        <f>SUM(BH$87:BH$94)+SUM(BJ$87:BJ$94)+SUM(BL$87:BL$94)+SUM(BN$87:BN$94)</f>
        <v>611</v>
      </c>
      <c r="L114">
        <f>SUM(BP$87:BP$94)+SUM(BR$87:BR$94)+SUM(BT$87:BT$94)+SUM(BV$87:BV$94)</f>
        <v>563</v>
      </c>
      <c r="M114">
        <f>SUM(BX$87:BX$94)+SUM(BZ$87:BZ$94)+SUM(CB$87:CB$94)+SUM(CD$87:CD$94)</f>
        <v>540</v>
      </c>
      <c r="N114">
        <f>SUM(CF$87:CF$94)+SUM(CH$87:CH$94)+SUM(CJ$87:CJ$94)+SUM(CL$87:CL$94)</f>
        <v>568</v>
      </c>
      <c r="O114">
        <f>SUM(CN$87:CN$94)+SUM(CP$87:CP$94)+SUM(CR$87:CR$94)+SUM(CT$87:CT$94)</f>
        <v>587</v>
      </c>
    </row>
    <row r="115" spans="2:15" x14ac:dyDescent="0.2">
      <c r="C115" s="119" t="s">
        <v>132</v>
      </c>
      <c r="D115">
        <f>SUM(D$95:D$105)+SUM(F$95:F$105)+SUM(H$95:H$105)+SUM(J$95:J$105)</f>
        <v>481.60269144147014</v>
      </c>
      <c r="E115">
        <f>SUM(L$95:L$105)+SUM(N$95:N$105)+SUM(P$95:P$105)+SUM(R$95:R$105)</f>
        <v>552</v>
      </c>
      <c r="F115">
        <f>SUM(T$95:T$105)+SUM(V$95:V$105)+SUM(X$95:X$105)+SUM(Z$95:Z$105)</f>
        <v>559</v>
      </c>
      <c r="G115">
        <f>SUM(AB$95:AB$105)+SUM(AD$95:AD$105)+SUM(AF$95:AF$105)+SUM(AH$95:AH$105)</f>
        <v>613</v>
      </c>
      <c r="H115">
        <f>SUM(AJ$95:AJ$105)+SUM(AL$95:AL$105)+SUM(AN$95:AN$105)+SUM(AP$95:AP$105)</f>
        <v>582</v>
      </c>
      <c r="I115">
        <f>SUM(AR$95:AR$105)+SUM(AT$95:AT$105)+SUM(AV$95:AV$105)+SUM(AX$95:AX$105)</f>
        <v>544</v>
      </c>
      <c r="J115">
        <f>SUM(AZ$95:AZ$105)+SUM(BB$95:BB$105)+SUM(BD$95:BD$105)+SUM(BF$95:BF$105)</f>
        <v>551</v>
      </c>
      <c r="K115">
        <f>SUM(BH$95:BH$105)+SUM(BJ$95:BJ$105)+SUM(BL$95:BL$105)+SUM(BN$95:BN$105)</f>
        <v>613</v>
      </c>
      <c r="L115">
        <f>SUM(BP$95:BP$105)+SUM(BR$95:BR$105)+SUM(BT$95:BT$105)+SUM(BV$95:BV$105)</f>
        <v>615</v>
      </c>
      <c r="M115">
        <f>SUM(BX$95:BX$105)+SUM(BZ$95:BZ$105)+SUM(CB$95:CB$105)+SUM(CD$95:CD$105)</f>
        <v>692</v>
      </c>
      <c r="N115">
        <f>SUM(CF$95:CF$105)+SUM(CH$95:CH$105)+SUM(CJ$95:CJ$105)+SUM(CL$95:CL$105)</f>
        <v>600</v>
      </c>
      <c r="O115">
        <f>SUM(CN$95:CN$105)+SUM(CP$95:CP$105)+SUM(CR$95:CR$105)+SUM(CT$95:CT$105)</f>
        <v>610</v>
      </c>
    </row>
    <row r="116" spans="2:15" x14ac:dyDescent="0.2">
      <c r="C116" s="119" t="s">
        <v>278</v>
      </c>
      <c r="D116">
        <f t="shared" ref="D116:O116" si="0">SUM(D$109:D$115)</f>
        <v>3270.5118247893024</v>
      </c>
      <c r="E116">
        <f t="shared" si="0"/>
        <v>2712</v>
      </c>
      <c r="F116">
        <f t="shared" si="0"/>
        <v>2977</v>
      </c>
      <c r="G116">
        <f t="shared" si="0"/>
        <v>3050</v>
      </c>
      <c r="H116">
        <f t="shared" si="0"/>
        <v>2901</v>
      </c>
      <c r="I116">
        <f t="shared" si="0"/>
        <v>2830</v>
      </c>
      <c r="J116">
        <f t="shared" si="0"/>
        <v>2703</v>
      </c>
      <c r="K116">
        <f t="shared" si="0"/>
        <v>3019</v>
      </c>
      <c r="L116">
        <f t="shared" si="0"/>
        <v>2815</v>
      </c>
      <c r="M116">
        <f t="shared" si="0"/>
        <v>3200</v>
      </c>
      <c r="N116">
        <f t="shared" si="0"/>
        <v>2691</v>
      </c>
      <c r="O116">
        <f t="shared" si="0"/>
        <v>2890</v>
      </c>
    </row>
    <row r="118" spans="2:15" x14ac:dyDescent="0.2">
      <c r="B118" s="121" t="s">
        <v>279</v>
      </c>
    </row>
    <row r="119" spans="2:15" x14ac:dyDescent="0.2">
      <c r="C119" s="119" t="s">
        <v>277</v>
      </c>
      <c r="D119" s="119" t="s">
        <v>92</v>
      </c>
      <c r="E119" s="119" t="s">
        <v>93</v>
      </c>
      <c r="F119" s="119" t="s">
        <v>94</v>
      </c>
      <c r="G119" s="119" t="s">
        <v>95</v>
      </c>
      <c r="H119" s="119" t="s">
        <v>96</v>
      </c>
      <c r="I119" s="119" t="s">
        <v>97</v>
      </c>
      <c r="J119" s="119" t="s">
        <v>98</v>
      </c>
      <c r="K119" s="119" t="s">
        <v>99</v>
      </c>
      <c r="L119" s="119" t="s">
        <v>100</v>
      </c>
      <c r="M119" s="119" t="s">
        <v>101</v>
      </c>
      <c r="N119" s="119" t="s">
        <v>102</v>
      </c>
      <c r="O119" s="119" t="s">
        <v>103</v>
      </c>
    </row>
    <row r="120" spans="2:15" x14ac:dyDescent="0.2">
      <c r="C120" s="119" t="s">
        <v>126</v>
      </c>
      <c r="D120">
        <f>D109*pricing!D15*2000</f>
        <v>927182.18092284608</v>
      </c>
      <c r="E120">
        <f>E109*pricing!E15*2000</f>
        <v>0</v>
      </c>
      <c r="F120">
        <f>F109*pricing!F15*2000</f>
        <v>0</v>
      </c>
      <c r="G120">
        <f>G109*pricing!G15*2000</f>
        <v>0</v>
      </c>
      <c r="H120">
        <f>H109*pricing!H15*2000</f>
        <v>0</v>
      </c>
      <c r="I120">
        <f>I109*pricing!I15*2000</f>
        <v>0</v>
      </c>
      <c r="J120">
        <f>J109*pricing!J15*2000</f>
        <v>0</v>
      </c>
      <c r="K120">
        <f>K109*pricing!K15*2000</f>
        <v>0</v>
      </c>
      <c r="L120">
        <f>L109*pricing!L15*2000</f>
        <v>0</v>
      </c>
      <c r="M120">
        <f>M109*pricing!M15*2000</f>
        <v>0</v>
      </c>
      <c r="N120">
        <f>N109*pricing!N15*2000</f>
        <v>0</v>
      </c>
      <c r="O120">
        <f>O109*pricing!O15*2000</f>
        <v>0</v>
      </c>
    </row>
    <row r="121" spans="2:15" x14ac:dyDescent="0.2">
      <c r="C121" s="119" t="s">
        <v>127</v>
      </c>
      <c r="D121">
        <f>D110*pricing!D16*2000</f>
        <v>1516675.4789636277</v>
      </c>
      <c r="E121">
        <f>E110*pricing!E16*2000</f>
        <v>0</v>
      </c>
      <c r="F121">
        <f>F110*pricing!F16*2000</f>
        <v>0</v>
      </c>
      <c r="G121">
        <f>G110*pricing!G16*2000</f>
        <v>0</v>
      </c>
      <c r="H121">
        <f>H110*pricing!H16*2000</f>
        <v>0</v>
      </c>
      <c r="I121">
        <f>I110*pricing!I16*2000</f>
        <v>0</v>
      </c>
      <c r="J121">
        <f>J110*pricing!J16*2000</f>
        <v>0</v>
      </c>
      <c r="K121">
        <f>K110*pricing!K16*2000</f>
        <v>0</v>
      </c>
      <c r="L121">
        <f>L110*pricing!L16*2000</f>
        <v>0</v>
      </c>
      <c r="M121">
        <f>M110*pricing!M16*2000</f>
        <v>0</v>
      </c>
      <c r="N121">
        <f>N110*pricing!N16*2000</f>
        <v>0</v>
      </c>
      <c r="O121">
        <f>O110*pricing!O16*2000</f>
        <v>0</v>
      </c>
    </row>
    <row r="122" spans="2:15" x14ac:dyDescent="0.2">
      <c r="C122" s="119" t="s">
        <v>128</v>
      </c>
      <c r="D122">
        <f>D111*pricing!D17*2000</f>
        <v>1524786.1968520591</v>
      </c>
      <c r="E122">
        <f>E111*pricing!E17*2000</f>
        <v>0</v>
      </c>
      <c r="F122">
        <f>F111*pricing!F17*2000</f>
        <v>0</v>
      </c>
      <c r="G122">
        <f>G111*pricing!G17*2000</f>
        <v>0</v>
      </c>
      <c r="H122">
        <f>H111*pricing!H17*2000</f>
        <v>0</v>
      </c>
      <c r="I122">
        <f>I111*pricing!I17*2000</f>
        <v>0</v>
      </c>
      <c r="J122">
        <f>J111*pricing!J17*2000</f>
        <v>0</v>
      </c>
      <c r="K122">
        <f>K111*pricing!K17*2000</f>
        <v>0</v>
      </c>
      <c r="L122">
        <f>L111*pricing!L17*2000</f>
        <v>0</v>
      </c>
      <c r="M122">
        <f>M111*pricing!M17*2000</f>
        <v>0</v>
      </c>
      <c r="N122">
        <f>N111*pricing!N17*2000</f>
        <v>0</v>
      </c>
      <c r="O122">
        <f>O111*pricing!O17*2000</f>
        <v>0</v>
      </c>
    </row>
    <row r="123" spans="2:15" x14ac:dyDescent="0.2">
      <c r="C123" s="119" t="s">
        <v>129</v>
      </c>
      <c r="D123">
        <f>D112*pricing!D18*2000</f>
        <v>1856293.5927643431</v>
      </c>
      <c r="E123">
        <f>E112*pricing!E18*2000</f>
        <v>851256.44794393261</v>
      </c>
      <c r="F123">
        <f>F112*pricing!F18*2000</f>
        <v>687378.20128092961</v>
      </c>
      <c r="G123">
        <f>G112*pricing!G18*2000</f>
        <v>978717.30645960162</v>
      </c>
      <c r="H123">
        <f>H112*pricing!H18*2000</f>
        <v>851256.44794393261</v>
      </c>
      <c r="I123">
        <f>I112*pricing!I18*2000</f>
        <v>924091.22423860058</v>
      </c>
      <c r="J123">
        <f>J112*pricing!J18*2000</f>
        <v>650960.81313359551</v>
      </c>
      <c r="K123">
        <f>K112*pricing!K18*2000</f>
        <v>892226.00960968342</v>
      </c>
      <c r="L123">
        <f>L112*pricing!L18*2000</f>
        <v>764765.15109401429</v>
      </c>
      <c r="M123">
        <f>M112*pricing!M18*2000</f>
        <v>933195.57127543422</v>
      </c>
      <c r="N123">
        <f>N112*pricing!N18*2000</f>
        <v>773869.49813084793</v>
      </c>
      <c r="O123">
        <f>O112*pricing!O18*2000</f>
        <v>914986.87720176717</v>
      </c>
    </row>
    <row r="124" spans="2:15" x14ac:dyDescent="0.2">
      <c r="C124" s="119" t="s">
        <v>130</v>
      </c>
      <c r="D124">
        <f>D113*pricing!D19*2000</f>
        <v>5088536.2259224355</v>
      </c>
      <c r="E124">
        <f>E113*pricing!E19*2000</f>
        <v>6292658.3160302378</v>
      </c>
      <c r="F124">
        <f>F113*pricing!F19*2000</f>
        <v>7309737.1240088446</v>
      </c>
      <c r="G124">
        <f>G113*pricing!G19*2000</f>
        <v>7338678.3909025434</v>
      </c>
      <c r="H124">
        <f>H113*pricing!H19*2000</f>
        <v>6408423.3836050378</v>
      </c>
      <c r="I124">
        <f>I113*pricing!I19*2000</f>
        <v>6689567.1191438399</v>
      </c>
      <c r="J124">
        <f>J113*pricing!J19*2000</f>
        <v>6466305.9173924383</v>
      </c>
      <c r="K124">
        <f>K113*pricing!K19*2000</f>
        <v>6611012.2518609399</v>
      </c>
      <c r="L124">
        <f>L113*pricing!L19*2000</f>
        <v>6073531.5809779372</v>
      </c>
      <c r="M124">
        <f>M113*pricing!M19*2000</f>
        <v>7289064.7905133441</v>
      </c>
      <c r="N124">
        <f>N113*pricing!N19*2000</f>
        <v>5593933.4438823331</v>
      </c>
      <c r="O124">
        <f>O113*pricing!O19*2000</f>
        <v>6168624.3150572376</v>
      </c>
    </row>
    <row r="125" spans="2:15" x14ac:dyDescent="0.2">
      <c r="C125" s="119" t="s">
        <v>131</v>
      </c>
      <c r="D125">
        <f>D114*pricing!D20*2000</f>
        <v>1555266.056283117</v>
      </c>
      <c r="E125">
        <f>E114*pricing!E20*2000</f>
        <v>1863868.2346996788</v>
      </c>
      <c r="F125">
        <f>F114*pricing!F20*2000</f>
        <v>2062240.020210953</v>
      </c>
      <c r="G125">
        <f>G114*pricing!G20*2000</f>
        <v>1847337.2525737393</v>
      </c>
      <c r="H125">
        <f>H114*pricing!H20*2000</f>
        <v>2405257.8993241978</v>
      </c>
      <c r="I125">
        <f>I114*pricing!I20*2000</f>
        <v>1921726.6721404672</v>
      </c>
      <c r="J125">
        <f>J114*pricing!J20*2000</f>
        <v>1839071.7615107696</v>
      </c>
      <c r="K125">
        <f>K114*pricing!K20*2000</f>
        <v>2525107.519737259</v>
      </c>
      <c r="L125">
        <f>L114*pricing!L20*2000</f>
        <v>2326735.7342259847</v>
      </c>
      <c r="M125">
        <f>M114*pricing!M20*2000</f>
        <v>2231682.5870018327</v>
      </c>
      <c r="N125">
        <f>N114*pricing!N20*2000</f>
        <v>2347399.4618834094</v>
      </c>
      <c r="O125">
        <f>O114*pricing!O20*2000</f>
        <v>2425921.6269816221</v>
      </c>
    </row>
    <row r="126" spans="2:15" x14ac:dyDescent="0.2">
      <c r="C126" s="119" t="s">
        <v>132</v>
      </c>
      <c r="D126">
        <f>D115*pricing!D21*2000</f>
        <v>2365241.3384536752</v>
      </c>
      <c r="E126">
        <f>E115*pricing!E21*2000</f>
        <v>2710975.7524789535</v>
      </c>
      <c r="F126">
        <f>F115*pricing!F21*2000</f>
        <v>2745354.0681806793</v>
      </c>
      <c r="G126">
        <f>G115*pricing!G21*2000</f>
        <v>3010558.2178797075</v>
      </c>
      <c r="H126">
        <f>H115*pricing!H21*2000</f>
        <v>2858311.3912006356</v>
      </c>
      <c r="I126">
        <f>I115*pricing!I21*2000</f>
        <v>2671686.2488198383</v>
      </c>
      <c r="J126">
        <f>J115*pricing!J21*2000</f>
        <v>2706064.5645215642</v>
      </c>
      <c r="K126">
        <f>K115*pricing!K21*2000</f>
        <v>3010558.2178797075</v>
      </c>
      <c r="L126">
        <f>L115*pricing!L21*2000</f>
        <v>3020380.593794486</v>
      </c>
      <c r="M126">
        <f>M115*pricing!M21*2000</f>
        <v>3398542.0665134708</v>
      </c>
      <c r="N126">
        <f>N115*pricing!N21*2000</f>
        <v>2946712.7744336454</v>
      </c>
      <c r="O126">
        <f>O115*pricing!O21*2000</f>
        <v>2995824.6540075392</v>
      </c>
    </row>
    <row r="127" spans="2:15" x14ac:dyDescent="0.2">
      <c r="C127" s="119" t="s">
        <v>278</v>
      </c>
      <c r="D127">
        <f t="shared" ref="D127:O127" si="1">SUM(D$120:D$126)</f>
        <v>14833981.070162103</v>
      </c>
      <c r="E127">
        <f t="shared" si="1"/>
        <v>11718758.751152802</v>
      </c>
      <c r="F127">
        <f t="shared" si="1"/>
        <v>12804709.413681407</v>
      </c>
      <c r="G127">
        <f t="shared" si="1"/>
        <v>13175291.167815592</v>
      </c>
      <c r="H127">
        <f t="shared" si="1"/>
        <v>12523249.122073803</v>
      </c>
      <c r="I127">
        <f t="shared" si="1"/>
        <v>12207071.264342748</v>
      </c>
      <c r="J127">
        <f t="shared" si="1"/>
        <v>11662403.056558367</v>
      </c>
      <c r="K127">
        <f t="shared" si="1"/>
        <v>13038903.999087589</v>
      </c>
      <c r="L127">
        <f t="shared" si="1"/>
        <v>12185413.060092421</v>
      </c>
      <c r="M127">
        <f t="shared" si="1"/>
        <v>13852485.015304083</v>
      </c>
      <c r="N127">
        <f t="shared" si="1"/>
        <v>11661915.178330235</v>
      </c>
      <c r="O127">
        <f t="shared" si="1"/>
        <v>12505357.473248165</v>
      </c>
    </row>
    <row r="129" spans="2:15" x14ac:dyDescent="0.2">
      <c r="B129" s="121" t="s">
        <v>280</v>
      </c>
    </row>
    <row r="130" spans="2:15" x14ac:dyDescent="0.2">
      <c r="C130" s="123" t="s">
        <v>277</v>
      </c>
      <c r="D130" s="123" t="s">
        <v>92</v>
      </c>
      <c r="E130" s="123" t="s">
        <v>93</v>
      </c>
      <c r="F130" s="123" t="s">
        <v>94</v>
      </c>
      <c r="G130" s="123" t="s">
        <v>95</v>
      </c>
      <c r="H130" s="123" t="s">
        <v>96</v>
      </c>
      <c r="I130" s="123" t="s">
        <v>97</v>
      </c>
      <c r="J130" s="123" t="s">
        <v>98</v>
      </c>
      <c r="K130" s="123" t="s">
        <v>99</v>
      </c>
      <c r="L130" s="123" t="s">
        <v>100</v>
      </c>
      <c r="M130" s="123" t="s">
        <v>101</v>
      </c>
      <c r="N130" s="123" t="s">
        <v>102</v>
      </c>
      <c r="O130" s="123" t="s">
        <v>103</v>
      </c>
    </row>
    <row r="131" spans="2:15" x14ac:dyDescent="0.2">
      <c r="C131" s="123" t="s">
        <v>126</v>
      </c>
      <c r="D131" s="124">
        <f>SUM(E$6:E$19)+SUM(G$6:G$19)+SUM(I$6:I$19)+SUM(K$6:K$19)</f>
        <v>76641.056363613359</v>
      </c>
      <c r="E131" s="124">
        <f>SUM(M$6:M$19)+SUM(O$6:O$19)+SUM(Q$6:Q$19)+SUM(S$6:S$19)</f>
        <v>0</v>
      </c>
      <c r="F131" s="124">
        <f>SUM(U$6:U$19)+SUM(W$6:W$19)+SUM(Y$6:Y$19)+SUM(AA$6:AA$19)</f>
        <v>0</v>
      </c>
      <c r="G131" s="124">
        <f>SUM(AC$6:AC$19)+SUM(AE$6:AE$19)+SUM(AG$6:AG$19)+SUM(AI$6:AI$19)</f>
        <v>0</v>
      </c>
      <c r="H131" s="124">
        <f>SUM(AK$6:AK$19)+SUM(AM$6:AM$19)+SUM(AO$6:AO$19)+SUM(AQ$6:AQ$19)</f>
        <v>0</v>
      </c>
      <c r="I131" s="124">
        <f>SUM(AS$6:AS$19)+SUM(AU$6:AU$19)+SUM(AW$6:AW$19)+SUM(AY$6:AY$19)</f>
        <v>0</v>
      </c>
      <c r="J131" s="124">
        <f>SUM(BA$6:BA$19)+SUM(BC$6:BC$19)+SUM(BE$6:BE$19)+SUM(BG$6:BG$19)</f>
        <v>0</v>
      </c>
      <c r="K131" s="124">
        <f>SUM(BI$6:BI$19)+SUM(BK$6:BK$19)+SUM(BM$6:BM$19)+SUM(BO$6:BO$19)</f>
        <v>0</v>
      </c>
      <c r="L131" s="124">
        <f>SUM(BQ$6:BQ$19)+SUM(BS$6:BS$19)+SUM(BU$6:BU$19)+SUM(BW$6:BW$19)</f>
        <v>0</v>
      </c>
      <c r="M131" s="124">
        <f>SUM(BY$6:BY$19)+SUM(CA$6:CA$19)+SUM(CC$6:CC$19)+SUM(CE$6:CE$19)</f>
        <v>0</v>
      </c>
      <c r="N131" s="124">
        <f>SUM(CG$6:CG$19)+SUM(CI$6:CI$19)+SUM(CK$6:CK$19)+SUM(CM$6:CM$19)</f>
        <v>0</v>
      </c>
      <c r="O131" s="124">
        <f>SUM(CO$6:CO$19)+SUM(CQ$6:CQ$19)+SUM(CS$6:CS$19)+SUM(CU$6:CU$19)</f>
        <v>0</v>
      </c>
    </row>
    <row r="132" spans="2:15" x14ac:dyDescent="0.2">
      <c r="C132" s="123" t="s">
        <v>127</v>
      </c>
      <c r="D132" s="124">
        <f>SUM(E$20:E$36)+SUM(G$20:G$36)+SUM(I$20:I$36)+SUM(K$20:K$36)</f>
        <v>116656.07124743362</v>
      </c>
      <c r="E132" s="124">
        <f>SUM(M$20:M$36)+SUM(O$20:O$36)+SUM(Q$20:Q$36)+SUM(S$20:S$36)</f>
        <v>0</v>
      </c>
      <c r="F132" s="124">
        <f>SUM(U$20:U$36)+SUM(W$20:W$36)+SUM(Y$20:Y$36)+SUM(AA$20:AA$36)</f>
        <v>0</v>
      </c>
      <c r="G132" s="124">
        <f>SUM(AC$20:AC$36)+SUM(AE$20:AE$36)+SUM(AG$20:AG$36)+SUM(AI$20:AI$36)</f>
        <v>0</v>
      </c>
      <c r="H132" s="124">
        <f>SUM(AK$20:AK$36)+SUM(AM$20:AM$36)+SUM(AO$20:AO$36)+SUM(AQ$20:AQ$36)</f>
        <v>0</v>
      </c>
      <c r="I132" s="124">
        <f>SUM(AS$20:AS$36)+SUM(AU$20:AU$36)+SUM(AW$20:AW$36)+SUM(AY$20:AY$36)</f>
        <v>0</v>
      </c>
      <c r="J132" s="124">
        <f>SUM(BA$20:BA$36)+SUM(BC$20:BC$36)+SUM(BE$20:BE$36)+SUM(BG$20:BG$36)</f>
        <v>0</v>
      </c>
      <c r="K132" s="124">
        <f>SUM(BI$20:BI$36)+SUM(BK$20:BK$36)+SUM(BM$20:BM$36)+SUM(BO$20:BO$36)</f>
        <v>0</v>
      </c>
      <c r="L132" s="124">
        <f>SUM(BQ$20:BQ$36)+SUM(BS$20:BS$36)+SUM(BU$20:BU$36)+SUM(BW$20:BW$36)</f>
        <v>0</v>
      </c>
      <c r="M132" s="124">
        <f>SUM(BY$20:BY$36)+SUM(CA$20:CA$36)+SUM(CC$20:CC$36)+SUM(CE$20:CE$36)</f>
        <v>0</v>
      </c>
      <c r="N132" s="124">
        <f>SUM(CG$20:CG$36)+SUM(CI$20:CI$36)+SUM(CK$20:CK$36)+SUM(CM$20:CM$36)</f>
        <v>0</v>
      </c>
      <c r="O132" s="124">
        <f>SUM(CO$20:CO$36)+SUM(CQ$20:CQ$36)+SUM(CS$20:CS$36)+SUM(CU$20:CU$36)</f>
        <v>0</v>
      </c>
    </row>
    <row r="133" spans="2:15" x14ac:dyDescent="0.2">
      <c r="C133" s="123" t="s">
        <v>128</v>
      </c>
      <c r="D133" s="124">
        <f>SUM(E$37:E$48)+SUM(G$37:G$48)+SUM(I$37:I$48)+SUM(K$37:K$48)</f>
        <v>361179.76040420181</v>
      </c>
      <c r="E133" s="124">
        <f>SUM(M$37:M$48)+SUM(O$37:O$48)+SUM(Q$37:Q$48)+SUM(S$37:S$48)</f>
        <v>0</v>
      </c>
      <c r="F133" s="124">
        <f>SUM(U$37:U$48)+SUM(W$37:W$48)+SUM(Y$37:Y$48)+SUM(AA$37:AA$48)</f>
        <v>0</v>
      </c>
      <c r="G133" s="124">
        <f>SUM(AC$37:AC$48)+SUM(AE$37:AE$48)+SUM(AG$37:AG$48)+SUM(AI$37:AI$48)</f>
        <v>0</v>
      </c>
      <c r="H133" s="124">
        <f>SUM(AK$37:AK$48)+SUM(AM$37:AM$48)+SUM(AO$37:AO$48)+SUM(AQ$37:AQ$48)</f>
        <v>0</v>
      </c>
      <c r="I133" s="124">
        <f>SUM(AS$37:AS$48)+SUM(AU$37:AU$48)+SUM(AW$37:AW$48)+SUM(AY$37:AY$48)</f>
        <v>0</v>
      </c>
      <c r="J133" s="124">
        <f>SUM(BA$37:BA$48)+SUM(BC$37:BC$48)+SUM(BE$37:BE$48)+SUM(BG$37:BG$48)</f>
        <v>0</v>
      </c>
      <c r="K133" s="124">
        <f>SUM(BI$37:BI$48)+SUM(BK$37:BK$48)+SUM(BM$37:BM$48)+SUM(BO$37:BO$48)</f>
        <v>0</v>
      </c>
      <c r="L133" s="124">
        <f>SUM(BQ$37:BQ$48)+SUM(BS$37:BS$48)+SUM(BU$37:BU$48)+SUM(BW$37:BW$48)</f>
        <v>0</v>
      </c>
      <c r="M133" s="124">
        <f>SUM(BY$37:BY$48)+SUM(CA$37:CA$48)+SUM(CC$37:CC$48)+SUM(CE$37:CE$48)</f>
        <v>0</v>
      </c>
      <c r="N133" s="124">
        <f>SUM(CG$37:CG$48)+SUM(CI$37:CI$48)+SUM(CK$37:CK$48)+SUM(CM$37:CM$48)</f>
        <v>0</v>
      </c>
      <c r="O133" s="124">
        <f>SUM(CO$37:CO$48)+SUM(CQ$37:CQ$48)+SUM(CS$37:CS$48)+SUM(CU$37:CU$48)</f>
        <v>0</v>
      </c>
    </row>
    <row r="134" spans="2:15" x14ac:dyDescent="0.2">
      <c r="C134" s="123" t="s">
        <v>129</v>
      </c>
      <c r="D134" s="124">
        <f>SUM(E$49:E$70)+SUM(G$49:G$70)+SUM(I$49:I$70)+SUM(K$49:K$70)</f>
        <v>367682.55430081591</v>
      </c>
      <c r="E134" s="124">
        <f>SUM(M$49:M$70)+SUM(O$49:O$70)+SUM(Q$49:Q$70)+SUM(S$49:S$70)</f>
        <v>206238</v>
      </c>
      <c r="F134" s="124">
        <f>SUM(U$49:U$70)+SUM(W$49:W$70)+SUM(Y$49:Y$70)+SUM(AA$49:AA$70)</f>
        <v>166453.19999999998</v>
      </c>
      <c r="G134" s="124">
        <f>SUM(AC$49:AC$70)+SUM(AE$49:AE$70)+SUM(AG$49:AG$70)+SUM(AI$49:AI$70)</f>
        <v>237757.2</v>
      </c>
      <c r="H134" s="124">
        <f>SUM(AK$49:AK$70)+SUM(AM$49:AM$70)+SUM(AO$49:AO$70)+SUM(AQ$49:AQ$70)</f>
        <v>206211.6</v>
      </c>
      <c r="I134" s="124">
        <f>SUM(AS$49:AS$70)+SUM(AU$49:AU$70)+SUM(AW$49:AW$70)+SUM(AY$49:AY$70)</f>
        <v>223954.8</v>
      </c>
      <c r="J134" s="124">
        <f>SUM(BA$49:BA$70)+SUM(BC$49:BC$70)+SUM(BE$49:BE$70)+SUM(BG$49:BG$70)</f>
        <v>157882.79999999999</v>
      </c>
      <c r="K134" s="124">
        <f>SUM(BI$49:BI$70)+SUM(BK$49:BK$70)+SUM(BM$49:BM$70)+SUM(BO$49:BO$70)</f>
        <v>216508.79999999999</v>
      </c>
      <c r="L134" s="124">
        <f>SUM(BQ$49:BQ$70)+SUM(BS$49:BS$70)+SUM(BU$49:BU$70)+SUM(BW$49:BW$70)</f>
        <v>185320.8</v>
      </c>
      <c r="M134" s="124">
        <f>SUM(BY$49:BY$70)+SUM(CA$49:CA$70)+SUM(CC$49:CC$70)+SUM(CE$49:CE$70)</f>
        <v>226090.8</v>
      </c>
      <c r="N134" s="124">
        <f>SUM(CG$49:CG$70)+SUM(CI$49:CI$70)+SUM(CK$49:CK$70)+SUM(CM$49:CM$70)</f>
        <v>187893.6</v>
      </c>
      <c r="O134" s="124">
        <f>SUM(CO$49:CO$70)+SUM(CQ$49:CQ$70)+SUM(CS$49:CS$70)+SUM(CU$49:CU$70)</f>
        <v>222507.6</v>
      </c>
    </row>
    <row r="135" spans="2:15" x14ac:dyDescent="0.2">
      <c r="C135" s="123" t="s">
        <v>130</v>
      </c>
      <c r="D135" s="124">
        <f>SUM(E$71:E$86)+SUM(G$71:G$86)+SUM(I$71:I$86)+SUM(K$71:K$86)</f>
        <v>686825.11758562468</v>
      </c>
      <c r="E135" s="124">
        <f>SUM(M$71:M$86)+SUM(O$71:O$86)+SUM(Q$71:Q$86)+SUM(S$71:S$86)</f>
        <v>847539.6</v>
      </c>
      <c r="F135" s="124">
        <f>SUM(U$71:U$86)+SUM(W$71:W$86)+SUM(Y$71:Y$86)+SUM(AA$71:AA$86)</f>
        <v>985174.79999999993</v>
      </c>
      <c r="G135" s="124">
        <f>SUM(AC$71:AC$86)+SUM(AE$71:AE$86)+SUM(AG$71:AG$86)+SUM(AI$71:AI$86)</f>
        <v>988520.39999999991</v>
      </c>
      <c r="H135" s="124">
        <f>SUM(AK$71:AK$86)+SUM(AM$71:AM$86)+SUM(AO$71:AO$86)+SUM(AQ$71:AQ$86)</f>
        <v>864178.8</v>
      </c>
      <c r="I135" s="124">
        <f>SUM(AS$71:AS$86)+SUM(AU$71:AU$86)+SUM(AW$71:AW$86)+SUM(AY$71:AY$86)</f>
        <v>893910</v>
      </c>
      <c r="J135" s="124">
        <f>SUM(BA$71:BA$86)+SUM(BC$71:BC$86)+SUM(BE$71:BE$86)+SUM(BG$71:BG$86)</f>
        <v>872794.8</v>
      </c>
      <c r="K135" s="124">
        <f>SUM(BI$71:BI$86)+SUM(BK$71:BK$86)+SUM(BM$71:BM$86)+SUM(BO$71:BO$86)</f>
        <v>892303.2</v>
      </c>
      <c r="L135" s="124">
        <f>SUM(BQ$71:BQ$86)+SUM(BS$71:BS$86)+SUM(BU$71:BU$86)+SUM(BW$71:BW$86)</f>
        <v>815664</v>
      </c>
      <c r="M135" s="124">
        <f>SUM(BY$71:BY$86)+SUM(CA$71:CA$86)+SUM(CC$71:CC$86)+SUM(CE$71:CE$86)</f>
        <v>983919.6</v>
      </c>
      <c r="N135" s="124">
        <f>SUM(CG$71:CG$86)+SUM(CI$71:CI$86)+SUM(CK$71:CK$86)+SUM(CM$71:CM$86)</f>
        <v>754682.39999999991</v>
      </c>
      <c r="O135" s="124">
        <f>SUM(CO$71:CO$86)+SUM(CQ$71:CQ$86)+SUM(CS$71:CS$86)+SUM(CU$71:CU$86)</f>
        <v>832699.2</v>
      </c>
    </row>
    <row r="136" spans="2:15" x14ac:dyDescent="0.2">
      <c r="C136" s="123" t="s">
        <v>131</v>
      </c>
      <c r="D136" s="124">
        <f>SUM(E$87:E$94)+SUM(G$87:G$94)+SUM(I$87:I$94)+SUM(K$87:K$94)</f>
        <v>763393.68363213982</v>
      </c>
      <c r="E136" s="124">
        <f>SUM(M$87:M$94)+SUM(O$87:O$94)+SUM(Q$87:Q$94)+SUM(S$87:S$94)</f>
        <v>916718.39999999991</v>
      </c>
      <c r="F136" s="124">
        <f>SUM(U$87:U$94)+SUM(W$87:W$94)+SUM(Y$87:Y$94)+SUM(AA$87:AA$94)</f>
        <v>1013415.5999999999</v>
      </c>
      <c r="G136" s="124">
        <f>SUM(AC$87:AC$94)+SUM(AE$87:AE$94)+SUM(AG$87:AG$94)+SUM(AI$87:AI$94)</f>
        <v>907610.39999999991</v>
      </c>
      <c r="H136" s="124">
        <f>SUM(AK$87:AK$94)+SUM(AM$87:AM$94)+SUM(AO$87:AO$94)+SUM(AQ$87:AQ$94)</f>
        <v>1183809.6000000001</v>
      </c>
      <c r="I136" s="124">
        <f>SUM(AS$87:AS$94)+SUM(AU$87:AU$94)+SUM(AW$87:AW$94)+SUM(AY$87:AY$94)</f>
        <v>943699.2</v>
      </c>
      <c r="J136" s="124">
        <f>SUM(BA$87:BA$94)+SUM(BC$87:BC$94)+SUM(BE$87:BE$94)+SUM(BG$87:BG$94)</f>
        <v>906536.39999999991</v>
      </c>
      <c r="K136" s="124">
        <f>SUM(BI$87:BI$94)+SUM(BK$87:BK$94)+SUM(BM$87:BM$94)+SUM(BO$87:BO$94)</f>
        <v>1238742</v>
      </c>
      <c r="L136" s="124">
        <f>SUM(BQ$87:BQ$94)+SUM(BS$87:BS$94)+SUM(BU$87:BU$94)+SUM(BW$87:BW$94)</f>
        <v>1142295.5999999999</v>
      </c>
      <c r="M136" s="124">
        <f>SUM(BY$87:BY$94)+SUM(CA$87:CA$94)+SUM(CC$87:CC$94)+SUM(CE$87:CE$94)</f>
        <v>1097656.7999999998</v>
      </c>
      <c r="N136" s="124">
        <f>SUM(CG$87:CG$94)+SUM(CI$87:CI$94)+SUM(CK$87:CK$94)+SUM(CM$87:CM$94)</f>
        <v>1152610.8</v>
      </c>
      <c r="O136" s="124">
        <f>SUM(CO$87:CO$94)+SUM(CQ$87:CQ$94)+SUM(CS$87:CS$94)+SUM(CU$87:CU$94)</f>
        <v>1194348</v>
      </c>
    </row>
    <row r="137" spans="2:15" x14ac:dyDescent="0.2">
      <c r="C137" s="123" t="s">
        <v>132</v>
      </c>
      <c r="D137" s="124">
        <f>SUM(E$95:E$105)+SUM(G$95:G$105)+SUM(I$95:I$105)+SUM(K$95:K$105)</f>
        <v>918368.65619909065</v>
      </c>
      <c r="E137" s="124">
        <f>SUM(M$95:M$105)+SUM(O$95:O$105)+SUM(Q$95:Q$105)+SUM(S$95:S$105)</f>
        <v>1051884</v>
      </c>
      <c r="F137" s="124">
        <f>SUM(U$95:U$105)+SUM(W$95:W$105)+SUM(Y$95:Y$105)+SUM(AA$95:AA$105)</f>
        <v>1065924</v>
      </c>
      <c r="G137" s="124">
        <f>SUM(AC$95:AC$105)+SUM(AE$95:AE$105)+SUM(AG$95:AG$105)+SUM(AI$95:AI$105)</f>
        <v>1151837.9999999998</v>
      </c>
      <c r="H137" s="124">
        <f>SUM(AK$95:AK$105)+SUM(AM$95:AM$105)+SUM(AO$95:AO$105)+SUM(AQ$95:AQ$105)</f>
        <v>1105155.5999999999</v>
      </c>
      <c r="I137" s="124">
        <f>SUM(AS$95:AS$105)+SUM(AU$95:AU$105)+SUM(AW$95:AW$105)+SUM(AY$95:AY$105)</f>
        <v>1031299.2</v>
      </c>
      <c r="J137" s="124">
        <f>SUM(BA$95:BA$105)+SUM(BC$95:BC$105)+SUM(BE$95:BE$105)+SUM(BG$95:BG$105)</f>
        <v>1054142.3999999999</v>
      </c>
      <c r="K137" s="124">
        <f>SUM(BI$95:BI$105)+SUM(BK$95:BK$105)+SUM(BM$95:BM$105)+SUM(BO$95:BO$105)</f>
        <v>1174808.3999999999</v>
      </c>
      <c r="L137" s="124">
        <f>SUM(BQ$95:BQ$105)+SUM(BS$95:BS$105)+SUM(BU$95:BU$105)+SUM(BW$95:BW$105)</f>
        <v>1167969.5999999999</v>
      </c>
      <c r="M137" s="124">
        <f>SUM(BY$95:BY$105)+SUM(CA$95:CA$105)+SUM(CC$95:CC$105)+SUM(CE$95:CE$105)</f>
        <v>1304631.6000000001</v>
      </c>
      <c r="N137" s="124">
        <f>SUM(CG$95:CG$105)+SUM(CI$95:CI$105)+SUM(CK$95:CK$105)+SUM(CM$95:CM$105)</f>
        <v>1149407.9999999998</v>
      </c>
      <c r="O137" s="124">
        <f>SUM(CO$95:CO$105)+SUM(CQ$95:CQ$105)+SUM(CS$95:CS$105)+SUM(CU$95:CU$105)</f>
        <v>1165066.8</v>
      </c>
    </row>
    <row r="138" spans="2:15" x14ac:dyDescent="0.2">
      <c r="C138" s="123" t="s">
        <v>278</v>
      </c>
      <c r="D138">
        <f t="shared" ref="D138:O138" si="2">SUM(D$131:D$137)</f>
        <v>3290746.8997329199</v>
      </c>
      <c r="E138">
        <f t="shared" si="2"/>
        <v>3022380</v>
      </c>
      <c r="F138">
        <f t="shared" si="2"/>
        <v>3230967.5999999996</v>
      </c>
      <c r="G138">
        <f t="shared" si="2"/>
        <v>3285726</v>
      </c>
      <c r="H138">
        <f t="shared" si="2"/>
        <v>3359355.5999999996</v>
      </c>
      <c r="I138">
        <f t="shared" si="2"/>
        <v>3092863.2</v>
      </c>
      <c r="J138">
        <f t="shared" si="2"/>
        <v>2991356.4</v>
      </c>
      <c r="K138">
        <f t="shared" si="2"/>
        <v>3522362.4</v>
      </c>
      <c r="L138">
        <f t="shared" si="2"/>
        <v>3311250</v>
      </c>
      <c r="M138">
        <f t="shared" si="2"/>
        <v>3612298.8</v>
      </c>
      <c r="N138">
        <f t="shared" si="2"/>
        <v>3244594.8</v>
      </c>
      <c r="O138">
        <f t="shared" si="2"/>
        <v>3414621.5999999996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21" t="s">
        <v>281</v>
      </c>
    </row>
    <row r="4" spans="1:99" x14ac:dyDescent="0.2">
      <c r="A4" s="120"/>
      <c r="B4" s="120"/>
      <c r="C4" s="119" t="s">
        <v>274</v>
      </c>
      <c r="D4" s="119" t="s">
        <v>92</v>
      </c>
      <c r="E4" s="120"/>
      <c r="F4" s="120"/>
      <c r="G4" s="120"/>
      <c r="H4" s="120"/>
      <c r="I4" s="120"/>
      <c r="J4" s="120"/>
      <c r="K4" s="120"/>
      <c r="L4" s="119" t="s">
        <v>93</v>
      </c>
      <c r="M4" s="120"/>
      <c r="N4" s="120"/>
      <c r="O4" s="120"/>
      <c r="P4" s="120"/>
      <c r="Q4" s="120"/>
      <c r="R4" s="120"/>
      <c r="S4" s="120"/>
      <c r="T4" s="119" t="s">
        <v>94</v>
      </c>
      <c r="U4" s="120"/>
      <c r="V4" s="120"/>
      <c r="W4" s="120"/>
      <c r="X4" s="120"/>
      <c r="Y4" s="120"/>
      <c r="Z4" s="120"/>
      <c r="AA4" s="120"/>
      <c r="AB4" s="119" t="s">
        <v>95</v>
      </c>
      <c r="AC4" s="120"/>
      <c r="AD4" s="120"/>
      <c r="AE4" s="120"/>
      <c r="AF4" s="120"/>
      <c r="AG4" s="120"/>
      <c r="AH4" s="120"/>
      <c r="AI4" s="120"/>
      <c r="AJ4" s="119" t="s">
        <v>96</v>
      </c>
      <c r="AK4" s="120"/>
      <c r="AL4" s="120"/>
      <c r="AM4" s="120"/>
      <c r="AN4" s="120"/>
      <c r="AO4" s="120"/>
      <c r="AP4" s="120"/>
      <c r="AQ4" s="120"/>
      <c r="AR4" s="119" t="s">
        <v>97</v>
      </c>
      <c r="AS4" s="120"/>
      <c r="AT4" s="120"/>
      <c r="AU4" s="120"/>
      <c r="AV4" s="120"/>
      <c r="AW4" s="120"/>
      <c r="AX4" s="120"/>
      <c r="AY4" s="120"/>
      <c r="AZ4" s="119" t="s">
        <v>98</v>
      </c>
      <c r="BA4" s="120"/>
      <c r="BB4" s="120"/>
      <c r="BC4" s="120"/>
      <c r="BD4" s="120"/>
      <c r="BE4" s="120"/>
      <c r="BF4" s="120"/>
      <c r="BG4" s="120"/>
      <c r="BH4" s="119" t="s">
        <v>99</v>
      </c>
      <c r="BI4" s="120"/>
      <c r="BJ4" s="120"/>
      <c r="BK4" s="120"/>
      <c r="BL4" s="120"/>
      <c r="BM4" s="120"/>
      <c r="BN4" s="120"/>
      <c r="BO4" s="120"/>
      <c r="BP4" s="119" t="s">
        <v>100</v>
      </c>
      <c r="BQ4" s="120"/>
      <c r="BR4" s="120"/>
      <c r="BS4" s="120"/>
      <c r="BT4" s="120"/>
      <c r="BU4" s="120"/>
      <c r="BV4" s="120"/>
      <c r="BW4" s="120"/>
      <c r="BX4" s="119" t="s">
        <v>101</v>
      </c>
      <c r="BY4" s="120"/>
      <c r="BZ4" s="120"/>
      <c r="CA4" s="120"/>
      <c r="CB4" s="120"/>
      <c r="CC4" s="120"/>
      <c r="CD4" s="120"/>
      <c r="CE4" s="120"/>
      <c r="CF4" s="119" t="s">
        <v>102</v>
      </c>
      <c r="CG4" s="120"/>
      <c r="CH4" s="120"/>
      <c r="CI4" s="120"/>
      <c r="CJ4" s="120"/>
      <c r="CK4" s="120"/>
      <c r="CL4" s="120"/>
      <c r="CM4" s="120"/>
      <c r="CN4" s="119" t="s">
        <v>103</v>
      </c>
      <c r="CO4" s="120"/>
      <c r="CP4" s="120"/>
      <c r="CQ4" s="120"/>
      <c r="CR4" s="120"/>
      <c r="CS4" s="120"/>
      <c r="CT4" s="120"/>
      <c r="CU4" s="120"/>
    </row>
    <row r="5" spans="1:99" x14ac:dyDescent="0.2">
      <c r="B5" s="119" t="s">
        <v>167</v>
      </c>
      <c r="C5" s="119" t="s">
        <v>275</v>
      </c>
      <c r="D5" s="119">
        <v>1</v>
      </c>
      <c r="E5" s="119"/>
      <c r="F5" s="119">
        <v>2</v>
      </c>
      <c r="G5" s="119"/>
      <c r="H5" s="119">
        <v>3</v>
      </c>
      <c r="I5" s="119"/>
      <c r="J5" s="119">
        <v>4</v>
      </c>
      <c r="K5" s="119"/>
      <c r="L5" s="119">
        <v>1</v>
      </c>
      <c r="M5" s="119"/>
      <c r="N5" s="119">
        <v>2</v>
      </c>
      <c r="O5" s="119"/>
      <c r="P5" s="119">
        <v>3</v>
      </c>
      <c r="Q5" s="119"/>
      <c r="R5" s="119">
        <v>4</v>
      </c>
      <c r="S5" s="119"/>
      <c r="T5" s="119">
        <v>1</v>
      </c>
      <c r="U5" s="119"/>
      <c r="V5" s="119">
        <v>2</v>
      </c>
      <c r="W5" s="119"/>
      <c r="X5" s="119">
        <v>3</v>
      </c>
      <c r="Y5" s="119"/>
      <c r="Z5" s="119">
        <v>4</v>
      </c>
      <c r="AA5" s="119"/>
      <c r="AB5" s="119">
        <v>1</v>
      </c>
      <c r="AC5" s="119"/>
      <c r="AD5" s="119">
        <v>2</v>
      </c>
      <c r="AE5" s="119"/>
      <c r="AF5" s="119">
        <v>3</v>
      </c>
      <c r="AG5" s="119"/>
      <c r="AH5" s="119">
        <v>4</v>
      </c>
      <c r="AI5" s="119"/>
      <c r="AJ5" s="119">
        <v>1</v>
      </c>
      <c r="AK5" s="119"/>
      <c r="AL5" s="119">
        <v>2</v>
      </c>
      <c r="AM5" s="119"/>
      <c r="AN5" s="119">
        <v>3</v>
      </c>
      <c r="AO5" s="119"/>
      <c r="AP5" s="119">
        <v>4</v>
      </c>
      <c r="AQ5" s="119"/>
      <c r="AR5" s="119">
        <v>1</v>
      </c>
      <c r="AS5" s="119"/>
      <c r="AT5" s="119">
        <v>2</v>
      </c>
      <c r="AU5" s="119"/>
      <c r="AV5" s="119">
        <v>3</v>
      </c>
      <c r="AW5" s="119"/>
      <c r="AX5" s="119">
        <v>4</v>
      </c>
      <c r="AY5" s="119"/>
      <c r="AZ5" s="119">
        <v>1</v>
      </c>
      <c r="BA5" s="119"/>
      <c r="BB5" s="119">
        <v>2</v>
      </c>
      <c r="BC5" s="119"/>
      <c r="BD5" s="119">
        <v>3</v>
      </c>
      <c r="BE5" s="119"/>
      <c r="BF5" s="119">
        <v>4</v>
      </c>
      <c r="BG5" s="119"/>
      <c r="BH5" s="119">
        <v>1</v>
      </c>
      <c r="BI5" s="119"/>
      <c r="BJ5" s="119">
        <v>2</v>
      </c>
      <c r="BK5" s="119"/>
      <c r="BL5" s="119">
        <v>3</v>
      </c>
      <c r="BM5" s="119"/>
      <c r="BN5" s="119">
        <v>4</v>
      </c>
      <c r="BO5" s="119"/>
      <c r="BP5" s="119">
        <v>1</v>
      </c>
      <c r="BQ5" s="119"/>
      <c r="BR5" s="119">
        <v>2</v>
      </c>
      <c r="BS5" s="119"/>
      <c r="BT5" s="119">
        <v>3</v>
      </c>
      <c r="BU5" s="119"/>
      <c r="BV5" s="119">
        <v>4</v>
      </c>
      <c r="BW5" s="119"/>
      <c r="BX5" s="119">
        <v>1</v>
      </c>
      <c r="BY5" s="119"/>
      <c r="BZ5" s="119">
        <v>2</v>
      </c>
      <c r="CA5" s="119"/>
      <c r="CB5" s="119">
        <v>3</v>
      </c>
      <c r="CC5" s="119"/>
      <c r="CD5" s="119">
        <v>4</v>
      </c>
      <c r="CE5" s="119"/>
      <c r="CF5" s="119">
        <v>1</v>
      </c>
      <c r="CG5" s="119"/>
      <c r="CH5" s="119">
        <v>2</v>
      </c>
      <c r="CI5" s="119"/>
      <c r="CJ5" s="119">
        <v>3</v>
      </c>
      <c r="CK5" s="119"/>
      <c r="CL5" s="119">
        <v>4</v>
      </c>
      <c r="CM5" s="119"/>
      <c r="CN5" s="119">
        <v>1</v>
      </c>
      <c r="CO5" s="119"/>
      <c r="CP5" s="119">
        <v>2</v>
      </c>
      <c r="CQ5" s="119"/>
      <c r="CR5" s="119">
        <v>3</v>
      </c>
      <c r="CS5" s="119"/>
      <c r="CT5" s="119">
        <v>4</v>
      </c>
      <c r="CU5" s="119"/>
    </row>
    <row r="6" spans="1:99" x14ac:dyDescent="0.2">
      <c r="B6" s="119" t="s">
        <v>126</v>
      </c>
      <c r="C6" s="119" t="s">
        <v>172</v>
      </c>
      <c r="D6">
        <v>27</v>
      </c>
      <c r="E6">
        <v>15616.8</v>
      </c>
      <c r="F6">
        <v>30.151974556952915</v>
      </c>
      <c r="G6">
        <v>17439.902083741566</v>
      </c>
      <c r="H6">
        <v>18.03793683424281</v>
      </c>
      <c r="I6">
        <v>10433.142664926041</v>
      </c>
      <c r="J6">
        <v>30</v>
      </c>
      <c r="K6">
        <v>17352</v>
      </c>
      <c r="L6">
        <v>25</v>
      </c>
      <c r="M6">
        <v>14460</v>
      </c>
      <c r="N6">
        <v>18</v>
      </c>
      <c r="O6">
        <v>10411.199999999999</v>
      </c>
      <c r="P6">
        <v>21</v>
      </c>
      <c r="Q6">
        <v>12146.4</v>
      </c>
      <c r="R6">
        <v>18</v>
      </c>
      <c r="S6">
        <v>10411.199999999999</v>
      </c>
      <c r="T6">
        <v>24</v>
      </c>
      <c r="U6">
        <v>13881.599999999999</v>
      </c>
      <c r="V6">
        <v>33</v>
      </c>
      <c r="W6">
        <v>19087.2</v>
      </c>
      <c r="X6">
        <v>29</v>
      </c>
      <c r="Y6">
        <v>16773.599999999999</v>
      </c>
      <c r="Z6">
        <v>28</v>
      </c>
      <c r="AA6">
        <v>16195.199999999999</v>
      </c>
      <c r="AB6">
        <v>36</v>
      </c>
      <c r="AC6">
        <v>20822.399999999998</v>
      </c>
      <c r="AD6">
        <v>23</v>
      </c>
      <c r="AE6">
        <v>13303.199999999999</v>
      </c>
      <c r="AF6">
        <v>18</v>
      </c>
      <c r="AG6">
        <v>10411.199999999999</v>
      </c>
      <c r="AH6">
        <v>24</v>
      </c>
      <c r="AI6">
        <v>13881.599999999999</v>
      </c>
      <c r="AJ6">
        <v>31</v>
      </c>
      <c r="AK6">
        <v>17930.399999999998</v>
      </c>
      <c r="AL6">
        <v>27</v>
      </c>
      <c r="AM6">
        <v>15616.8</v>
      </c>
      <c r="AN6">
        <v>10.878411202439594</v>
      </c>
      <c r="AO6">
        <v>6292.0730394910606</v>
      </c>
      <c r="AP6">
        <v>9.159874448677801</v>
      </c>
      <c r="AQ6">
        <v>5298.07138111524</v>
      </c>
      <c r="AR6">
        <v>7.5344056570039504</v>
      </c>
      <c r="AS6">
        <v>4357.9002320110849</v>
      </c>
      <c r="AT6">
        <v>7.1361812565280545</v>
      </c>
      <c r="AU6">
        <v>4127.5672387758268</v>
      </c>
      <c r="AV6">
        <v>5.3168083124132286</v>
      </c>
      <c r="AW6">
        <v>3075.2419278998113</v>
      </c>
      <c r="AX6">
        <v>7.2158916879648753</v>
      </c>
      <c r="AY6">
        <v>4173.6717523188836</v>
      </c>
      <c r="AZ6">
        <v>8.9220791618481599</v>
      </c>
      <c r="BA6">
        <v>5160.5305872129757</v>
      </c>
      <c r="BB6">
        <v>10.017629014748145</v>
      </c>
      <c r="BC6">
        <v>5794.1966221303273</v>
      </c>
      <c r="BD6">
        <v>5.0930422245760383</v>
      </c>
      <c r="BE6">
        <v>2945.8156226947804</v>
      </c>
      <c r="BF6">
        <v>6.7661570432265989</v>
      </c>
      <c r="BG6">
        <v>3913.5452338022646</v>
      </c>
      <c r="BH6">
        <v>5.9115438140262819</v>
      </c>
      <c r="BI6">
        <v>3419.2369420328014</v>
      </c>
      <c r="BJ6">
        <v>6.4542142320130278</v>
      </c>
      <c r="BK6">
        <v>3733.1175117963353</v>
      </c>
      <c r="BL6">
        <v>5.4784560508626816</v>
      </c>
      <c r="BM6">
        <v>3168.7389798189747</v>
      </c>
      <c r="BN6">
        <v>6.8492348577344595</v>
      </c>
      <c r="BO6">
        <v>3961.5974417136113</v>
      </c>
      <c r="BP6">
        <v>4.876255523756968</v>
      </c>
      <c r="BQ6">
        <v>2820.4261949410302</v>
      </c>
      <c r="BR6">
        <v>5.5401632864943604</v>
      </c>
      <c r="BS6">
        <v>3204.4304449083379</v>
      </c>
      <c r="BT6">
        <v>6.1803785303264123</v>
      </c>
      <c r="BU6">
        <v>3574.7309419407966</v>
      </c>
      <c r="BV6">
        <v>5.9261451145366237</v>
      </c>
      <c r="BW6">
        <v>3427.6823342479829</v>
      </c>
      <c r="BX6">
        <v>5.8320545649110853</v>
      </c>
      <c r="BY6">
        <v>3373.2603603445718</v>
      </c>
      <c r="BZ6">
        <v>6.4497905073851918</v>
      </c>
      <c r="CA6">
        <v>3730.5588294715949</v>
      </c>
      <c r="CB6">
        <v>8.1828211741521688</v>
      </c>
      <c r="CC6">
        <v>4732.9437671296146</v>
      </c>
      <c r="CD6">
        <v>10.016636088886836</v>
      </c>
      <c r="CE6">
        <v>5793.6223138121459</v>
      </c>
      <c r="CF6">
        <v>8.2446560948636467</v>
      </c>
      <c r="CG6">
        <v>4768.7090852691326</v>
      </c>
      <c r="CH6">
        <v>8.2583258678006324</v>
      </c>
      <c r="CI6">
        <v>4776.6156819358857</v>
      </c>
      <c r="CJ6">
        <v>8.5720380363428728</v>
      </c>
      <c r="CK6">
        <v>4958.0668002207176</v>
      </c>
      <c r="CL6">
        <v>9.1913899041782106</v>
      </c>
      <c r="CM6">
        <v>5316.2999205766764</v>
      </c>
      <c r="CN6">
        <v>7.9832401699045556</v>
      </c>
      <c r="CO6">
        <v>4617.5061142727945</v>
      </c>
      <c r="CP6">
        <v>5.9583649326350745</v>
      </c>
      <c r="CQ6">
        <v>3446.3182770361268</v>
      </c>
      <c r="CR6">
        <v>8.0271432445606905</v>
      </c>
      <c r="CS6">
        <v>4642.8996526539031</v>
      </c>
      <c r="CT6">
        <v>7.8725500826591333</v>
      </c>
      <c r="CU6">
        <v>4553.4829678100423</v>
      </c>
    </row>
    <row r="7" spans="1:99" x14ac:dyDescent="0.2">
      <c r="C7" s="119" t="s">
        <v>173</v>
      </c>
      <c r="D7">
        <v>25</v>
      </c>
      <c r="E7">
        <v>19710</v>
      </c>
      <c r="F7">
        <v>31.1329777373338</v>
      </c>
      <c r="G7">
        <v>24545.239648113966</v>
      </c>
      <c r="H7">
        <v>16.03793683424281</v>
      </c>
      <c r="I7">
        <v>12644.309400117032</v>
      </c>
      <c r="J7">
        <v>33</v>
      </c>
      <c r="K7">
        <v>26017.200000000001</v>
      </c>
      <c r="L7">
        <v>26</v>
      </c>
      <c r="M7">
        <v>20498.399999999998</v>
      </c>
      <c r="N7">
        <v>18</v>
      </c>
      <c r="O7">
        <v>14191.199999999999</v>
      </c>
      <c r="P7">
        <v>24</v>
      </c>
      <c r="Q7">
        <v>18921.599999999999</v>
      </c>
      <c r="R7">
        <v>20</v>
      </c>
      <c r="S7">
        <v>15768</v>
      </c>
      <c r="T7">
        <v>23</v>
      </c>
      <c r="U7">
        <v>18133.2</v>
      </c>
      <c r="V7">
        <v>32</v>
      </c>
      <c r="W7">
        <v>25228.799999999999</v>
      </c>
      <c r="X7">
        <v>27</v>
      </c>
      <c r="Y7">
        <v>21286.799999999999</v>
      </c>
      <c r="Z7">
        <v>28</v>
      </c>
      <c r="AA7">
        <v>22075.200000000001</v>
      </c>
      <c r="AB7">
        <v>31</v>
      </c>
      <c r="AC7">
        <v>24440.399999999998</v>
      </c>
      <c r="AD7">
        <v>24</v>
      </c>
      <c r="AE7">
        <v>18921.599999999999</v>
      </c>
      <c r="AF7">
        <v>17</v>
      </c>
      <c r="AG7">
        <v>13402.8</v>
      </c>
      <c r="AH7">
        <v>24</v>
      </c>
      <c r="AI7">
        <v>18921.599999999999</v>
      </c>
      <c r="AJ7">
        <v>27</v>
      </c>
      <c r="AK7">
        <v>21286.799999999999</v>
      </c>
      <c r="AL7">
        <v>28</v>
      </c>
      <c r="AM7">
        <v>22075.200000000001</v>
      </c>
      <c r="AN7">
        <v>11.603638615935568</v>
      </c>
      <c r="AO7">
        <v>9148.3086848036019</v>
      </c>
      <c r="AP7">
        <v>8.0495866367168567</v>
      </c>
      <c r="AQ7">
        <v>6346.2941043875699</v>
      </c>
      <c r="AR7">
        <v>7.762720979943464</v>
      </c>
      <c r="AS7">
        <v>6120.129220587427</v>
      </c>
      <c r="AT7">
        <v>6.184690422324314</v>
      </c>
      <c r="AU7">
        <v>4876.0099289604887</v>
      </c>
      <c r="AV7">
        <v>5.5699896606233823</v>
      </c>
      <c r="AW7">
        <v>4391.3798484354747</v>
      </c>
      <c r="AX7">
        <v>6.253772796236226</v>
      </c>
      <c r="AY7">
        <v>4930.4744725526407</v>
      </c>
      <c r="AZ7">
        <v>8.1573295194040316</v>
      </c>
      <c r="BA7">
        <v>6431.2385930981382</v>
      </c>
      <c r="BB7">
        <v>9.7540071985705623</v>
      </c>
      <c r="BC7">
        <v>7690.0592753530309</v>
      </c>
      <c r="BD7">
        <v>5.6589358050844876</v>
      </c>
      <c r="BE7">
        <v>4461.5049887286095</v>
      </c>
      <c r="BF7">
        <v>6.5547146356257695</v>
      </c>
      <c r="BG7">
        <v>5167.7370187273564</v>
      </c>
      <c r="BH7">
        <v>5.9115438140262819</v>
      </c>
      <c r="BI7">
        <v>4660.6611429783206</v>
      </c>
      <c r="BJ7">
        <v>7.0154502521880744</v>
      </c>
      <c r="BK7">
        <v>5530.9809788250777</v>
      </c>
      <c r="BL7">
        <v>4.7313938621086802</v>
      </c>
      <c r="BM7">
        <v>3730.2309208864835</v>
      </c>
      <c r="BN7">
        <v>6.0434425215304053</v>
      </c>
      <c r="BO7">
        <v>4764.6500839745713</v>
      </c>
      <c r="BP7">
        <v>4.644052879768541</v>
      </c>
      <c r="BQ7">
        <v>3661.3712904095178</v>
      </c>
      <c r="BR7">
        <v>4.7091387935202054</v>
      </c>
      <c r="BS7">
        <v>3712.6850248113296</v>
      </c>
      <c r="BT7">
        <v>6.9220239539655815</v>
      </c>
      <c r="BU7">
        <v>5457.3236853064645</v>
      </c>
      <c r="BV7">
        <v>6.8743283328624836</v>
      </c>
      <c r="BW7">
        <v>5419.7204576287822</v>
      </c>
      <c r="BX7">
        <v>5.6077447739529669</v>
      </c>
      <c r="BY7">
        <v>4421.1459797845191</v>
      </c>
      <c r="BZ7">
        <v>7.0106418558534687</v>
      </c>
      <c r="CA7">
        <v>5527.1900391548743</v>
      </c>
      <c r="CB7">
        <v>8.1828211741521688</v>
      </c>
      <c r="CC7">
        <v>6451.3362137015692</v>
      </c>
      <c r="CD7">
        <v>10.273472911678805</v>
      </c>
      <c r="CE7">
        <v>8099.6060435675699</v>
      </c>
      <c r="CF7">
        <v>6.9564285800412025</v>
      </c>
      <c r="CG7">
        <v>5484.448292504484</v>
      </c>
      <c r="CH7">
        <v>8.2583258678006324</v>
      </c>
      <c r="CI7">
        <v>6510.8641141740181</v>
      </c>
      <c r="CJ7">
        <v>8.3403613326579311</v>
      </c>
      <c r="CK7">
        <v>6575.540874667513</v>
      </c>
      <c r="CL7">
        <v>8.9429739608220427</v>
      </c>
      <c r="CM7">
        <v>7050.6406707120987</v>
      </c>
      <c r="CN7">
        <v>6.6527001415871299</v>
      </c>
      <c r="CO7">
        <v>5244.9887916272928</v>
      </c>
      <c r="CP7">
        <v>6.2420965960938881</v>
      </c>
      <c r="CQ7">
        <v>4921.2689563604208</v>
      </c>
      <c r="CR7">
        <v>6.5676626546405643</v>
      </c>
      <c r="CS7">
        <v>5177.945236918621</v>
      </c>
      <c r="CT7">
        <v>8.1040956733255776</v>
      </c>
      <c r="CU7">
        <v>6389.2690288498852</v>
      </c>
    </row>
    <row r="8" spans="1:99" x14ac:dyDescent="0.2">
      <c r="C8" s="119" t="s">
        <v>174</v>
      </c>
      <c r="D8">
        <v>24</v>
      </c>
      <c r="E8">
        <v>7430.4</v>
      </c>
      <c r="F8">
        <v>33.151974556952915</v>
      </c>
      <c r="G8">
        <v>10263.851322832621</v>
      </c>
      <c r="H8">
        <v>17.043356381991785</v>
      </c>
      <c r="I8">
        <v>5276.6231358646564</v>
      </c>
      <c r="J8">
        <v>36</v>
      </c>
      <c r="K8">
        <v>11145.599999999999</v>
      </c>
      <c r="L8">
        <v>24</v>
      </c>
      <c r="M8">
        <v>7430.4</v>
      </c>
      <c r="N8">
        <v>19</v>
      </c>
      <c r="O8">
        <v>5882.4</v>
      </c>
      <c r="P8">
        <v>24</v>
      </c>
      <c r="Q8">
        <v>7430.4</v>
      </c>
      <c r="R8">
        <v>20</v>
      </c>
      <c r="S8">
        <v>6191.9999999999991</v>
      </c>
      <c r="T8">
        <v>26</v>
      </c>
      <c r="U8">
        <v>8049.5999999999995</v>
      </c>
      <c r="V8">
        <v>35</v>
      </c>
      <c r="W8">
        <v>10835.999999999998</v>
      </c>
      <c r="X8">
        <v>32</v>
      </c>
      <c r="Y8">
        <v>9907.1999999999989</v>
      </c>
      <c r="Z8">
        <v>28</v>
      </c>
      <c r="AA8">
        <v>8668.7999999999993</v>
      </c>
      <c r="AB8">
        <v>35</v>
      </c>
      <c r="AC8">
        <v>10835.999999999998</v>
      </c>
      <c r="AD8">
        <v>22</v>
      </c>
      <c r="AE8">
        <v>6811.1999999999989</v>
      </c>
      <c r="AF8">
        <v>17</v>
      </c>
      <c r="AG8">
        <v>5263.2</v>
      </c>
      <c r="AH8">
        <v>26</v>
      </c>
      <c r="AI8">
        <v>8049.5999999999995</v>
      </c>
      <c r="AJ8">
        <v>30</v>
      </c>
      <c r="AK8">
        <v>9287.9999999999982</v>
      </c>
      <c r="AL8">
        <v>29</v>
      </c>
      <c r="AM8">
        <v>8978.4</v>
      </c>
      <c r="AN8">
        <v>13.416707149675501</v>
      </c>
      <c r="AO8">
        <v>4153.8125335395343</v>
      </c>
      <c r="AP8">
        <v>8.8823024956875649</v>
      </c>
      <c r="AQ8">
        <v>2749.9608526648699</v>
      </c>
      <c r="AR8">
        <v>7.077775011124924</v>
      </c>
      <c r="AS8">
        <v>2191.2791434442761</v>
      </c>
      <c r="AT8">
        <v>7.8497993821808603</v>
      </c>
      <c r="AU8">
        <v>2430.2978887231939</v>
      </c>
      <c r="AV8">
        <v>5.8231710088335369</v>
      </c>
      <c r="AW8">
        <v>1802.8537443348628</v>
      </c>
      <c r="AX8">
        <v>6.7348322421005511</v>
      </c>
      <c r="AY8">
        <v>2085.1040621543302</v>
      </c>
      <c r="AZ8">
        <v>9.6868288042922881</v>
      </c>
      <c r="BA8">
        <v>2999.0421978088921</v>
      </c>
      <c r="BB8">
        <v>10.017629014748145</v>
      </c>
      <c r="BC8">
        <v>3101.4579429660253</v>
      </c>
      <c r="BD8">
        <v>5.3759890148302638</v>
      </c>
      <c r="BE8">
        <v>1664.4061989914494</v>
      </c>
      <c r="BF8">
        <v>6.3432722280249374</v>
      </c>
      <c r="BG8">
        <v>1963.8770817965203</v>
      </c>
      <c r="BH8">
        <v>5.9115438140262819</v>
      </c>
      <c r="BI8">
        <v>1830.2139648225366</v>
      </c>
      <c r="BJ8">
        <v>6.4542142320130278</v>
      </c>
      <c r="BK8">
        <v>1998.2247262312333</v>
      </c>
      <c r="BL8">
        <v>5.7274767804473488</v>
      </c>
      <c r="BM8">
        <v>1773.226811226499</v>
      </c>
      <c r="BN8">
        <v>7.6550271939385137</v>
      </c>
      <c r="BO8">
        <v>2369.9964192433636</v>
      </c>
      <c r="BP8">
        <v>5.3406608117338221</v>
      </c>
      <c r="BQ8">
        <v>1653.4685873127912</v>
      </c>
      <c r="BR8">
        <v>5.2631551221696418</v>
      </c>
      <c r="BS8">
        <v>1629.472825823721</v>
      </c>
      <c r="BT8">
        <v>6.4275936715394693</v>
      </c>
      <c r="BU8">
        <v>1989.9830007086196</v>
      </c>
      <c r="BV8">
        <v>6.8743283328624836</v>
      </c>
      <c r="BW8">
        <v>2128.2920518542246</v>
      </c>
      <c r="BX8">
        <v>6.2806741468273222</v>
      </c>
      <c r="BY8">
        <v>1944.4967158577388</v>
      </c>
      <c r="BZ8">
        <v>6.1693648331510529</v>
      </c>
      <c r="CA8">
        <v>1910.0353523435658</v>
      </c>
      <c r="CB8">
        <v>7.9006549267676123</v>
      </c>
      <c r="CC8">
        <v>2446.0427653272527</v>
      </c>
      <c r="CD8">
        <v>10.273472911678805</v>
      </c>
      <c r="CE8">
        <v>3180.667213455758</v>
      </c>
      <c r="CF8">
        <v>7.2140740830056913</v>
      </c>
      <c r="CG8">
        <v>2233.4773360985619</v>
      </c>
      <c r="CH8">
        <v>8.9661823707549733</v>
      </c>
      <c r="CI8">
        <v>2775.9300619857395</v>
      </c>
      <c r="CJ8">
        <v>9.4987448510826429</v>
      </c>
      <c r="CK8">
        <v>2940.811405895186</v>
      </c>
      <c r="CL8">
        <v>9.4398058475343785</v>
      </c>
      <c r="CM8">
        <v>2922.5638903966433</v>
      </c>
      <c r="CN8">
        <v>8.204996841290793</v>
      </c>
      <c r="CO8">
        <v>2540.2670220636292</v>
      </c>
      <c r="CP8">
        <v>5.6746332691762618</v>
      </c>
      <c r="CQ8">
        <v>1756.8664601369705</v>
      </c>
      <c r="CR8">
        <v>8.0271432445606905</v>
      </c>
      <c r="CS8">
        <v>2485.2035485159895</v>
      </c>
      <c r="CT8">
        <v>7.8725500826591333</v>
      </c>
      <c r="CU8">
        <v>2437.3415055912674</v>
      </c>
    </row>
    <row r="9" spans="1:99" x14ac:dyDescent="0.2">
      <c r="C9" s="119" t="s">
        <v>175</v>
      </c>
      <c r="D9">
        <v>28</v>
      </c>
      <c r="E9">
        <v>19656</v>
      </c>
      <c r="F9">
        <v>32.170971376572027</v>
      </c>
      <c r="G9">
        <v>22584.021906353562</v>
      </c>
      <c r="H9">
        <v>17.03793683424281</v>
      </c>
      <c r="I9">
        <v>11960.631657638452</v>
      </c>
      <c r="J9">
        <v>32</v>
      </c>
      <c r="K9">
        <v>22464</v>
      </c>
      <c r="L9">
        <v>26</v>
      </c>
      <c r="M9">
        <v>18252</v>
      </c>
      <c r="N9">
        <v>19</v>
      </c>
      <c r="O9">
        <v>13338</v>
      </c>
      <c r="P9">
        <v>23</v>
      </c>
      <c r="Q9">
        <v>16146</v>
      </c>
      <c r="R9">
        <v>20</v>
      </c>
      <c r="S9">
        <v>14040</v>
      </c>
      <c r="T9">
        <v>24</v>
      </c>
      <c r="U9">
        <v>16848</v>
      </c>
      <c r="V9">
        <v>32</v>
      </c>
      <c r="W9">
        <v>22464</v>
      </c>
      <c r="X9">
        <v>26</v>
      </c>
      <c r="Y9">
        <v>18252</v>
      </c>
      <c r="Z9">
        <v>24</v>
      </c>
      <c r="AA9">
        <v>16848</v>
      </c>
      <c r="AB9">
        <v>35</v>
      </c>
      <c r="AC9">
        <v>24570</v>
      </c>
      <c r="AD9">
        <v>21</v>
      </c>
      <c r="AE9">
        <v>14742</v>
      </c>
      <c r="AF9">
        <v>17</v>
      </c>
      <c r="AG9">
        <v>11934</v>
      </c>
      <c r="AH9">
        <v>23</v>
      </c>
      <c r="AI9">
        <v>16146</v>
      </c>
      <c r="AJ9">
        <v>28</v>
      </c>
      <c r="AK9">
        <v>19656</v>
      </c>
      <c r="AL9">
        <v>25</v>
      </c>
      <c r="AM9">
        <v>17550</v>
      </c>
      <c r="AN9">
        <v>11.603638615935568</v>
      </c>
      <c r="AO9">
        <v>8145.7543083867686</v>
      </c>
      <c r="AP9">
        <v>8.6047305426973288</v>
      </c>
      <c r="AQ9">
        <v>6040.5208409735251</v>
      </c>
      <c r="AR9">
        <v>7.5344056570039504</v>
      </c>
      <c r="AS9">
        <v>5289.1527712167735</v>
      </c>
      <c r="AT9">
        <v>7.6119266736299247</v>
      </c>
      <c r="AU9">
        <v>5343.5725248882072</v>
      </c>
      <c r="AV9">
        <v>5.0636269642030749</v>
      </c>
      <c r="AW9">
        <v>3554.6661288705586</v>
      </c>
      <c r="AX9">
        <v>7.4564214108970388</v>
      </c>
      <c r="AY9">
        <v>5234.4078304497216</v>
      </c>
      <c r="AZ9">
        <v>8.9220791618481599</v>
      </c>
      <c r="BA9">
        <v>6263.2995716174082</v>
      </c>
      <c r="BB9">
        <v>8.9631417500378134</v>
      </c>
      <c r="BC9">
        <v>6292.1255085265448</v>
      </c>
      <c r="BD9">
        <v>5.6589358050844876</v>
      </c>
      <c r="BE9">
        <v>3972.5729351693103</v>
      </c>
      <c r="BF9">
        <v>6.5547146356257695</v>
      </c>
      <c r="BG9">
        <v>4601.4096742092906</v>
      </c>
      <c r="BH9">
        <v>6.2226776989750334</v>
      </c>
      <c r="BI9">
        <v>4368.3197446804734</v>
      </c>
      <c r="BJ9">
        <v>6.4542142320130278</v>
      </c>
      <c r="BK9">
        <v>4530.8583908731453</v>
      </c>
      <c r="BL9">
        <v>5.7274767804473488</v>
      </c>
      <c r="BM9">
        <v>4020.6886998740388</v>
      </c>
      <c r="BN9">
        <v>6.6477867736834453</v>
      </c>
      <c r="BO9">
        <v>4666.7463151257789</v>
      </c>
      <c r="BP9">
        <v>5.1084581677453951</v>
      </c>
      <c r="BQ9">
        <v>3586.1376337572674</v>
      </c>
      <c r="BR9">
        <v>4.986146957844924</v>
      </c>
      <c r="BS9">
        <v>3500.2751644071368</v>
      </c>
      <c r="BT9">
        <v>6.6748088127525254</v>
      </c>
      <c r="BU9">
        <v>4685.7157865522731</v>
      </c>
      <c r="BV9">
        <v>6.8743283328624836</v>
      </c>
      <c r="BW9">
        <v>4825.7784896694639</v>
      </c>
      <c r="BX9">
        <v>5.6077447739529669</v>
      </c>
      <c r="BY9">
        <v>3936.6368313149828</v>
      </c>
      <c r="BZ9">
        <v>7.0106418558534687</v>
      </c>
      <c r="CA9">
        <v>4921.4705828091346</v>
      </c>
      <c r="CB9">
        <v>8.1828211741521688</v>
      </c>
      <c r="CC9">
        <v>5744.3404642548221</v>
      </c>
      <c r="CD9">
        <v>9.502962443302895</v>
      </c>
      <c r="CE9">
        <v>6671.0796351986319</v>
      </c>
      <c r="CF9">
        <v>7.2140740830056913</v>
      </c>
      <c r="CG9">
        <v>5064.2800062699953</v>
      </c>
      <c r="CH9">
        <v>8.4942780354520782</v>
      </c>
      <c r="CI9">
        <v>5962.9831808873587</v>
      </c>
      <c r="CJ9">
        <v>8.1086846289729877</v>
      </c>
      <c r="CK9">
        <v>5692.2966095390375</v>
      </c>
      <c r="CL9">
        <v>8.9429739608220427</v>
      </c>
      <c r="CM9">
        <v>6277.967720497074</v>
      </c>
      <c r="CN9">
        <v>7.3179701557458428</v>
      </c>
      <c r="CO9">
        <v>5137.2150493335812</v>
      </c>
      <c r="CP9">
        <v>6.5258282595527008</v>
      </c>
      <c r="CQ9">
        <v>4581.1314382059963</v>
      </c>
      <c r="CR9">
        <v>7.0541561846139391</v>
      </c>
      <c r="CS9">
        <v>4952.0176415989854</v>
      </c>
      <c r="CT9">
        <v>6.9463677199933525</v>
      </c>
      <c r="CU9">
        <v>4876.3501394353334</v>
      </c>
    </row>
    <row r="10" spans="1:99" x14ac:dyDescent="0.2">
      <c r="C10" s="119" t="s">
        <v>176</v>
      </c>
      <c r="D10">
        <v>27</v>
      </c>
      <c r="E10">
        <v>14709.599999999999</v>
      </c>
      <c r="F10">
        <v>33.151974556952915</v>
      </c>
      <c r="G10">
        <v>18061.195738627946</v>
      </c>
      <c r="H10">
        <v>17.03793683424281</v>
      </c>
      <c r="I10">
        <v>9282.2679872954814</v>
      </c>
      <c r="J10">
        <v>30</v>
      </c>
      <c r="K10">
        <v>16343.999999999998</v>
      </c>
      <c r="L10">
        <v>26</v>
      </c>
      <c r="M10">
        <v>14164.8</v>
      </c>
      <c r="N10">
        <v>19</v>
      </c>
      <c r="O10">
        <v>10351.199999999999</v>
      </c>
      <c r="P10">
        <v>20</v>
      </c>
      <c r="Q10">
        <v>10896</v>
      </c>
      <c r="R10">
        <v>19</v>
      </c>
      <c r="S10">
        <v>10351.199999999999</v>
      </c>
      <c r="T10">
        <v>21</v>
      </c>
      <c r="U10">
        <v>11440.8</v>
      </c>
      <c r="V10">
        <v>35</v>
      </c>
      <c r="W10">
        <v>19068</v>
      </c>
      <c r="X10">
        <v>29</v>
      </c>
      <c r="Y10">
        <v>15799.199999999999</v>
      </c>
      <c r="Z10">
        <v>30</v>
      </c>
      <c r="AA10">
        <v>16343.999999999998</v>
      </c>
      <c r="AB10">
        <v>30</v>
      </c>
      <c r="AC10">
        <v>16343.999999999998</v>
      </c>
      <c r="AD10">
        <v>22</v>
      </c>
      <c r="AE10">
        <v>11985.599999999999</v>
      </c>
      <c r="AF10">
        <v>18</v>
      </c>
      <c r="AG10">
        <v>9806.4</v>
      </c>
      <c r="AH10">
        <v>26</v>
      </c>
      <c r="AI10">
        <v>14164.8</v>
      </c>
      <c r="AJ10">
        <v>31</v>
      </c>
      <c r="AK10">
        <v>16888.8</v>
      </c>
      <c r="AL10">
        <v>30</v>
      </c>
      <c r="AM10">
        <v>16343.999999999998</v>
      </c>
      <c r="AN10">
        <v>12.691479736179527</v>
      </c>
      <c r="AO10">
        <v>6914.3181602706063</v>
      </c>
      <c r="AP10">
        <v>8.0495866367168567</v>
      </c>
      <c r="AQ10">
        <v>4385.4147996833435</v>
      </c>
      <c r="AR10">
        <v>6.8494596881854095</v>
      </c>
      <c r="AS10">
        <v>3731.5856381234107</v>
      </c>
      <c r="AT10">
        <v>6.4225631308752495</v>
      </c>
      <c r="AU10">
        <v>3499.0123937008357</v>
      </c>
      <c r="AV10">
        <v>5.0636269642030749</v>
      </c>
      <c r="AW10">
        <v>2758.6639700978349</v>
      </c>
      <c r="AX10">
        <v>7.4564214108970388</v>
      </c>
      <c r="AY10">
        <v>4062.2583846567063</v>
      </c>
      <c r="AZ10">
        <v>8.1573295194040316</v>
      </c>
      <c r="BA10">
        <v>4444.1131221713158</v>
      </c>
      <c r="BB10">
        <v>10.017629014748145</v>
      </c>
      <c r="BC10">
        <v>5457.6042872347889</v>
      </c>
      <c r="BD10">
        <v>5.6589358050844876</v>
      </c>
      <c r="BE10">
        <v>3082.9882266100285</v>
      </c>
      <c r="BF10">
        <v>6.5547146356257695</v>
      </c>
      <c r="BG10">
        <v>3571.0085334889191</v>
      </c>
      <c r="BH10">
        <v>5.6004099290775304</v>
      </c>
      <c r="BI10">
        <v>3051.1033293614382</v>
      </c>
      <c r="BJ10">
        <v>6.4542142320130278</v>
      </c>
      <c r="BK10">
        <v>3516.2559136006971</v>
      </c>
      <c r="BL10">
        <v>4.9804145916933464</v>
      </c>
      <c r="BM10">
        <v>2713.329869554535</v>
      </c>
      <c r="BN10">
        <v>7.2521310258364871</v>
      </c>
      <c r="BO10">
        <v>3950.9609828757179</v>
      </c>
      <c r="BP10">
        <v>4.876255523756968</v>
      </c>
      <c r="BQ10">
        <v>2656.584009342796</v>
      </c>
      <c r="BR10">
        <v>5.8171714508190773</v>
      </c>
      <c r="BS10">
        <v>3169.195006406233</v>
      </c>
      <c r="BT10">
        <v>6.9220239539655815</v>
      </c>
      <c r="BU10">
        <v>3771.1186501204484</v>
      </c>
      <c r="BV10">
        <v>7.1113741374439483</v>
      </c>
      <c r="BW10">
        <v>3874.2766300794628</v>
      </c>
      <c r="BX10">
        <v>5.8320545649110853</v>
      </c>
      <c r="BY10">
        <v>3177.3033269635589</v>
      </c>
      <c r="BZ10">
        <v>7.2910675300876084</v>
      </c>
      <c r="CA10">
        <v>3972.1735903917288</v>
      </c>
      <c r="CB10">
        <v>8.1828211741521688</v>
      </c>
      <c r="CC10">
        <v>4458.000975678101</v>
      </c>
      <c r="CD10">
        <v>9.502962443302895</v>
      </c>
      <c r="CE10">
        <v>5177.2139391114169</v>
      </c>
      <c r="CF10">
        <v>7.2140740830056913</v>
      </c>
      <c r="CG10">
        <v>3930.2275604215001</v>
      </c>
      <c r="CH10">
        <v>7.5504693648462924</v>
      </c>
      <c r="CI10">
        <v>4113.4957099682597</v>
      </c>
      <c r="CJ10">
        <v>8.1086846289729877</v>
      </c>
      <c r="CK10">
        <v>4417.6113858644831</v>
      </c>
      <c r="CL10">
        <v>10.43346962095905</v>
      </c>
      <c r="CM10">
        <v>5684.1542494984897</v>
      </c>
      <c r="CN10">
        <v>7.7614834985183174</v>
      </c>
      <c r="CO10">
        <v>4228.4562099927789</v>
      </c>
      <c r="CP10">
        <v>5.9583649326350745</v>
      </c>
      <c r="CQ10">
        <v>3246.1172152995882</v>
      </c>
      <c r="CR10">
        <v>6.8109094196272517</v>
      </c>
      <c r="CS10">
        <v>3710.5834518129263</v>
      </c>
      <c r="CT10">
        <v>7.8725500826591333</v>
      </c>
      <c r="CU10">
        <v>4288.9652850326956</v>
      </c>
    </row>
    <row r="11" spans="1:99" x14ac:dyDescent="0.2">
      <c r="C11" s="119" t="s">
        <v>177</v>
      </c>
      <c r="D11">
        <v>27</v>
      </c>
      <c r="E11">
        <v>14385.599999999999</v>
      </c>
      <c r="F11">
        <v>31.151974556952915</v>
      </c>
      <c r="G11">
        <v>16597.772043944511</v>
      </c>
      <c r="H11">
        <v>19.043356381991785</v>
      </c>
      <c r="I11">
        <v>10146.300280325222</v>
      </c>
      <c r="J11">
        <v>32</v>
      </c>
      <c r="K11">
        <v>17049.599999999999</v>
      </c>
      <c r="L11">
        <v>25</v>
      </c>
      <c r="M11">
        <v>13319.999999999998</v>
      </c>
      <c r="N11">
        <v>20</v>
      </c>
      <c r="O11">
        <v>10656</v>
      </c>
      <c r="P11">
        <v>20</v>
      </c>
      <c r="Q11">
        <v>10656</v>
      </c>
      <c r="R11">
        <v>18</v>
      </c>
      <c r="S11">
        <v>9590.4</v>
      </c>
      <c r="T11">
        <v>22</v>
      </c>
      <c r="U11">
        <v>11721.599999999999</v>
      </c>
      <c r="V11">
        <v>34</v>
      </c>
      <c r="W11">
        <v>18115.199999999997</v>
      </c>
      <c r="X11">
        <v>28</v>
      </c>
      <c r="Y11">
        <v>14918.399999999998</v>
      </c>
      <c r="Z11">
        <v>26</v>
      </c>
      <c r="AA11">
        <v>13852.8</v>
      </c>
      <c r="AB11">
        <v>34</v>
      </c>
      <c r="AC11">
        <v>18115.199999999997</v>
      </c>
      <c r="AD11">
        <v>22</v>
      </c>
      <c r="AE11">
        <v>11721.599999999999</v>
      </c>
      <c r="AF11">
        <v>18</v>
      </c>
      <c r="AG11">
        <v>9590.4</v>
      </c>
      <c r="AH11">
        <v>25</v>
      </c>
      <c r="AI11">
        <v>13319.999999999998</v>
      </c>
      <c r="AJ11">
        <v>30</v>
      </c>
      <c r="AK11">
        <v>15983.999999999998</v>
      </c>
      <c r="AL11">
        <v>27</v>
      </c>
      <c r="AM11">
        <v>14385.599999999999</v>
      </c>
      <c r="AN11">
        <v>12.32886602943154</v>
      </c>
      <c r="AO11">
        <v>6568.8198204811233</v>
      </c>
      <c r="AP11">
        <v>7.7720146837266197</v>
      </c>
      <c r="AQ11">
        <v>4140.9294234895424</v>
      </c>
      <c r="AR11">
        <v>6.8494596881854095</v>
      </c>
      <c r="AS11">
        <v>3649.3921218651858</v>
      </c>
      <c r="AT11">
        <v>6.4225631308752495</v>
      </c>
      <c r="AU11">
        <v>3421.9416361303329</v>
      </c>
      <c r="AV11">
        <v>5.3168083124132286</v>
      </c>
      <c r="AW11">
        <v>2832.7954688537679</v>
      </c>
      <c r="AX11">
        <v>7.2158916879648753</v>
      </c>
      <c r="AY11">
        <v>3844.6270913476851</v>
      </c>
      <c r="AZ11">
        <v>9.1769957093295353</v>
      </c>
      <c r="BA11">
        <v>4889.5033139307761</v>
      </c>
      <c r="BB11">
        <v>9.2267635662153964</v>
      </c>
      <c r="BC11">
        <v>4916.0196280795626</v>
      </c>
      <c r="BD11">
        <v>5.6589358050844876</v>
      </c>
      <c r="BE11">
        <v>3015.0809969490147</v>
      </c>
      <c r="BF11">
        <v>6.7661570432265989</v>
      </c>
      <c r="BG11">
        <v>3605.0084726311316</v>
      </c>
      <c r="BH11">
        <v>6.5338115839237858</v>
      </c>
      <c r="BI11">
        <v>3481.2148119145927</v>
      </c>
      <c r="BJ11">
        <v>7.5766862723631192</v>
      </c>
      <c r="BK11">
        <v>4036.8584459150698</v>
      </c>
      <c r="BL11">
        <v>4.9804145916933464</v>
      </c>
      <c r="BM11">
        <v>2653.5648944542149</v>
      </c>
      <c r="BN11">
        <v>6.4463386896324328</v>
      </c>
      <c r="BO11">
        <v>3434.60925383616</v>
      </c>
      <c r="BP11">
        <v>5.1084581677453951</v>
      </c>
      <c r="BQ11">
        <v>2721.7865117747465</v>
      </c>
      <c r="BR11">
        <v>5.8171714508190773</v>
      </c>
      <c r="BS11">
        <v>3099.388948996404</v>
      </c>
      <c r="BT11">
        <v>7.1692390951786376</v>
      </c>
      <c r="BU11">
        <v>3819.7705899111779</v>
      </c>
      <c r="BV11">
        <v>6.8743283328624836</v>
      </c>
      <c r="BW11">
        <v>3662.6421357491308</v>
      </c>
      <c r="BX11">
        <v>5.1591251920367291</v>
      </c>
      <c r="BY11">
        <v>2748.7819023171692</v>
      </c>
      <c r="BZ11">
        <v>6.4497905073851918</v>
      </c>
      <c r="CA11">
        <v>3436.4483823348301</v>
      </c>
      <c r="CB11">
        <v>8.1828211741521688</v>
      </c>
      <c r="CC11">
        <v>4359.8071215882755</v>
      </c>
      <c r="CD11">
        <v>10.016636088886836</v>
      </c>
      <c r="CE11">
        <v>5336.8637081589059</v>
      </c>
      <c r="CF11">
        <v>6.9564285800412025</v>
      </c>
      <c r="CG11">
        <v>3706.3851474459525</v>
      </c>
      <c r="CH11">
        <v>8.2583258678006324</v>
      </c>
      <c r="CI11">
        <v>4400.0360223641765</v>
      </c>
      <c r="CJ11">
        <v>8.5720380363428728</v>
      </c>
      <c r="CK11">
        <v>4567.1818657634822</v>
      </c>
      <c r="CL11">
        <v>9.6882217908905464</v>
      </c>
      <c r="CM11">
        <v>5161.884570186483</v>
      </c>
      <c r="CN11">
        <v>7.0962134843596045</v>
      </c>
      <c r="CO11">
        <v>3780.8625444667969</v>
      </c>
      <c r="CP11">
        <v>6.5258282595527008</v>
      </c>
      <c r="CQ11">
        <v>3476.9612966896789</v>
      </c>
      <c r="CR11">
        <v>6.8109094196272517</v>
      </c>
      <c r="CS11">
        <v>3628.8525387773993</v>
      </c>
      <c r="CT11">
        <v>7.4094589013262429</v>
      </c>
      <c r="CU11">
        <v>3947.7597026266217</v>
      </c>
    </row>
    <row r="12" spans="1:99" x14ac:dyDescent="0.2">
      <c r="C12" s="119" t="s">
        <v>178</v>
      </c>
      <c r="D12">
        <v>24</v>
      </c>
      <c r="E12">
        <v>13507.199999999999</v>
      </c>
      <c r="F12">
        <v>28.151974556952915</v>
      </c>
      <c r="G12">
        <v>15843.9312806531</v>
      </c>
      <c r="H12">
        <v>17.043356381991785</v>
      </c>
      <c r="I12">
        <v>9592.0009717849753</v>
      </c>
      <c r="J12">
        <v>30</v>
      </c>
      <c r="K12">
        <v>16884</v>
      </c>
      <c r="L12">
        <v>24</v>
      </c>
      <c r="M12">
        <v>13507.199999999999</v>
      </c>
      <c r="N12">
        <v>17</v>
      </c>
      <c r="O12">
        <v>9567.5999999999985</v>
      </c>
      <c r="P12">
        <v>23</v>
      </c>
      <c r="Q12">
        <v>12944.4</v>
      </c>
      <c r="R12">
        <v>18</v>
      </c>
      <c r="S12">
        <v>10130.4</v>
      </c>
      <c r="T12">
        <v>25</v>
      </c>
      <c r="U12">
        <v>14069.999999999998</v>
      </c>
      <c r="V12">
        <v>36</v>
      </c>
      <c r="W12">
        <v>20260.8</v>
      </c>
      <c r="X12">
        <v>28</v>
      </c>
      <c r="Y12">
        <v>15758.399999999998</v>
      </c>
      <c r="Z12">
        <v>26</v>
      </c>
      <c r="AA12">
        <v>14632.8</v>
      </c>
      <c r="AB12">
        <v>34</v>
      </c>
      <c r="AC12">
        <v>19135.199999999997</v>
      </c>
      <c r="AD12">
        <v>23</v>
      </c>
      <c r="AE12">
        <v>12944.4</v>
      </c>
      <c r="AF12">
        <v>17</v>
      </c>
      <c r="AG12">
        <v>9567.5999999999985</v>
      </c>
      <c r="AH12">
        <v>27</v>
      </c>
      <c r="AI12">
        <v>15195.599999999999</v>
      </c>
      <c r="AJ12">
        <v>31</v>
      </c>
      <c r="AK12">
        <v>17446.8</v>
      </c>
      <c r="AL12">
        <v>28</v>
      </c>
      <c r="AM12">
        <v>15758.399999999998</v>
      </c>
      <c r="AN12">
        <v>11.966252322683555</v>
      </c>
      <c r="AO12">
        <v>6734.6068072063044</v>
      </c>
      <c r="AP12">
        <v>8.0495866367168567</v>
      </c>
      <c r="AQ12">
        <v>4530.3073591442462</v>
      </c>
      <c r="AR12">
        <v>7.9910363028829776</v>
      </c>
      <c r="AS12">
        <v>4497.3552312625397</v>
      </c>
      <c r="AT12">
        <v>6.4225631308752495</v>
      </c>
      <c r="AU12">
        <v>3614.6185300565903</v>
      </c>
      <c r="AV12">
        <v>5.3168083124132286</v>
      </c>
      <c r="AW12">
        <v>2992.2997182261647</v>
      </c>
      <c r="AX12">
        <v>6.4943025191683876</v>
      </c>
      <c r="AY12">
        <v>3654.9934577879681</v>
      </c>
      <c r="AZ12">
        <v>8.4122460668854071</v>
      </c>
      <c r="BA12">
        <v>4734.412086443107</v>
      </c>
      <c r="BB12">
        <v>8.9631417500378134</v>
      </c>
      <c r="BC12">
        <v>5044.4561769212814</v>
      </c>
      <c r="BD12">
        <v>5.9418825953387122</v>
      </c>
      <c r="BE12">
        <v>3344.0915246566269</v>
      </c>
      <c r="BF12">
        <v>7.1890418584282632</v>
      </c>
      <c r="BG12">
        <v>4045.9927579234263</v>
      </c>
      <c r="BH12">
        <v>6.5338115839237858</v>
      </c>
      <c r="BI12">
        <v>3677.2291594323065</v>
      </c>
      <c r="BJ12">
        <v>7.2960682622755968</v>
      </c>
      <c r="BK12">
        <v>4106.2272180087057</v>
      </c>
      <c r="BL12">
        <v>5.2294353212780145</v>
      </c>
      <c r="BM12">
        <v>2943.1261988152664</v>
      </c>
      <c r="BN12">
        <v>7.4535791098874995</v>
      </c>
      <c r="BO12">
        <v>4194.8743230446844</v>
      </c>
      <c r="BP12">
        <v>5.3406608117338221</v>
      </c>
      <c r="BQ12">
        <v>3005.723904843795</v>
      </c>
      <c r="BR12">
        <v>4.986146957844924</v>
      </c>
      <c r="BS12">
        <v>2806.2035078751228</v>
      </c>
      <c r="BT12">
        <v>6.4275936715394693</v>
      </c>
      <c r="BU12">
        <v>3617.4497183424128</v>
      </c>
      <c r="BV12">
        <v>7.1113741374439483</v>
      </c>
      <c r="BW12">
        <v>4002.2813645534538</v>
      </c>
      <c r="BX12">
        <v>5.1591251920367291</v>
      </c>
      <c r="BY12">
        <v>2903.5556580782709</v>
      </c>
      <c r="BZ12">
        <v>6.4497905073851918</v>
      </c>
      <c r="CA12">
        <v>3629.9420975563858</v>
      </c>
      <c r="CB12">
        <v>8.7471536689212837</v>
      </c>
      <c r="CC12">
        <v>4922.898084868898</v>
      </c>
      <c r="CD12">
        <v>10.787146557262748</v>
      </c>
      <c r="CE12">
        <v>6071.0060824274742</v>
      </c>
      <c r="CF12">
        <v>7.4717195859701793</v>
      </c>
      <c r="CG12">
        <v>4205.0837829840166</v>
      </c>
      <c r="CH12">
        <v>8.9661823707549733</v>
      </c>
      <c r="CI12">
        <v>5046.167438260899</v>
      </c>
      <c r="CJ12">
        <v>8.8037147400278144</v>
      </c>
      <c r="CK12">
        <v>4954.7306556876538</v>
      </c>
      <c r="CL12">
        <v>10.681885564315218</v>
      </c>
      <c r="CM12">
        <v>6011.7651955966039</v>
      </c>
      <c r="CN12">
        <v>7.9832401699045556</v>
      </c>
      <c r="CO12">
        <v>4492.9675676222832</v>
      </c>
      <c r="CP12">
        <v>6.2420965960938881</v>
      </c>
      <c r="CQ12">
        <v>3513.0519642816398</v>
      </c>
      <c r="CR12">
        <v>7.7838964795740013</v>
      </c>
      <c r="CS12">
        <v>4380.7769387042472</v>
      </c>
      <c r="CT12">
        <v>7.6410044919926872</v>
      </c>
      <c r="CU12">
        <v>4300.3573280934843</v>
      </c>
    </row>
    <row r="13" spans="1:99" x14ac:dyDescent="0.2">
      <c r="C13" s="119" t="s">
        <v>179</v>
      </c>
      <c r="D13">
        <v>30</v>
      </c>
      <c r="E13">
        <v>2556</v>
      </c>
      <c r="F13">
        <v>35.151974556952915</v>
      </c>
      <c r="G13">
        <v>2994.9482322523886</v>
      </c>
      <c r="H13">
        <v>20.03793683424281</v>
      </c>
      <c r="I13">
        <v>1707.2322182774874</v>
      </c>
      <c r="J13">
        <v>38</v>
      </c>
      <c r="K13">
        <v>3237.6</v>
      </c>
      <c r="L13">
        <v>26</v>
      </c>
      <c r="M13">
        <v>2215.2000000000003</v>
      </c>
      <c r="N13">
        <v>19</v>
      </c>
      <c r="O13">
        <v>1618.8</v>
      </c>
      <c r="P13">
        <v>21</v>
      </c>
      <c r="Q13">
        <v>1789.2</v>
      </c>
      <c r="R13">
        <v>21</v>
      </c>
      <c r="S13">
        <v>1789.2</v>
      </c>
      <c r="T13">
        <v>22</v>
      </c>
      <c r="U13">
        <v>1874.4</v>
      </c>
      <c r="V13">
        <v>33</v>
      </c>
      <c r="W13">
        <v>2811.6</v>
      </c>
      <c r="X13">
        <v>28</v>
      </c>
      <c r="Y13">
        <v>2385.6</v>
      </c>
      <c r="Z13">
        <v>30</v>
      </c>
      <c r="AA13">
        <v>2556</v>
      </c>
      <c r="AB13">
        <v>33</v>
      </c>
      <c r="AC13">
        <v>2811.6</v>
      </c>
      <c r="AD13">
        <v>24</v>
      </c>
      <c r="AE13">
        <v>2044.8000000000002</v>
      </c>
      <c r="AF13">
        <v>20</v>
      </c>
      <c r="AG13">
        <v>1704</v>
      </c>
      <c r="AH13">
        <v>30</v>
      </c>
      <c r="AI13">
        <v>2556</v>
      </c>
      <c r="AJ13">
        <v>31</v>
      </c>
      <c r="AK13">
        <v>2641.2000000000003</v>
      </c>
      <c r="AL13">
        <v>28</v>
      </c>
      <c r="AM13">
        <v>2385.6</v>
      </c>
      <c r="AN13">
        <v>13.054093442927513</v>
      </c>
      <c r="AO13">
        <v>1112.2087613374242</v>
      </c>
      <c r="AP13">
        <v>9.159874448677801</v>
      </c>
      <c r="AQ13">
        <v>780.4213030273487</v>
      </c>
      <c r="AR13">
        <v>7.077775011124924</v>
      </c>
      <c r="AS13">
        <v>603.02643094784355</v>
      </c>
      <c r="AT13">
        <v>8.0876720907317949</v>
      </c>
      <c r="AU13">
        <v>689.069662130349</v>
      </c>
      <c r="AV13">
        <v>5.3168083124132286</v>
      </c>
      <c r="AW13">
        <v>452.99206821760708</v>
      </c>
      <c r="AX13">
        <v>7.2158916879648753</v>
      </c>
      <c r="AY13">
        <v>614.7939718146074</v>
      </c>
      <c r="AZ13">
        <v>8.6671626143667844</v>
      </c>
      <c r="BA13">
        <v>738.44225474405005</v>
      </c>
      <c r="BB13">
        <v>10.808494463280894</v>
      </c>
      <c r="BC13">
        <v>920.88372827153216</v>
      </c>
      <c r="BD13">
        <v>5.9418825953387122</v>
      </c>
      <c r="BE13">
        <v>506.24839712285831</v>
      </c>
      <c r="BF13">
        <v>6.3432722280249374</v>
      </c>
      <c r="BG13">
        <v>540.44679382772472</v>
      </c>
      <c r="BH13">
        <v>6.5338115839237858</v>
      </c>
      <c r="BI13">
        <v>556.68074695030657</v>
      </c>
      <c r="BJ13">
        <v>7.0154502521880744</v>
      </c>
      <c r="BK13">
        <v>597.71636148642392</v>
      </c>
      <c r="BL13">
        <v>5.9764975100320168</v>
      </c>
      <c r="BM13">
        <v>509.19758785472783</v>
      </c>
      <c r="BN13">
        <v>7.0506829417854737</v>
      </c>
      <c r="BO13">
        <v>600.71818664012233</v>
      </c>
      <c r="BP13">
        <v>6.0372687436991033</v>
      </c>
      <c r="BQ13">
        <v>514.37529696316358</v>
      </c>
      <c r="BR13">
        <v>5.2631551221696418</v>
      </c>
      <c r="BS13">
        <v>448.42081640885351</v>
      </c>
      <c r="BT13">
        <v>7.4164542363916945</v>
      </c>
      <c r="BU13">
        <v>631.88190094057245</v>
      </c>
      <c r="BV13">
        <v>7.5854657466068778</v>
      </c>
      <c r="BW13">
        <v>646.28168161090605</v>
      </c>
      <c r="BX13">
        <v>6.0563643558692037</v>
      </c>
      <c r="BY13">
        <v>516.00224312005616</v>
      </c>
      <c r="BZ13">
        <v>7.0106418558534687</v>
      </c>
      <c r="CA13">
        <v>597.30668611871556</v>
      </c>
      <c r="CB13">
        <v>7.9006549267676123</v>
      </c>
      <c r="CC13">
        <v>673.13579976060055</v>
      </c>
      <c r="CD13">
        <v>10.016636088886836</v>
      </c>
      <c r="CE13">
        <v>853.41739477315843</v>
      </c>
      <c r="CF13">
        <v>8.5023015978281347</v>
      </c>
      <c r="CG13">
        <v>724.39609613495713</v>
      </c>
      <c r="CH13">
        <v>9.6740388737093124</v>
      </c>
      <c r="CI13">
        <v>824.22811204003347</v>
      </c>
      <c r="CJ13">
        <v>8.1086846289729877</v>
      </c>
      <c r="CK13">
        <v>690.85993038849858</v>
      </c>
      <c r="CL13">
        <v>10.185053677602882</v>
      </c>
      <c r="CM13">
        <v>867.76657333176558</v>
      </c>
      <c r="CN13">
        <v>8.4267535126770312</v>
      </c>
      <c r="CO13">
        <v>717.95939928008306</v>
      </c>
      <c r="CP13">
        <v>6.2420965960938881</v>
      </c>
      <c r="CQ13">
        <v>531.82662998719934</v>
      </c>
      <c r="CR13">
        <v>8.5136367745340653</v>
      </c>
      <c r="CS13">
        <v>725.36185319030244</v>
      </c>
      <c r="CT13">
        <v>8.1040956733255776</v>
      </c>
      <c r="CU13">
        <v>690.46895136733929</v>
      </c>
    </row>
    <row r="14" spans="1:99" x14ac:dyDescent="0.2">
      <c r="C14" s="119" t="s">
        <v>180</v>
      </c>
      <c r="D14">
        <v>24</v>
      </c>
      <c r="E14">
        <v>11721.599999999999</v>
      </c>
      <c r="F14">
        <v>30.1329777373338</v>
      </c>
      <c r="G14">
        <v>14716.946326913827</v>
      </c>
      <c r="H14">
        <v>17.03793683424281</v>
      </c>
      <c r="I14">
        <v>8321.3283498441888</v>
      </c>
      <c r="J14">
        <v>34</v>
      </c>
      <c r="K14">
        <v>16605.599999999999</v>
      </c>
      <c r="L14">
        <v>23</v>
      </c>
      <c r="M14">
        <v>11233.199999999999</v>
      </c>
      <c r="N14">
        <v>18</v>
      </c>
      <c r="O14">
        <v>8791.1999999999989</v>
      </c>
      <c r="P14">
        <v>22</v>
      </c>
      <c r="Q14">
        <v>10744.8</v>
      </c>
      <c r="R14">
        <v>17</v>
      </c>
      <c r="S14">
        <v>8302.7999999999993</v>
      </c>
      <c r="T14">
        <v>23</v>
      </c>
      <c r="U14">
        <v>11233.199999999999</v>
      </c>
      <c r="V14">
        <v>36</v>
      </c>
      <c r="W14">
        <v>17582.399999999998</v>
      </c>
      <c r="X14">
        <v>27</v>
      </c>
      <c r="Y14">
        <v>13186.8</v>
      </c>
      <c r="Z14">
        <v>26</v>
      </c>
      <c r="AA14">
        <v>12698.4</v>
      </c>
      <c r="AB14">
        <v>31</v>
      </c>
      <c r="AC14">
        <v>15140.4</v>
      </c>
      <c r="AD14">
        <v>22</v>
      </c>
      <c r="AE14">
        <v>10744.8</v>
      </c>
      <c r="AF14">
        <v>18</v>
      </c>
      <c r="AG14">
        <v>8791.1999999999989</v>
      </c>
      <c r="AH14">
        <v>24</v>
      </c>
      <c r="AI14">
        <v>11721.599999999999</v>
      </c>
      <c r="AJ14">
        <v>29</v>
      </c>
      <c r="AK14">
        <v>14163.599999999999</v>
      </c>
      <c r="AL14">
        <v>30</v>
      </c>
      <c r="AM14">
        <v>14652</v>
      </c>
      <c r="AN14">
        <v>11.241024909187582</v>
      </c>
      <c r="AO14">
        <v>5490.1165656472149</v>
      </c>
      <c r="AP14">
        <v>8.3271585897070928</v>
      </c>
      <c r="AQ14">
        <v>4066.9842552129439</v>
      </c>
      <c r="AR14">
        <v>7.9910363028829776</v>
      </c>
      <c r="AS14">
        <v>3902.8221303280461</v>
      </c>
      <c r="AT14">
        <v>6.6604358394261842</v>
      </c>
      <c r="AU14">
        <v>3252.9568639757481</v>
      </c>
      <c r="AV14">
        <v>5.8231710088335369</v>
      </c>
      <c r="AW14">
        <v>2844.0367207142995</v>
      </c>
      <c r="AX14">
        <v>6.9753619650327137</v>
      </c>
      <c r="AY14">
        <v>3406.7667837219774</v>
      </c>
      <c r="AZ14">
        <v>9.4319122568109126</v>
      </c>
      <c r="BA14">
        <v>4606.5459462264498</v>
      </c>
      <c r="BB14">
        <v>8.9631417500378134</v>
      </c>
      <c r="BC14">
        <v>4377.5984307184681</v>
      </c>
      <c r="BD14">
        <v>6.2248293855929369</v>
      </c>
      <c r="BE14">
        <v>3040.2066719235904</v>
      </c>
      <c r="BF14">
        <v>6.977599450827431</v>
      </c>
      <c r="BG14">
        <v>3407.8595717841172</v>
      </c>
      <c r="BH14">
        <v>6.2226776989750334</v>
      </c>
      <c r="BI14">
        <v>3039.155788179406</v>
      </c>
      <c r="BJ14">
        <v>6.4542142320130278</v>
      </c>
      <c r="BK14">
        <v>3152.2382309151626</v>
      </c>
      <c r="BL14">
        <v>4.9804145916933464</v>
      </c>
      <c r="BM14">
        <v>2432.4344865830303</v>
      </c>
      <c r="BN14">
        <v>6.4463386896324328</v>
      </c>
      <c r="BO14">
        <v>3148.3918160164799</v>
      </c>
      <c r="BP14">
        <v>5.1084581677453951</v>
      </c>
      <c r="BQ14">
        <v>2494.9709691268508</v>
      </c>
      <c r="BR14">
        <v>5.5401632864943604</v>
      </c>
      <c r="BS14">
        <v>2705.8157491238453</v>
      </c>
      <c r="BT14">
        <v>6.4275936715394693</v>
      </c>
      <c r="BU14">
        <v>3139.2367491798768</v>
      </c>
      <c r="BV14">
        <v>6.8743283328624836</v>
      </c>
      <c r="BW14">
        <v>3357.4219577700369</v>
      </c>
      <c r="BX14">
        <v>5.1591251920367291</v>
      </c>
      <c r="BY14">
        <v>2519.7167437907383</v>
      </c>
      <c r="BZ14">
        <v>7.2910675300876084</v>
      </c>
      <c r="CA14">
        <v>3560.9573816947877</v>
      </c>
      <c r="CB14">
        <v>8.7471536689212837</v>
      </c>
      <c r="CC14">
        <v>4272.1098519011548</v>
      </c>
      <c r="CD14">
        <v>9.2461256205109255</v>
      </c>
      <c r="CE14">
        <v>4515.8077530575356</v>
      </c>
      <c r="CF14">
        <v>8.2446560948636467</v>
      </c>
      <c r="CG14">
        <v>4026.6900367314047</v>
      </c>
      <c r="CH14">
        <v>8.4942780354520782</v>
      </c>
      <c r="CI14">
        <v>4148.6053925147944</v>
      </c>
      <c r="CJ14">
        <v>8.5720380363428728</v>
      </c>
      <c r="CK14">
        <v>4186.5833769498586</v>
      </c>
      <c r="CL14">
        <v>9.4398058475343785</v>
      </c>
      <c r="CM14">
        <v>4610.40117593579</v>
      </c>
      <c r="CN14">
        <v>7.9832401699045556</v>
      </c>
      <c r="CO14">
        <v>3899.0144989813848</v>
      </c>
      <c r="CP14">
        <v>5.6746332691762618</v>
      </c>
      <c r="CQ14">
        <v>2771.4908886656863</v>
      </c>
      <c r="CR14">
        <v>7.5406497145873139</v>
      </c>
      <c r="CS14">
        <v>3682.853320604444</v>
      </c>
      <c r="CT14">
        <v>8.1040956733255776</v>
      </c>
      <c r="CU14">
        <v>3958.0403268522118</v>
      </c>
    </row>
    <row r="15" spans="1:99" x14ac:dyDescent="0.2">
      <c r="C15" s="119" t="s">
        <v>181</v>
      </c>
      <c r="D15">
        <v>25</v>
      </c>
      <c r="E15">
        <v>19080</v>
      </c>
      <c r="F15">
        <v>27.1329777373338</v>
      </c>
      <c r="G15">
        <v>20707.888609133155</v>
      </c>
      <c r="H15">
        <v>16.03793683424281</v>
      </c>
      <c r="I15">
        <v>12240.153391894111</v>
      </c>
      <c r="J15">
        <v>35</v>
      </c>
      <c r="K15">
        <v>26711.999999999996</v>
      </c>
      <c r="L15">
        <v>23</v>
      </c>
      <c r="M15">
        <v>17553.599999999999</v>
      </c>
      <c r="N15">
        <v>16</v>
      </c>
      <c r="O15">
        <v>12211.199999999999</v>
      </c>
      <c r="P15">
        <v>22</v>
      </c>
      <c r="Q15">
        <v>16790.399999999998</v>
      </c>
      <c r="R15">
        <v>16</v>
      </c>
      <c r="S15">
        <v>12211.199999999999</v>
      </c>
      <c r="T15">
        <v>21</v>
      </c>
      <c r="U15">
        <v>16027.199999999999</v>
      </c>
      <c r="V15">
        <v>35</v>
      </c>
      <c r="W15">
        <v>26711.999999999996</v>
      </c>
      <c r="X15">
        <v>30</v>
      </c>
      <c r="Y15">
        <v>22895.999999999996</v>
      </c>
      <c r="Z15">
        <v>29</v>
      </c>
      <c r="AA15">
        <v>22132.799999999999</v>
      </c>
      <c r="AB15">
        <v>29</v>
      </c>
      <c r="AC15">
        <v>22132.799999999999</v>
      </c>
      <c r="AD15">
        <v>21</v>
      </c>
      <c r="AE15">
        <v>16027.199999999999</v>
      </c>
      <c r="AF15">
        <v>16</v>
      </c>
      <c r="AG15">
        <v>12211.199999999999</v>
      </c>
      <c r="AH15">
        <v>28</v>
      </c>
      <c r="AI15">
        <v>21369.599999999999</v>
      </c>
      <c r="AJ15">
        <v>33</v>
      </c>
      <c r="AK15">
        <v>25185.599999999999</v>
      </c>
      <c r="AL15">
        <v>28</v>
      </c>
      <c r="AM15">
        <v>21369.599999999999</v>
      </c>
      <c r="AN15">
        <v>11.241024909187582</v>
      </c>
      <c r="AO15">
        <v>8579.1502106919615</v>
      </c>
      <c r="AP15">
        <v>7.7720146837266197</v>
      </c>
      <c r="AQ15">
        <v>5931.6016066201555</v>
      </c>
      <c r="AR15">
        <v>7.3060903340644368</v>
      </c>
      <c r="AS15">
        <v>5576.0081429579777</v>
      </c>
      <c r="AT15">
        <v>6.184690422324314</v>
      </c>
      <c r="AU15">
        <v>4720.1557303179161</v>
      </c>
      <c r="AV15">
        <v>4.8104456159929212</v>
      </c>
      <c r="AW15">
        <v>3671.3320941257971</v>
      </c>
      <c r="AX15">
        <v>7.2158916879648753</v>
      </c>
      <c r="AY15">
        <v>5507.1685362547923</v>
      </c>
      <c r="AZ15">
        <v>9.4319122568109126</v>
      </c>
      <c r="BA15">
        <v>7198.4354343980876</v>
      </c>
      <c r="BB15">
        <v>8.9631417500378134</v>
      </c>
      <c r="BC15">
        <v>6840.6697836288586</v>
      </c>
      <c r="BD15">
        <v>5.3759890148302638</v>
      </c>
      <c r="BE15">
        <v>4102.9548161184566</v>
      </c>
      <c r="BF15">
        <v>6.977599450827431</v>
      </c>
      <c r="BG15">
        <v>5325.303900871495</v>
      </c>
      <c r="BH15">
        <v>6.2226776989750334</v>
      </c>
      <c r="BI15">
        <v>4749.1476198577448</v>
      </c>
      <c r="BJ15">
        <v>7.0154502521880744</v>
      </c>
      <c r="BK15">
        <v>5354.1916324699378</v>
      </c>
      <c r="BL15">
        <v>5.4784560508626816</v>
      </c>
      <c r="BM15">
        <v>4181.1576580183983</v>
      </c>
      <c r="BN15">
        <v>7.2521310258364871</v>
      </c>
      <c r="BO15">
        <v>5534.8263989184061</v>
      </c>
      <c r="BP15">
        <v>5.1084581677453951</v>
      </c>
      <c r="BQ15">
        <v>3898.7752736232851</v>
      </c>
      <c r="BR15">
        <v>4.7091387935202054</v>
      </c>
      <c r="BS15">
        <v>3594.0147272146205</v>
      </c>
      <c r="BT15">
        <v>6.1803785303264123</v>
      </c>
      <c r="BU15">
        <v>4716.8648943451171</v>
      </c>
      <c r="BV15">
        <v>6.6372825282810179</v>
      </c>
      <c r="BW15">
        <v>5065.5740255840728</v>
      </c>
      <c r="BX15">
        <v>5.8320545649110853</v>
      </c>
      <c r="BY15">
        <v>4451.0240439401396</v>
      </c>
      <c r="BZ15">
        <v>6.4497905073851918</v>
      </c>
      <c r="CA15">
        <v>4922.480115236378</v>
      </c>
      <c r="CB15">
        <v>8.4649874215367262</v>
      </c>
      <c r="CC15">
        <v>6460.4784001168291</v>
      </c>
      <c r="CD15">
        <v>9.2461256205109255</v>
      </c>
      <c r="CE15">
        <v>7056.6430735739377</v>
      </c>
      <c r="CF15">
        <v>7.9870105918991579</v>
      </c>
      <c r="CG15">
        <v>6095.6864837374369</v>
      </c>
      <c r="CH15">
        <v>7.7864215324977391</v>
      </c>
      <c r="CI15">
        <v>5942.5969136022741</v>
      </c>
      <c r="CJ15">
        <v>8.5720380363428728</v>
      </c>
      <c r="CK15">
        <v>6542.1794293368803</v>
      </c>
      <c r="CL15">
        <v>9.1913899041782106</v>
      </c>
      <c r="CM15">
        <v>7014.8687748688099</v>
      </c>
      <c r="CN15">
        <v>6.8744568129733672</v>
      </c>
      <c r="CO15">
        <v>5246.5854396612731</v>
      </c>
      <c r="CP15">
        <v>5.3909016057174481</v>
      </c>
      <c r="CQ15">
        <v>4114.3361054835559</v>
      </c>
      <c r="CR15">
        <v>7.0541561846139391</v>
      </c>
      <c r="CS15">
        <v>5383.7320000973577</v>
      </c>
      <c r="CT15">
        <v>7.8725500826591333</v>
      </c>
      <c r="CU15">
        <v>6008.3302230854497</v>
      </c>
    </row>
    <row r="16" spans="1:99" x14ac:dyDescent="0.2">
      <c r="C16" s="119" t="s">
        <v>182</v>
      </c>
      <c r="D16">
        <v>28</v>
      </c>
      <c r="E16">
        <v>9542.4</v>
      </c>
      <c r="F16">
        <v>30.151974556952915</v>
      </c>
      <c r="G16">
        <v>10275.792929009554</v>
      </c>
      <c r="H16">
        <v>18.03793683424281</v>
      </c>
      <c r="I16">
        <v>6147.3288731099501</v>
      </c>
      <c r="J16">
        <v>35</v>
      </c>
      <c r="K16">
        <v>11928</v>
      </c>
      <c r="L16">
        <v>26</v>
      </c>
      <c r="M16">
        <v>8860.8000000000011</v>
      </c>
      <c r="N16">
        <v>20</v>
      </c>
      <c r="O16">
        <v>6816</v>
      </c>
      <c r="P16">
        <v>25</v>
      </c>
      <c r="Q16">
        <v>8520</v>
      </c>
      <c r="R16">
        <v>20</v>
      </c>
      <c r="S16">
        <v>6816</v>
      </c>
      <c r="T16">
        <v>26</v>
      </c>
      <c r="U16">
        <v>8860.8000000000011</v>
      </c>
      <c r="V16">
        <v>33</v>
      </c>
      <c r="W16">
        <v>11246.4</v>
      </c>
      <c r="X16">
        <v>28</v>
      </c>
      <c r="Y16">
        <v>9542.4</v>
      </c>
      <c r="Z16">
        <v>30</v>
      </c>
      <c r="AA16">
        <v>10224</v>
      </c>
      <c r="AB16">
        <v>37</v>
      </c>
      <c r="AC16">
        <v>12609.6</v>
      </c>
      <c r="AD16">
        <v>24</v>
      </c>
      <c r="AE16">
        <v>8179.2000000000007</v>
      </c>
      <c r="AF16">
        <v>19</v>
      </c>
      <c r="AG16">
        <v>6475.2</v>
      </c>
      <c r="AH16">
        <v>29</v>
      </c>
      <c r="AI16">
        <v>9883.2000000000007</v>
      </c>
      <c r="AJ16">
        <v>29</v>
      </c>
      <c r="AK16">
        <v>9883.2000000000007</v>
      </c>
      <c r="AL16">
        <v>29</v>
      </c>
      <c r="AM16">
        <v>9883.2000000000007</v>
      </c>
      <c r="AN16">
        <v>13.054093442927513</v>
      </c>
      <c r="AO16">
        <v>4448.8350453496969</v>
      </c>
      <c r="AP16">
        <v>9.4374464016680371</v>
      </c>
      <c r="AQ16">
        <v>3216.2817336884673</v>
      </c>
      <c r="AR16">
        <v>7.3060903340644368</v>
      </c>
      <c r="AS16">
        <v>2489.9155858491599</v>
      </c>
      <c r="AT16">
        <v>7.8497993821808603</v>
      </c>
      <c r="AU16">
        <v>2675.2116294472371</v>
      </c>
      <c r="AV16">
        <v>6.0763523570436897</v>
      </c>
      <c r="AW16">
        <v>2070.8208832804894</v>
      </c>
      <c r="AX16">
        <v>7.2158916879648753</v>
      </c>
      <c r="AY16">
        <v>2459.1758872584296</v>
      </c>
      <c r="AZ16">
        <v>10.196661899255039</v>
      </c>
      <c r="BA16">
        <v>3475.0223752661173</v>
      </c>
      <c r="BB16">
        <v>10.544872647103311</v>
      </c>
      <c r="BC16">
        <v>3593.6925981328086</v>
      </c>
      <c r="BD16">
        <v>6.2248293855929369</v>
      </c>
      <c r="BE16">
        <v>2121.4218546100728</v>
      </c>
      <c r="BF16">
        <v>7.1890418584282632</v>
      </c>
      <c r="BG16">
        <v>2450.0254653523521</v>
      </c>
      <c r="BH16">
        <v>6.5338115839237858</v>
      </c>
      <c r="BI16">
        <v>2226.7229878012263</v>
      </c>
      <c r="BJ16">
        <v>6.7348322421005511</v>
      </c>
      <c r="BK16">
        <v>2295.2308281078681</v>
      </c>
      <c r="BL16">
        <v>5.9764975100320168</v>
      </c>
      <c r="BM16">
        <v>2036.7903514189113</v>
      </c>
      <c r="BN16">
        <v>7.6550271939385137</v>
      </c>
      <c r="BO16">
        <v>2608.8332676942455</v>
      </c>
      <c r="BP16">
        <v>5.1084581677453951</v>
      </c>
      <c r="BQ16">
        <v>1740.9625435676307</v>
      </c>
      <c r="BR16">
        <v>5.5401632864943604</v>
      </c>
      <c r="BS16">
        <v>1888.0876480372781</v>
      </c>
      <c r="BT16">
        <v>6.4275936715394693</v>
      </c>
      <c r="BU16">
        <v>2190.5239232606514</v>
      </c>
      <c r="BV16">
        <v>7.1113741374439483</v>
      </c>
      <c r="BW16">
        <v>2423.5563060408977</v>
      </c>
      <c r="BX16">
        <v>6.0563643558692037</v>
      </c>
      <c r="BY16">
        <v>2064.0089724802247</v>
      </c>
      <c r="BZ16">
        <v>6.4497905073851918</v>
      </c>
      <c r="CA16">
        <v>2198.0886049168735</v>
      </c>
      <c r="CB16">
        <v>7.9006549267676123</v>
      </c>
      <c r="CC16">
        <v>2692.5431990424022</v>
      </c>
      <c r="CD16">
        <v>10.530309734470777</v>
      </c>
      <c r="CE16">
        <v>3588.7295575076409</v>
      </c>
      <c r="CF16">
        <v>8.5023015978281347</v>
      </c>
      <c r="CG16">
        <v>2897.5843845398285</v>
      </c>
      <c r="CH16">
        <v>8.2583258678006324</v>
      </c>
      <c r="CI16">
        <v>2814.4374557464557</v>
      </c>
      <c r="CJ16">
        <v>8.3403613326579311</v>
      </c>
      <c r="CK16">
        <v>2842.395142169823</v>
      </c>
      <c r="CL16">
        <v>9.6882217908905464</v>
      </c>
      <c r="CM16">
        <v>3301.7459863354984</v>
      </c>
      <c r="CN16">
        <v>8.204996841290793</v>
      </c>
      <c r="CO16">
        <v>2796.2629235119025</v>
      </c>
      <c r="CP16">
        <v>6.5258282595527008</v>
      </c>
      <c r="CQ16">
        <v>2224.0022708555607</v>
      </c>
      <c r="CR16">
        <v>6.8109094196272517</v>
      </c>
      <c r="CS16">
        <v>2321.1579302089676</v>
      </c>
      <c r="CT16">
        <v>7.6410044919926872</v>
      </c>
      <c r="CU16">
        <v>2604.054330871108</v>
      </c>
    </row>
    <row r="17" spans="2:99" x14ac:dyDescent="0.2">
      <c r="C17" s="119" t="s">
        <v>183</v>
      </c>
      <c r="D17">
        <v>25</v>
      </c>
      <c r="E17">
        <v>10560</v>
      </c>
      <c r="F17">
        <v>30.151974556952915</v>
      </c>
      <c r="G17">
        <v>12736.19405285691</v>
      </c>
      <c r="H17">
        <v>17.043356381991785</v>
      </c>
      <c r="I17">
        <v>7199.1137357533298</v>
      </c>
      <c r="J17">
        <v>31</v>
      </c>
      <c r="K17">
        <v>13094.4</v>
      </c>
      <c r="L17">
        <v>28</v>
      </c>
      <c r="M17">
        <v>11827.199999999999</v>
      </c>
      <c r="N17">
        <v>20</v>
      </c>
      <c r="O17">
        <v>8448</v>
      </c>
      <c r="P17">
        <v>24</v>
      </c>
      <c r="Q17">
        <v>10137.599999999999</v>
      </c>
      <c r="R17">
        <v>18</v>
      </c>
      <c r="S17">
        <v>7603.2</v>
      </c>
      <c r="T17">
        <v>24</v>
      </c>
      <c r="U17">
        <v>10137.599999999999</v>
      </c>
      <c r="V17">
        <v>36</v>
      </c>
      <c r="W17">
        <v>15206.4</v>
      </c>
      <c r="X17">
        <v>30</v>
      </c>
      <c r="Y17">
        <v>12672</v>
      </c>
      <c r="Z17">
        <v>27</v>
      </c>
      <c r="AA17">
        <v>11404.8</v>
      </c>
      <c r="AB17">
        <v>36</v>
      </c>
      <c r="AC17">
        <v>15206.4</v>
      </c>
      <c r="AD17">
        <v>22</v>
      </c>
      <c r="AE17">
        <v>9292.7999999999993</v>
      </c>
      <c r="AF17">
        <v>17</v>
      </c>
      <c r="AG17">
        <v>7180.7999999999993</v>
      </c>
      <c r="AH17">
        <v>28</v>
      </c>
      <c r="AI17">
        <v>11827.199999999999</v>
      </c>
      <c r="AJ17">
        <v>32</v>
      </c>
      <c r="AK17">
        <v>13516.8</v>
      </c>
      <c r="AL17">
        <v>29</v>
      </c>
      <c r="AM17">
        <v>12249.599999999999</v>
      </c>
      <c r="AN17">
        <v>12.691479736179527</v>
      </c>
      <c r="AO17">
        <v>5360.8810405622316</v>
      </c>
      <c r="AP17">
        <v>8.3271585897070928</v>
      </c>
      <c r="AQ17">
        <v>3517.3917882922756</v>
      </c>
      <c r="AR17">
        <v>7.077775011124924</v>
      </c>
      <c r="AS17">
        <v>2989.6521646991678</v>
      </c>
      <c r="AT17">
        <v>6.8983085479771198</v>
      </c>
      <c r="AU17">
        <v>2913.8455306655351</v>
      </c>
      <c r="AV17">
        <v>6.0763523570436897</v>
      </c>
      <c r="AW17">
        <v>2566.6512356152543</v>
      </c>
      <c r="AX17">
        <v>6.9753619650327137</v>
      </c>
      <c r="AY17">
        <v>2946.3928940298183</v>
      </c>
      <c r="AZ17">
        <v>8.6671626143667844</v>
      </c>
      <c r="BA17">
        <v>3661.0094883085294</v>
      </c>
      <c r="BB17">
        <v>8.6995199338602323</v>
      </c>
      <c r="BC17">
        <v>3674.6772200625619</v>
      </c>
      <c r="BD17">
        <v>5.9418825953387122</v>
      </c>
      <c r="BE17">
        <v>2509.8512082710718</v>
      </c>
      <c r="BF17">
        <v>6.3432722280249374</v>
      </c>
      <c r="BG17">
        <v>2679.3981891177336</v>
      </c>
      <c r="BH17">
        <v>5.6004099290775304</v>
      </c>
      <c r="BI17">
        <v>2365.6131540423489</v>
      </c>
      <c r="BJ17">
        <v>6.4542142320130278</v>
      </c>
      <c r="BK17">
        <v>2726.260091602303</v>
      </c>
      <c r="BL17">
        <v>5.7274767804473488</v>
      </c>
      <c r="BM17">
        <v>2419.2861920609598</v>
      </c>
      <c r="BN17">
        <v>7.6550271939385137</v>
      </c>
      <c r="BO17">
        <v>3233.4834867196282</v>
      </c>
      <c r="BP17">
        <v>4.876255523756968</v>
      </c>
      <c r="BQ17">
        <v>2059.7303332349434</v>
      </c>
      <c r="BR17">
        <v>5.2631551221696418</v>
      </c>
      <c r="BS17">
        <v>2223.1567236044566</v>
      </c>
      <c r="BT17">
        <v>6.1803785303264123</v>
      </c>
      <c r="BU17">
        <v>2610.5918912098764</v>
      </c>
      <c r="BV17">
        <v>7.1113741374439483</v>
      </c>
      <c r="BW17">
        <v>3003.8444356563236</v>
      </c>
      <c r="BX17">
        <v>5.8320545649110853</v>
      </c>
      <c r="BY17">
        <v>2463.4598482184424</v>
      </c>
      <c r="BZ17">
        <v>7.0106418558534687</v>
      </c>
      <c r="CA17">
        <v>2961.295119912505</v>
      </c>
      <c r="CB17">
        <v>7.6184886793830531</v>
      </c>
      <c r="CC17">
        <v>3218.0496181714016</v>
      </c>
      <c r="CD17">
        <v>11.043983380054717</v>
      </c>
      <c r="CE17">
        <v>4664.9785797351124</v>
      </c>
      <c r="CF17">
        <v>7.729365088934669</v>
      </c>
      <c r="CG17">
        <v>3264.8838135660039</v>
      </c>
      <c r="CH17">
        <v>8.4942780354520782</v>
      </c>
      <c r="CI17">
        <v>3587.9830421749575</v>
      </c>
      <c r="CJ17">
        <v>8.5720380363428728</v>
      </c>
      <c r="CK17">
        <v>3620.8288665512291</v>
      </c>
      <c r="CL17">
        <v>9.6882217908905464</v>
      </c>
      <c r="CM17">
        <v>4092.3048844721666</v>
      </c>
      <c r="CN17">
        <v>7.9832401699045556</v>
      </c>
      <c r="CO17">
        <v>3372.1206477676842</v>
      </c>
      <c r="CP17">
        <v>6.8095599230115136</v>
      </c>
      <c r="CQ17">
        <v>2876.3581114800631</v>
      </c>
      <c r="CR17">
        <v>7.2974029496006265</v>
      </c>
      <c r="CS17">
        <v>3082.4230059113047</v>
      </c>
      <c r="CT17">
        <v>8.7987324453249141</v>
      </c>
      <c r="CU17">
        <v>3716.5845849052434</v>
      </c>
    </row>
    <row r="18" spans="2:99" x14ac:dyDescent="0.2">
      <c r="C18" s="119" t="s">
        <v>184</v>
      </c>
      <c r="D18">
        <v>23</v>
      </c>
      <c r="E18">
        <v>15014.4</v>
      </c>
      <c r="F18">
        <v>33.151974556952915</v>
      </c>
      <c r="G18">
        <v>21641.608990778863</v>
      </c>
      <c r="H18">
        <v>18.043356381991785</v>
      </c>
      <c r="I18">
        <v>11778.703046164237</v>
      </c>
      <c r="J18">
        <v>30</v>
      </c>
      <c r="K18">
        <v>19584</v>
      </c>
      <c r="L18">
        <v>26</v>
      </c>
      <c r="M18">
        <v>16972.8</v>
      </c>
      <c r="N18">
        <v>17</v>
      </c>
      <c r="O18">
        <v>11097.599999999999</v>
      </c>
      <c r="P18">
        <v>22</v>
      </c>
      <c r="Q18">
        <v>14361.599999999999</v>
      </c>
      <c r="R18">
        <v>18</v>
      </c>
      <c r="S18">
        <v>11750.4</v>
      </c>
      <c r="T18">
        <v>24</v>
      </c>
      <c r="U18">
        <v>15667.199999999999</v>
      </c>
      <c r="V18">
        <v>30</v>
      </c>
      <c r="W18">
        <v>19584</v>
      </c>
      <c r="X18">
        <v>31</v>
      </c>
      <c r="Y18">
        <v>20236.8</v>
      </c>
      <c r="Z18">
        <v>24</v>
      </c>
      <c r="AA18">
        <v>15667.199999999999</v>
      </c>
      <c r="AB18">
        <v>34</v>
      </c>
      <c r="AC18">
        <v>22195.199999999997</v>
      </c>
      <c r="AD18">
        <v>25</v>
      </c>
      <c r="AE18">
        <v>16319.999999999998</v>
      </c>
      <c r="AF18">
        <v>16</v>
      </c>
      <c r="AG18">
        <v>10444.799999999999</v>
      </c>
      <c r="AH18">
        <v>28</v>
      </c>
      <c r="AI18">
        <v>18278.399999999998</v>
      </c>
      <c r="AJ18">
        <v>28</v>
      </c>
      <c r="AK18">
        <v>18278.399999999998</v>
      </c>
      <c r="AL18">
        <v>26</v>
      </c>
      <c r="AM18">
        <v>16972.8</v>
      </c>
      <c r="AN18">
        <v>12.32886602943154</v>
      </c>
      <c r="AO18">
        <v>8048.2837440129088</v>
      </c>
      <c r="AP18">
        <v>8.8823024956875649</v>
      </c>
      <c r="AQ18">
        <v>5798.367069184842</v>
      </c>
      <c r="AR18">
        <v>7.077775011124924</v>
      </c>
      <c r="AS18">
        <v>4620.3715272623504</v>
      </c>
      <c r="AT18">
        <v>7.6119266736299247</v>
      </c>
      <c r="AU18">
        <v>4969.0657325456141</v>
      </c>
      <c r="AV18">
        <v>5.0636269642030749</v>
      </c>
      <c r="AW18">
        <v>3305.5356822317672</v>
      </c>
      <c r="AX18">
        <v>6.4943025191683876</v>
      </c>
      <c r="AY18">
        <v>4239.4806845131234</v>
      </c>
      <c r="AZ18">
        <v>9.6868288042922881</v>
      </c>
      <c r="BA18">
        <v>6323.5618434420048</v>
      </c>
      <c r="BB18">
        <v>10.281250830925728</v>
      </c>
      <c r="BC18">
        <v>6711.6005424283148</v>
      </c>
      <c r="BD18">
        <v>6.2248293855929369</v>
      </c>
      <c r="BE18">
        <v>4063.5686229150688</v>
      </c>
      <c r="BF18">
        <v>6.1318298204241062</v>
      </c>
      <c r="BG18">
        <v>4002.8585067728563</v>
      </c>
      <c r="BH18">
        <v>5.6004099290775304</v>
      </c>
      <c r="BI18">
        <v>3655.9476017018114</v>
      </c>
      <c r="BJ18">
        <v>6.7348322421005511</v>
      </c>
      <c r="BK18">
        <v>4396.4984876432391</v>
      </c>
      <c r="BL18">
        <v>4.9804145916933464</v>
      </c>
      <c r="BM18">
        <v>3251.2146454574163</v>
      </c>
      <c r="BN18">
        <v>6.8492348577344595</v>
      </c>
      <c r="BO18">
        <v>4471.1805151290546</v>
      </c>
      <c r="BP18">
        <v>5.1084581677453951</v>
      </c>
      <c r="BQ18">
        <v>3334.8014919041939</v>
      </c>
      <c r="BR18">
        <v>4.986146957844924</v>
      </c>
      <c r="BS18">
        <v>3254.9567340811664</v>
      </c>
      <c r="BT18">
        <v>6.6748088127525254</v>
      </c>
      <c r="BU18">
        <v>4357.3151929648484</v>
      </c>
      <c r="BV18">
        <v>6.8743283328624836</v>
      </c>
      <c r="BW18">
        <v>4487.5615356926291</v>
      </c>
      <c r="BX18">
        <v>5.3834349829948476</v>
      </c>
      <c r="BY18">
        <v>3514.3063568990365</v>
      </c>
      <c r="BZ18">
        <v>6.1693648331510529</v>
      </c>
      <c r="CA18">
        <v>4027.3613630810069</v>
      </c>
      <c r="CB18">
        <v>7.3363224319984965</v>
      </c>
      <c r="CC18">
        <v>4789.1512836086185</v>
      </c>
      <c r="CD18">
        <v>10.530309734470777</v>
      </c>
      <c r="CE18">
        <v>6874.1861946625222</v>
      </c>
      <c r="CF18">
        <v>7.9870105918991579</v>
      </c>
      <c r="CG18">
        <v>5213.9205143917698</v>
      </c>
      <c r="CH18">
        <v>8.4942780354520782</v>
      </c>
      <c r="CI18">
        <v>5545.0647015431159</v>
      </c>
      <c r="CJ18">
        <v>8.1086846289729877</v>
      </c>
      <c r="CK18">
        <v>5293.3493257935661</v>
      </c>
      <c r="CL18">
        <v>8.6945580174658748</v>
      </c>
      <c r="CM18">
        <v>5675.8074738017231</v>
      </c>
      <c r="CN18">
        <v>7.0962134843596045</v>
      </c>
      <c r="CO18">
        <v>4632.4081625899498</v>
      </c>
      <c r="CP18">
        <v>6.5258282595527008</v>
      </c>
      <c r="CQ18">
        <v>4260.0606878360031</v>
      </c>
      <c r="CR18">
        <v>7.0541561846139391</v>
      </c>
      <c r="CS18">
        <v>4604.9531573159793</v>
      </c>
      <c r="CT18">
        <v>7.6410044919926872</v>
      </c>
      <c r="CU18">
        <v>4988.0477323728255</v>
      </c>
    </row>
    <row r="19" spans="2:99" x14ac:dyDescent="0.2">
      <c r="C19" s="119" t="s">
        <v>185</v>
      </c>
      <c r="D19">
        <v>29</v>
      </c>
      <c r="E19">
        <v>9570</v>
      </c>
      <c r="F19">
        <v>32.151974556952915</v>
      </c>
      <c r="G19">
        <v>10610.151603794462</v>
      </c>
      <c r="H19">
        <v>18.03793683424281</v>
      </c>
      <c r="I19">
        <v>5952.5191553001277</v>
      </c>
      <c r="J19">
        <v>35</v>
      </c>
      <c r="K19">
        <v>11550</v>
      </c>
      <c r="L19">
        <v>25</v>
      </c>
      <c r="M19">
        <v>8250</v>
      </c>
      <c r="N19">
        <v>19</v>
      </c>
      <c r="O19">
        <v>6270</v>
      </c>
      <c r="P19">
        <v>21</v>
      </c>
      <c r="Q19">
        <v>6930</v>
      </c>
      <c r="R19">
        <v>19</v>
      </c>
      <c r="S19">
        <v>6270</v>
      </c>
      <c r="T19">
        <v>26</v>
      </c>
      <c r="U19">
        <v>8580</v>
      </c>
      <c r="V19">
        <v>32</v>
      </c>
      <c r="W19">
        <v>10560</v>
      </c>
      <c r="X19">
        <v>30</v>
      </c>
      <c r="Y19">
        <v>9900</v>
      </c>
      <c r="Z19">
        <v>29</v>
      </c>
      <c r="AA19">
        <v>9570</v>
      </c>
      <c r="AB19">
        <v>33</v>
      </c>
      <c r="AC19">
        <v>10890</v>
      </c>
      <c r="AD19">
        <v>23</v>
      </c>
      <c r="AE19">
        <v>7590</v>
      </c>
      <c r="AF19">
        <v>18</v>
      </c>
      <c r="AG19">
        <v>5940</v>
      </c>
      <c r="AH19">
        <v>29</v>
      </c>
      <c r="AI19">
        <v>9570</v>
      </c>
      <c r="AJ19">
        <v>30</v>
      </c>
      <c r="AK19">
        <v>9900</v>
      </c>
      <c r="AL19">
        <v>28</v>
      </c>
      <c r="AM19">
        <v>9240</v>
      </c>
      <c r="AN19">
        <v>13.054093442927513</v>
      </c>
      <c r="AO19">
        <v>4307.8508361660797</v>
      </c>
      <c r="AP19">
        <v>9.159874448677801</v>
      </c>
      <c r="AQ19">
        <v>3022.7585680636744</v>
      </c>
      <c r="AR19">
        <v>6.8494596881854095</v>
      </c>
      <c r="AS19">
        <v>2260.3216971011852</v>
      </c>
      <c r="AT19">
        <v>7.6119266736299247</v>
      </c>
      <c r="AU19">
        <v>2511.9358022978749</v>
      </c>
      <c r="AV19">
        <v>5.0636269642030749</v>
      </c>
      <c r="AW19">
        <v>1670.9968981870147</v>
      </c>
      <c r="AX19">
        <v>7.4564214108970388</v>
      </c>
      <c r="AY19">
        <v>2460.6190655960227</v>
      </c>
      <c r="AZ19">
        <v>9.4319122568109126</v>
      </c>
      <c r="BA19">
        <v>3112.5310447476013</v>
      </c>
      <c r="BB19">
        <v>10.544872647103311</v>
      </c>
      <c r="BC19">
        <v>3479.8079735440929</v>
      </c>
      <c r="BD19">
        <v>5.6589358050844876</v>
      </c>
      <c r="BE19">
        <v>1867.4488156778809</v>
      </c>
      <c r="BF19">
        <v>6.5547146356257695</v>
      </c>
      <c r="BG19">
        <v>2163.055829756504</v>
      </c>
      <c r="BH19">
        <v>6.5338115839237858</v>
      </c>
      <c r="BI19">
        <v>2156.1578226948495</v>
      </c>
      <c r="BJ19">
        <v>6.7348322421005511</v>
      </c>
      <c r="BK19">
        <v>2222.494639893182</v>
      </c>
      <c r="BL19">
        <v>5.4784560508626816</v>
      </c>
      <c r="BM19">
        <v>1807.890496784685</v>
      </c>
      <c r="BN19">
        <v>7.0506829417854737</v>
      </c>
      <c r="BO19">
        <v>2326.7253707892064</v>
      </c>
      <c r="BP19">
        <v>5.8050660997106762</v>
      </c>
      <c r="BQ19">
        <v>1915.6718129045232</v>
      </c>
      <c r="BR19">
        <v>5.8171714508190773</v>
      </c>
      <c r="BS19">
        <v>1919.6665787702955</v>
      </c>
      <c r="BT19">
        <v>6.6748088127525254</v>
      </c>
      <c r="BU19">
        <v>2202.6869082083335</v>
      </c>
      <c r="BV19">
        <v>7.1113741374439483</v>
      </c>
      <c r="BW19">
        <v>2346.7534653565031</v>
      </c>
      <c r="BX19">
        <v>5.1591251920367291</v>
      </c>
      <c r="BY19">
        <v>1702.5113133721206</v>
      </c>
      <c r="BZ19">
        <v>7.5714932043217473</v>
      </c>
      <c r="CA19">
        <v>2498.5927574261768</v>
      </c>
      <c r="CB19">
        <v>9.0293199163058411</v>
      </c>
      <c r="CC19">
        <v>2979.6755723809274</v>
      </c>
      <c r="CD19">
        <v>10.787146557262748</v>
      </c>
      <c r="CE19">
        <v>3559.7583638967067</v>
      </c>
      <c r="CF19">
        <v>8.2446560948636467</v>
      </c>
      <c r="CG19">
        <v>2720.7365113050032</v>
      </c>
      <c r="CH19">
        <v>9.202134538406419</v>
      </c>
      <c r="CI19">
        <v>3036.7043976741184</v>
      </c>
      <c r="CJ19">
        <v>8.5720380363428728</v>
      </c>
      <c r="CK19">
        <v>2828.7725519931482</v>
      </c>
      <c r="CL19">
        <v>10.43346962095905</v>
      </c>
      <c r="CM19">
        <v>3443.0449749164864</v>
      </c>
      <c r="CN19">
        <v>8.204996841290793</v>
      </c>
      <c r="CO19">
        <v>2707.6489576259619</v>
      </c>
      <c r="CP19">
        <v>5.9583649326350745</v>
      </c>
      <c r="CQ19">
        <v>1966.2604277695746</v>
      </c>
      <c r="CR19">
        <v>7.7838964795740013</v>
      </c>
      <c r="CS19">
        <v>2568.6858382594205</v>
      </c>
      <c r="CT19">
        <v>8.7987324453249141</v>
      </c>
      <c r="CU19">
        <v>2903.5817069572217</v>
      </c>
    </row>
    <row r="20" spans="2:99" x14ac:dyDescent="0.2">
      <c r="B20" s="119" t="s">
        <v>127</v>
      </c>
      <c r="C20" s="119" t="s">
        <v>186</v>
      </c>
      <c r="D20">
        <v>30</v>
      </c>
      <c r="E20">
        <v>8604</v>
      </c>
      <c r="F20">
        <v>30.322945933524942</v>
      </c>
      <c r="G20">
        <v>8696.6208937349529</v>
      </c>
      <c r="H20">
        <v>49.07587366848562</v>
      </c>
      <c r="I20">
        <v>14074.960568121676</v>
      </c>
      <c r="J20">
        <v>45</v>
      </c>
      <c r="K20">
        <v>12906</v>
      </c>
      <c r="L20">
        <v>42</v>
      </c>
      <c r="M20">
        <v>12045.6</v>
      </c>
      <c r="N20">
        <v>41</v>
      </c>
      <c r="O20">
        <v>11758.800000000001</v>
      </c>
      <c r="P20">
        <v>38</v>
      </c>
      <c r="Q20">
        <v>10898.4</v>
      </c>
      <c r="R20">
        <v>34</v>
      </c>
      <c r="S20">
        <v>9751.2000000000007</v>
      </c>
      <c r="T20">
        <v>31</v>
      </c>
      <c r="U20">
        <v>8890.8000000000011</v>
      </c>
      <c r="V20">
        <v>43</v>
      </c>
      <c r="W20">
        <v>12332.4</v>
      </c>
      <c r="X20">
        <v>37</v>
      </c>
      <c r="Y20">
        <v>10611.6</v>
      </c>
      <c r="Z20">
        <v>36</v>
      </c>
      <c r="AA20">
        <v>10324.800000000001</v>
      </c>
      <c r="AB20">
        <v>42</v>
      </c>
      <c r="AC20">
        <v>12045.6</v>
      </c>
      <c r="AD20">
        <v>48</v>
      </c>
      <c r="AE20">
        <v>13766.400000000001</v>
      </c>
      <c r="AF20">
        <v>32</v>
      </c>
      <c r="AG20">
        <v>9177.6</v>
      </c>
      <c r="AH20">
        <v>43</v>
      </c>
      <c r="AI20">
        <v>12332.4</v>
      </c>
      <c r="AJ20">
        <v>51</v>
      </c>
      <c r="AK20">
        <v>14626.800000000001</v>
      </c>
      <c r="AL20">
        <v>52</v>
      </c>
      <c r="AM20">
        <v>14913.6</v>
      </c>
      <c r="AN20">
        <v>14.504548269919459</v>
      </c>
      <c r="AO20">
        <v>4159.9044438129013</v>
      </c>
      <c r="AP20">
        <v>9.992590307648511</v>
      </c>
      <c r="AQ20">
        <v>2865.8749002335931</v>
      </c>
      <c r="AR20">
        <v>12.785658084612765</v>
      </c>
      <c r="AS20">
        <v>3666.9267386669412</v>
      </c>
      <c r="AT20">
        <v>11.655762718995824</v>
      </c>
      <c r="AU20">
        <v>3342.8727478080023</v>
      </c>
      <c r="AV20">
        <v>11.646342017667074</v>
      </c>
      <c r="AW20">
        <v>3340.1708906669169</v>
      </c>
      <c r="AX20">
        <v>11.785956423675964</v>
      </c>
      <c r="AY20">
        <v>3380.2123023102668</v>
      </c>
      <c r="AZ20">
        <v>10.961411541699167</v>
      </c>
      <c r="BA20">
        <v>3143.7328301593211</v>
      </c>
      <c r="BB20">
        <v>8.9631417500378134</v>
      </c>
      <c r="BC20">
        <v>2570.629053910845</v>
      </c>
      <c r="BD20">
        <v>12.166711980931648</v>
      </c>
      <c r="BE20">
        <v>3489.4129961311969</v>
      </c>
      <c r="BF20">
        <v>12.263659640848212</v>
      </c>
      <c r="BG20">
        <v>3517.2175849952673</v>
      </c>
      <c r="BH20">
        <v>9.3340165484625501</v>
      </c>
      <c r="BI20">
        <v>2676.9959460990594</v>
      </c>
      <c r="BJ20">
        <v>10.663484383325873</v>
      </c>
      <c r="BK20">
        <v>3058.2873211378605</v>
      </c>
      <c r="BL20">
        <v>12.451036479233368</v>
      </c>
      <c r="BM20">
        <v>3570.9572622441301</v>
      </c>
      <c r="BN20">
        <v>11.683988874958784</v>
      </c>
      <c r="BO20">
        <v>3350.9680093381794</v>
      </c>
      <c r="BP20">
        <v>14.628766571270903</v>
      </c>
      <c r="BQ20">
        <v>4195.5302526404948</v>
      </c>
      <c r="BR20">
        <v>10.526310244339284</v>
      </c>
      <c r="BS20">
        <v>3018.9457780765065</v>
      </c>
      <c r="BT20">
        <v>12.855187343078939</v>
      </c>
      <c r="BU20">
        <v>3686.8677299950396</v>
      </c>
      <c r="BV20">
        <v>14.222748274887897</v>
      </c>
      <c r="BW20">
        <v>4079.0842052378489</v>
      </c>
      <c r="BX20">
        <v>12.785658084612765</v>
      </c>
      <c r="BY20">
        <v>3666.9267386669412</v>
      </c>
      <c r="BZ20">
        <v>8.1323445527900251</v>
      </c>
      <c r="CA20">
        <v>2332.3564177401795</v>
      </c>
      <c r="CB20">
        <v>8.1828211741521688</v>
      </c>
      <c r="CC20">
        <v>2346.8331127468423</v>
      </c>
      <c r="CD20">
        <v>8.4756151521350152</v>
      </c>
      <c r="CE20">
        <v>2430.8064256323223</v>
      </c>
      <c r="CF20">
        <v>11.078756627473025</v>
      </c>
      <c r="CG20">
        <v>3177.3874007592635</v>
      </c>
      <c r="CH20">
        <v>9.9099910413607581</v>
      </c>
      <c r="CI20">
        <v>2842.1854306622654</v>
      </c>
      <c r="CJ20">
        <v>12.04718859161701</v>
      </c>
      <c r="CK20">
        <v>3455.1336880757585</v>
      </c>
      <c r="CL20">
        <v>8.9429739608220427</v>
      </c>
      <c r="CM20">
        <v>2564.8449319637621</v>
      </c>
      <c r="CN20">
        <v>12.19661692624307</v>
      </c>
      <c r="CO20">
        <v>3497.9897344465126</v>
      </c>
      <c r="CP20">
        <v>13.051656519105402</v>
      </c>
      <c r="CQ20">
        <v>3743.2150896794292</v>
      </c>
      <c r="CR20">
        <v>10.702857659414253</v>
      </c>
      <c r="CS20">
        <v>3069.5795767200079</v>
      </c>
      <c r="CT20">
        <v>9.0302780359913584</v>
      </c>
      <c r="CU20">
        <v>2589.8837407223218</v>
      </c>
    </row>
    <row r="21" spans="2:99" x14ac:dyDescent="0.2">
      <c r="C21" s="119" t="s">
        <v>187</v>
      </c>
      <c r="D21">
        <v>32</v>
      </c>
      <c r="E21">
        <v>1996.8</v>
      </c>
      <c r="F21">
        <v>28.284952294286711</v>
      </c>
      <c r="G21">
        <v>1764.9810231634908</v>
      </c>
      <c r="H21">
        <v>44.07587366848562</v>
      </c>
      <c r="I21">
        <v>2750.3345169135027</v>
      </c>
      <c r="J21">
        <v>50</v>
      </c>
      <c r="K21">
        <v>3120</v>
      </c>
      <c r="L21">
        <v>39</v>
      </c>
      <c r="M21">
        <v>2433.6</v>
      </c>
      <c r="N21">
        <v>48</v>
      </c>
      <c r="O21">
        <v>2995.2</v>
      </c>
      <c r="P21">
        <v>35</v>
      </c>
      <c r="Q21">
        <v>2184</v>
      </c>
      <c r="R21">
        <v>35</v>
      </c>
      <c r="S21">
        <v>2184</v>
      </c>
      <c r="T21">
        <v>28</v>
      </c>
      <c r="U21">
        <v>1747.2</v>
      </c>
      <c r="V21">
        <v>44</v>
      </c>
      <c r="W21">
        <v>2745.6</v>
      </c>
      <c r="X21">
        <v>36</v>
      </c>
      <c r="Y21">
        <v>2246.4</v>
      </c>
      <c r="Z21">
        <v>41</v>
      </c>
      <c r="AA21">
        <v>2558.4</v>
      </c>
      <c r="AB21">
        <v>39</v>
      </c>
      <c r="AC21">
        <v>2433.6</v>
      </c>
      <c r="AD21">
        <v>56</v>
      </c>
      <c r="AE21">
        <v>3494.4</v>
      </c>
      <c r="AF21">
        <v>32</v>
      </c>
      <c r="AG21">
        <v>1996.8</v>
      </c>
      <c r="AH21">
        <v>42</v>
      </c>
      <c r="AI21">
        <v>2620.7999999999997</v>
      </c>
      <c r="AJ21">
        <v>57</v>
      </c>
      <c r="AK21">
        <v>3556.7999999999997</v>
      </c>
      <c r="AL21">
        <v>54</v>
      </c>
      <c r="AM21">
        <v>3369.6</v>
      </c>
      <c r="AN21">
        <v>15.955003096911405</v>
      </c>
      <c r="AO21">
        <v>995.59219324727167</v>
      </c>
      <c r="AP21">
        <v>10.270162260638747</v>
      </c>
      <c r="AQ21">
        <v>640.85812506385776</v>
      </c>
      <c r="AR21">
        <v>11.415766146975683</v>
      </c>
      <c r="AS21">
        <v>712.34380757128258</v>
      </c>
      <c r="AT21">
        <v>12.607253553199564</v>
      </c>
      <c r="AU21">
        <v>786.69262171965283</v>
      </c>
      <c r="AV21">
        <v>11.899523365877227</v>
      </c>
      <c r="AW21">
        <v>742.53025803073899</v>
      </c>
      <c r="AX21">
        <v>13.710194207133263</v>
      </c>
      <c r="AY21">
        <v>855.51611852511564</v>
      </c>
      <c r="AZ21">
        <v>11.47124463666192</v>
      </c>
      <c r="BA21">
        <v>715.80566532770376</v>
      </c>
      <c r="BB21">
        <v>10.281250830925728</v>
      </c>
      <c r="BC21">
        <v>641.5500518497654</v>
      </c>
      <c r="BD21">
        <v>13.298499141948547</v>
      </c>
      <c r="BE21">
        <v>829.82634645758935</v>
      </c>
      <c r="BF21">
        <v>13.743756494054033</v>
      </c>
      <c r="BG21">
        <v>857.61040522897167</v>
      </c>
      <c r="BH21">
        <v>9.9562843183600531</v>
      </c>
      <c r="BI21">
        <v>621.27214146566735</v>
      </c>
      <c r="BJ21">
        <v>10.102248363150826</v>
      </c>
      <c r="BK21">
        <v>630.38029786061156</v>
      </c>
      <c r="BL21">
        <v>11.703974290479366</v>
      </c>
      <c r="BM21">
        <v>730.32799572591239</v>
      </c>
      <c r="BN21">
        <v>12.489781211162839</v>
      </c>
      <c r="BO21">
        <v>779.36234757656109</v>
      </c>
      <c r="BP21">
        <v>14.860969215259331</v>
      </c>
      <c r="BQ21">
        <v>927.32447903218224</v>
      </c>
      <c r="BR21">
        <v>10.249302080014566</v>
      </c>
      <c r="BS21">
        <v>639.55644979290889</v>
      </c>
      <c r="BT21">
        <v>12.113541919439767</v>
      </c>
      <c r="BU21">
        <v>755.88501577304146</v>
      </c>
      <c r="BV21">
        <v>13.274565056562036</v>
      </c>
      <c r="BW21">
        <v>828.33285952947097</v>
      </c>
      <c r="BX21">
        <v>13.45858745748712</v>
      </c>
      <c r="BY21">
        <v>839.81585734719624</v>
      </c>
      <c r="BZ21">
        <v>9.2540472497265789</v>
      </c>
      <c r="CA21">
        <v>577.45254838293852</v>
      </c>
      <c r="CB21">
        <v>9.0293199163058411</v>
      </c>
      <c r="CC21">
        <v>563.42956277748442</v>
      </c>
      <c r="CD21">
        <v>9.2461256205109255</v>
      </c>
      <c r="CE21">
        <v>576.95823871988171</v>
      </c>
      <c r="CF21">
        <v>12.62462964525996</v>
      </c>
      <c r="CG21">
        <v>787.77688986422152</v>
      </c>
      <c r="CH21">
        <v>10.145943209012206</v>
      </c>
      <c r="CI21">
        <v>633.10685624236157</v>
      </c>
      <c r="CJ21">
        <v>12.742218702671838</v>
      </c>
      <c r="CK21">
        <v>795.11444704672272</v>
      </c>
      <c r="CL21">
        <v>8.6945580174658748</v>
      </c>
      <c r="CM21">
        <v>542.54042028987055</v>
      </c>
      <c r="CN21">
        <v>12.19661692624307</v>
      </c>
      <c r="CO21">
        <v>761.0688961975676</v>
      </c>
      <c r="CP21">
        <v>13.051656519105402</v>
      </c>
      <c r="CQ21">
        <v>814.42336679217703</v>
      </c>
      <c r="CR21">
        <v>10.702857659414253</v>
      </c>
      <c r="CS21">
        <v>667.85831794744934</v>
      </c>
      <c r="CT21">
        <v>11.114188351989364</v>
      </c>
      <c r="CU21">
        <v>693.52535316413628</v>
      </c>
    </row>
    <row r="22" spans="2:99" x14ac:dyDescent="0.2">
      <c r="C22" s="119" t="s">
        <v>188</v>
      </c>
      <c r="D22">
        <v>30</v>
      </c>
      <c r="E22">
        <v>5616</v>
      </c>
      <c r="F22">
        <v>33.30394911390583</v>
      </c>
      <c r="G22">
        <v>6234.4992741231708</v>
      </c>
      <c r="H22">
        <v>46.081293216234599</v>
      </c>
      <c r="I22">
        <v>8626.4180900791162</v>
      </c>
      <c r="J22">
        <v>46</v>
      </c>
      <c r="K22">
        <v>8611.1999999999989</v>
      </c>
      <c r="L22">
        <v>36</v>
      </c>
      <c r="M22">
        <v>6739.2</v>
      </c>
      <c r="N22">
        <v>48</v>
      </c>
      <c r="O22">
        <v>8985.5999999999985</v>
      </c>
      <c r="P22">
        <v>39</v>
      </c>
      <c r="Q22">
        <v>7300.7999999999993</v>
      </c>
      <c r="R22">
        <v>35</v>
      </c>
      <c r="S22">
        <v>6552</v>
      </c>
      <c r="T22">
        <v>33</v>
      </c>
      <c r="U22">
        <v>6177.5999999999995</v>
      </c>
      <c r="V22">
        <v>48</v>
      </c>
      <c r="W22">
        <v>8985.5999999999985</v>
      </c>
      <c r="X22">
        <v>38</v>
      </c>
      <c r="Y22">
        <v>7113.5999999999995</v>
      </c>
      <c r="Z22">
        <v>38</v>
      </c>
      <c r="AA22">
        <v>7113.5999999999995</v>
      </c>
      <c r="AB22">
        <v>39</v>
      </c>
      <c r="AC22">
        <v>7300.7999999999993</v>
      </c>
      <c r="AD22">
        <v>51</v>
      </c>
      <c r="AE22">
        <v>9547.1999999999989</v>
      </c>
      <c r="AF22">
        <v>31</v>
      </c>
      <c r="AG22">
        <v>5803.2</v>
      </c>
      <c r="AH22">
        <v>42</v>
      </c>
      <c r="AI22">
        <v>7862.4</v>
      </c>
      <c r="AJ22">
        <v>58</v>
      </c>
      <c r="AK22">
        <v>10857.599999999999</v>
      </c>
      <c r="AL22">
        <v>57</v>
      </c>
      <c r="AM22">
        <v>10670.4</v>
      </c>
      <c r="AN22">
        <v>14.504548269919459</v>
      </c>
      <c r="AO22">
        <v>2715.2514361289227</v>
      </c>
      <c r="AP22">
        <v>9.7150183546582749</v>
      </c>
      <c r="AQ22">
        <v>1818.6514359920291</v>
      </c>
      <c r="AR22">
        <v>11.644081469915196</v>
      </c>
      <c r="AS22">
        <v>2179.7720511681246</v>
      </c>
      <c r="AT22">
        <v>11.180017301893953</v>
      </c>
      <c r="AU22">
        <v>2092.8992389145478</v>
      </c>
      <c r="AV22">
        <v>12.152704714087379</v>
      </c>
      <c r="AW22">
        <v>2274.9863224771575</v>
      </c>
      <c r="AX22">
        <v>12.507545592472452</v>
      </c>
      <c r="AY22">
        <v>2341.4125349108431</v>
      </c>
      <c r="AZ22">
        <v>10.451578446736415</v>
      </c>
      <c r="BA22">
        <v>1956.5354852290566</v>
      </c>
      <c r="BB22">
        <v>9.4903853823929794</v>
      </c>
      <c r="BC22">
        <v>1776.6001435839655</v>
      </c>
      <c r="BD22">
        <v>12.732605561440097</v>
      </c>
      <c r="BE22">
        <v>2383.5437611015859</v>
      </c>
      <c r="BF22">
        <v>12.052217233247381</v>
      </c>
      <c r="BG22">
        <v>2256.1750660639095</v>
      </c>
      <c r="BH22">
        <v>9.9562843183600531</v>
      </c>
      <c r="BI22">
        <v>1863.8164243970018</v>
      </c>
      <c r="BJ22">
        <v>10.38286637323835</v>
      </c>
      <c r="BK22">
        <v>1943.6725850702192</v>
      </c>
      <c r="BL22">
        <v>11.454953560894698</v>
      </c>
      <c r="BM22">
        <v>2144.3673065994872</v>
      </c>
      <c r="BN22">
        <v>10.878196538754731</v>
      </c>
      <c r="BO22">
        <v>2036.3983920548853</v>
      </c>
      <c r="BP22">
        <v>13.467753351328769</v>
      </c>
      <c r="BQ22">
        <v>2521.1634273687455</v>
      </c>
      <c r="BR22">
        <v>10.526310244339284</v>
      </c>
      <c r="BS22">
        <v>1970.5252777403139</v>
      </c>
      <c r="BT22">
        <v>12.607972201865881</v>
      </c>
      <c r="BU22">
        <v>2360.2123961892926</v>
      </c>
      <c r="BV22">
        <v>12.326381838236177</v>
      </c>
      <c r="BW22">
        <v>2307.498680117812</v>
      </c>
      <c r="BX22">
        <v>13.45858745748712</v>
      </c>
      <c r="BY22">
        <v>2519.4475720415885</v>
      </c>
      <c r="BZ22">
        <v>9.2540472497265789</v>
      </c>
      <c r="CA22">
        <v>1732.3576451488154</v>
      </c>
      <c r="CB22">
        <v>9.0293199163058411</v>
      </c>
      <c r="CC22">
        <v>1690.2886883324534</v>
      </c>
      <c r="CD22">
        <v>8.4756151521350152</v>
      </c>
      <c r="CE22">
        <v>1586.6351564796748</v>
      </c>
      <c r="CF22">
        <v>12.62462964525996</v>
      </c>
      <c r="CG22">
        <v>2363.3306695926644</v>
      </c>
      <c r="CH22">
        <v>8.7302302031035257</v>
      </c>
      <c r="CI22">
        <v>1634.29909402098</v>
      </c>
      <c r="CJ22">
        <v>11.583835184247125</v>
      </c>
      <c r="CK22">
        <v>2168.4939464910617</v>
      </c>
      <c r="CL22">
        <v>8.4461420741097069</v>
      </c>
      <c r="CM22">
        <v>1581.117796273337</v>
      </c>
      <c r="CN22">
        <v>11.309590240698119</v>
      </c>
      <c r="CO22">
        <v>2117.1552930586877</v>
      </c>
      <c r="CP22">
        <v>13.051656519105402</v>
      </c>
      <c r="CQ22">
        <v>2443.270100376531</v>
      </c>
      <c r="CR22">
        <v>11.675844719361002</v>
      </c>
      <c r="CS22">
        <v>2185.7181314643794</v>
      </c>
      <c r="CT22">
        <v>10.651097170656474</v>
      </c>
      <c r="CU22">
        <v>1993.8853903468919</v>
      </c>
    </row>
    <row r="23" spans="2:99" x14ac:dyDescent="0.2">
      <c r="C23" s="119" t="s">
        <v>189</v>
      </c>
      <c r="D23">
        <v>30</v>
      </c>
      <c r="E23">
        <v>8820</v>
      </c>
      <c r="F23">
        <v>29.284952294286711</v>
      </c>
      <c r="G23">
        <v>8609.7759745202929</v>
      </c>
      <c r="H23">
        <v>42.070454120736649</v>
      </c>
      <c r="I23">
        <v>12368.713511496575</v>
      </c>
      <c r="J23">
        <v>41</v>
      </c>
      <c r="K23">
        <v>12054</v>
      </c>
      <c r="L23">
        <v>37</v>
      </c>
      <c r="M23">
        <v>10878</v>
      </c>
      <c r="N23">
        <v>47</v>
      </c>
      <c r="O23">
        <v>13818</v>
      </c>
      <c r="P23">
        <v>35</v>
      </c>
      <c r="Q23">
        <v>10290</v>
      </c>
      <c r="R23">
        <v>36</v>
      </c>
      <c r="S23">
        <v>10584</v>
      </c>
      <c r="T23">
        <v>31</v>
      </c>
      <c r="U23">
        <v>9114</v>
      </c>
      <c r="V23">
        <v>49</v>
      </c>
      <c r="W23">
        <v>14406</v>
      </c>
      <c r="X23">
        <v>35</v>
      </c>
      <c r="Y23">
        <v>10290</v>
      </c>
      <c r="Z23">
        <v>34</v>
      </c>
      <c r="AA23">
        <v>9996</v>
      </c>
      <c r="AB23">
        <v>37</v>
      </c>
      <c r="AC23">
        <v>10878</v>
      </c>
      <c r="AD23">
        <v>48</v>
      </c>
      <c r="AE23">
        <v>14112</v>
      </c>
      <c r="AF23">
        <v>32</v>
      </c>
      <c r="AG23">
        <v>9408</v>
      </c>
      <c r="AH23">
        <v>41</v>
      </c>
      <c r="AI23">
        <v>12054</v>
      </c>
      <c r="AJ23">
        <v>48</v>
      </c>
      <c r="AK23">
        <v>14112</v>
      </c>
      <c r="AL23">
        <v>56</v>
      </c>
      <c r="AM23">
        <v>16464</v>
      </c>
      <c r="AN23">
        <v>14.141934563171473</v>
      </c>
      <c r="AO23">
        <v>4157.7287615724126</v>
      </c>
      <c r="AP23">
        <v>9.7150183546582749</v>
      </c>
      <c r="AQ23">
        <v>2856.2153962695329</v>
      </c>
      <c r="AR23">
        <v>12.100712115794224</v>
      </c>
      <c r="AS23">
        <v>3557.6093620435017</v>
      </c>
      <c r="AT23">
        <v>10.942144593343016</v>
      </c>
      <c r="AU23">
        <v>3216.9905104428467</v>
      </c>
      <c r="AV23">
        <v>12.405886062297533</v>
      </c>
      <c r="AW23">
        <v>3647.3305023154749</v>
      </c>
      <c r="AX23">
        <v>12.026486146608127</v>
      </c>
      <c r="AY23">
        <v>3535.7869271027894</v>
      </c>
      <c r="AZ23">
        <v>10.451578446736415</v>
      </c>
      <c r="BA23">
        <v>3072.7640633405058</v>
      </c>
      <c r="BB23">
        <v>9.4903853823929794</v>
      </c>
      <c r="BC23">
        <v>2790.1733024235359</v>
      </c>
      <c r="BD23">
        <v>11.034924819914751</v>
      </c>
      <c r="BE23">
        <v>3244.2678970549368</v>
      </c>
      <c r="BF23">
        <v>12.052217233247381</v>
      </c>
      <c r="BG23">
        <v>3543.3518665747301</v>
      </c>
      <c r="BH23">
        <v>8.7117487785650471</v>
      </c>
      <c r="BI23">
        <v>2561.2541408981238</v>
      </c>
      <c r="BJ23">
        <v>10.944102393413395</v>
      </c>
      <c r="BK23">
        <v>3217.5661036635383</v>
      </c>
      <c r="BL23">
        <v>12.451036479233368</v>
      </c>
      <c r="BM23">
        <v>3660.6047248946102</v>
      </c>
      <c r="BN23">
        <v>11.683988874958784</v>
      </c>
      <c r="BO23">
        <v>3435.0927292378824</v>
      </c>
      <c r="BP23">
        <v>13.467753351328769</v>
      </c>
      <c r="BQ23">
        <v>3959.5194852906579</v>
      </c>
      <c r="BR23">
        <v>9.4182775870404107</v>
      </c>
      <c r="BS23">
        <v>2768.9736105898805</v>
      </c>
      <c r="BT23">
        <v>12.607972201865881</v>
      </c>
      <c r="BU23">
        <v>3706.7438273485691</v>
      </c>
      <c r="BV23">
        <v>14.459794079469361</v>
      </c>
      <c r="BW23">
        <v>4251.1794593639925</v>
      </c>
      <c r="BX23">
        <v>12.112728711738407</v>
      </c>
      <c r="BY23">
        <v>3561.1422412510919</v>
      </c>
      <c r="BZ23">
        <v>8.6931959012583011</v>
      </c>
      <c r="CA23">
        <v>2555.7995949699407</v>
      </c>
      <c r="CB23">
        <v>9.0293199163058411</v>
      </c>
      <c r="CC23">
        <v>2654.6200553939175</v>
      </c>
      <c r="CD23">
        <v>8.7324519749269864</v>
      </c>
      <c r="CE23">
        <v>2567.3408806285338</v>
      </c>
      <c r="CF23">
        <v>12.62462964525996</v>
      </c>
      <c r="CG23">
        <v>3711.6411157064281</v>
      </c>
      <c r="CH23">
        <v>9.9099910413607581</v>
      </c>
      <c r="CI23">
        <v>2913.5373661600629</v>
      </c>
      <c r="CJ23">
        <v>11.12048177687724</v>
      </c>
      <c r="CK23">
        <v>3269.4216424019087</v>
      </c>
      <c r="CL23">
        <v>9.9366377342467143</v>
      </c>
      <c r="CM23">
        <v>2921.3714938685339</v>
      </c>
      <c r="CN23">
        <v>11.974860254856834</v>
      </c>
      <c r="CO23">
        <v>3520.6089149279092</v>
      </c>
      <c r="CP23">
        <v>13.90285150948184</v>
      </c>
      <c r="CQ23">
        <v>4087.4383437876609</v>
      </c>
      <c r="CR23">
        <v>11.675844719361002</v>
      </c>
      <c r="CS23">
        <v>3432.6983474921349</v>
      </c>
      <c r="CT23">
        <v>10.188005989323583</v>
      </c>
      <c r="CU23">
        <v>2995.2737608611337</v>
      </c>
    </row>
    <row r="24" spans="2:99" x14ac:dyDescent="0.2">
      <c r="C24" s="119" t="s">
        <v>190</v>
      </c>
      <c r="D24">
        <v>27</v>
      </c>
      <c r="E24">
        <v>9914.4</v>
      </c>
      <c r="F24">
        <v>30.322945933524942</v>
      </c>
      <c r="G24">
        <v>11134.585746790359</v>
      </c>
      <c r="H24">
        <v>42.08671276398357</v>
      </c>
      <c r="I24">
        <v>15454.240926934766</v>
      </c>
      <c r="J24">
        <v>42</v>
      </c>
      <c r="K24">
        <v>15422.4</v>
      </c>
      <c r="L24">
        <v>42</v>
      </c>
      <c r="M24">
        <v>15422.4</v>
      </c>
      <c r="N24">
        <v>41</v>
      </c>
      <c r="O24">
        <v>15055.199999999999</v>
      </c>
      <c r="P24">
        <v>33</v>
      </c>
      <c r="Q24">
        <v>12117.6</v>
      </c>
      <c r="R24">
        <v>40</v>
      </c>
      <c r="S24">
        <v>14688</v>
      </c>
      <c r="T24">
        <v>30</v>
      </c>
      <c r="U24">
        <v>11016</v>
      </c>
      <c r="V24">
        <v>44</v>
      </c>
      <c r="W24">
        <v>16156.8</v>
      </c>
      <c r="X24">
        <v>33</v>
      </c>
      <c r="Y24">
        <v>12117.6</v>
      </c>
      <c r="Z24">
        <v>34</v>
      </c>
      <c r="AA24">
        <v>12484.8</v>
      </c>
      <c r="AB24">
        <v>39</v>
      </c>
      <c r="AC24">
        <v>14320.8</v>
      </c>
      <c r="AD24">
        <v>48</v>
      </c>
      <c r="AE24">
        <v>17625.599999999999</v>
      </c>
      <c r="AF24">
        <v>33</v>
      </c>
      <c r="AG24">
        <v>12117.6</v>
      </c>
      <c r="AH24">
        <v>43</v>
      </c>
      <c r="AI24">
        <v>15789.6</v>
      </c>
      <c r="AJ24">
        <v>50</v>
      </c>
      <c r="AK24">
        <v>18360</v>
      </c>
      <c r="AL24">
        <v>54</v>
      </c>
      <c r="AM24">
        <v>19828.8</v>
      </c>
      <c r="AN24">
        <v>14.867161976667447</v>
      </c>
      <c r="AO24">
        <v>5459.2218778322867</v>
      </c>
      <c r="AP24">
        <v>9.159874448677801</v>
      </c>
      <c r="AQ24">
        <v>3363.5058975544885</v>
      </c>
      <c r="AR24">
        <v>12.785658084612765</v>
      </c>
      <c r="AS24">
        <v>4694.8936486698067</v>
      </c>
      <c r="AT24">
        <v>11.417890010444887</v>
      </c>
      <c r="AU24">
        <v>4192.6492118353626</v>
      </c>
      <c r="AV24">
        <v>11.646342017667074</v>
      </c>
      <c r="AW24">
        <v>4276.5367888873498</v>
      </c>
      <c r="AX24">
        <v>13.469664484201102</v>
      </c>
      <c r="AY24">
        <v>4946.0607985986444</v>
      </c>
      <c r="AZ24">
        <v>10.451578446736415</v>
      </c>
      <c r="BA24">
        <v>3837.8196056416114</v>
      </c>
      <c r="BB24">
        <v>10.808494463280894</v>
      </c>
      <c r="BC24">
        <v>3968.879166916744</v>
      </c>
      <c r="BD24">
        <v>10.751978029660528</v>
      </c>
      <c r="BE24">
        <v>3948.1263324913457</v>
      </c>
      <c r="BF24">
        <v>11.84077482564655</v>
      </c>
      <c r="BG24">
        <v>4347.9325159774125</v>
      </c>
      <c r="BH24">
        <v>9.9562843183600531</v>
      </c>
      <c r="BI24">
        <v>3655.9476017018114</v>
      </c>
      <c r="BJ24">
        <v>11.224720403500918</v>
      </c>
      <c r="BK24">
        <v>4121.7173321655364</v>
      </c>
      <c r="BL24">
        <v>10.956912101725363</v>
      </c>
      <c r="BM24">
        <v>4023.3781237535532</v>
      </c>
      <c r="BN24">
        <v>11.885436959009798</v>
      </c>
      <c r="BO24">
        <v>4364.3324513483976</v>
      </c>
      <c r="BP24">
        <v>13.699955995317195</v>
      </c>
      <c r="BQ24">
        <v>5030.6238414804739</v>
      </c>
      <c r="BR24">
        <v>10.803318408664001</v>
      </c>
      <c r="BS24">
        <v>3966.9785196614212</v>
      </c>
      <c r="BT24">
        <v>11.866326778226711</v>
      </c>
      <c r="BU24">
        <v>4357.3151929648484</v>
      </c>
      <c r="BV24">
        <v>11.852290229073247</v>
      </c>
      <c r="BW24">
        <v>4352.1609721156965</v>
      </c>
      <c r="BX24">
        <v>13.234277666529003</v>
      </c>
      <c r="BY24">
        <v>4859.6267591494498</v>
      </c>
      <c r="BZ24">
        <v>8.9736215754924409</v>
      </c>
      <c r="CA24">
        <v>3295.1138425208242</v>
      </c>
      <c r="CB24">
        <v>8.7471536689212837</v>
      </c>
      <c r="CC24">
        <v>3211.9548272278953</v>
      </c>
      <c r="CD24">
        <v>8.9892887977189559</v>
      </c>
      <c r="CE24">
        <v>3300.8668465224005</v>
      </c>
      <c r="CF24">
        <v>11.078756627473025</v>
      </c>
      <c r="CG24">
        <v>4068.1194336080948</v>
      </c>
      <c r="CH24">
        <v>8.4942780354520782</v>
      </c>
      <c r="CI24">
        <v>3119.0988946180032</v>
      </c>
      <c r="CJ24">
        <v>10.425451665822413</v>
      </c>
      <c r="CK24">
        <v>3828.2258516899901</v>
      </c>
      <c r="CL24">
        <v>9.4398058475343785</v>
      </c>
      <c r="CM24">
        <v>3466.2967072146234</v>
      </c>
      <c r="CN24">
        <v>11.974860254856834</v>
      </c>
      <c r="CO24">
        <v>4397.1686855834296</v>
      </c>
      <c r="CP24">
        <v>13.90285150948184</v>
      </c>
      <c r="CQ24">
        <v>5105.1270742817314</v>
      </c>
      <c r="CR24">
        <v>10.459610894427565</v>
      </c>
      <c r="CS24">
        <v>3840.7691204338016</v>
      </c>
      <c r="CT24">
        <v>9.2618236266578027</v>
      </c>
      <c r="CU24">
        <v>3400.9416357087453</v>
      </c>
    </row>
    <row r="25" spans="2:99" x14ac:dyDescent="0.2">
      <c r="C25" s="119" t="s">
        <v>191</v>
      </c>
      <c r="D25">
        <v>30</v>
      </c>
      <c r="E25">
        <v>15912</v>
      </c>
      <c r="F25">
        <v>27.303949113905826</v>
      </c>
      <c r="G25">
        <v>14482.014610015649</v>
      </c>
      <c r="H25">
        <v>44.070454120736649</v>
      </c>
      <c r="I25">
        <v>23374.968865638719</v>
      </c>
      <c r="J25">
        <v>43</v>
      </c>
      <c r="K25">
        <v>22807.200000000001</v>
      </c>
      <c r="L25">
        <v>36</v>
      </c>
      <c r="M25">
        <v>19094.399999999998</v>
      </c>
      <c r="N25">
        <v>48</v>
      </c>
      <c r="O25">
        <v>25459.199999999997</v>
      </c>
      <c r="P25">
        <v>34</v>
      </c>
      <c r="Q25">
        <v>18033.599999999999</v>
      </c>
      <c r="R25">
        <v>34</v>
      </c>
      <c r="S25">
        <v>18033.599999999999</v>
      </c>
      <c r="T25">
        <v>28</v>
      </c>
      <c r="U25">
        <v>14851.199999999999</v>
      </c>
      <c r="V25">
        <v>40</v>
      </c>
      <c r="W25">
        <v>21216</v>
      </c>
      <c r="X25">
        <v>36</v>
      </c>
      <c r="Y25">
        <v>19094.399999999998</v>
      </c>
      <c r="Z25">
        <v>38</v>
      </c>
      <c r="AA25">
        <v>20155.2</v>
      </c>
      <c r="AB25">
        <v>36</v>
      </c>
      <c r="AC25">
        <v>19094.399999999998</v>
      </c>
      <c r="AD25">
        <v>55</v>
      </c>
      <c r="AE25">
        <v>29172</v>
      </c>
      <c r="AF25">
        <v>30</v>
      </c>
      <c r="AG25">
        <v>15912</v>
      </c>
      <c r="AH25">
        <v>40</v>
      </c>
      <c r="AI25">
        <v>21216</v>
      </c>
      <c r="AJ25">
        <v>53</v>
      </c>
      <c r="AK25">
        <v>28111.199999999997</v>
      </c>
      <c r="AL25">
        <v>48</v>
      </c>
      <c r="AM25">
        <v>25459.199999999997</v>
      </c>
      <c r="AN25">
        <v>15.229775683415433</v>
      </c>
      <c r="AO25">
        <v>8077.8730224835454</v>
      </c>
      <c r="AP25">
        <v>9.7150183546582749</v>
      </c>
      <c r="AQ25">
        <v>5152.8457353107488</v>
      </c>
      <c r="AR25">
        <v>12.329027438733737</v>
      </c>
      <c r="AS25">
        <v>6539.3161535043737</v>
      </c>
      <c r="AT25">
        <v>11.180017301893953</v>
      </c>
      <c r="AU25">
        <v>5929.8811769245522</v>
      </c>
      <c r="AV25">
        <v>12.152704714087379</v>
      </c>
      <c r="AW25">
        <v>6445.794580351946</v>
      </c>
      <c r="AX25">
        <v>13.710194207133263</v>
      </c>
      <c r="AY25">
        <v>7271.8870074634824</v>
      </c>
      <c r="AZ25">
        <v>11.47124463666192</v>
      </c>
      <c r="BA25">
        <v>6084.3481552854819</v>
      </c>
      <c r="BB25">
        <v>9.2267635662153964</v>
      </c>
      <c r="BC25">
        <v>4893.8753955206457</v>
      </c>
      <c r="BD25">
        <v>11.034924819914751</v>
      </c>
      <c r="BE25">
        <v>5852.9241244827836</v>
      </c>
      <c r="BF25">
        <v>11.206447602844056</v>
      </c>
      <c r="BG25">
        <v>5943.8998085484873</v>
      </c>
      <c r="BH25">
        <v>8.7117487785650471</v>
      </c>
      <c r="BI25">
        <v>4620.7115521509004</v>
      </c>
      <c r="BJ25">
        <v>10.944102393413395</v>
      </c>
      <c r="BK25">
        <v>5804.7519094664649</v>
      </c>
      <c r="BL25">
        <v>11.703974290479366</v>
      </c>
      <c r="BM25">
        <v>6207.7879636702555</v>
      </c>
      <c r="BN25">
        <v>12.086885043060811</v>
      </c>
      <c r="BO25">
        <v>6410.8838268394538</v>
      </c>
      <c r="BP25">
        <v>12.074537487398207</v>
      </c>
      <c r="BQ25">
        <v>6404.3346833160085</v>
      </c>
      <c r="BR25">
        <v>10.526310244339284</v>
      </c>
      <c r="BS25">
        <v>5583.1549535975555</v>
      </c>
      <c r="BT25">
        <v>11.866326778226711</v>
      </c>
      <c r="BU25">
        <v>6293.8997231714466</v>
      </c>
      <c r="BV25">
        <v>12.089336033654712</v>
      </c>
      <c r="BW25">
        <v>6412.1838322504591</v>
      </c>
      <c r="BX25">
        <v>12.561348293654644</v>
      </c>
      <c r="BY25">
        <v>6662.5391349544234</v>
      </c>
      <c r="BZ25">
        <v>8.9736215754924409</v>
      </c>
      <c r="CA25">
        <v>4759.60888364119</v>
      </c>
      <c r="CB25">
        <v>7.9006549267676123</v>
      </c>
      <c r="CC25">
        <v>4190.5073731575412</v>
      </c>
      <c r="CD25">
        <v>8.9892887977189559</v>
      </c>
      <c r="CE25">
        <v>4767.9187783101343</v>
      </c>
      <c r="CF25">
        <v>10.563465621544047</v>
      </c>
      <c r="CG25">
        <v>5602.862165666962</v>
      </c>
      <c r="CH25">
        <v>9.6740388737093124</v>
      </c>
      <c r="CI25">
        <v>5131.1102186154194</v>
      </c>
      <c r="CJ25">
        <v>11.583835184247125</v>
      </c>
      <c r="CK25">
        <v>6144.0661817246746</v>
      </c>
      <c r="CL25">
        <v>9.4398058475343785</v>
      </c>
      <c r="CM25">
        <v>5006.8730215322339</v>
      </c>
      <c r="CN25">
        <v>10.200806883766933</v>
      </c>
      <c r="CO25">
        <v>5410.5079711499811</v>
      </c>
      <c r="CP25">
        <v>13.335388182564214</v>
      </c>
      <c r="CQ25">
        <v>7073.0898920320587</v>
      </c>
      <c r="CR25">
        <v>10.702857659414253</v>
      </c>
      <c r="CS25">
        <v>5676.7957025533196</v>
      </c>
      <c r="CT25">
        <v>10.41955157999003</v>
      </c>
      <c r="CU25">
        <v>5526.5301580267114</v>
      </c>
    </row>
    <row r="26" spans="2:99" x14ac:dyDescent="0.2">
      <c r="C26" s="119" t="s">
        <v>192</v>
      </c>
      <c r="D26">
        <v>31</v>
      </c>
      <c r="E26">
        <v>15066</v>
      </c>
      <c r="F26">
        <v>32.30394911390583</v>
      </c>
      <c r="G26">
        <v>15699.719269358233</v>
      </c>
      <c r="H26">
        <v>41.07587366848562</v>
      </c>
      <c r="I26">
        <v>19962.874602884011</v>
      </c>
      <c r="J26">
        <v>43</v>
      </c>
      <c r="K26">
        <v>20898</v>
      </c>
      <c r="L26">
        <v>38</v>
      </c>
      <c r="M26">
        <v>18468</v>
      </c>
      <c r="N26">
        <v>43</v>
      </c>
      <c r="O26">
        <v>20898</v>
      </c>
      <c r="P26">
        <v>35</v>
      </c>
      <c r="Q26">
        <v>17010</v>
      </c>
      <c r="R26">
        <v>38</v>
      </c>
      <c r="S26">
        <v>18468</v>
      </c>
      <c r="T26">
        <v>31</v>
      </c>
      <c r="U26">
        <v>15066</v>
      </c>
      <c r="V26">
        <v>41</v>
      </c>
      <c r="W26">
        <v>19926</v>
      </c>
      <c r="X26">
        <v>33</v>
      </c>
      <c r="Y26">
        <v>16038</v>
      </c>
      <c r="Z26">
        <v>35</v>
      </c>
      <c r="AA26">
        <v>17010</v>
      </c>
      <c r="AB26">
        <v>38</v>
      </c>
      <c r="AC26">
        <v>18468</v>
      </c>
      <c r="AD26">
        <v>55</v>
      </c>
      <c r="AE26">
        <v>26730</v>
      </c>
      <c r="AF26">
        <v>32</v>
      </c>
      <c r="AG26">
        <v>15552</v>
      </c>
      <c r="AH26">
        <v>39</v>
      </c>
      <c r="AI26">
        <v>18954</v>
      </c>
      <c r="AJ26">
        <v>53</v>
      </c>
      <c r="AK26">
        <v>25758</v>
      </c>
      <c r="AL26">
        <v>53</v>
      </c>
      <c r="AM26">
        <v>25758</v>
      </c>
      <c r="AN26">
        <v>15.229775683415433</v>
      </c>
      <c r="AO26">
        <v>7401.6709821398999</v>
      </c>
      <c r="AP26">
        <v>9.992590307648511</v>
      </c>
      <c r="AQ26">
        <v>4856.398889517176</v>
      </c>
      <c r="AR26">
        <v>13.013973407552278</v>
      </c>
      <c r="AS26">
        <v>6324.7910760704071</v>
      </c>
      <c r="AT26">
        <v>12.131508136097693</v>
      </c>
      <c r="AU26">
        <v>5895.9129541434786</v>
      </c>
      <c r="AV26">
        <v>12.912248758717842</v>
      </c>
      <c r="AW26">
        <v>6275.3528967368711</v>
      </c>
      <c r="AX26">
        <v>13.469664484201102</v>
      </c>
      <c r="AY26">
        <v>6546.2569393217354</v>
      </c>
      <c r="AZ26">
        <v>11.216328089180545</v>
      </c>
      <c r="BA26">
        <v>5451.1354513417446</v>
      </c>
      <c r="BB26">
        <v>9.2267635662153964</v>
      </c>
      <c r="BC26">
        <v>4484.2070931806829</v>
      </c>
      <c r="BD26">
        <v>11.883765190677424</v>
      </c>
      <c r="BE26">
        <v>5775.5098826692283</v>
      </c>
      <c r="BF26">
        <v>12.052217233247381</v>
      </c>
      <c r="BG26">
        <v>5857.3775753582277</v>
      </c>
      <c r="BH26">
        <v>8.7117487785650471</v>
      </c>
      <c r="BI26">
        <v>4233.9099063826125</v>
      </c>
      <c r="BJ26">
        <v>11.224720403500918</v>
      </c>
      <c r="BK26">
        <v>5455.2141161014461</v>
      </c>
      <c r="BL26">
        <v>11.952995020064034</v>
      </c>
      <c r="BM26">
        <v>5809.1555797511201</v>
      </c>
      <c r="BN26">
        <v>12.086885043060811</v>
      </c>
      <c r="BO26">
        <v>5874.2261309275536</v>
      </c>
      <c r="BP26">
        <v>13.699955995317195</v>
      </c>
      <c r="BQ26">
        <v>6658.178613724157</v>
      </c>
      <c r="BR26">
        <v>9.972293915689848</v>
      </c>
      <c r="BS26">
        <v>4846.5348430252661</v>
      </c>
      <c r="BT26">
        <v>11.866326778226711</v>
      </c>
      <c r="BU26">
        <v>5767.0348142181811</v>
      </c>
      <c r="BV26">
        <v>13.748656665724967</v>
      </c>
      <c r="BW26">
        <v>6681.8471395423339</v>
      </c>
      <c r="BX26">
        <v>13.68289724844524</v>
      </c>
      <c r="BY26">
        <v>6649.8880627443868</v>
      </c>
      <c r="BZ26">
        <v>7.8519188785558853</v>
      </c>
      <c r="CA26">
        <v>3816.0325749781605</v>
      </c>
      <c r="CB26">
        <v>8.1828211741521688</v>
      </c>
      <c r="CC26">
        <v>3976.8510906379543</v>
      </c>
      <c r="CD26">
        <v>8.9892887977189559</v>
      </c>
      <c r="CE26">
        <v>4368.7943556914124</v>
      </c>
      <c r="CF26">
        <v>12.36698414229547</v>
      </c>
      <c r="CG26">
        <v>6010.3542931555985</v>
      </c>
      <c r="CH26">
        <v>8.9661823707549733</v>
      </c>
      <c r="CI26">
        <v>4357.5646321869172</v>
      </c>
      <c r="CJ26">
        <v>11.12048177687724</v>
      </c>
      <c r="CK26">
        <v>5404.5541435623381</v>
      </c>
      <c r="CL26">
        <v>8.4461420741097069</v>
      </c>
      <c r="CM26">
        <v>4104.8250480173174</v>
      </c>
      <c r="CN26">
        <v>10.42256355515317</v>
      </c>
      <c r="CO26">
        <v>5065.3658878044407</v>
      </c>
      <c r="CP26">
        <v>13.051656519105402</v>
      </c>
      <c r="CQ26">
        <v>6343.1050682852256</v>
      </c>
      <c r="CR26">
        <v>11.919091484347691</v>
      </c>
      <c r="CS26">
        <v>5792.6784613929776</v>
      </c>
      <c r="CT26">
        <v>9.4933692173242488</v>
      </c>
      <c r="CU26">
        <v>4613.7774396195846</v>
      </c>
    </row>
    <row r="27" spans="2:99" x14ac:dyDescent="0.2">
      <c r="C27" s="119" t="s">
        <v>193</v>
      </c>
      <c r="D27">
        <v>29</v>
      </c>
      <c r="E27">
        <v>12388.8</v>
      </c>
      <c r="F27">
        <v>31.303949113905826</v>
      </c>
      <c r="G27">
        <v>13373.047061460569</v>
      </c>
      <c r="H27">
        <v>40.08671276398357</v>
      </c>
      <c r="I27">
        <v>17125.043692773779</v>
      </c>
      <c r="J27">
        <v>47</v>
      </c>
      <c r="K27">
        <v>20078.399999999998</v>
      </c>
      <c r="L27">
        <v>40</v>
      </c>
      <c r="M27">
        <v>17088</v>
      </c>
      <c r="N27">
        <v>48</v>
      </c>
      <c r="O27">
        <v>20505.599999999999</v>
      </c>
      <c r="P27">
        <v>37</v>
      </c>
      <c r="Q27">
        <v>15806.4</v>
      </c>
      <c r="R27">
        <v>37</v>
      </c>
      <c r="S27">
        <v>15806.4</v>
      </c>
      <c r="T27">
        <v>28</v>
      </c>
      <c r="U27">
        <v>11961.6</v>
      </c>
      <c r="V27">
        <v>41</v>
      </c>
      <c r="W27">
        <v>17515.2</v>
      </c>
      <c r="X27">
        <v>38</v>
      </c>
      <c r="Y27">
        <v>16233.6</v>
      </c>
      <c r="Z27">
        <v>33</v>
      </c>
      <c r="AA27">
        <v>14097.6</v>
      </c>
      <c r="AB27">
        <v>40</v>
      </c>
      <c r="AC27">
        <v>17088</v>
      </c>
      <c r="AD27">
        <v>51</v>
      </c>
      <c r="AE27">
        <v>21787.200000000001</v>
      </c>
      <c r="AF27">
        <v>32</v>
      </c>
      <c r="AG27">
        <v>13670.4</v>
      </c>
      <c r="AH27">
        <v>38</v>
      </c>
      <c r="AI27">
        <v>16233.6</v>
      </c>
      <c r="AJ27">
        <v>55</v>
      </c>
      <c r="AK27">
        <v>23496</v>
      </c>
      <c r="AL27">
        <v>52</v>
      </c>
      <c r="AM27">
        <v>22214.399999999998</v>
      </c>
      <c r="AN27">
        <v>13.416707149675501</v>
      </c>
      <c r="AO27">
        <v>5731.617294341374</v>
      </c>
      <c r="AP27">
        <v>8.8823024956875649</v>
      </c>
      <c r="AQ27">
        <v>3794.5196261577275</v>
      </c>
      <c r="AR27">
        <v>11.87239679285471</v>
      </c>
      <c r="AS27">
        <v>5071.887909907532</v>
      </c>
      <c r="AT27">
        <v>10.942144593343016</v>
      </c>
      <c r="AU27">
        <v>4674.4841702761369</v>
      </c>
      <c r="AV27">
        <v>12.152704714087379</v>
      </c>
      <c r="AW27">
        <v>5191.6354538581281</v>
      </c>
      <c r="AX27">
        <v>12.267015869540288</v>
      </c>
      <c r="AY27">
        <v>5240.469179467611</v>
      </c>
      <c r="AZ27">
        <v>10.706494994217792</v>
      </c>
      <c r="BA27">
        <v>4573.8146615298401</v>
      </c>
      <c r="BB27">
        <v>9.4903853823929794</v>
      </c>
      <c r="BC27">
        <v>4054.2926353582807</v>
      </c>
      <c r="BD27">
        <v>11.883765190677424</v>
      </c>
      <c r="BE27">
        <v>5076.7444894573955</v>
      </c>
      <c r="BF27">
        <v>12.686544456049875</v>
      </c>
      <c r="BG27">
        <v>5419.6917916245065</v>
      </c>
      <c r="BH27">
        <v>8.4006148936162965</v>
      </c>
      <c r="BI27">
        <v>3588.7426825528819</v>
      </c>
      <c r="BJ27">
        <v>11.785956423675964</v>
      </c>
      <c r="BK27">
        <v>5034.9605841943721</v>
      </c>
      <c r="BL27">
        <v>11.952995020064034</v>
      </c>
      <c r="BM27">
        <v>5106.3194725713547</v>
      </c>
      <c r="BN27">
        <v>12.288333127111825</v>
      </c>
      <c r="BO27">
        <v>5249.5759119021714</v>
      </c>
      <c r="BP27">
        <v>13.932158639305623</v>
      </c>
      <c r="BQ27">
        <v>5951.8181707113617</v>
      </c>
      <c r="BR27">
        <v>9.4182775870404107</v>
      </c>
      <c r="BS27">
        <v>4023.4881851836635</v>
      </c>
      <c r="BT27">
        <v>12.855187343078939</v>
      </c>
      <c r="BU27">
        <v>5491.736032963322</v>
      </c>
      <c r="BV27">
        <v>13.274565056562036</v>
      </c>
      <c r="BW27">
        <v>5670.8941921633013</v>
      </c>
      <c r="BX27">
        <v>13.009967875570885</v>
      </c>
      <c r="BY27">
        <v>5557.8582764438816</v>
      </c>
      <c r="BZ27">
        <v>7.8519188785558853</v>
      </c>
      <c r="CA27">
        <v>3354.3397449190743</v>
      </c>
      <c r="CB27">
        <v>8.4649874215367262</v>
      </c>
      <c r="CC27">
        <v>3616.2426264804894</v>
      </c>
      <c r="CD27">
        <v>7.9619415065510744</v>
      </c>
      <c r="CE27">
        <v>3401.3414115986188</v>
      </c>
      <c r="CF27">
        <v>10.305820118579559</v>
      </c>
      <c r="CG27">
        <v>4402.6463546571877</v>
      </c>
      <c r="CH27">
        <v>8.7302302031035257</v>
      </c>
      <c r="CI27">
        <v>3729.5543427658263</v>
      </c>
      <c r="CJ27">
        <v>12.278865295301951</v>
      </c>
      <c r="CK27">
        <v>5245.5312541529938</v>
      </c>
      <c r="CL27">
        <v>8.6945580174658748</v>
      </c>
      <c r="CM27">
        <v>3714.3151850614217</v>
      </c>
      <c r="CN27">
        <v>9.9790502123806952</v>
      </c>
      <c r="CO27">
        <v>4263.050250729033</v>
      </c>
      <c r="CP27">
        <v>13.619119846023027</v>
      </c>
      <c r="CQ27">
        <v>5818.0879982210372</v>
      </c>
      <c r="CR27">
        <v>11.919091484347691</v>
      </c>
      <c r="CS27">
        <v>5091.8358821133334</v>
      </c>
      <c r="CT27">
        <v>9.7249148079906931</v>
      </c>
      <c r="CU27">
        <v>4154.4836059736235</v>
      </c>
    </row>
    <row r="28" spans="2:99" x14ac:dyDescent="0.2">
      <c r="C28" s="119" t="s">
        <v>194</v>
      </c>
      <c r="D28">
        <v>27</v>
      </c>
      <c r="E28">
        <v>19926</v>
      </c>
      <c r="F28">
        <v>26.284952294286711</v>
      </c>
      <c r="G28">
        <v>19398.294793183592</v>
      </c>
      <c r="H28">
        <v>38.070454120736649</v>
      </c>
      <c r="I28">
        <v>28095.995141103645</v>
      </c>
      <c r="J28">
        <v>42</v>
      </c>
      <c r="K28">
        <v>30996</v>
      </c>
      <c r="L28">
        <v>40</v>
      </c>
      <c r="M28">
        <v>29520</v>
      </c>
      <c r="N28">
        <v>42</v>
      </c>
      <c r="O28">
        <v>30996</v>
      </c>
      <c r="P28">
        <v>35</v>
      </c>
      <c r="Q28">
        <v>25830</v>
      </c>
      <c r="R28">
        <v>38</v>
      </c>
      <c r="S28">
        <v>28044</v>
      </c>
      <c r="T28">
        <v>26</v>
      </c>
      <c r="U28">
        <v>19188</v>
      </c>
      <c r="V28">
        <v>41</v>
      </c>
      <c r="W28">
        <v>30258</v>
      </c>
      <c r="X28">
        <v>36</v>
      </c>
      <c r="Y28">
        <v>26568</v>
      </c>
      <c r="Z28">
        <v>36</v>
      </c>
      <c r="AA28">
        <v>26568</v>
      </c>
      <c r="AB28">
        <v>36</v>
      </c>
      <c r="AC28">
        <v>26568</v>
      </c>
      <c r="AD28">
        <v>52</v>
      </c>
      <c r="AE28">
        <v>38376</v>
      </c>
      <c r="AF28">
        <v>34</v>
      </c>
      <c r="AG28">
        <v>25092</v>
      </c>
      <c r="AH28">
        <v>40</v>
      </c>
      <c r="AI28">
        <v>29520</v>
      </c>
      <c r="AJ28">
        <v>52</v>
      </c>
      <c r="AK28">
        <v>38376</v>
      </c>
      <c r="AL28">
        <v>49</v>
      </c>
      <c r="AM28">
        <v>36162</v>
      </c>
      <c r="AN28">
        <v>14.141934563171473</v>
      </c>
      <c r="AO28">
        <v>10436.747707620547</v>
      </c>
      <c r="AP28">
        <v>9.7150183546582749</v>
      </c>
      <c r="AQ28">
        <v>7169.6835457378065</v>
      </c>
      <c r="AR28">
        <v>11.415766146975683</v>
      </c>
      <c r="AS28">
        <v>8424.8354164680532</v>
      </c>
      <c r="AT28">
        <v>11.417890010444887</v>
      </c>
      <c r="AU28">
        <v>8426.4028277083271</v>
      </c>
      <c r="AV28">
        <v>10.633616624826457</v>
      </c>
      <c r="AW28">
        <v>7847.6090691219251</v>
      </c>
      <c r="AX28">
        <v>11.785956423675964</v>
      </c>
      <c r="AY28">
        <v>8698.035840672861</v>
      </c>
      <c r="AZ28">
        <v>10.706494994217792</v>
      </c>
      <c r="BA28">
        <v>7901.3933057327304</v>
      </c>
      <c r="BB28">
        <v>10.017629014748145</v>
      </c>
      <c r="BC28">
        <v>7393.0102128841309</v>
      </c>
      <c r="BD28">
        <v>11.317871610168975</v>
      </c>
      <c r="BE28">
        <v>8352.5892483047028</v>
      </c>
      <c r="BF28">
        <v>11.417890010444887</v>
      </c>
      <c r="BG28">
        <v>8426.4028277083271</v>
      </c>
      <c r="BH28">
        <v>9.0228826635137978</v>
      </c>
      <c r="BI28">
        <v>6658.8874056731829</v>
      </c>
      <c r="BJ28">
        <v>11.224720403500918</v>
      </c>
      <c r="BK28">
        <v>8283.8436577836765</v>
      </c>
      <c r="BL28">
        <v>11.703974290479366</v>
      </c>
      <c r="BM28">
        <v>8637.5330263737724</v>
      </c>
      <c r="BN28">
        <v>11.281092706856757</v>
      </c>
      <c r="BO28">
        <v>8325.4464176602869</v>
      </c>
      <c r="BP28">
        <v>13.467753351328769</v>
      </c>
      <c r="BQ28">
        <v>9939.2019732806311</v>
      </c>
      <c r="BR28">
        <v>9.6952857513651285</v>
      </c>
      <c r="BS28">
        <v>7155.1208845074652</v>
      </c>
      <c r="BT28">
        <v>10.383035930948372</v>
      </c>
      <c r="BU28">
        <v>7662.6805170398984</v>
      </c>
      <c r="BV28">
        <v>11.378198619910316</v>
      </c>
      <c r="BW28">
        <v>8397.1105814938128</v>
      </c>
      <c r="BX28">
        <v>12.337038502696528</v>
      </c>
      <c r="BY28">
        <v>9104.7344149900382</v>
      </c>
      <c r="BZ28">
        <v>8.4127702270241631</v>
      </c>
      <c r="CA28">
        <v>6208.6244275438321</v>
      </c>
      <c r="CB28">
        <v>8.7471536689212837</v>
      </c>
      <c r="CC28">
        <v>6455.3994076639074</v>
      </c>
      <c r="CD28">
        <v>8.9892887977189559</v>
      </c>
      <c r="CE28">
        <v>6634.0951327165894</v>
      </c>
      <c r="CF28">
        <v>11.851693136366492</v>
      </c>
      <c r="CG28">
        <v>8746.5495346384705</v>
      </c>
      <c r="CH28">
        <v>8.9661823707549733</v>
      </c>
      <c r="CI28">
        <v>6617.0425896171701</v>
      </c>
      <c r="CJ28">
        <v>11.12048177687724</v>
      </c>
      <c r="CK28">
        <v>8206.9155513354035</v>
      </c>
      <c r="CL28">
        <v>8.6945580174658748</v>
      </c>
      <c r="CM28">
        <v>6416.5838168898154</v>
      </c>
      <c r="CN28">
        <v>11.309590240698119</v>
      </c>
      <c r="CO28">
        <v>8346.4775976352121</v>
      </c>
      <c r="CP28">
        <v>11.349266538352524</v>
      </c>
      <c r="CQ28">
        <v>8375.7587053041625</v>
      </c>
      <c r="CR28">
        <v>10.702857659414253</v>
      </c>
      <c r="CS28">
        <v>7898.7089526477184</v>
      </c>
      <c r="CT28">
        <v>10.188005989323583</v>
      </c>
      <c r="CU28">
        <v>7518.7484201208044</v>
      </c>
    </row>
    <row r="29" spans="2:99" x14ac:dyDescent="0.2">
      <c r="C29" s="119" t="s">
        <v>195</v>
      </c>
      <c r="D29">
        <v>27</v>
      </c>
      <c r="E29">
        <v>9136.7999999999993</v>
      </c>
      <c r="F29">
        <v>27.303949113905826</v>
      </c>
      <c r="G29">
        <v>9239.6563801457305</v>
      </c>
      <c r="H29">
        <v>47.07587366848562</v>
      </c>
      <c r="I29">
        <v>15930.475649415534</v>
      </c>
      <c r="J29">
        <v>41</v>
      </c>
      <c r="K29">
        <v>13874.4</v>
      </c>
      <c r="L29">
        <v>42</v>
      </c>
      <c r="M29">
        <v>14212.8</v>
      </c>
      <c r="N29">
        <v>49</v>
      </c>
      <c r="O29">
        <v>16581.599999999999</v>
      </c>
      <c r="P29">
        <v>35</v>
      </c>
      <c r="Q29">
        <v>11844</v>
      </c>
      <c r="R29">
        <v>35</v>
      </c>
      <c r="S29">
        <v>11844</v>
      </c>
      <c r="T29">
        <v>29</v>
      </c>
      <c r="U29">
        <v>9813.5999999999985</v>
      </c>
      <c r="V29">
        <v>47</v>
      </c>
      <c r="W29">
        <v>15904.8</v>
      </c>
      <c r="X29">
        <v>37</v>
      </c>
      <c r="Y29">
        <v>12520.8</v>
      </c>
      <c r="Z29">
        <v>35</v>
      </c>
      <c r="AA29">
        <v>11844</v>
      </c>
      <c r="AB29">
        <v>43</v>
      </c>
      <c r="AC29">
        <v>14551.199999999999</v>
      </c>
      <c r="AD29">
        <v>51</v>
      </c>
      <c r="AE29">
        <v>17258.399999999998</v>
      </c>
      <c r="AF29">
        <v>35</v>
      </c>
      <c r="AG29">
        <v>11844</v>
      </c>
      <c r="AH29">
        <v>43</v>
      </c>
      <c r="AI29">
        <v>14551.199999999999</v>
      </c>
      <c r="AJ29">
        <v>52</v>
      </c>
      <c r="AK29">
        <v>17596.8</v>
      </c>
      <c r="AL29">
        <v>54</v>
      </c>
      <c r="AM29">
        <v>18273.599999999999</v>
      </c>
      <c r="AN29">
        <v>13.054093442927513</v>
      </c>
      <c r="AO29">
        <v>4417.5052210866706</v>
      </c>
      <c r="AP29">
        <v>11.102878119609457</v>
      </c>
      <c r="AQ29">
        <v>3757.2139556758402</v>
      </c>
      <c r="AR29">
        <v>13.013973407552278</v>
      </c>
      <c r="AS29">
        <v>4403.928601115691</v>
      </c>
      <c r="AT29">
        <v>12.131508136097693</v>
      </c>
      <c r="AU29">
        <v>4105.3023532554589</v>
      </c>
      <c r="AV29">
        <v>11.646342017667074</v>
      </c>
      <c r="AW29">
        <v>3941.1221387785376</v>
      </c>
      <c r="AX29">
        <v>12.507545592472452</v>
      </c>
      <c r="AY29">
        <v>4232.5534284926771</v>
      </c>
      <c r="AZ29">
        <v>10.451578446736415</v>
      </c>
      <c r="BA29">
        <v>3536.8141463756024</v>
      </c>
      <c r="BB29">
        <v>10.544872647103311</v>
      </c>
      <c r="BC29">
        <v>3568.3849037797604</v>
      </c>
      <c r="BD29">
        <v>12.732605561440097</v>
      </c>
      <c r="BE29">
        <v>4308.7137219913284</v>
      </c>
      <c r="BF29">
        <v>12.686544456049875</v>
      </c>
      <c r="BG29">
        <v>4293.1266439272777</v>
      </c>
      <c r="BH29">
        <v>10.267418203308806</v>
      </c>
      <c r="BI29">
        <v>3474.4943199996997</v>
      </c>
      <c r="BJ29">
        <v>11.505338413588442</v>
      </c>
      <c r="BK29">
        <v>3893.4065191583286</v>
      </c>
      <c r="BL29">
        <v>12.202015749648702</v>
      </c>
      <c r="BM29">
        <v>4129.1621296811199</v>
      </c>
      <c r="BN29">
        <v>11.885436959009798</v>
      </c>
      <c r="BO29">
        <v>4022.0318669289154</v>
      </c>
      <c r="BP29">
        <v>14.396563927282477</v>
      </c>
      <c r="BQ29">
        <v>4871.7972329923896</v>
      </c>
      <c r="BR29">
        <v>10.803318408664001</v>
      </c>
      <c r="BS29">
        <v>3655.8429494918978</v>
      </c>
      <c r="BT29">
        <v>12.113541919439767</v>
      </c>
      <c r="BU29">
        <v>4099.2225855384168</v>
      </c>
      <c r="BV29">
        <v>13.037519251980571</v>
      </c>
      <c r="BW29">
        <v>4411.8965148702246</v>
      </c>
      <c r="BX29">
        <v>13.68289724844524</v>
      </c>
      <c r="BY29">
        <v>4630.2924288738686</v>
      </c>
      <c r="BZ29">
        <v>8.4127702270241631</v>
      </c>
      <c r="CA29">
        <v>2846.8814448249768</v>
      </c>
      <c r="CB29">
        <v>9.3114861636904003</v>
      </c>
      <c r="CC29">
        <v>3151.0069177928312</v>
      </c>
      <c r="CD29">
        <v>8.7324519749269864</v>
      </c>
      <c r="CE29">
        <v>2955.0617483152919</v>
      </c>
      <c r="CF29">
        <v>12.10933863933098</v>
      </c>
      <c r="CG29">
        <v>4097.8001955496038</v>
      </c>
      <c r="CH29">
        <v>9.202134538406419</v>
      </c>
      <c r="CI29">
        <v>3114.0023277967321</v>
      </c>
      <c r="CJ29">
        <v>10.888805073192298</v>
      </c>
      <c r="CK29">
        <v>3684.7716367682733</v>
      </c>
      <c r="CL29">
        <v>9.4398058475343785</v>
      </c>
      <c r="CM29">
        <v>3194.4302988056334</v>
      </c>
      <c r="CN29">
        <v>9.9790502123806952</v>
      </c>
      <c r="CO29">
        <v>3376.9105918696268</v>
      </c>
      <c r="CP29">
        <v>11.632998201811336</v>
      </c>
      <c r="CQ29">
        <v>3936.6065914929559</v>
      </c>
      <c r="CR29">
        <v>10.702857659414253</v>
      </c>
      <c r="CS29">
        <v>3621.8470319457829</v>
      </c>
      <c r="CT29">
        <v>9.2618236266578027</v>
      </c>
      <c r="CU29">
        <v>3134.2011152610003</v>
      </c>
    </row>
    <row r="30" spans="2:99" x14ac:dyDescent="0.2">
      <c r="C30" s="119" t="s">
        <v>196</v>
      </c>
      <c r="D30">
        <v>33</v>
      </c>
      <c r="E30">
        <v>4593.5999999999995</v>
      </c>
      <c r="F30">
        <v>33.30394911390583</v>
      </c>
      <c r="G30">
        <v>4635.9097166556912</v>
      </c>
      <c r="H30">
        <v>47.081293216234599</v>
      </c>
      <c r="I30">
        <v>6553.7160156998552</v>
      </c>
      <c r="J30">
        <v>44</v>
      </c>
      <c r="K30">
        <v>6124.7999999999993</v>
      </c>
      <c r="L30">
        <v>40</v>
      </c>
      <c r="M30">
        <v>5568</v>
      </c>
      <c r="N30">
        <v>43</v>
      </c>
      <c r="O30">
        <v>5985.5999999999995</v>
      </c>
      <c r="P30">
        <v>37</v>
      </c>
      <c r="Q30">
        <v>5150.3999999999996</v>
      </c>
      <c r="R30">
        <v>41</v>
      </c>
      <c r="S30">
        <v>5707.2</v>
      </c>
      <c r="T30">
        <v>33</v>
      </c>
      <c r="U30">
        <v>4593.5999999999995</v>
      </c>
      <c r="V30">
        <v>49</v>
      </c>
      <c r="W30">
        <v>6820.7999999999993</v>
      </c>
      <c r="X30">
        <v>35</v>
      </c>
      <c r="Y30">
        <v>4872</v>
      </c>
      <c r="Z30">
        <v>36</v>
      </c>
      <c r="AA30">
        <v>5011.2</v>
      </c>
      <c r="AB30">
        <v>38</v>
      </c>
      <c r="AC30">
        <v>5289.5999999999995</v>
      </c>
      <c r="AD30">
        <v>53</v>
      </c>
      <c r="AE30">
        <v>7377.5999999999995</v>
      </c>
      <c r="AF30">
        <v>36</v>
      </c>
      <c r="AG30">
        <v>5011.2</v>
      </c>
      <c r="AH30">
        <v>43</v>
      </c>
      <c r="AI30">
        <v>5985.5999999999995</v>
      </c>
      <c r="AJ30">
        <v>59</v>
      </c>
      <c r="AK30">
        <v>8212.7999999999993</v>
      </c>
      <c r="AL30">
        <v>56</v>
      </c>
      <c r="AM30">
        <v>7795.1999999999989</v>
      </c>
      <c r="AN30">
        <v>16.317616803659394</v>
      </c>
      <c r="AO30">
        <v>2271.4122590693873</v>
      </c>
      <c r="AP30">
        <v>10.825306166619221</v>
      </c>
      <c r="AQ30">
        <v>1506.8826183933954</v>
      </c>
      <c r="AR30">
        <v>13.927234699310331</v>
      </c>
      <c r="AS30">
        <v>1938.6710701439979</v>
      </c>
      <c r="AT30">
        <v>12.131508136097693</v>
      </c>
      <c r="AU30">
        <v>1688.7059325447988</v>
      </c>
      <c r="AV30">
        <v>13.671792803348303</v>
      </c>
      <c r="AW30">
        <v>1903.1135582260836</v>
      </c>
      <c r="AX30">
        <v>13.469664484201102</v>
      </c>
      <c r="AY30">
        <v>1874.9772962007933</v>
      </c>
      <c r="AZ30">
        <v>11.726161184143296</v>
      </c>
      <c r="BA30">
        <v>1632.2816368327467</v>
      </c>
      <c r="BB30">
        <v>10.017629014748145</v>
      </c>
      <c r="BC30">
        <v>1394.4539588529417</v>
      </c>
      <c r="BD30">
        <v>11.034924819914751</v>
      </c>
      <c r="BE30">
        <v>1536.0615349321333</v>
      </c>
      <c r="BF30">
        <v>12.475102048449044</v>
      </c>
      <c r="BG30">
        <v>1736.5342051441066</v>
      </c>
      <c r="BH30">
        <v>9.9562843183600531</v>
      </c>
      <c r="BI30">
        <v>1385.9147771157193</v>
      </c>
      <c r="BJ30">
        <v>10.102248363150826</v>
      </c>
      <c r="BK30">
        <v>1406.2329721505948</v>
      </c>
      <c r="BL30">
        <v>11.205932831310031</v>
      </c>
      <c r="BM30">
        <v>1559.8658501183563</v>
      </c>
      <c r="BN30">
        <v>12.489781211162839</v>
      </c>
      <c r="BO30">
        <v>1738.5775445938671</v>
      </c>
      <c r="BP30">
        <v>12.074537487398207</v>
      </c>
      <c r="BQ30">
        <v>1680.7756182458302</v>
      </c>
      <c r="BR30">
        <v>9.972293915689848</v>
      </c>
      <c r="BS30">
        <v>1388.1433130640266</v>
      </c>
      <c r="BT30">
        <v>11.619111637013654</v>
      </c>
      <c r="BU30">
        <v>1617.3803398723005</v>
      </c>
      <c r="BV30">
        <v>13.274565056562036</v>
      </c>
      <c r="BW30">
        <v>1847.8194558734353</v>
      </c>
      <c r="BX30">
        <v>14.131516830361479</v>
      </c>
      <c r="BY30">
        <v>1967.1071427863176</v>
      </c>
      <c r="BZ30">
        <v>8.9736215754924409</v>
      </c>
      <c r="CA30">
        <v>1249.1281233085476</v>
      </c>
      <c r="CB30">
        <v>8.4649874215367262</v>
      </c>
      <c r="CC30">
        <v>1178.3262490779123</v>
      </c>
      <c r="CD30">
        <v>8.4756151521350152</v>
      </c>
      <c r="CE30">
        <v>1179.8056291771941</v>
      </c>
      <c r="CF30">
        <v>12.882275148224448</v>
      </c>
      <c r="CG30">
        <v>1793.2127006328431</v>
      </c>
      <c r="CH30">
        <v>8.7302302031035257</v>
      </c>
      <c r="CI30">
        <v>1215.2480442720107</v>
      </c>
      <c r="CJ30">
        <v>12.04718859161701</v>
      </c>
      <c r="CK30">
        <v>1676.9686519530876</v>
      </c>
      <c r="CL30">
        <v>8.6945580174658748</v>
      </c>
      <c r="CM30">
        <v>1210.2824760312496</v>
      </c>
      <c r="CN30">
        <v>11.974860254856834</v>
      </c>
      <c r="CO30">
        <v>1666.9005474760711</v>
      </c>
      <c r="CP30">
        <v>13.051656519105402</v>
      </c>
      <c r="CQ30">
        <v>1816.7905874594717</v>
      </c>
      <c r="CR30">
        <v>11.675844719361002</v>
      </c>
      <c r="CS30">
        <v>1625.2775849350514</v>
      </c>
      <c r="CT30">
        <v>9.9564603986571392</v>
      </c>
      <c r="CU30">
        <v>1385.9392874930736</v>
      </c>
    </row>
    <row r="31" spans="2:99" x14ac:dyDescent="0.2">
      <c r="C31" s="119" t="s">
        <v>197</v>
      </c>
      <c r="D31">
        <v>27</v>
      </c>
      <c r="E31">
        <v>9201.6</v>
      </c>
      <c r="F31">
        <v>31.322945933524942</v>
      </c>
      <c r="G31">
        <v>10674.8599741453</v>
      </c>
      <c r="H31">
        <v>47.07587366848562</v>
      </c>
      <c r="I31">
        <v>16043.457746219899</v>
      </c>
      <c r="J31">
        <v>41</v>
      </c>
      <c r="K31">
        <v>13972.800000000001</v>
      </c>
      <c r="L31">
        <v>37</v>
      </c>
      <c r="M31">
        <v>12609.6</v>
      </c>
      <c r="N31">
        <v>44</v>
      </c>
      <c r="O31">
        <v>14995.2</v>
      </c>
      <c r="P31">
        <v>34</v>
      </c>
      <c r="Q31">
        <v>11587.2</v>
      </c>
      <c r="R31">
        <v>38</v>
      </c>
      <c r="S31">
        <v>12950.4</v>
      </c>
      <c r="T31">
        <v>31</v>
      </c>
      <c r="U31">
        <v>10564.800000000001</v>
      </c>
      <c r="V31">
        <v>47</v>
      </c>
      <c r="W31">
        <v>16017.6</v>
      </c>
      <c r="X31">
        <v>39</v>
      </c>
      <c r="Y31">
        <v>13291.2</v>
      </c>
      <c r="Z31">
        <v>37</v>
      </c>
      <c r="AA31">
        <v>12609.6</v>
      </c>
      <c r="AB31">
        <v>43</v>
      </c>
      <c r="AC31">
        <v>14654.4</v>
      </c>
      <c r="AD31">
        <v>53</v>
      </c>
      <c r="AE31">
        <v>18062.400000000001</v>
      </c>
      <c r="AF31">
        <v>36</v>
      </c>
      <c r="AG31">
        <v>12268.800000000001</v>
      </c>
      <c r="AH31">
        <v>38</v>
      </c>
      <c r="AI31">
        <v>12950.4</v>
      </c>
      <c r="AJ31">
        <v>51</v>
      </c>
      <c r="AK31">
        <v>17380.8</v>
      </c>
      <c r="AL31">
        <v>49</v>
      </c>
      <c r="AM31">
        <v>16699.2</v>
      </c>
      <c r="AN31">
        <v>14.504548269919459</v>
      </c>
      <c r="AO31">
        <v>4943.1500503885518</v>
      </c>
      <c r="AP31">
        <v>9.7150183546582749</v>
      </c>
      <c r="AQ31">
        <v>3310.8782552675402</v>
      </c>
      <c r="AR31">
        <v>12.785658084612765</v>
      </c>
      <c r="AS31">
        <v>4357.3522752360304</v>
      </c>
      <c r="AT31">
        <v>11.417890010444887</v>
      </c>
      <c r="AU31">
        <v>3891.216915559618</v>
      </c>
      <c r="AV31">
        <v>11.139979321246765</v>
      </c>
      <c r="AW31">
        <v>3796.5049526808975</v>
      </c>
      <c r="AX31">
        <v>12.988605038336775</v>
      </c>
      <c r="AY31">
        <v>4426.5165970651733</v>
      </c>
      <c r="AZ31">
        <v>10.706494994217792</v>
      </c>
      <c r="BA31">
        <v>3648.7734940294235</v>
      </c>
      <c r="BB31">
        <v>10.017629014748145</v>
      </c>
      <c r="BC31">
        <v>3414.007968226168</v>
      </c>
      <c r="BD31">
        <v>12.732605561440097</v>
      </c>
      <c r="BE31">
        <v>4339.2719753387855</v>
      </c>
      <c r="BF31">
        <v>13.109429271251539</v>
      </c>
      <c r="BG31">
        <v>4467.6934956425248</v>
      </c>
      <c r="BH31">
        <v>10.267418203308806</v>
      </c>
      <c r="BI31">
        <v>3499.136123687641</v>
      </c>
      <c r="BJ31">
        <v>10.38286637323835</v>
      </c>
      <c r="BK31">
        <v>3538.48085999963</v>
      </c>
      <c r="BL31">
        <v>11.454953560894698</v>
      </c>
      <c r="BM31">
        <v>3903.8481735529131</v>
      </c>
      <c r="BN31">
        <v>11.683988874958784</v>
      </c>
      <c r="BO31">
        <v>3981.9034085859539</v>
      </c>
      <c r="BP31">
        <v>12.074537487398207</v>
      </c>
      <c r="BQ31">
        <v>4115.0023757053086</v>
      </c>
      <c r="BR31">
        <v>9.1412694227156948</v>
      </c>
      <c r="BS31">
        <v>3115.3446192615088</v>
      </c>
      <c r="BT31">
        <v>11.866326778226711</v>
      </c>
      <c r="BU31">
        <v>4044.044166019663</v>
      </c>
      <c r="BV31">
        <v>13.985702470306432</v>
      </c>
      <c r="BW31">
        <v>4766.3274018804323</v>
      </c>
      <c r="BX31">
        <v>12.561348293654644</v>
      </c>
      <c r="BY31">
        <v>4280.9074984775025</v>
      </c>
      <c r="BZ31">
        <v>9.2540472497265789</v>
      </c>
      <c r="CA31">
        <v>3153.7793027068183</v>
      </c>
      <c r="CB31">
        <v>9.5936524110749577</v>
      </c>
      <c r="CC31">
        <v>3269.5167416943459</v>
      </c>
      <c r="CD31">
        <v>9.2461256205109255</v>
      </c>
      <c r="CE31">
        <v>3151.0796114701234</v>
      </c>
      <c r="CF31">
        <v>11.078756627473025</v>
      </c>
      <c r="CG31">
        <v>3775.6402586428071</v>
      </c>
      <c r="CH31">
        <v>9.202134538406419</v>
      </c>
      <c r="CI31">
        <v>3136.0874506889077</v>
      </c>
      <c r="CJ31">
        <v>10.657128369507356</v>
      </c>
      <c r="CK31">
        <v>3631.9493483281071</v>
      </c>
      <c r="CL31">
        <v>9.6882217908905464</v>
      </c>
      <c r="CM31">
        <v>3301.7459863354984</v>
      </c>
      <c r="CN31">
        <v>11.531346912084357</v>
      </c>
      <c r="CO31">
        <v>3929.8830276383492</v>
      </c>
      <c r="CP31">
        <v>13.051656519105402</v>
      </c>
      <c r="CQ31">
        <v>4448.0045417111214</v>
      </c>
      <c r="CR31">
        <v>11.189351189387628</v>
      </c>
      <c r="CS31">
        <v>3813.3308853433036</v>
      </c>
      <c r="CT31">
        <v>10.188005989323583</v>
      </c>
      <c r="CU31">
        <v>3472.0724411614774</v>
      </c>
    </row>
    <row r="32" spans="2:99" x14ac:dyDescent="0.2">
      <c r="C32" s="119" t="s">
        <v>198</v>
      </c>
      <c r="D32">
        <v>28</v>
      </c>
      <c r="E32">
        <v>23520</v>
      </c>
      <c r="F32">
        <v>28.303949113905826</v>
      </c>
      <c r="G32">
        <v>23775.317255680893</v>
      </c>
      <c r="H32">
        <v>41.070454120736649</v>
      </c>
      <c r="I32">
        <v>34499.181461418782</v>
      </c>
      <c r="J32">
        <v>42</v>
      </c>
      <c r="K32">
        <v>35280</v>
      </c>
      <c r="L32">
        <v>36</v>
      </c>
      <c r="M32">
        <v>30240</v>
      </c>
      <c r="N32">
        <v>45</v>
      </c>
      <c r="O32">
        <v>37800</v>
      </c>
      <c r="P32">
        <v>33</v>
      </c>
      <c r="Q32">
        <v>27720</v>
      </c>
      <c r="R32">
        <v>32</v>
      </c>
      <c r="S32">
        <v>26880</v>
      </c>
      <c r="T32">
        <v>30</v>
      </c>
      <c r="U32">
        <v>25200</v>
      </c>
      <c r="V32">
        <v>44</v>
      </c>
      <c r="W32">
        <v>36960</v>
      </c>
      <c r="X32">
        <v>37</v>
      </c>
      <c r="Y32">
        <v>31080</v>
      </c>
      <c r="Z32">
        <v>37</v>
      </c>
      <c r="AA32">
        <v>31080</v>
      </c>
      <c r="AB32">
        <v>41</v>
      </c>
      <c r="AC32">
        <v>34440</v>
      </c>
      <c r="AD32">
        <v>48</v>
      </c>
      <c r="AE32">
        <v>40320</v>
      </c>
      <c r="AF32">
        <v>33</v>
      </c>
      <c r="AG32">
        <v>27720</v>
      </c>
      <c r="AH32">
        <v>40</v>
      </c>
      <c r="AI32">
        <v>33600</v>
      </c>
      <c r="AJ32">
        <v>55</v>
      </c>
      <c r="AK32">
        <v>46200</v>
      </c>
      <c r="AL32">
        <v>52</v>
      </c>
      <c r="AM32">
        <v>43680</v>
      </c>
      <c r="AN32">
        <v>13.416707149675501</v>
      </c>
      <c r="AO32">
        <v>11270.034005727421</v>
      </c>
      <c r="AP32">
        <v>9.159874448677801</v>
      </c>
      <c r="AQ32">
        <v>7694.2945368893525</v>
      </c>
      <c r="AR32">
        <v>12.557342761673251</v>
      </c>
      <c r="AS32">
        <v>10548.16791980553</v>
      </c>
      <c r="AT32">
        <v>11.893635427546757</v>
      </c>
      <c r="AU32">
        <v>9990.6537591392753</v>
      </c>
      <c r="AV32">
        <v>11.646342017667074</v>
      </c>
      <c r="AW32">
        <v>9782.9272948403413</v>
      </c>
      <c r="AX32">
        <v>11.785956423675964</v>
      </c>
      <c r="AY32">
        <v>9900.2033958878092</v>
      </c>
      <c r="AZ32">
        <v>10.451578446736415</v>
      </c>
      <c r="BA32">
        <v>8779.3258952585875</v>
      </c>
      <c r="BB32">
        <v>9.7540071985705623</v>
      </c>
      <c r="BC32">
        <v>8193.3660467992722</v>
      </c>
      <c r="BD32">
        <v>10.186084449152077</v>
      </c>
      <c r="BE32">
        <v>8556.3109372877443</v>
      </c>
      <c r="BF32">
        <v>11.417890010444887</v>
      </c>
      <c r="BG32">
        <v>9591.0276087737057</v>
      </c>
      <c r="BH32">
        <v>8.0894810086675424</v>
      </c>
      <c r="BI32">
        <v>6795.1640472807358</v>
      </c>
      <c r="BJ32">
        <v>10.663484383325873</v>
      </c>
      <c r="BK32">
        <v>8957.326881993733</v>
      </c>
      <c r="BL32">
        <v>10.707891372140695</v>
      </c>
      <c r="BM32">
        <v>8994.6287525981843</v>
      </c>
      <c r="BN32">
        <v>10.475300370652704</v>
      </c>
      <c r="BO32">
        <v>8799.2523113482712</v>
      </c>
      <c r="BP32">
        <v>13.467753351328769</v>
      </c>
      <c r="BQ32">
        <v>11312.912815116166</v>
      </c>
      <c r="BR32">
        <v>8.8642612583909752</v>
      </c>
      <c r="BS32">
        <v>7445.9794570484191</v>
      </c>
      <c r="BT32">
        <v>10.383035930948372</v>
      </c>
      <c r="BU32">
        <v>8721.7501819966328</v>
      </c>
      <c r="BV32">
        <v>11.852290229073247</v>
      </c>
      <c r="BW32">
        <v>9955.9237924215286</v>
      </c>
      <c r="BX32">
        <v>13.009967875570885</v>
      </c>
      <c r="BY32">
        <v>10928.373015479543</v>
      </c>
      <c r="BZ32">
        <v>8.1323445527900251</v>
      </c>
      <c r="CA32">
        <v>6831.1694243436214</v>
      </c>
      <c r="CB32">
        <v>9.0293199163058411</v>
      </c>
      <c r="CC32">
        <v>7584.6287296969067</v>
      </c>
      <c r="CD32">
        <v>7.705104683759104</v>
      </c>
      <c r="CE32">
        <v>6472.2879343576469</v>
      </c>
      <c r="CF32">
        <v>10.821111124508535</v>
      </c>
      <c r="CG32">
        <v>9089.73334458717</v>
      </c>
      <c r="CH32">
        <v>7.7864215324977391</v>
      </c>
      <c r="CI32">
        <v>6540.5940872981009</v>
      </c>
      <c r="CJ32">
        <v>10.657128369507356</v>
      </c>
      <c r="CK32">
        <v>8951.9878303861788</v>
      </c>
      <c r="CL32">
        <v>8.9429739608220427</v>
      </c>
      <c r="CM32">
        <v>7512.0981270905158</v>
      </c>
      <c r="CN32">
        <v>11.309590240698119</v>
      </c>
      <c r="CO32">
        <v>9500.0558021864199</v>
      </c>
      <c r="CP32">
        <v>12.200461528728964</v>
      </c>
      <c r="CQ32">
        <v>10248.387684132329</v>
      </c>
      <c r="CR32">
        <v>10.946104424400939</v>
      </c>
      <c r="CS32">
        <v>9194.7277164967891</v>
      </c>
      <c r="CT32">
        <v>9.9564603986571392</v>
      </c>
      <c r="CU32">
        <v>8363.4267348719968</v>
      </c>
    </row>
    <row r="33" spans="2:99" x14ac:dyDescent="0.2">
      <c r="C33" s="119" t="s">
        <v>199</v>
      </c>
      <c r="D33">
        <v>30</v>
      </c>
      <c r="E33">
        <v>14220</v>
      </c>
      <c r="F33">
        <v>30.322945933524942</v>
      </c>
      <c r="G33">
        <v>14373.076372490823</v>
      </c>
      <c r="H33">
        <v>41.081293216234599</v>
      </c>
      <c r="I33">
        <v>19472.532984495199</v>
      </c>
      <c r="J33">
        <v>44</v>
      </c>
      <c r="K33">
        <v>20856</v>
      </c>
      <c r="L33">
        <v>34</v>
      </c>
      <c r="M33">
        <v>16116</v>
      </c>
      <c r="N33">
        <v>43</v>
      </c>
      <c r="O33">
        <v>20382</v>
      </c>
      <c r="P33">
        <v>38</v>
      </c>
      <c r="Q33">
        <v>18012</v>
      </c>
      <c r="R33">
        <v>35</v>
      </c>
      <c r="S33">
        <v>16590</v>
      </c>
      <c r="T33">
        <v>31</v>
      </c>
      <c r="U33">
        <v>14694</v>
      </c>
      <c r="V33">
        <v>41</v>
      </c>
      <c r="W33">
        <v>19434</v>
      </c>
      <c r="X33">
        <v>33</v>
      </c>
      <c r="Y33">
        <v>15642</v>
      </c>
      <c r="Z33">
        <v>36</v>
      </c>
      <c r="AA33">
        <v>17064</v>
      </c>
      <c r="AB33">
        <v>42</v>
      </c>
      <c r="AC33">
        <v>19908</v>
      </c>
      <c r="AD33">
        <v>51</v>
      </c>
      <c r="AE33">
        <v>24174</v>
      </c>
      <c r="AF33">
        <v>35</v>
      </c>
      <c r="AG33">
        <v>16590</v>
      </c>
      <c r="AH33">
        <v>44</v>
      </c>
      <c r="AI33">
        <v>20856</v>
      </c>
      <c r="AJ33">
        <v>51</v>
      </c>
      <c r="AK33">
        <v>24174</v>
      </c>
      <c r="AL33">
        <v>55</v>
      </c>
      <c r="AM33">
        <v>26070</v>
      </c>
      <c r="AN33">
        <v>15.592389390163419</v>
      </c>
      <c r="AO33">
        <v>7390.7925709374604</v>
      </c>
      <c r="AP33">
        <v>10.825306166619221</v>
      </c>
      <c r="AQ33">
        <v>5131.1951229775104</v>
      </c>
      <c r="AR33">
        <v>11.644081469915196</v>
      </c>
      <c r="AS33">
        <v>5519.2946167398031</v>
      </c>
      <c r="AT33">
        <v>11.893635427546757</v>
      </c>
      <c r="AU33">
        <v>5637.5831926571627</v>
      </c>
      <c r="AV33">
        <v>11.393160669456918</v>
      </c>
      <c r="AW33">
        <v>5400.3581573225792</v>
      </c>
      <c r="AX33">
        <v>11.545426700743802</v>
      </c>
      <c r="AY33">
        <v>5472.5322561525618</v>
      </c>
      <c r="AZ33">
        <v>11.726161184143296</v>
      </c>
      <c r="BA33">
        <v>5558.2004012839225</v>
      </c>
      <c r="BB33">
        <v>9.4903853823929794</v>
      </c>
      <c r="BC33">
        <v>4498.4426712542718</v>
      </c>
      <c r="BD33">
        <v>12.732605561440097</v>
      </c>
      <c r="BE33">
        <v>6035.2550361226058</v>
      </c>
      <c r="BF33">
        <v>12.897986863650704</v>
      </c>
      <c r="BG33">
        <v>6113.6457733704337</v>
      </c>
      <c r="BH33">
        <v>9.9562843183600531</v>
      </c>
      <c r="BI33">
        <v>4719.2787669026648</v>
      </c>
      <c r="BJ33">
        <v>10.38286637323835</v>
      </c>
      <c r="BK33">
        <v>4921.4786609149778</v>
      </c>
      <c r="BL33">
        <v>12.202015749648702</v>
      </c>
      <c r="BM33">
        <v>5783.7554653334846</v>
      </c>
      <c r="BN33">
        <v>11.281092706856757</v>
      </c>
      <c r="BO33">
        <v>5347.2379430501032</v>
      </c>
      <c r="BP33">
        <v>13.932158639305623</v>
      </c>
      <c r="BQ33">
        <v>6603.843195030865</v>
      </c>
      <c r="BR33">
        <v>9.972293915689848</v>
      </c>
      <c r="BS33">
        <v>4726.8673160369881</v>
      </c>
      <c r="BT33">
        <v>10.877466213374484</v>
      </c>
      <c r="BU33">
        <v>5155.9189851395058</v>
      </c>
      <c r="BV33">
        <v>14.222748274887897</v>
      </c>
      <c r="BW33">
        <v>6741.5826822968629</v>
      </c>
      <c r="BX33">
        <v>11.215489547905934</v>
      </c>
      <c r="BY33">
        <v>5316.1420457074128</v>
      </c>
      <c r="BZ33">
        <v>8.1323445527900251</v>
      </c>
      <c r="CA33">
        <v>3854.7313180224719</v>
      </c>
      <c r="CB33">
        <v>9.3114861636904003</v>
      </c>
      <c r="CC33">
        <v>4413.6444415892502</v>
      </c>
      <c r="CD33">
        <v>8.4756151521350152</v>
      </c>
      <c r="CE33">
        <v>4017.4415821119974</v>
      </c>
      <c r="CF33">
        <v>12.36698414229547</v>
      </c>
      <c r="CG33">
        <v>5861.9504834480531</v>
      </c>
      <c r="CH33">
        <v>8.9661823707549733</v>
      </c>
      <c r="CI33">
        <v>4249.9704437378577</v>
      </c>
      <c r="CJ33">
        <v>12.278865295301951</v>
      </c>
      <c r="CK33">
        <v>5820.182149973125</v>
      </c>
      <c r="CL33">
        <v>9.1913899041782106</v>
      </c>
      <c r="CM33">
        <v>4356.7188145804721</v>
      </c>
      <c r="CN33">
        <v>11.087833569311883</v>
      </c>
      <c r="CO33">
        <v>5255.6331118538328</v>
      </c>
      <c r="CP33">
        <v>13.335388182564214</v>
      </c>
      <c r="CQ33">
        <v>6320.9739985354372</v>
      </c>
      <c r="CR33">
        <v>11.189351189387628</v>
      </c>
      <c r="CS33">
        <v>5303.7524637697352</v>
      </c>
      <c r="CT33">
        <v>10.188005989323583</v>
      </c>
      <c r="CU33">
        <v>4829.1148389393784</v>
      </c>
    </row>
    <row r="34" spans="2:99" x14ac:dyDescent="0.2">
      <c r="C34" s="119" t="s">
        <v>200</v>
      </c>
      <c r="D34">
        <v>26</v>
      </c>
      <c r="E34">
        <v>14258.4</v>
      </c>
      <c r="F34">
        <v>28.265955474667599</v>
      </c>
      <c r="G34">
        <v>15501.049982307712</v>
      </c>
      <c r="H34">
        <v>46.07587366848562</v>
      </c>
      <c r="I34">
        <v>25268.009119797513</v>
      </c>
      <c r="J34">
        <v>47</v>
      </c>
      <c r="K34">
        <v>25774.799999999999</v>
      </c>
      <c r="L34">
        <v>40</v>
      </c>
      <c r="M34">
        <v>21936</v>
      </c>
      <c r="N34">
        <v>40</v>
      </c>
      <c r="O34">
        <v>21936</v>
      </c>
      <c r="P34">
        <v>37</v>
      </c>
      <c r="Q34">
        <v>20290.8</v>
      </c>
      <c r="R34">
        <v>39</v>
      </c>
      <c r="S34">
        <v>21387.599999999999</v>
      </c>
      <c r="T34">
        <v>27</v>
      </c>
      <c r="U34">
        <v>14806.8</v>
      </c>
      <c r="V34">
        <v>46</v>
      </c>
      <c r="W34">
        <v>25226.399999999998</v>
      </c>
      <c r="X34">
        <v>37</v>
      </c>
      <c r="Y34">
        <v>20290.8</v>
      </c>
      <c r="Z34">
        <v>35</v>
      </c>
      <c r="AA34">
        <v>19194</v>
      </c>
      <c r="AB34">
        <v>36</v>
      </c>
      <c r="AC34">
        <v>19742.399999999998</v>
      </c>
      <c r="AD34">
        <v>51</v>
      </c>
      <c r="AE34">
        <v>27968.399999999998</v>
      </c>
      <c r="AF34">
        <v>30</v>
      </c>
      <c r="AG34">
        <v>16452</v>
      </c>
      <c r="AH34">
        <v>39</v>
      </c>
      <c r="AI34">
        <v>21387.599999999999</v>
      </c>
      <c r="AJ34">
        <v>55</v>
      </c>
      <c r="AK34">
        <v>30162</v>
      </c>
      <c r="AL34">
        <v>48</v>
      </c>
      <c r="AM34">
        <v>26323.199999999997</v>
      </c>
      <c r="AN34">
        <v>13.054093442927513</v>
      </c>
      <c r="AO34">
        <v>7158.8648441014484</v>
      </c>
      <c r="AP34">
        <v>10.270162260638747</v>
      </c>
      <c r="AQ34">
        <v>5632.1569837342886</v>
      </c>
      <c r="AR34">
        <v>13.242288730491794</v>
      </c>
      <c r="AS34">
        <v>7262.0711398016992</v>
      </c>
      <c r="AT34">
        <v>10.942144593343016</v>
      </c>
      <c r="AU34">
        <v>6000.6720949893097</v>
      </c>
      <c r="AV34">
        <v>11.646342017667074</v>
      </c>
      <c r="AW34">
        <v>6386.8539624886234</v>
      </c>
      <c r="AX34">
        <v>12.748075315404614</v>
      </c>
      <c r="AY34">
        <v>6991.0445029678904</v>
      </c>
      <c r="AZ34">
        <v>10.451578446736415</v>
      </c>
      <c r="BA34">
        <v>5731.6456201902492</v>
      </c>
      <c r="BB34">
        <v>10.281250830925728</v>
      </c>
      <c r="BC34">
        <v>5638.2379556796695</v>
      </c>
      <c r="BD34">
        <v>10.469031239406302</v>
      </c>
      <c r="BE34">
        <v>5741.2167316904161</v>
      </c>
      <c r="BF34">
        <v>11.84077482564655</v>
      </c>
      <c r="BG34">
        <v>6493.4809143845678</v>
      </c>
      <c r="BH34">
        <v>9.9562843183600531</v>
      </c>
      <c r="BI34">
        <v>5460.0263201886528</v>
      </c>
      <c r="BJ34">
        <v>10.102248363150826</v>
      </c>
      <c r="BK34">
        <v>5540.0730023519127</v>
      </c>
      <c r="BL34">
        <v>11.454953560894698</v>
      </c>
      <c r="BM34">
        <v>6281.8965327946516</v>
      </c>
      <c r="BN34">
        <v>11.079644622805745</v>
      </c>
      <c r="BO34">
        <v>6076.0771111466702</v>
      </c>
      <c r="BP34">
        <v>12.074537487398207</v>
      </c>
      <c r="BQ34">
        <v>6621.6763580891766</v>
      </c>
      <c r="BR34">
        <v>10.526310244339284</v>
      </c>
      <c r="BS34">
        <v>5772.6285379956626</v>
      </c>
      <c r="BT34">
        <v>12.113541919439767</v>
      </c>
      <c r="BU34">
        <v>6643.0663886207676</v>
      </c>
      <c r="BV34">
        <v>12.326381838236177</v>
      </c>
      <c r="BW34">
        <v>6759.7878000887195</v>
      </c>
      <c r="BX34">
        <v>11.439799338864052</v>
      </c>
      <c r="BY34">
        <v>6273.5859574330461</v>
      </c>
      <c r="BZ34">
        <v>7.8519188785558853</v>
      </c>
      <c r="CA34">
        <v>4305.992313000047</v>
      </c>
      <c r="CB34">
        <v>9.3114861636904003</v>
      </c>
      <c r="CC34">
        <v>5106.4190121678157</v>
      </c>
      <c r="CD34">
        <v>9.502962443302895</v>
      </c>
      <c r="CE34">
        <v>5211.4246039073078</v>
      </c>
      <c r="CF34">
        <v>11.078756627473025</v>
      </c>
      <c r="CG34">
        <v>6075.5901345062066</v>
      </c>
      <c r="CH34">
        <v>8.7302302031035257</v>
      </c>
      <c r="CI34">
        <v>4787.6582433819731</v>
      </c>
      <c r="CJ34">
        <v>10.425451665822413</v>
      </c>
      <c r="CK34">
        <v>5717.3176935370111</v>
      </c>
      <c r="CL34">
        <v>9.6882217908905464</v>
      </c>
      <c r="CM34">
        <v>5313.0208301243756</v>
      </c>
      <c r="CN34">
        <v>10.200806883766933</v>
      </c>
      <c r="CO34">
        <v>5594.1224950577862</v>
      </c>
      <c r="CP34">
        <v>13.051656519105402</v>
      </c>
      <c r="CQ34">
        <v>7157.5284350774018</v>
      </c>
      <c r="CR34">
        <v>10.946104424400939</v>
      </c>
      <c r="CS34">
        <v>6002.843666341475</v>
      </c>
      <c r="CT34">
        <v>8.7987324453249141</v>
      </c>
      <c r="CU34">
        <v>4825.2248730161828</v>
      </c>
    </row>
    <row r="35" spans="2:99" x14ac:dyDescent="0.2">
      <c r="C35" s="119" t="s">
        <v>201</v>
      </c>
      <c r="D35">
        <v>31</v>
      </c>
      <c r="E35">
        <v>15586.799999999997</v>
      </c>
      <c r="F35">
        <v>27.284952294286711</v>
      </c>
      <c r="G35">
        <v>13718.874013567356</v>
      </c>
      <c r="H35">
        <v>44.07587366848562</v>
      </c>
      <c r="I35">
        <v>22161.349280514565</v>
      </c>
      <c r="J35">
        <v>47</v>
      </c>
      <c r="K35">
        <v>23631.599999999995</v>
      </c>
      <c r="L35">
        <v>39</v>
      </c>
      <c r="M35">
        <v>19609.199999999997</v>
      </c>
      <c r="N35">
        <v>44</v>
      </c>
      <c r="O35">
        <v>22123.199999999997</v>
      </c>
      <c r="P35">
        <v>33</v>
      </c>
      <c r="Q35">
        <v>16592.399999999998</v>
      </c>
      <c r="R35">
        <v>34</v>
      </c>
      <c r="S35">
        <v>17095.199999999997</v>
      </c>
      <c r="T35">
        <v>29</v>
      </c>
      <c r="U35">
        <v>14581.199999999997</v>
      </c>
      <c r="V35">
        <v>41</v>
      </c>
      <c r="W35">
        <v>20614.799999999996</v>
      </c>
      <c r="X35">
        <v>39</v>
      </c>
      <c r="Y35">
        <v>19609.199999999997</v>
      </c>
      <c r="Z35">
        <v>36</v>
      </c>
      <c r="AA35">
        <v>18100.799999999996</v>
      </c>
      <c r="AB35">
        <v>40</v>
      </c>
      <c r="AC35">
        <v>20111.999999999996</v>
      </c>
      <c r="AD35">
        <v>52</v>
      </c>
      <c r="AE35">
        <v>26145.599999999995</v>
      </c>
      <c r="AF35">
        <v>30</v>
      </c>
      <c r="AG35">
        <v>15083.999999999996</v>
      </c>
      <c r="AH35">
        <v>43</v>
      </c>
      <c r="AI35">
        <v>21620.399999999994</v>
      </c>
      <c r="AJ35">
        <v>50</v>
      </c>
      <c r="AK35">
        <v>25139.999999999996</v>
      </c>
      <c r="AL35">
        <v>53</v>
      </c>
      <c r="AM35">
        <v>26648.399999999994</v>
      </c>
      <c r="AN35">
        <v>14.867161976667447</v>
      </c>
      <c r="AO35">
        <v>7475.2090418683911</v>
      </c>
      <c r="AP35">
        <v>9.992590307648511</v>
      </c>
      <c r="AQ35">
        <v>5024.2744066856703</v>
      </c>
      <c r="AR35">
        <v>11.87239679285471</v>
      </c>
      <c r="AS35">
        <v>5969.4411074473473</v>
      </c>
      <c r="AT35">
        <v>10.942144593343016</v>
      </c>
      <c r="AU35">
        <v>5501.7103015328676</v>
      </c>
      <c r="AV35">
        <v>11.139979321246765</v>
      </c>
      <c r="AW35">
        <v>5601.1816027228724</v>
      </c>
      <c r="AX35">
        <v>12.507545592472452</v>
      </c>
      <c r="AY35">
        <v>6288.7939238951476</v>
      </c>
      <c r="AZ35">
        <v>11.47124463666192</v>
      </c>
      <c r="BA35">
        <v>5767.7418033136119</v>
      </c>
      <c r="BB35">
        <v>10.544872647103311</v>
      </c>
      <c r="BC35">
        <v>5301.961966963544</v>
      </c>
      <c r="BD35">
        <v>11.883765190677424</v>
      </c>
      <c r="BE35">
        <v>5975.1571378726076</v>
      </c>
      <c r="BF35">
        <v>11.84077482564655</v>
      </c>
      <c r="BG35">
        <v>5953.5415823350841</v>
      </c>
      <c r="BH35">
        <v>8.4006148936162965</v>
      </c>
      <c r="BI35">
        <v>4223.8291685102731</v>
      </c>
      <c r="BJ35">
        <v>10.38286637323835</v>
      </c>
      <c r="BK35">
        <v>5220.5052124642416</v>
      </c>
      <c r="BL35">
        <v>10.209849912971361</v>
      </c>
      <c r="BM35">
        <v>5133.5125362419994</v>
      </c>
      <c r="BN35">
        <v>11.683988874958784</v>
      </c>
      <c r="BO35">
        <v>5874.7096063292756</v>
      </c>
      <c r="BP35">
        <v>13.467753351328769</v>
      </c>
      <c r="BQ35">
        <v>6771.5863850481037</v>
      </c>
      <c r="BR35">
        <v>10.249302080014566</v>
      </c>
      <c r="BS35">
        <v>5153.3490858313226</v>
      </c>
      <c r="BT35">
        <v>12.113541919439767</v>
      </c>
      <c r="BU35">
        <v>6090.6888770943133</v>
      </c>
      <c r="BV35">
        <v>12.326381838236177</v>
      </c>
      <c r="BW35">
        <v>6197.7047882651486</v>
      </c>
      <c r="BX35">
        <v>11.664109129822171</v>
      </c>
      <c r="BY35">
        <v>5864.7140704745862</v>
      </c>
      <c r="BZ35">
        <v>8.9736215754924409</v>
      </c>
      <c r="CA35">
        <v>4511.9369281575982</v>
      </c>
      <c r="CB35">
        <v>7.9006549267676123</v>
      </c>
      <c r="CC35">
        <v>3972.4492971787545</v>
      </c>
      <c r="CD35">
        <v>9.2461256205109255</v>
      </c>
      <c r="CE35">
        <v>4648.9519619928924</v>
      </c>
      <c r="CF35">
        <v>10.305820118579559</v>
      </c>
      <c r="CG35">
        <v>5181.7663556218013</v>
      </c>
      <c r="CH35">
        <v>8.4942780354520782</v>
      </c>
      <c r="CI35">
        <v>4270.9229962253039</v>
      </c>
      <c r="CJ35">
        <v>12.278865295301951</v>
      </c>
      <c r="CK35">
        <v>6173.8134704778204</v>
      </c>
      <c r="CL35">
        <v>8.6945580174658748</v>
      </c>
      <c r="CM35">
        <v>4371.6237711818412</v>
      </c>
      <c r="CN35">
        <v>11.531346912084357</v>
      </c>
      <c r="CO35">
        <v>5797.9612273960138</v>
      </c>
      <c r="CP35">
        <v>13.335388182564214</v>
      </c>
      <c r="CQ35">
        <v>6705.0331781932855</v>
      </c>
      <c r="CR35">
        <v>10.946104424400939</v>
      </c>
      <c r="CS35">
        <v>5503.7013045887916</v>
      </c>
      <c r="CT35">
        <v>9.0302780359913584</v>
      </c>
      <c r="CU35">
        <v>4540.4237964964541</v>
      </c>
    </row>
    <row r="36" spans="2:99" x14ac:dyDescent="0.2">
      <c r="C36" s="119" t="s">
        <v>202</v>
      </c>
      <c r="D36">
        <v>30</v>
      </c>
      <c r="E36">
        <v>22824</v>
      </c>
      <c r="F36">
        <v>26.265955474667599</v>
      </c>
      <c r="G36">
        <v>19983.138925127107</v>
      </c>
      <c r="H36">
        <v>39.070454120736649</v>
      </c>
      <c r="I36">
        <v>29724.801495056439</v>
      </c>
      <c r="J36">
        <v>45</v>
      </c>
      <c r="K36">
        <v>34236</v>
      </c>
      <c r="L36">
        <v>40</v>
      </c>
      <c r="M36">
        <v>30432</v>
      </c>
      <c r="N36">
        <v>44</v>
      </c>
      <c r="O36">
        <v>33475.199999999997</v>
      </c>
      <c r="P36">
        <v>37</v>
      </c>
      <c r="Q36">
        <v>28149.599999999999</v>
      </c>
      <c r="R36">
        <v>32</v>
      </c>
      <c r="S36">
        <v>24345.599999999999</v>
      </c>
      <c r="T36">
        <v>25</v>
      </c>
      <c r="U36">
        <v>19020</v>
      </c>
      <c r="V36">
        <v>45</v>
      </c>
      <c r="W36">
        <v>34236</v>
      </c>
      <c r="X36">
        <v>34</v>
      </c>
      <c r="Y36">
        <v>25867.199999999997</v>
      </c>
      <c r="Z36">
        <v>34</v>
      </c>
      <c r="AA36">
        <v>25867.199999999997</v>
      </c>
      <c r="AB36">
        <v>36</v>
      </c>
      <c r="AC36">
        <v>27388.799999999999</v>
      </c>
      <c r="AD36">
        <v>50</v>
      </c>
      <c r="AE36">
        <v>38040</v>
      </c>
      <c r="AF36">
        <v>33</v>
      </c>
      <c r="AG36">
        <v>25106.399999999998</v>
      </c>
      <c r="AH36">
        <v>41</v>
      </c>
      <c r="AI36">
        <v>31192.799999999999</v>
      </c>
      <c r="AJ36">
        <v>55</v>
      </c>
      <c r="AK36">
        <v>41844</v>
      </c>
      <c r="AL36">
        <v>45</v>
      </c>
      <c r="AM36">
        <v>34236</v>
      </c>
      <c r="AN36">
        <v>13.416707149675501</v>
      </c>
      <c r="AO36">
        <v>10207.430799473121</v>
      </c>
      <c r="AP36">
        <v>9.159874448677801</v>
      </c>
      <c r="AQ36">
        <v>6968.8324805540706</v>
      </c>
      <c r="AR36">
        <v>11.644081469915196</v>
      </c>
      <c r="AS36">
        <v>8858.8171823114808</v>
      </c>
      <c r="AT36">
        <v>10.466399176241147</v>
      </c>
      <c r="AU36">
        <v>7962.8364932842642</v>
      </c>
      <c r="AV36">
        <v>11.646342017667074</v>
      </c>
      <c r="AW36">
        <v>8860.53700704111</v>
      </c>
      <c r="AX36">
        <v>12.026486146608127</v>
      </c>
      <c r="AY36">
        <v>9149.7506603394631</v>
      </c>
      <c r="AZ36">
        <v>10.961411541699167</v>
      </c>
      <c r="BA36">
        <v>8339.4419009247267</v>
      </c>
      <c r="BB36">
        <v>9.2267635662153964</v>
      </c>
      <c r="BC36">
        <v>7019.7217211766729</v>
      </c>
      <c r="BD36">
        <v>11.317871610168975</v>
      </c>
      <c r="BE36">
        <v>8610.6367210165554</v>
      </c>
      <c r="BF36">
        <v>11.629332418045719</v>
      </c>
      <c r="BG36">
        <v>8847.5961036491826</v>
      </c>
      <c r="BH36">
        <v>8.0894810086675424</v>
      </c>
      <c r="BI36">
        <v>6154.477151394266</v>
      </c>
      <c r="BJ36">
        <v>9.2603943328882572</v>
      </c>
      <c r="BK36">
        <v>7045.3080084613857</v>
      </c>
      <c r="BL36">
        <v>10.707891372140695</v>
      </c>
      <c r="BM36">
        <v>8146.5637559246406</v>
      </c>
      <c r="BN36">
        <v>11.48254079090777</v>
      </c>
      <c r="BO36">
        <v>8735.9170337226315</v>
      </c>
      <c r="BP36">
        <v>11.377929555432925</v>
      </c>
      <c r="BQ36">
        <v>8656.328805773368</v>
      </c>
      <c r="BR36">
        <v>9.972293915689848</v>
      </c>
      <c r="BS36">
        <v>7586.921211056836</v>
      </c>
      <c r="BT36">
        <v>10.630251072161428</v>
      </c>
      <c r="BU36">
        <v>8087.4950157004141</v>
      </c>
      <c r="BV36">
        <v>12.089336033654712</v>
      </c>
      <c r="BW36">
        <v>9197.5668544045038</v>
      </c>
      <c r="BX36">
        <v>11.888418920780289</v>
      </c>
      <c r="BY36">
        <v>9044.709114929643</v>
      </c>
      <c r="BZ36">
        <v>8.6931959012583011</v>
      </c>
      <c r="CA36">
        <v>6613.7834416773148</v>
      </c>
      <c r="CB36">
        <v>8.4649874215367262</v>
      </c>
      <c r="CC36">
        <v>6440.1624303051412</v>
      </c>
      <c r="CD36">
        <v>8.2187783293430456</v>
      </c>
      <c r="CE36">
        <v>6252.846552964189</v>
      </c>
      <c r="CF36">
        <v>11.851693136366492</v>
      </c>
      <c r="CG36">
        <v>9016.7681381476268</v>
      </c>
      <c r="CH36">
        <v>9.202134538406419</v>
      </c>
      <c r="CI36">
        <v>7000.983956819603</v>
      </c>
      <c r="CJ36">
        <v>10.888805073192298</v>
      </c>
      <c r="CK36">
        <v>8284.2028996847002</v>
      </c>
      <c r="CL36">
        <v>8.4461420741097069</v>
      </c>
      <c r="CM36">
        <v>6425.8248899826649</v>
      </c>
      <c r="CN36">
        <v>9.9790502123806952</v>
      </c>
      <c r="CO36">
        <v>7592.0614015792326</v>
      </c>
      <c r="CP36">
        <v>13.335388182564214</v>
      </c>
      <c r="CQ36">
        <v>10145.563329294853</v>
      </c>
      <c r="CR36">
        <v>10.459610894427565</v>
      </c>
      <c r="CS36">
        <v>7957.6719684804902</v>
      </c>
      <c r="CT36">
        <v>9.4933692173242488</v>
      </c>
      <c r="CU36">
        <v>7222.555300540288</v>
      </c>
    </row>
    <row r="37" spans="2:99" x14ac:dyDescent="0.2">
      <c r="B37" s="119" t="s">
        <v>128</v>
      </c>
      <c r="C37" s="119" t="s">
        <v>203</v>
      </c>
      <c r="D37">
        <v>18</v>
      </c>
      <c r="E37">
        <v>15487.199999999999</v>
      </c>
      <c r="F37">
        <v>20.379936392382284</v>
      </c>
      <c r="G37">
        <v>17534.897272005717</v>
      </c>
      <c r="H37">
        <v>19.102971407230488</v>
      </c>
      <c r="I37">
        <v>16436.196598781113</v>
      </c>
      <c r="J37">
        <v>20</v>
      </c>
      <c r="K37">
        <v>17208</v>
      </c>
      <c r="L37">
        <v>21</v>
      </c>
      <c r="M37">
        <v>18068.399999999998</v>
      </c>
      <c r="N37">
        <v>12</v>
      </c>
      <c r="O37">
        <v>10324.799999999999</v>
      </c>
      <c r="P37">
        <v>21</v>
      </c>
      <c r="Q37">
        <v>18068.399999999998</v>
      </c>
      <c r="R37">
        <v>22</v>
      </c>
      <c r="S37">
        <v>18928.8</v>
      </c>
      <c r="T37">
        <v>14</v>
      </c>
      <c r="U37">
        <v>12045.6</v>
      </c>
      <c r="V37">
        <v>18</v>
      </c>
      <c r="W37">
        <v>15487.199999999999</v>
      </c>
      <c r="X37">
        <v>15</v>
      </c>
      <c r="Y37">
        <v>12906</v>
      </c>
      <c r="Z37">
        <v>12</v>
      </c>
      <c r="AA37">
        <v>10324.799999999999</v>
      </c>
      <c r="AB37">
        <v>14</v>
      </c>
      <c r="AC37">
        <v>12045.6</v>
      </c>
      <c r="AD37">
        <v>15</v>
      </c>
      <c r="AE37">
        <v>12906</v>
      </c>
      <c r="AF37">
        <v>16</v>
      </c>
      <c r="AG37">
        <v>13766.4</v>
      </c>
      <c r="AH37">
        <v>19</v>
      </c>
      <c r="AI37">
        <v>16347.6</v>
      </c>
      <c r="AJ37">
        <v>15</v>
      </c>
      <c r="AK37">
        <v>12906</v>
      </c>
      <c r="AL37">
        <v>23</v>
      </c>
      <c r="AM37">
        <v>19789.2</v>
      </c>
      <c r="AN37">
        <v>8.7027289619516761</v>
      </c>
      <c r="AO37">
        <v>7487.8279988632221</v>
      </c>
      <c r="AP37">
        <v>3.8860073418633099</v>
      </c>
      <c r="AQ37">
        <v>3343.5207169391915</v>
      </c>
      <c r="AR37">
        <v>3.881360489971732</v>
      </c>
      <c r="AS37">
        <v>3339.5225655716781</v>
      </c>
      <c r="AT37">
        <v>5.9468177137733784</v>
      </c>
      <c r="AU37">
        <v>5116.6419609306149</v>
      </c>
      <c r="AV37">
        <v>5.8231710088335369</v>
      </c>
      <c r="AW37">
        <v>5010.2563360003751</v>
      </c>
      <c r="AX37">
        <v>3.6079458439824377</v>
      </c>
      <c r="AY37">
        <v>3104.2766041624891</v>
      </c>
      <c r="AZ37">
        <v>3.8237482122206394</v>
      </c>
      <c r="BA37">
        <v>3289.9529617946382</v>
      </c>
      <c r="BB37">
        <v>5.2724363235516556</v>
      </c>
      <c r="BC37">
        <v>4536.4042127838447</v>
      </c>
      <c r="BD37">
        <v>3.9612550635591415</v>
      </c>
      <c r="BE37">
        <v>3408.2638566862852</v>
      </c>
      <c r="BF37">
        <v>4.0174057444157931</v>
      </c>
      <c r="BG37">
        <v>3456.5759024953481</v>
      </c>
      <c r="BH37">
        <v>8.0894810086675424</v>
      </c>
      <c r="BI37">
        <v>6960.1894598575536</v>
      </c>
      <c r="BJ37">
        <v>4.7705061714878907</v>
      </c>
      <c r="BK37">
        <v>4104.5435099481811</v>
      </c>
      <c r="BL37">
        <v>5.9764975100320168</v>
      </c>
      <c r="BM37">
        <v>5142.1784576315467</v>
      </c>
      <c r="BN37">
        <v>4.2304097650712835</v>
      </c>
      <c r="BO37">
        <v>3639.8445618673322</v>
      </c>
      <c r="BP37">
        <v>3.0186343718495516</v>
      </c>
      <c r="BQ37">
        <v>2597.233013539354</v>
      </c>
      <c r="BR37">
        <v>6.6481959437932314</v>
      </c>
      <c r="BS37">
        <v>5720.1077900396958</v>
      </c>
      <c r="BT37">
        <v>4.4498725418350169</v>
      </c>
      <c r="BU37">
        <v>3828.6703349948484</v>
      </c>
      <c r="BV37">
        <v>3.7927328733034389</v>
      </c>
      <c r="BW37">
        <v>3263.2673641902788</v>
      </c>
      <c r="BX37">
        <v>4.9348154010786107</v>
      </c>
      <c r="BY37">
        <v>4245.9151710880369</v>
      </c>
      <c r="BZ37">
        <v>6.7302161816193307</v>
      </c>
      <c r="CA37">
        <v>5790.6780026652723</v>
      </c>
      <c r="CB37">
        <v>5.9254911950757094</v>
      </c>
      <c r="CC37">
        <v>5098.2926242431404</v>
      </c>
      <c r="CD37">
        <v>5.3935732786313739</v>
      </c>
      <c r="CE37">
        <v>4640.6304489344338</v>
      </c>
      <c r="CF37">
        <v>3.6070370415028457</v>
      </c>
      <c r="CG37">
        <v>3103.4946705090483</v>
      </c>
      <c r="CH37">
        <v>5.8988041912861657</v>
      </c>
      <c r="CI37">
        <v>5075.3311261826166</v>
      </c>
      <c r="CJ37">
        <v>4.8652107773837923</v>
      </c>
      <c r="CK37">
        <v>4186.0273528610151</v>
      </c>
      <c r="CL37">
        <v>4.9683188671233571</v>
      </c>
      <c r="CM37">
        <v>4274.7415532729365</v>
      </c>
      <c r="CN37">
        <v>5.5439167846559414</v>
      </c>
      <c r="CO37">
        <v>4769.986001517972</v>
      </c>
      <c r="CP37">
        <v>3.68851162496457</v>
      </c>
      <c r="CQ37">
        <v>3173.5954021195157</v>
      </c>
      <c r="CR37">
        <v>5.5946755946938138</v>
      </c>
      <c r="CS37">
        <v>4813.6588816745571</v>
      </c>
      <c r="CT37">
        <v>5.3255485853282369</v>
      </c>
      <c r="CU37">
        <v>4582.1020028164148</v>
      </c>
    </row>
    <row r="38" spans="2:99" x14ac:dyDescent="0.2">
      <c r="C38" s="119" t="s">
        <v>204</v>
      </c>
      <c r="D38">
        <v>19</v>
      </c>
      <c r="E38">
        <v>23598</v>
      </c>
      <c r="F38">
        <v>17.379936392382284</v>
      </c>
      <c r="G38">
        <v>21585.880999338795</v>
      </c>
      <c r="H38">
        <v>20.108390954979459</v>
      </c>
      <c r="I38">
        <v>24974.621566084486</v>
      </c>
      <c r="J38">
        <v>19</v>
      </c>
      <c r="K38">
        <v>23598</v>
      </c>
      <c r="L38">
        <v>19</v>
      </c>
      <c r="M38">
        <v>23598</v>
      </c>
      <c r="N38">
        <v>12</v>
      </c>
      <c r="O38">
        <v>14904</v>
      </c>
      <c r="P38">
        <v>17</v>
      </c>
      <c r="Q38">
        <v>21114</v>
      </c>
      <c r="R38">
        <v>20</v>
      </c>
      <c r="S38">
        <v>24840</v>
      </c>
      <c r="T38">
        <v>15</v>
      </c>
      <c r="U38">
        <v>18630</v>
      </c>
      <c r="V38">
        <v>16</v>
      </c>
      <c r="W38">
        <v>19872</v>
      </c>
      <c r="X38">
        <v>17</v>
      </c>
      <c r="Y38">
        <v>21114</v>
      </c>
      <c r="Z38">
        <v>12</v>
      </c>
      <c r="AA38">
        <v>14904</v>
      </c>
      <c r="AB38">
        <v>14</v>
      </c>
      <c r="AC38">
        <v>17388</v>
      </c>
      <c r="AD38">
        <v>16</v>
      </c>
      <c r="AE38">
        <v>19872</v>
      </c>
      <c r="AF38">
        <v>15</v>
      </c>
      <c r="AG38">
        <v>18630</v>
      </c>
      <c r="AH38">
        <v>20</v>
      </c>
      <c r="AI38">
        <v>24840</v>
      </c>
      <c r="AJ38">
        <v>14</v>
      </c>
      <c r="AK38">
        <v>17388</v>
      </c>
      <c r="AL38">
        <v>24</v>
      </c>
      <c r="AM38">
        <v>29808</v>
      </c>
      <c r="AN38">
        <v>7.6148878417077164</v>
      </c>
      <c r="AO38">
        <v>9457.6906994009842</v>
      </c>
      <c r="AP38">
        <v>3.6084353888730734</v>
      </c>
      <c r="AQ38">
        <v>4481.6767529803574</v>
      </c>
      <c r="AR38">
        <v>3.6530451670322184</v>
      </c>
      <c r="AS38">
        <v>4537.0820974540156</v>
      </c>
      <c r="AT38">
        <v>5.9468177137733784</v>
      </c>
      <c r="AU38">
        <v>7385.9476005065362</v>
      </c>
      <c r="AV38">
        <v>5.3168083124132286</v>
      </c>
      <c r="AW38">
        <v>6603.4759240172298</v>
      </c>
      <c r="AX38">
        <v>3.3674161210502755</v>
      </c>
      <c r="AY38">
        <v>4182.3308223444419</v>
      </c>
      <c r="AZ38">
        <v>4.0786647597020158</v>
      </c>
      <c r="BA38">
        <v>5065.7016315499041</v>
      </c>
      <c r="BB38">
        <v>5.0088145073740726</v>
      </c>
      <c r="BC38">
        <v>6220.9476181585978</v>
      </c>
      <c r="BD38">
        <v>3.9612550635591415</v>
      </c>
      <c r="BE38">
        <v>4919.8787889404539</v>
      </c>
      <c r="BF38">
        <v>3.5945209292141316</v>
      </c>
      <c r="BG38">
        <v>4464.3949940839511</v>
      </c>
      <c r="BH38">
        <v>7.4672132387700403</v>
      </c>
      <c r="BI38">
        <v>9274.2788425523904</v>
      </c>
      <c r="BJ38">
        <v>4.2092701513128441</v>
      </c>
      <c r="BK38">
        <v>5227.9135279305519</v>
      </c>
      <c r="BL38">
        <v>5.9764975100320168</v>
      </c>
      <c r="BM38">
        <v>7422.8099074597649</v>
      </c>
      <c r="BN38">
        <v>4.2304097650712835</v>
      </c>
      <c r="BO38">
        <v>5254.1689282185343</v>
      </c>
      <c r="BP38">
        <v>3.0186343718495516</v>
      </c>
      <c r="BQ38">
        <v>3749.143889837143</v>
      </c>
      <c r="BR38">
        <v>5.8171714508190773</v>
      </c>
      <c r="BS38">
        <v>7224.9269419172942</v>
      </c>
      <c r="BT38">
        <v>4.4498725418350169</v>
      </c>
      <c r="BU38">
        <v>5526.7416969590913</v>
      </c>
      <c r="BV38">
        <v>3.318641264140509</v>
      </c>
      <c r="BW38">
        <v>4121.7524500625123</v>
      </c>
      <c r="BX38">
        <v>4.2618860282042546</v>
      </c>
      <c r="BY38">
        <v>5293.2624470296842</v>
      </c>
      <c r="BZ38">
        <v>6.4497905073851918</v>
      </c>
      <c r="CA38">
        <v>8010.639810172408</v>
      </c>
      <c r="CB38">
        <v>5.3611587003065937</v>
      </c>
      <c r="CC38">
        <v>6658.5591057807897</v>
      </c>
      <c r="CD38">
        <v>4.8798996330474331</v>
      </c>
      <c r="CE38">
        <v>6060.8353442449115</v>
      </c>
      <c r="CF38">
        <v>3.0917460355738675</v>
      </c>
      <c r="CG38">
        <v>3839.9485761827436</v>
      </c>
      <c r="CH38">
        <v>5.4268998559832733</v>
      </c>
      <c r="CI38">
        <v>6740.2096211312255</v>
      </c>
      <c r="CJ38">
        <v>4.8652107773837923</v>
      </c>
      <c r="CK38">
        <v>6042.59178551067</v>
      </c>
      <c r="CL38">
        <v>5.216734810479525</v>
      </c>
      <c r="CM38">
        <v>6479.1846346155698</v>
      </c>
      <c r="CN38">
        <v>5.3221601132697032</v>
      </c>
      <c r="CO38">
        <v>6610.1228606809709</v>
      </c>
      <c r="CP38">
        <v>3.68851162496457</v>
      </c>
      <c r="CQ38">
        <v>4581.1314382059963</v>
      </c>
      <c r="CR38">
        <v>6.0811691246671886</v>
      </c>
      <c r="CS38">
        <v>7552.812052836648</v>
      </c>
      <c r="CT38">
        <v>5.0940029946617917</v>
      </c>
      <c r="CU38">
        <v>6326.751719369945</v>
      </c>
    </row>
    <row r="39" spans="2:99" x14ac:dyDescent="0.2">
      <c r="C39" s="119" t="s">
        <v>205</v>
      </c>
      <c r="D39">
        <v>19</v>
      </c>
      <c r="E39">
        <v>27040.799999999999</v>
      </c>
      <c r="F39">
        <v>19.379936392382284</v>
      </c>
      <c r="G39">
        <v>27581.525473638467</v>
      </c>
      <c r="H39">
        <v>19.102971407230488</v>
      </c>
      <c r="I39">
        <v>27187.348906770432</v>
      </c>
      <c r="J39">
        <v>17</v>
      </c>
      <c r="K39">
        <v>24194.400000000001</v>
      </c>
      <c r="L39">
        <v>20</v>
      </c>
      <c r="M39">
        <v>28464</v>
      </c>
      <c r="N39">
        <v>12</v>
      </c>
      <c r="O39">
        <v>17078.400000000001</v>
      </c>
      <c r="P39">
        <v>18</v>
      </c>
      <c r="Q39">
        <v>25617.600000000002</v>
      </c>
      <c r="R39">
        <v>20</v>
      </c>
      <c r="S39">
        <v>28464</v>
      </c>
      <c r="T39">
        <v>14</v>
      </c>
      <c r="U39">
        <v>19924.8</v>
      </c>
      <c r="V39">
        <v>15</v>
      </c>
      <c r="W39">
        <v>21348</v>
      </c>
      <c r="X39">
        <v>16</v>
      </c>
      <c r="Y39">
        <v>22771.200000000001</v>
      </c>
      <c r="Z39">
        <v>12</v>
      </c>
      <c r="AA39">
        <v>17078.400000000001</v>
      </c>
      <c r="AB39">
        <v>13</v>
      </c>
      <c r="AC39">
        <v>18501.600000000002</v>
      </c>
      <c r="AD39">
        <v>14</v>
      </c>
      <c r="AE39">
        <v>19924.8</v>
      </c>
      <c r="AF39">
        <v>17</v>
      </c>
      <c r="AG39">
        <v>24194.400000000001</v>
      </c>
      <c r="AH39">
        <v>21</v>
      </c>
      <c r="AI39">
        <v>29887.200000000001</v>
      </c>
      <c r="AJ39">
        <v>14</v>
      </c>
      <c r="AK39">
        <v>19924.8</v>
      </c>
      <c r="AL39">
        <v>22</v>
      </c>
      <c r="AM39">
        <v>31310.400000000001</v>
      </c>
      <c r="AN39">
        <v>7.9775015484557024</v>
      </c>
      <c r="AO39">
        <v>11353.580203762156</v>
      </c>
      <c r="AP39">
        <v>3.3308634358828368</v>
      </c>
      <c r="AQ39">
        <v>4740.4848419484533</v>
      </c>
      <c r="AR39">
        <v>4.3379911358507597</v>
      </c>
      <c r="AS39">
        <v>6173.8289845428017</v>
      </c>
      <c r="AT39">
        <v>5.7089450052224437</v>
      </c>
      <c r="AU39">
        <v>8124.970531432582</v>
      </c>
      <c r="AV39">
        <v>5.5699896606233823</v>
      </c>
      <c r="AW39">
        <v>7927.2092849991977</v>
      </c>
      <c r="AX39">
        <v>3.6079458439824377</v>
      </c>
      <c r="AY39">
        <v>5134.8285251558054</v>
      </c>
      <c r="AZ39">
        <v>3.5688316647392639</v>
      </c>
      <c r="BA39">
        <v>5079.1612252569203</v>
      </c>
      <c r="BB39">
        <v>4.2179490588413246</v>
      </c>
      <c r="BC39">
        <v>6002.9851005429737</v>
      </c>
      <c r="BD39">
        <v>3.9612550635591415</v>
      </c>
      <c r="BE39">
        <v>5637.6582064573704</v>
      </c>
      <c r="BF39">
        <v>3.8059633368149624</v>
      </c>
      <c r="BG39">
        <v>5416.6470209550544</v>
      </c>
      <c r="BH39">
        <v>7.1560793538212897</v>
      </c>
      <c r="BI39">
        <v>10184.532136358459</v>
      </c>
      <c r="BJ39">
        <v>4.4898881614003665</v>
      </c>
      <c r="BK39">
        <v>6390.0088313050019</v>
      </c>
      <c r="BL39">
        <v>4.9804145916933464</v>
      </c>
      <c r="BM39">
        <v>7088.1260468979708</v>
      </c>
      <c r="BN39">
        <v>4.2304097650712835</v>
      </c>
      <c r="BO39">
        <v>6020.719177649451</v>
      </c>
      <c r="BP39">
        <v>2.5542290838726975</v>
      </c>
      <c r="BQ39">
        <v>3635.1788321676231</v>
      </c>
      <c r="BR39">
        <v>6.9252041081179492</v>
      </c>
      <c r="BS39">
        <v>9855.950486673466</v>
      </c>
      <c r="BT39">
        <v>4.2026574006219608</v>
      </c>
      <c r="BU39">
        <v>5981.2220125651747</v>
      </c>
      <c r="BV39">
        <v>3.318641264140509</v>
      </c>
      <c r="BW39">
        <v>4723.0902471247728</v>
      </c>
      <c r="BX39">
        <v>4.0375762372461361</v>
      </c>
      <c r="BY39">
        <v>5746.2785008487008</v>
      </c>
      <c r="BZ39">
        <v>6.7302161816193307</v>
      </c>
      <c r="CA39">
        <v>9578.4436696806315</v>
      </c>
      <c r="CB39">
        <v>5.0789924529220363</v>
      </c>
      <c r="CC39">
        <v>7228.4220589986426</v>
      </c>
      <c r="CD39">
        <v>5.1367364558394026</v>
      </c>
      <c r="CE39">
        <v>7310.6033239506378</v>
      </c>
      <c r="CF39">
        <v>3.3493915385383564</v>
      </c>
      <c r="CG39">
        <v>4766.8540376477886</v>
      </c>
      <c r="CH39">
        <v>5.6628520236347191</v>
      </c>
      <c r="CI39">
        <v>8059.3710000369329</v>
      </c>
      <c r="CJ39">
        <v>4.6335340736988497</v>
      </c>
      <c r="CK39">
        <v>6594.4456936882034</v>
      </c>
      <c r="CL39">
        <v>4.9683188671233571</v>
      </c>
      <c r="CM39">
        <v>7070.9114116899618</v>
      </c>
      <c r="CN39">
        <v>5.1004034418834667</v>
      </c>
      <c r="CO39">
        <v>7258.8941784885501</v>
      </c>
      <c r="CP39">
        <v>3.4047799615057568</v>
      </c>
      <c r="CQ39">
        <v>4845.6828412149935</v>
      </c>
      <c r="CR39">
        <v>5.3514288297071264</v>
      </c>
      <c r="CS39">
        <v>7616.1535104391824</v>
      </c>
      <c r="CT39">
        <v>5.0940029946617917</v>
      </c>
      <c r="CU39">
        <v>7249.785062002662</v>
      </c>
    </row>
    <row r="40" spans="2:99" x14ac:dyDescent="0.2">
      <c r="C40" s="119" t="s">
        <v>206</v>
      </c>
      <c r="D40">
        <v>20</v>
      </c>
      <c r="E40">
        <v>14496</v>
      </c>
      <c r="F40">
        <v>20.398933212001399</v>
      </c>
      <c r="G40">
        <v>14785.146792058613</v>
      </c>
      <c r="H40">
        <v>22.097551859481516</v>
      </c>
      <c r="I40">
        <v>16016.305587752202</v>
      </c>
      <c r="J40">
        <v>19</v>
      </c>
      <c r="K40">
        <v>13771.199999999999</v>
      </c>
      <c r="L40">
        <v>21</v>
      </c>
      <c r="M40">
        <v>15220.8</v>
      </c>
      <c r="N40">
        <v>13</v>
      </c>
      <c r="O40">
        <v>9422.4</v>
      </c>
      <c r="P40">
        <v>19</v>
      </c>
      <c r="Q40">
        <v>13771.199999999999</v>
      </c>
      <c r="R40">
        <v>23</v>
      </c>
      <c r="S40">
        <v>16670.399999999998</v>
      </c>
      <c r="T40">
        <v>16</v>
      </c>
      <c r="U40">
        <v>11596.8</v>
      </c>
      <c r="V40">
        <v>18</v>
      </c>
      <c r="W40">
        <v>13046.4</v>
      </c>
      <c r="X40">
        <v>15</v>
      </c>
      <c r="Y40">
        <v>10872</v>
      </c>
      <c r="Z40">
        <v>14</v>
      </c>
      <c r="AA40">
        <v>10147.199999999999</v>
      </c>
      <c r="AB40">
        <v>12</v>
      </c>
      <c r="AC40">
        <v>8697.5999999999985</v>
      </c>
      <c r="AD40">
        <v>16</v>
      </c>
      <c r="AE40">
        <v>11596.8</v>
      </c>
      <c r="AF40">
        <v>18</v>
      </c>
      <c r="AG40">
        <v>13046.4</v>
      </c>
      <c r="AH40">
        <v>23</v>
      </c>
      <c r="AI40">
        <v>16670.399999999998</v>
      </c>
      <c r="AJ40">
        <v>13</v>
      </c>
      <c r="AK40">
        <v>9422.4</v>
      </c>
      <c r="AL40">
        <v>24</v>
      </c>
      <c r="AM40">
        <v>17395.199999999997</v>
      </c>
      <c r="AN40">
        <v>8.3401152552036883</v>
      </c>
      <c r="AO40">
        <v>6044.9155369716327</v>
      </c>
      <c r="AP40">
        <v>4.1635792948535464</v>
      </c>
      <c r="AQ40">
        <v>3017.7622729098503</v>
      </c>
      <c r="AR40">
        <v>4.3379911358507597</v>
      </c>
      <c r="AS40">
        <v>3144.1759752646303</v>
      </c>
      <c r="AT40">
        <v>5.7089450052224437</v>
      </c>
      <c r="AU40">
        <v>4137.8433397852268</v>
      </c>
      <c r="AV40">
        <v>5.5699896606233823</v>
      </c>
      <c r="AW40">
        <v>4037.1285060198275</v>
      </c>
      <c r="AX40">
        <v>3.3674161210502755</v>
      </c>
      <c r="AY40">
        <v>2440.7032045372393</v>
      </c>
      <c r="AZ40">
        <v>4.3335813071833922</v>
      </c>
      <c r="BA40">
        <v>3140.9797314465222</v>
      </c>
      <c r="BB40">
        <v>5.0088145073740726</v>
      </c>
      <c r="BC40">
        <v>3630.3887549447277</v>
      </c>
      <c r="BD40">
        <v>4.5271486440675908</v>
      </c>
      <c r="BE40">
        <v>3281.2773372201896</v>
      </c>
      <c r="BF40">
        <v>4.2288481520166252</v>
      </c>
      <c r="BG40">
        <v>3065.0691405816497</v>
      </c>
      <c r="BH40">
        <v>7.7783471237187918</v>
      </c>
      <c r="BI40">
        <v>5637.7459952713798</v>
      </c>
      <c r="BJ40">
        <v>3.9286521412253217</v>
      </c>
      <c r="BK40">
        <v>2847.4870719601131</v>
      </c>
      <c r="BL40">
        <v>5.7274767804473488</v>
      </c>
      <c r="BM40">
        <v>4151.2751704682378</v>
      </c>
      <c r="BN40">
        <v>4.2304097650712835</v>
      </c>
      <c r="BO40">
        <v>3066.2009977236662</v>
      </c>
      <c r="BP40">
        <v>3.0186343718495516</v>
      </c>
      <c r="BQ40">
        <v>2187.9061927165549</v>
      </c>
      <c r="BR40">
        <v>7.4792204367673856</v>
      </c>
      <c r="BS40">
        <v>5420.9389725690007</v>
      </c>
      <c r="BT40">
        <v>4.9443028242611291</v>
      </c>
      <c r="BU40">
        <v>3583.6306870244662</v>
      </c>
      <c r="BV40">
        <v>3.7927328733034389</v>
      </c>
      <c r="BW40">
        <v>2748.9727865703321</v>
      </c>
      <c r="BX40">
        <v>4.7105056101204923</v>
      </c>
      <c r="BY40">
        <v>3414.1744662153328</v>
      </c>
      <c r="BZ40">
        <v>6.4497905073851918</v>
      </c>
      <c r="CA40">
        <v>4674.8081597527871</v>
      </c>
      <c r="CB40">
        <v>6.2076574424602669</v>
      </c>
      <c r="CC40">
        <v>4499.3101142952009</v>
      </c>
      <c r="CD40">
        <v>5.3935732786313739</v>
      </c>
      <c r="CE40">
        <v>3909.2619123520194</v>
      </c>
      <c r="CF40">
        <v>3.0917460355738675</v>
      </c>
      <c r="CG40">
        <v>2240.897526583939</v>
      </c>
      <c r="CH40">
        <v>5.8988041912861657</v>
      </c>
      <c r="CI40">
        <v>4275.4532778442126</v>
      </c>
      <c r="CJ40">
        <v>4.8652107773837923</v>
      </c>
      <c r="CK40">
        <v>3526.3047714477725</v>
      </c>
      <c r="CL40">
        <v>4.9683188671233571</v>
      </c>
      <c r="CM40">
        <v>3601.0375148910089</v>
      </c>
      <c r="CN40">
        <v>5.7656734560421787</v>
      </c>
      <c r="CO40">
        <v>4178.9601209393713</v>
      </c>
      <c r="CP40">
        <v>4.2559749518821963</v>
      </c>
      <c r="CQ40">
        <v>3084.7306451242157</v>
      </c>
      <c r="CR40">
        <v>5.8379223596805012</v>
      </c>
      <c r="CS40">
        <v>4231.326126296427</v>
      </c>
      <c r="CT40">
        <v>5.0940029946617917</v>
      </c>
      <c r="CU40">
        <v>3692.1333705308666</v>
      </c>
    </row>
    <row r="41" spans="2:99" x14ac:dyDescent="0.2">
      <c r="C41" s="119" t="s">
        <v>207</v>
      </c>
      <c r="D41">
        <v>18</v>
      </c>
      <c r="E41">
        <v>11880</v>
      </c>
      <c r="F41">
        <v>21.398933212001399</v>
      </c>
      <c r="G41">
        <v>14123.295919920924</v>
      </c>
      <c r="H41">
        <v>22.108390954979459</v>
      </c>
      <c r="I41">
        <v>14591.538030286443</v>
      </c>
      <c r="J41">
        <v>20</v>
      </c>
      <c r="K41">
        <v>13200</v>
      </c>
      <c r="L41">
        <v>20</v>
      </c>
      <c r="M41">
        <v>13200</v>
      </c>
      <c r="N41">
        <v>13</v>
      </c>
      <c r="O41">
        <v>8580</v>
      </c>
      <c r="P41">
        <v>19</v>
      </c>
      <c r="Q41">
        <v>12540</v>
      </c>
      <c r="R41">
        <v>22</v>
      </c>
      <c r="S41">
        <v>14520</v>
      </c>
      <c r="T41">
        <v>15</v>
      </c>
      <c r="U41">
        <v>9900</v>
      </c>
      <c r="V41">
        <v>16</v>
      </c>
      <c r="W41">
        <v>10560</v>
      </c>
      <c r="X41">
        <v>17</v>
      </c>
      <c r="Y41">
        <v>11220</v>
      </c>
      <c r="Z41">
        <v>13</v>
      </c>
      <c r="AA41">
        <v>8580</v>
      </c>
      <c r="AB41">
        <v>15</v>
      </c>
      <c r="AC41">
        <v>9900</v>
      </c>
      <c r="AD41">
        <v>16</v>
      </c>
      <c r="AE41">
        <v>10560</v>
      </c>
      <c r="AF41">
        <v>17</v>
      </c>
      <c r="AG41">
        <v>11220</v>
      </c>
      <c r="AH41">
        <v>21</v>
      </c>
      <c r="AI41">
        <v>13860</v>
      </c>
      <c r="AJ41">
        <v>14</v>
      </c>
      <c r="AK41">
        <v>9240</v>
      </c>
      <c r="AL41">
        <v>23</v>
      </c>
      <c r="AM41">
        <v>15180</v>
      </c>
      <c r="AN41">
        <v>8.7027289619516761</v>
      </c>
      <c r="AO41">
        <v>5743.801114888106</v>
      </c>
      <c r="AP41">
        <v>4.1635792948535464</v>
      </c>
      <c r="AQ41">
        <v>2747.9623346033404</v>
      </c>
      <c r="AR41">
        <v>4.3379911358507597</v>
      </c>
      <c r="AS41">
        <v>2863.0741496615015</v>
      </c>
      <c r="AT41">
        <v>5.4710722966715082</v>
      </c>
      <c r="AU41">
        <v>3610.9077158031955</v>
      </c>
      <c r="AV41">
        <v>5.5699896606233823</v>
      </c>
      <c r="AW41">
        <v>3676.1931760114321</v>
      </c>
      <c r="AX41">
        <v>3.6079458439824377</v>
      </c>
      <c r="AY41">
        <v>2381.2442570284088</v>
      </c>
      <c r="AZ41">
        <v>3.8237482122206394</v>
      </c>
      <c r="BA41">
        <v>2523.6738200656218</v>
      </c>
      <c r="BB41">
        <v>5.0088145073740726</v>
      </c>
      <c r="BC41">
        <v>3305.8175748668878</v>
      </c>
      <c r="BD41">
        <v>3.9612550635591415</v>
      </c>
      <c r="BE41">
        <v>2614.4283419490334</v>
      </c>
      <c r="BF41">
        <v>4.2288481520166252</v>
      </c>
      <c r="BG41">
        <v>2791.0397803309725</v>
      </c>
      <c r="BH41">
        <v>6.8449454688725364</v>
      </c>
      <c r="BI41">
        <v>4517.6640094558743</v>
      </c>
      <c r="BJ41">
        <v>4.4898881614003665</v>
      </c>
      <c r="BK41">
        <v>2963.3261865242421</v>
      </c>
      <c r="BL41">
        <v>6.474538969201352</v>
      </c>
      <c r="BM41">
        <v>4273.1957196728927</v>
      </c>
      <c r="BN41">
        <v>4.4318578491222977</v>
      </c>
      <c r="BO41">
        <v>2925.0261804207166</v>
      </c>
      <c r="BP41">
        <v>3.0186343718495516</v>
      </c>
      <c r="BQ41">
        <v>1992.298685420704</v>
      </c>
      <c r="BR41">
        <v>6.9252041081179492</v>
      </c>
      <c r="BS41">
        <v>4570.6347113578468</v>
      </c>
      <c r="BT41">
        <v>4.4498725418350169</v>
      </c>
      <c r="BU41">
        <v>2936.9158776111112</v>
      </c>
      <c r="BV41">
        <v>3.318641264140509</v>
      </c>
      <c r="BW41">
        <v>2190.3032343327359</v>
      </c>
      <c r="BX41">
        <v>4.486195819162373</v>
      </c>
      <c r="BY41">
        <v>2960.8892406471664</v>
      </c>
      <c r="BZ41">
        <v>7.8519188785558853</v>
      </c>
      <c r="CA41">
        <v>5182.2664598468846</v>
      </c>
      <c r="CB41">
        <v>5.0789924529220363</v>
      </c>
      <c r="CC41">
        <v>3352.135018928544</v>
      </c>
      <c r="CD41">
        <v>5.6504101014233434</v>
      </c>
      <c r="CE41">
        <v>3729.2706669394065</v>
      </c>
      <c r="CF41">
        <v>3.3493915385383564</v>
      </c>
      <c r="CG41">
        <v>2210.598415435315</v>
      </c>
      <c r="CH41">
        <v>5.4268998559832733</v>
      </c>
      <c r="CI41">
        <v>3581.7539049489606</v>
      </c>
      <c r="CJ41">
        <v>4.8652107773837923</v>
      </c>
      <c r="CK41">
        <v>3211.0391130733028</v>
      </c>
      <c r="CL41">
        <v>4.9683188671233571</v>
      </c>
      <c r="CM41">
        <v>3279.0904523014156</v>
      </c>
      <c r="CN41">
        <v>5.5439167846559414</v>
      </c>
      <c r="CO41">
        <v>3658.9850778729215</v>
      </c>
      <c r="CP41">
        <v>3.9722432884233827</v>
      </c>
      <c r="CQ41">
        <v>2621.6805703594327</v>
      </c>
      <c r="CR41">
        <v>6.324415889653876</v>
      </c>
      <c r="CS41">
        <v>4174.1144871715578</v>
      </c>
      <c r="CT41">
        <v>5.5570941759946821</v>
      </c>
      <c r="CU41">
        <v>3667.6821561564902</v>
      </c>
    </row>
    <row r="42" spans="2:99" x14ac:dyDescent="0.2">
      <c r="C42" s="119" t="s">
        <v>208</v>
      </c>
      <c r="D42">
        <v>18</v>
      </c>
      <c r="E42">
        <v>15228</v>
      </c>
      <c r="F42">
        <v>20.436926851239626</v>
      </c>
      <c r="G42">
        <v>17289.640116148723</v>
      </c>
      <c r="H42">
        <v>20.102971407230488</v>
      </c>
      <c r="I42">
        <v>17007.113810516992</v>
      </c>
      <c r="J42">
        <v>21</v>
      </c>
      <c r="K42">
        <v>17766</v>
      </c>
      <c r="L42">
        <v>22</v>
      </c>
      <c r="M42">
        <v>18612</v>
      </c>
      <c r="N42">
        <v>14</v>
      </c>
      <c r="O42">
        <v>11844</v>
      </c>
      <c r="P42">
        <v>20</v>
      </c>
      <c r="Q42">
        <v>16920</v>
      </c>
      <c r="R42">
        <v>21</v>
      </c>
      <c r="S42">
        <v>17766</v>
      </c>
      <c r="T42">
        <v>14</v>
      </c>
      <c r="U42">
        <v>11844</v>
      </c>
      <c r="V42">
        <v>17</v>
      </c>
      <c r="W42">
        <v>14382</v>
      </c>
      <c r="X42">
        <v>16</v>
      </c>
      <c r="Y42">
        <v>13536</v>
      </c>
      <c r="Z42">
        <v>12</v>
      </c>
      <c r="AA42">
        <v>10152</v>
      </c>
      <c r="AB42">
        <v>13</v>
      </c>
      <c r="AC42">
        <v>10998</v>
      </c>
      <c r="AD42">
        <v>16</v>
      </c>
      <c r="AE42">
        <v>13536</v>
      </c>
      <c r="AF42">
        <v>19</v>
      </c>
      <c r="AG42">
        <v>16074</v>
      </c>
      <c r="AH42">
        <v>22</v>
      </c>
      <c r="AI42">
        <v>18612</v>
      </c>
      <c r="AJ42">
        <v>15</v>
      </c>
      <c r="AK42">
        <v>12690</v>
      </c>
      <c r="AL42">
        <v>22</v>
      </c>
      <c r="AM42">
        <v>18612</v>
      </c>
      <c r="AN42">
        <v>8.3401152552036883</v>
      </c>
      <c r="AO42">
        <v>7055.7375059023207</v>
      </c>
      <c r="AP42">
        <v>3.6084353888730734</v>
      </c>
      <c r="AQ42">
        <v>3052.73633898662</v>
      </c>
      <c r="AR42">
        <v>4.3379911358507597</v>
      </c>
      <c r="AS42">
        <v>3669.9405009297425</v>
      </c>
      <c r="AT42">
        <v>6.184690422324314</v>
      </c>
      <c r="AU42">
        <v>5232.2480972863696</v>
      </c>
      <c r="AV42">
        <v>5.3168083124132286</v>
      </c>
      <c r="AW42">
        <v>4498.0198323015911</v>
      </c>
      <c r="AX42">
        <v>3.6079458439824377</v>
      </c>
      <c r="AY42">
        <v>3052.3221840091423</v>
      </c>
      <c r="AZ42">
        <v>4.3335813071833922</v>
      </c>
      <c r="BA42">
        <v>3666.2097858771499</v>
      </c>
      <c r="BB42">
        <v>5.0088145073740726</v>
      </c>
      <c r="BC42">
        <v>4237.4570732384655</v>
      </c>
      <c r="BD42">
        <v>3.9612550635591415</v>
      </c>
      <c r="BE42">
        <v>3351.2217837710336</v>
      </c>
      <c r="BF42">
        <v>3.8059633368149624</v>
      </c>
      <c r="BG42">
        <v>3219.844982945458</v>
      </c>
      <c r="BH42">
        <v>6.8449454688725364</v>
      </c>
      <c r="BI42">
        <v>5790.8238666661655</v>
      </c>
      <c r="BJ42">
        <v>4.2092701513128441</v>
      </c>
      <c r="BK42">
        <v>3561.042548010666</v>
      </c>
      <c r="BL42">
        <v>5.9764975100320168</v>
      </c>
      <c r="BM42">
        <v>5056.1168934870866</v>
      </c>
      <c r="BN42">
        <v>4.0289616810202711</v>
      </c>
      <c r="BO42">
        <v>3408.5015821431493</v>
      </c>
      <c r="BP42">
        <v>3.0186343718495516</v>
      </c>
      <c r="BQ42">
        <v>2553.7646785847205</v>
      </c>
      <c r="BR42">
        <v>6.9252041081179492</v>
      </c>
      <c r="BS42">
        <v>5858.7226754677849</v>
      </c>
      <c r="BT42">
        <v>4.9443028242611291</v>
      </c>
      <c r="BU42">
        <v>4182.8801893249156</v>
      </c>
      <c r="BV42">
        <v>3.7927328733034389</v>
      </c>
      <c r="BW42">
        <v>3208.6520108147092</v>
      </c>
      <c r="BX42">
        <v>4.486195819162373</v>
      </c>
      <c r="BY42">
        <v>3795.3216630113675</v>
      </c>
      <c r="BZ42">
        <v>7.0106418558534687</v>
      </c>
      <c r="CA42">
        <v>5931.0030100520344</v>
      </c>
      <c r="CB42">
        <v>5.0789924529220363</v>
      </c>
      <c r="CC42">
        <v>4296.8276151720429</v>
      </c>
      <c r="CD42">
        <v>4.8798996330474331</v>
      </c>
      <c r="CE42">
        <v>4128.3950895581283</v>
      </c>
      <c r="CF42">
        <v>3.6070370415028457</v>
      </c>
      <c r="CG42">
        <v>3051.5533371114075</v>
      </c>
      <c r="CH42">
        <v>5.8988041912861657</v>
      </c>
      <c r="CI42">
        <v>4990.3883458280961</v>
      </c>
      <c r="CJ42">
        <v>4.8652107773837923</v>
      </c>
      <c r="CK42">
        <v>4115.9683176666886</v>
      </c>
      <c r="CL42">
        <v>5.4651507538356929</v>
      </c>
      <c r="CM42">
        <v>4623.5175377449959</v>
      </c>
      <c r="CN42">
        <v>5.1004034418834667</v>
      </c>
      <c r="CO42">
        <v>4314.9413118334132</v>
      </c>
      <c r="CP42">
        <v>3.68851162496457</v>
      </c>
      <c r="CQ42">
        <v>3120.480834720026</v>
      </c>
      <c r="CR42">
        <v>6.0811691246671886</v>
      </c>
      <c r="CS42">
        <v>5144.6690794684419</v>
      </c>
      <c r="CT42">
        <v>5.5570941759946821</v>
      </c>
      <c r="CU42">
        <v>4701.3016728915009</v>
      </c>
    </row>
    <row r="43" spans="2:99" x14ac:dyDescent="0.2">
      <c r="C43" s="119" t="s">
        <v>209</v>
      </c>
      <c r="D43">
        <v>19</v>
      </c>
      <c r="E43">
        <v>19425.599999999999</v>
      </c>
      <c r="F43">
        <v>20.398933212001399</v>
      </c>
      <c r="G43">
        <v>20855.869315950229</v>
      </c>
      <c r="H43">
        <v>19.113810502728434</v>
      </c>
      <c r="I43">
        <v>19541.95985798955</v>
      </c>
      <c r="J43">
        <v>20</v>
      </c>
      <c r="K43">
        <v>20448</v>
      </c>
      <c r="L43">
        <v>22</v>
      </c>
      <c r="M43">
        <v>22492.799999999999</v>
      </c>
      <c r="N43">
        <v>13</v>
      </c>
      <c r="O43">
        <v>13291.199999999999</v>
      </c>
      <c r="P43">
        <v>19</v>
      </c>
      <c r="Q43">
        <v>19425.599999999999</v>
      </c>
      <c r="R43">
        <v>24</v>
      </c>
      <c r="S43">
        <v>24537.599999999999</v>
      </c>
      <c r="T43">
        <v>14</v>
      </c>
      <c r="U43">
        <v>14313.6</v>
      </c>
      <c r="V43">
        <v>16</v>
      </c>
      <c r="W43">
        <v>16358.4</v>
      </c>
      <c r="X43">
        <v>16</v>
      </c>
      <c r="Y43">
        <v>16358.4</v>
      </c>
      <c r="Z43">
        <v>12</v>
      </c>
      <c r="AA43">
        <v>12268.8</v>
      </c>
      <c r="AB43">
        <v>14</v>
      </c>
      <c r="AC43">
        <v>14313.6</v>
      </c>
      <c r="AD43">
        <v>14</v>
      </c>
      <c r="AE43">
        <v>14313.6</v>
      </c>
      <c r="AF43">
        <v>17</v>
      </c>
      <c r="AG43">
        <v>17380.8</v>
      </c>
      <c r="AH43">
        <v>20</v>
      </c>
      <c r="AI43">
        <v>20448</v>
      </c>
      <c r="AJ43">
        <v>15</v>
      </c>
      <c r="AK43">
        <v>15336</v>
      </c>
      <c r="AL43">
        <v>24</v>
      </c>
      <c r="AM43">
        <v>24537.599999999999</v>
      </c>
      <c r="AN43">
        <v>7.6148878417077164</v>
      </c>
      <c r="AO43">
        <v>7785.4613293619686</v>
      </c>
      <c r="AP43">
        <v>4.1635792948535464</v>
      </c>
      <c r="AQ43">
        <v>4256.843471058266</v>
      </c>
      <c r="AR43">
        <v>4.1096758129112461</v>
      </c>
      <c r="AS43">
        <v>4201.7325511204581</v>
      </c>
      <c r="AT43">
        <v>5.7089450052224437</v>
      </c>
      <c r="AU43">
        <v>5836.8253733394267</v>
      </c>
      <c r="AV43">
        <v>5.3168083124132286</v>
      </c>
      <c r="AW43">
        <v>5435.904818611285</v>
      </c>
      <c r="AX43">
        <v>3.6079458439824377</v>
      </c>
      <c r="AY43">
        <v>3688.7638308876444</v>
      </c>
      <c r="AZ43">
        <v>4.0786647597020158</v>
      </c>
      <c r="BA43">
        <v>4170.0268503193411</v>
      </c>
      <c r="BB43">
        <v>5.2724363235516556</v>
      </c>
      <c r="BC43">
        <v>5390.5388971992124</v>
      </c>
      <c r="BD43">
        <v>3.9612550635591415</v>
      </c>
      <c r="BE43">
        <v>4049.987176982866</v>
      </c>
      <c r="BF43">
        <v>4.0174057444157931</v>
      </c>
      <c r="BG43">
        <v>4107.3956330907067</v>
      </c>
      <c r="BH43">
        <v>7.1560793538212897</v>
      </c>
      <c r="BI43">
        <v>7316.3755313468864</v>
      </c>
      <c r="BJ43">
        <v>4.4898881614003665</v>
      </c>
      <c r="BK43">
        <v>4590.4616562157344</v>
      </c>
      <c r="BL43">
        <v>5.4784560508626816</v>
      </c>
      <c r="BM43">
        <v>5601.1734664020059</v>
      </c>
      <c r="BN43">
        <v>4.4318578491222977</v>
      </c>
      <c r="BO43">
        <v>4531.1314649426367</v>
      </c>
      <c r="BP43">
        <v>2.7864317278611246</v>
      </c>
      <c r="BQ43">
        <v>2848.8477985652139</v>
      </c>
      <c r="BR43">
        <v>6.9252041081179492</v>
      </c>
      <c r="BS43">
        <v>7080.3286801397908</v>
      </c>
      <c r="BT43">
        <v>5.1915179654741861</v>
      </c>
      <c r="BU43">
        <v>5307.8079679008079</v>
      </c>
      <c r="BV43">
        <v>3.5556870687219742</v>
      </c>
      <c r="BW43">
        <v>3635.3344590613465</v>
      </c>
      <c r="BX43">
        <v>4.2618860282042546</v>
      </c>
      <c r="BY43">
        <v>4357.3522752360295</v>
      </c>
      <c r="BZ43">
        <v>7.0106418558534687</v>
      </c>
      <c r="CA43">
        <v>7167.6802334245858</v>
      </c>
      <c r="CB43">
        <v>5.3611587003065937</v>
      </c>
      <c r="CC43">
        <v>5481.2486551934617</v>
      </c>
      <c r="CD43">
        <v>5.1367364558394026</v>
      </c>
      <c r="CE43">
        <v>5251.7993524502053</v>
      </c>
      <c r="CF43">
        <v>3.0917460355738675</v>
      </c>
      <c r="CG43">
        <v>3161.0011467707222</v>
      </c>
      <c r="CH43">
        <v>5.6628520236347191</v>
      </c>
      <c r="CI43">
        <v>5789.6999089641367</v>
      </c>
      <c r="CJ43">
        <v>4.6335340736988497</v>
      </c>
      <c r="CK43">
        <v>4737.325236949704</v>
      </c>
      <c r="CL43">
        <v>4.9683188671233571</v>
      </c>
      <c r="CM43">
        <v>5079.60920974692</v>
      </c>
      <c r="CN43">
        <v>4.8786467704972285</v>
      </c>
      <c r="CO43">
        <v>4987.9284581563661</v>
      </c>
      <c r="CP43">
        <v>3.9722432884233827</v>
      </c>
      <c r="CQ43">
        <v>4061.2215380840662</v>
      </c>
      <c r="CR43">
        <v>5.8379223596805012</v>
      </c>
      <c r="CS43">
        <v>5968.691820537344</v>
      </c>
      <c r="CT43">
        <v>5.3255485853282369</v>
      </c>
      <c r="CU43">
        <v>5444.8408736395895</v>
      </c>
    </row>
    <row r="44" spans="2:99" x14ac:dyDescent="0.2">
      <c r="C44" s="119" t="s">
        <v>210</v>
      </c>
      <c r="D44">
        <v>18</v>
      </c>
      <c r="E44">
        <v>18403.2</v>
      </c>
      <c r="F44">
        <v>20.436926851239626</v>
      </c>
      <c r="G44">
        <v>20894.714012707394</v>
      </c>
      <c r="H44">
        <v>21.108390954979459</v>
      </c>
      <c r="I44">
        <v>21581.218912370998</v>
      </c>
      <c r="J44">
        <v>20</v>
      </c>
      <c r="K44">
        <v>20448</v>
      </c>
      <c r="L44">
        <v>21</v>
      </c>
      <c r="M44">
        <v>21470.399999999998</v>
      </c>
      <c r="N44">
        <v>13</v>
      </c>
      <c r="O44">
        <v>13291.199999999999</v>
      </c>
      <c r="P44">
        <v>18</v>
      </c>
      <c r="Q44">
        <v>18403.2</v>
      </c>
      <c r="R44">
        <v>23</v>
      </c>
      <c r="S44">
        <v>23515.200000000001</v>
      </c>
      <c r="T44">
        <v>13</v>
      </c>
      <c r="U44">
        <v>13291.199999999999</v>
      </c>
      <c r="V44">
        <v>16</v>
      </c>
      <c r="W44">
        <v>16358.4</v>
      </c>
      <c r="X44">
        <v>15</v>
      </c>
      <c r="Y44">
        <v>15336</v>
      </c>
      <c r="Z44">
        <v>14</v>
      </c>
      <c r="AA44">
        <v>14313.6</v>
      </c>
      <c r="AB44">
        <v>12</v>
      </c>
      <c r="AC44">
        <v>12268.8</v>
      </c>
      <c r="AD44">
        <v>16</v>
      </c>
      <c r="AE44">
        <v>16358.4</v>
      </c>
      <c r="AF44">
        <v>18</v>
      </c>
      <c r="AG44">
        <v>18403.2</v>
      </c>
      <c r="AH44">
        <v>19</v>
      </c>
      <c r="AI44">
        <v>19425.599999999999</v>
      </c>
      <c r="AJ44">
        <v>13</v>
      </c>
      <c r="AK44">
        <v>13291.199999999999</v>
      </c>
      <c r="AL44">
        <v>21</v>
      </c>
      <c r="AM44">
        <v>21470.399999999998</v>
      </c>
      <c r="AN44">
        <v>8.3401152552036883</v>
      </c>
      <c r="AO44">
        <v>8526.9338369202505</v>
      </c>
      <c r="AP44">
        <v>3.6084353888730734</v>
      </c>
      <c r="AQ44">
        <v>3689.2643415838302</v>
      </c>
      <c r="AR44">
        <v>3.881360489971732</v>
      </c>
      <c r="AS44">
        <v>3968.3029649470986</v>
      </c>
      <c r="AT44">
        <v>5.7089450052224437</v>
      </c>
      <c r="AU44">
        <v>5836.8253733394267</v>
      </c>
      <c r="AV44">
        <v>5.8231710088335369</v>
      </c>
      <c r="AW44">
        <v>5953.610039431408</v>
      </c>
      <c r="AX44">
        <v>3.3674161210502755</v>
      </c>
      <c r="AY44">
        <v>3442.8462421618015</v>
      </c>
      <c r="AZ44">
        <v>3.5688316647392639</v>
      </c>
      <c r="BA44">
        <v>3648.7734940294235</v>
      </c>
      <c r="BB44">
        <v>4.4815708750189067</v>
      </c>
      <c r="BC44">
        <v>4581.9580626193301</v>
      </c>
      <c r="BD44">
        <v>3.6783082733049168</v>
      </c>
      <c r="BE44">
        <v>3760.7023786269469</v>
      </c>
      <c r="BF44">
        <v>3.5945209292141316</v>
      </c>
      <c r="BG44">
        <v>3675.0381980285279</v>
      </c>
      <c r="BH44">
        <v>7.7783471237187918</v>
      </c>
      <c r="BI44">
        <v>7952.5820992900926</v>
      </c>
      <c r="BJ44">
        <v>4.2092701513128441</v>
      </c>
      <c r="BK44">
        <v>4303.557802702252</v>
      </c>
      <c r="BL44">
        <v>5.9764975100320168</v>
      </c>
      <c r="BM44">
        <v>6110.3710542567342</v>
      </c>
      <c r="BN44">
        <v>3.8275135969692569</v>
      </c>
      <c r="BO44">
        <v>3913.2499015413682</v>
      </c>
      <c r="BP44">
        <v>2.7864317278611246</v>
      </c>
      <c r="BQ44">
        <v>2848.8477985652139</v>
      </c>
      <c r="BR44">
        <v>6.3711877794685137</v>
      </c>
      <c r="BS44">
        <v>6513.9023857286084</v>
      </c>
      <c r="BT44">
        <v>4.4498725418350169</v>
      </c>
      <c r="BU44">
        <v>4549.5496867721213</v>
      </c>
      <c r="BV44">
        <v>3.318641264140509</v>
      </c>
      <c r="BW44">
        <v>3392.9788284572564</v>
      </c>
      <c r="BX44">
        <v>4.0375762372461361</v>
      </c>
      <c r="BY44">
        <v>4128.0179449604493</v>
      </c>
      <c r="BZ44">
        <v>7.2910675300876084</v>
      </c>
      <c r="CA44">
        <v>7454.387442761571</v>
      </c>
      <c r="CB44">
        <v>5.9254911950757094</v>
      </c>
      <c r="CC44">
        <v>6058.2221978454054</v>
      </c>
      <c r="CD44">
        <v>5.3935732786313739</v>
      </c>
      <c r="CE44">
        <v>5514.3893200727161</v>
      </c>
      <c r="CF44">
        <v>3.3493915385383564</v>
      </c>
      <c r="CG44">
        <v>3424.4179090016155</v>
      </c>
      <c r="CH44">
        <v>5.4268998559832733</v>
      </c>
      <c r="CI44">
        <v>5548.4624127572988</v>
      </c>
      <c r="CJ44">
        <v>4.8652107773837923</v>
      </c>
      <c r="CK44">
        <v>4974.1914987971895</v>
      </c>
      <c r="CL44">
        <v>4.9683188671233571</v>
      </c>
      <c r="CM44">
        <v>5079.60920974692</v>
      </c>
      <c r="CN44">
        <v>5.5439167846559414</v>
      </c>
      <c r="CO44">
        <v>5668.1005206322343</v>
      </c>
      <c r="CP44">
        <v>3.68851162496457</v>
      </c>
      <c r="CQ44">
        <v>3771.1342853637761</v>
      </c>
      <c r="CR44">
        <v>5.5946755946938138</v>
      </c>
      <c r="CS44">
        <v>5719.996328014955</v>
      </c>
      <c r="CT44">
        <v>5.0940029946617917</v>
      </c>
      <c r="CU44">
        <v>5208.1086617422161</v>
      </c>
    </row>
    <row r="45" spans="2:99" x14ac:dyDescent="0.2">
      <c r="C45" s="119" t="s">
        <v>211</v>
      </c>
      <c r="D45">
        <v>19</v>
      </c>
      <c r="E45">
        <v>23734.799999999999</v>
      </c>
      <c r="F45">
        <v>17.360939572763169</v>
      </c>
      <c r="G45">
        <v>21687.285714295751</v>
      </c>
      <c r="H45">
        <v>18.108390954979459</v>
      </c>
      <c r="I45">
        <v>22621.00198096034</v>
      </c>
      <c r="J45">
        <v>19</v>
      </c>
      <c r="K45">
        <v>23734.799999999999</v>
      </c>
      <c r="L45">
        <v>18</v>
      </c>
      <c r="M45">
        <v>22485.600000000002</v>
      </c>
      <c r="N45">
        <v>13</v>
      </c>
      <c r="O45">
        <v>16239.6</v>
      </c>
      <c r="P45">
        <v>18</v>
      </c>
      <c r="Q45">
        <v>22485.600000000002</v>
      </c>
      <c r="R45">
        <v>20</v>
      </c>
      <c r="S45">
        <v>24984</v>
      </c>
      <c r="T45">
        <v>14</v>
      </c>
      <c r="U45">
        <v>17488.8</v>
      </c>
      <c r="V45">
        <v>17</v>
      </c>
      <c r="W45">
        <v>21236.400000000001</v>
      </c>
      <c r="X45">
        <v>15</v>
      </c>
      <c r="Y45">
        <v>18738</v>
      </c>
      <c r="Z45">
        <v>13</v>
      </c>
      <c r="AA45">
        <v>16239.6</v>
      </c>
      <c r="AB45">
        <v>12</v>
      </c>
      <c r="AC45">
        <v>14990.400000000001</v>
      </c>
      <c r="AD45">
        <v>13</v>
      </c>
      <c r="AE45">
        <v>16239.6</v>
      </c>
      <c r="AF45">
        <v>17</v>
      </c>
      <c r="AG45">
        <v>21236.400000000001</v>
      </c>
      <c r="AH45">
        <v>21</v>
      </c>
      <c r="AI45">
        <v>26233.200000000001</v>
      </c>
      <c r="AJ45">
        <v>15</v>
      </c>
      <c r="AK45">
        <v>18738</v>
      </c>
      <c r="AL45">
        <v>20</v>
      </c>
      <c r="AM45">
        <v>24984</v>
      </c>
      <c r="AN45">
        <v>8.3401152552036883</v>
      </c>
      <c r="AO45">
        <v>10418.471976800447</v>
      </c>
      <c r="AP45">
        <v>3.3308634358828368</v>
      </c>
      <c r="AQ45">
        <v>4160.9146041048398</v>
      </c>
      <c r="AR45">
        <v>3.6530451670322184</v>
      </c>
      <c r="AS45">
        <v>4563.3840226566472</v>
      </c>
      <c r="AT45">
        <v>5.7089450052224437</v>
      </c>
      <c r="AU45">
        <v>7131.6141005238769</v>
      </c>
      <c r="AV45">
        <v>5.5699896606233823</v>
      </c>
      <c r="AW45">
        <v>6958.0310840507291</v>
      </c>
      <c r="AX45">
        <v>3.6079458439824377</v>
      </c>
      <c r="AY45">
        <v>4507.0459483028617</v>
      </c>
      <c r="AZ45">
        <v>3.8237482122206394</v>
      </c>
      <c r="BA45">
        <v>4776.6262667060228</v>
      </c>
      <c r="BB45">
        <v>5.0088145073740726</v>
      </c>
      <c r="BC45">
        <v>6257.0110826116916</v>
      </c>
      <c r="BD45">
        <v>3.6783082733049168</v>
      </c>
      <c r="BE45">
        <v>4594.9426950125026</v>
      </c>
      <c r="BF45">
        <v>3.5945209292141316</v>
      </c>
      <c r="BG45">
        <v>4490.2755447742929</v>
      </c>
      <c r="BH45">
        <v>6.8449454688725364</v>
      </c>
      <c r="BI45">
        <v>8550.7058797155732</v>
      </c>
      <c r="BJ45">
        <v>4.2092701513128441</v>
      </c>
      <c r="BK45">
        <v>5258.2202730200052</v>
      </c>
      <c r="BL45">
        <v>4.9804145916933464</v>
      </c>
      <c r="BM45">
        <v>6221.5339079433288</v>
      </c>
      <c r="BN45">
        <v>4.4318578491222977</v>
      </c>
      <c r="BO45">
        <v>5536.2768251235748</v>
      </c>
      <c r="BP45">
        <v>2.7864317278611246</v>
      </c>
      <c r="BQ45">
        <v>3480.810514444117</v>
      </c>
      <c r="BR45">
        <v>6.6481959437932314</v>
      </c>
      <c r="BS45">
        <v>8304.9263729865052</v>
      </c>
      <c r="BT45">
        <v>4.4498725418350169</v>
      </c>
      <c r="BU45">
        <v>5558.7807792603035</v>
      </c>
      <c r="BV45">
        <v>3.5556870687219742</v>
      </c>
      <c r="BW45">
        <v>4441.7642862474904</v>
      </c>
      <c r="BX45">
        <v>4.486195819162373</v>
      </c>
      <c r="BY45">
        <v>5604.1558172976365</v>
      </c>
      <c r="BZ45">
        <v>7.0106418558534687</v>
      </c>
      <c r="CA45">
        <v>8757.6938063321541</v>
      </c>
      <c r="CB45">
        <v>5.3611587003065937</v>
      </c>
      <c r="CC45">
        <v>6697.1594484229972</v>
      </c>
      <c r="CD45">
        <v>4.6230628102554627</v>
      </c>
      <c r="CE45">
        <v>5775.1300625711247</v>
      </c>
      <c r="CF45">
        <v>3.0917460355738675</v>
      </c>
      <c r="CG45">
        <v>3862.2091476388755</v>
      </c>
      <c r="CH45">
        <v>6.1347563589376124</v>
      </c>
      <c r="CI45">
        <v>7663.5376435848657</v>
      </c>
      <c r="CJ45">
        <v>4.1701806663289656</v>
      </c>
      <c r="CK45">
        <v>5209.3896883781435</v>
      </c>
      <c r="CL45">
        <v>5.216734810479525</v>
      </c>
      <c r="CM45">
        <v>6516.7451252510227</v>
      </c>
      <c r="CN45">
        <v>4.8786467704972285</v>
      </c>
      <c r="CO45">
        <v>6094.4055457051381</v>
      </c>
      <c r="CP45">
        <v>3.9722432884233827</v>
      </c>
      <c r="CQ45">
        <v>4962.1263158984902</v>
      </c>
      <c r="CR45">
        <v>5.3514288297071264</v>
      </c>
      <c r="CS45">
        <v>6685.0048940701427</v>
      </c>
      <c r="CT45">
        <v>5.3255485853282369</v>
      </c>
      <c r="CU45">
        <v>6652.6752927920343</v>
      </c>
    </row>
    <row r="46" spans="2:99" x14ac:dyDescent="0.2">
      <c r="C46" s="119" t="s">
        <v>212</v>
      </c>
      <c r="D46">
        <v>17</v>
      </c>
      <c r="E46">
        <v>20604</v>
      </c>
      <c r="F46">
        <v>19.417930031620511</v>
      </c>
      <c r="G46">
        <v>23534.531198324061</v>
      </c>
      <c r="H46">
        <v>19.108390954979459</v>
      </c>
      <c r="I46">
        <v>23159.369837435104</v>
      </c>
      <c r="J46">
        <v>20</v>
      </c>
      <c r="K46">
        <v>24240</v>
      </c>
      <c r="L46">
        <v>21</v>
      </c>
      <c r="M46">
        <v>25452</v>
      </c>
      <c r="N46">
        <v>11</v>
      </c>
      <c r="O46">
        <v>13332</v>
      </c>
      <c r="P46">
        <v>18</v>
      </c>
      <c r="Q46">
        <v>21816</v>
      </c>
      <c r="R46">
        <v>23</v>
      </c>
      <c r="S46">
        <v>27876</v>
      </c>
      <c r="T46">
        <v>13</v>
      </c>
      <c r="U46">
        <v>15756</v>
      </c>
      <c r="V46">
        <v>16</v>
      </c>
      <c r="W46">
        <v>19392</v>
      </c>
      <c r="X46">
        <v>15</v>
      </c>
      <c r="Y46">
        <v>18180</v>
      </c>
      <c r="Z46">
        <v>13</v>
      </c>
      <c r="AA46">
        <v>15756</v>
      </c>
      <c r="AB46">
        <v>12</v>
      </c>
      <c r="AC46">
        <v>14544</v>
      </c>
      <c r="AD46">
        <v>13</v>
      </c>
      <c r="AE46">
        <v>15756</v>
      </c>
      <c r="AF46">
        <v>15</v>
      </c>
      <c r="AG46">
        <v>18180</v>
      </c>
      <c r="AH46">
        <v>21</v>
      </c>
      <c r="AI46">
        <v>25452</v>
      </c>
      <c r="AJ46">
        <v>13</v>
      </c>
      <c r="AK46">
        <v>15756</v>
      </c>
      <c r="AL46">
        <v>21</v>
      </c>
      <c r="AM46">
        <v>25452</v>
      </c>
      <c r="AN46">
        <v>7.9775015484557024</v>
      </c>
      <c r="AO46">
        <v>9668.7318767283105</v>
      </c>
      <c r="AP46">
        <v>4.1635792948535464</v>
      </c>
      <c r="AQ46">
        <v>5046.2581053624981</v>
      </c>
      <c r="AR46">
        <v>3.881360489971732</v>
      </c>
      <c r="AS46">
        <v>4704.2089138457395</v>
      </c>
      <c r="AT46">
        <v>5.7089450052224437</v>
      </c>
      <c r="AU46">
        <v>6919.2413463296016</v>
      </c>
      <c r="AV46">
        <v>5.5699896606233823</v>
      </c>
      <c r="AW46">
        <v>6750.8274686755394</v>
      </c>
      <c r="AX46">
        <v>3.3674161210502755</v>
      </c>
      <c r="AY46">
        <v>4081.3083387129341</v>
      </c>
      <c r="AZ46">
        <v>4.0786647597020158</v>
      </c>
      <c r="BA46">
        <v>4943.3416887588428</v>
      </c>
      <c r="BB46">
        <v>4.7451926911964897</v>
      </c>
      <c r="BC46">
        <v>5751.1735417301452</v>
      </c>
      <c r="BD46">
        <v>3.9612550635591415</v>
      </c>
      <c r="BE46">
        <v>4801.0411370336797</v>
      </c>
      <c r="BF46">
        <v>3.8059633368149624</v>
      </c>
      <c r="BG46">
        <v>4612.8275642197341</v>
      </c>
      <c r="BH46">
        <v>7.4672132387700403</v>
      </c>
      <c r="BI46">
        <v>9050.2624453892895</v>
      </c>
      <c r="BJ46">
        <v>4.4898881614003665</v>
      </c>
      <c r="BK46">
        <v>5441.7444516172445</v>
      </c>
      <c r="BL46">
        <v>5.2294353212780145</v>
      </c>
      <c r="BM46">
        <v>6338.0756093889531</v>
      </c>
      <c r="BN46">
        <v>4.2304097650712835</v>
      </c>
      <c r="BO46">
        <v>5127.2566352663953</v>
      </c>
      <c r="BP46">
        <v>3.2508370158379787</v>
      </c>
      <c r="BQ46">
        <v>3940.01446319563</v>
      </c>
      <c r="BR46">
        <v>6.6481959437932314</v>
      </c>
      <c r="BS46">
        <v>8057.6134838773969</v>
      </c>
      <c r="BT46">
        <v>4.697087683048073</v>
      </c>
      <c r="BU46">
        <v>5692.8702718542645</v>
      </c>
      <c r="BV46">
        <v>3.5556870687219742</v>
      </c>
      <c r="BW46">
        <v>4309.4927272910327</v>
      </c>
      <c r="BX46">
        <v>4.2618860282042546</v>
      </c>
      <c r="BY46">
        <v>5165.4058661835561</v>
      </c>
      <c r="BZ46">
        <v>6.7302161816193307</v>
      </c>
      <c r="CA46">
        <v>8157.0220121226284</v>
      </c>
      <c r="CB46">
        <v>5.6433249476911511</v>
      </c>
      <c r="CC46">
        <v>6839.7098366016753</v>
      </c>
      <c r="CD46">
        <v>5.3935732786313739</v>
      </c>
      <c r="CE46">
        <v>6537.0108137012248</v>
      </c>
      <c r="CF46">
        <v>3.6070370415028457</v>
      </c>
      <c r="CG46">
        <v>4371.7288943014491</v>
      </c>
      <c r="CH46">
        <v>6.1347563589376124</v>
      </c>
      <c r="CI46">
        <v>7435.324707032386</v>
      </c>
      <c r="CJ46">
        <v>4.4018573700139072</v>
      </c>
      <c r="CK46">
        <v>5335.0511324568552</v>
      </c>
      <c r="CL46">
        <v>5.216734810479525</v>
      </c>
      <c r="CM46">
        <v>6322.6825903011841</v>
      </c>
      <c r="CN46">
        <v>4.6568900991109912</v>
      </c>
      <c r="CO46">
        <v>5644.1508001225211</v>
      </c>
      <c r="CP46">
        <v>3.9722432884233827</v>
      </c>
      <c r="CQ46">
        <v>4814.3588655691401</v>
      </c>
      <c r="CR46">
        <v>5.3514288297071264</v>
      </c>
      <c r="CS46">
        <v>6485.9317416050371</v>
      </c>
      <c r="CT46">
        <v>4.399366222662457</v>
      </c>
      <c r="CU46">
        <v>5332.031861866898</v>
      </c>
    </row>
    <row r="47" spans="2:99" x14ac:dyDescent="0.2">
      <c r="C47" s="119" t="s">
        <v>213</v>
      </c>
      <c r="D47">
        <v>17</v>
      </c>
      <c r="E47">
        <v>25969.199999999997</v>
      </c>
      <c r="F47">
        <v>18.360939572763169</v>
      </c>
      <c r="G47">
        <v>28048.171291353014</v>
      </c>
      <c r="H47">
        <v>18.108390954979459</v>
      </c>
      <c r="I47">
        <v>27662.378022826619</v>
      </c>
      <c r="J47">
        <v>18</v>
      </c>
      <c r="K47">
        <v>27496.799999999999</v>
      </c>
      <c r="L47">
        <v>21</v>
      </c>
      <c r="M47">
        <v>32079.599999999999</v>
      </c>
      <c r="N47">
        <v>12</v>
      </c>
      <c r="O47">
        <v>18331.199999999997</v>
      </c>
      <c r="P47">
        <v>17</v>
      </c>
      <c r="Q47">
        <v>25969.199999999997</v>
      </c>
      <c r="R47">
        <v>21</v>
      </c>
      <c r="S47">
        <v>32079.599999999999</v>
      </c>
      <c r="T47">
        <v>13</v>
      </c>
      <c r="U47">
        <v>19858.8</v>
      </c>
      <c r="V47">
        <v>16</v>
      </c>
      <c r="W47">
        <v>24441.599999999999</v>
      </c>
      <c r="X47">
        <v>16</v>
      </c>
      <c r="Y47">
        <v>24441.599999999999</v>
      </c>
      <c r="Z47">
        <v>12</v>
      </c>
      <c r="AA47">
        <v>18331.199999999997</v>
      </c>
      <c r="AB47">
        <v>12</v>
      </c>
      <c r="AC47">
        <v>18331.199999999997</v>
      </c>
      <c r="AD47">
        <v>14</v>
      </c>
      <c r="AE47">
        <v>21386.399999999998</v>
      </c>
      <c r="AF47">
        <v>16</v>
      </c>
      <c r="AG47">
        <v>24441.599999999999</v>
      </c>
      <c r="AH47">
        <v>18</v>
      </c>
      <c r="AI47">
        <v>27496.799999999999</v>
      </c>
      <c r="AJ47">
        <v>14</v>
      </c>
      <c r="AK47">
        <v>21386.399999999998</v>
      </c>
      <c r="AL47">
        <v>22</v>
      </c>
      <c r="AM47">
        <v>33607.199999999997</v>
      </c>
      <c r="AN47">
        <v>7.9775015484557024</v>
      </c>
      <c r="AO47">
        <v>12186.431365420931</v>
      </c>
      <c r="AP47">
        <v>3.6084353888730734</v>
      </c>
      <c r="AQ47">
        <v>5512.2459000425069</v>
      </c>
      <c r="AR47">
        <v>4.1096758129112461</v>
      </c>
      <c r="AS47">
        <v>6277.9407718032189</v>
      </c>
      <c r="AT47">
        <v>5.7089450052224437</v>
      </c>
      <c r="AU47">
        <v>8720.9843899778043</v>
      </c>
      <c r="AV47">
        <v>5.0636269642030749</v>
      </c>
      <c r="AW47">
        <v>7735.1965505166172</v>
      </c>
      <c r="AX47">
        <v>3.126886398118113</v>
      </c>
      <c r="AY47">
        <v>4776.6316617652292</v>
      </c>
      <c r="AZ47">
        <v>3.8237482122206394</v>
      </c>
      <c r="BA47">
        <v>5841.1577689882488</v>
      </c>
      <c r="BB47">
        <v>4.2179490588413246</v>
      </c>
      <c r="BC47">
        <v>6443.3389822860072</v>
      </c>
      <c r="BD47">
        <v>3.6783082733049168</v>
      </c>
      <c r="BE47">
        <v>5618.9837183005902</v>
      </c>
      <c r="BF47">
        <v>3.8059633368149624</v>
      </c>
      <c r="BG47">
        <v>5813.9895933185362</v>
      </c>
      <c r="BH47">
        <v>6.2226776989750334</v>
      </c>
      <c r="BI47">
        <v>9505.7624529542609</v>
      </c>
      <c r="BJ47">
        <v>3.9286521412253217</v>
      </c>
      <c r="BK47">
        <v>6001.4090109358012</v>
      </c>
      <c r="BL47">
        <v>4.9804145916933464</v>
      </c>
      <c r="BM47">
        <v>7608.0813302707556</v>
      </c>
      <c r="BN47">
        <v>4.2304097650712835</v>
      </c>
      <c r="BO47">
        <v>6462.3739571228925</v>
      </c>
      <c r="BP47">
        <v>2.7864317278611246</v>
      </c>
      <c r="BQ47">
        <v>4256.553107480654</v>
      </c>
      <c r="BR47">
        <v>6.3711877794685137</v>
      </c>
      <c r="BS47">
        <v>9732.6264519161014</v>
      </c>
      <c r="BT47">
        <v>4.697087683048073</v>
      </c>
      <c r="BU47">
        <v>7175.2711446242356</v>
      </c>
      <c r="BV47">
        <v>3.0815954595590442</v>
      </c>
      <c r="BW47">
        <v>4707.4452240223955</v>
      </c>
      <c r="BX47">
        <v>3.8132664462880173</v>
      </c>
      <c r="BY47">
        <v>5825.145823349575</v>
      </c>
      <c r="BZ47">
        <v>6.7302161816193307</v>
      </c>
      <c r="CA47">
        <v>10281.07823904169</v>
      </c>
      <c r="CB47">
        <v>5.6433249476911511</v>
      </c>
      <c r="CC47">
        <v>8620.7431900930023</v>
      </c>
      <c r="CD47">
        <v>4.3662259874634932</v>
      </c>
      <c r="CE47">
        <v>6669.8468184492322</v>
      </c>
      <c r="CF47">
        <v>3.3493915385383564</v>
      </c>
      <c r="CG47">
        <v>5116.5305142711932</v>
      </c>
      <c r="CH47">
        <v>5.6628520236347191</v>
      </c>
      <c r="CI47">
        <v>8650.5727513043967</v>
      </c>
      <c r="CJ47">
        <v>4.8652107773837923</v>
      </c>
      <c r="CK47">
        <v>7432.0959835314807</v>
      </c>
      <c r="CL47">
        <v>5.216734810479525</v>
      </c>
      <c r="CM47">
        <v>7969.0840964885219</v>
      </c>
      <c r="CN47">
        <v>5.1004034418834667</v>
      </c>
      <c r="CO47">
        <v>7791.3762978211835</v>
      </c>
      <c r="CP47">
        <v>3.4047799615057568</v>
      </c>
      <c r="CQ47">
        <v>5201.1418691961935</v>
      </c>
      <c r="CR47">
        <v>5.108182064720439</v>
      </c>
      <c r="CS47">
        <v>7803.2589220669424</v>
      </c>
      <c r="CT47">
        <v>4.6309118133289013</v>
      </c>
      <c r="CU47">
        <v>7074.1808860412293</v>
      </c>
    </row>
    <row r="48" spans="2:99" x14ac:dyDescent="0.2">
      <c r="C48" s="119" t="s">
        <v>214</v>
      </c>
      <c r="D48">
        <v>18</v>
      </c>
      <c r="E48">
        <v>15616.800000000001</v>
      </c>
      <c r="F48">
        <v>19.436926851239626</v>
      </c>
      <c r="G48">
        <v>16863.477736135501</v>
      </c>
      <c r="H48">
        <v>21.097551859481516</v>
      </c>
      <c r="I48">
        <v>18304.235993286165</v>
      </c>
      <c r="J48">
        <v>19</v>
      </c>
      <c r="K48">
        <v>16484.400000000001</v>
      </c>
      <c r="L48">
        <v>20</v>
      </c>
      <c r="M48">
        <v>17352</v>
      </c>
      <c r="N48">
        <v>12</v>
      </c>
      <c r="O48">
        <v>10411.200000000001</v>
      </c>
      <c r="P48">
        <v>20</v>
      </c>
      <c r="Q48">
        <v>17352</v>
      </c>
      <c r="R48">
        <v>22</v>
      </c>
      <c r="S48">
        <v>19087.2</v>
      </c>
      <c r="T48">
        <v>14</v>
      </c>
      <c r="U48">
        <v>12146.4</v>
      </c>
      <c r="V48">
        <v>18</v>
      </c>
      <c r="W48">
        <v>15616.800000000001</v>
      </c>
      <c r="X48">
        <v>17</v>
      </c>
      <c r="Y48">
        <v>14749.2</v>
      </c>
      <c r="Z48">
        <v>13</v>
      </c>
      <c r="AA48">
        <v>11278.800000000001</v>
      </c>
      <c r="AB48">
        <v>14</v>
      </c>
      <c r="AC48">
        <v>12146.4</v>
      </c>
      <c r="AD48">
        <v>15</v>
      </c>
      <c r="AE48">
        <v>13014</v>
      </c>
      <c r="AF48">
        <v>16</v>
      </c>
      <c r="AG48">
        <v>13881.6</v>
      </c>
      <c r="AH48">
        <v>20</v>
      </c>
      <c r="AI48">
        <v>17352</v>
      </c>
      <c r="AJ48">
        <v>15</v>
      </c>
      <c r="AK48">
        <v>13014</v>
      </c>
      <c r="AL48">
        <v>21</v>
      </c>
      <c r="AM48">
        <v>18219.600000000002</v>
      </c>
      <c r="AN48">
        <v>8.7027289619516761</v>
      </c>
      <c r="AO48">
        <v>7550.4876473892746</v>
      </c>
      <c r="AP48">
        <v>3.8860073418633099</v>
      </c>
      <c r="AQ48">
        <v>3371.4999698006077</v>
      </c>
      <c r="AR48">
        <v>4.3379911358507597</v>
      </c>
      <c r="AS48">
        <v>3763.6411094641194</v>
      </c>
      <c r="AT48">
        <v>6.184690422324314</v>
      </c>
      <c r="AU48">
        <v>5365.8374104085751</v>
      </c>
      <c r="AV48">
        <v>5.5699896606233823</v>
      </c>
      <c r="AW48">
        <v>4832.5230295568463</v>
      </c>
      <c r="AX48">
        <v>3.8484755669146007</v>
      </c>
      <c r="AY48">
        <v>3338.9374018551075</v>
      </c>
      <c r="AZ48">
        <v>3.8237482122206394</v>
      </c>
      <c r="BA48">
        <v>3317.483948922627</v>
      </c>
      <c r="BB48">
        <v>5.2724363235516556</v>
      </c>
      <c r="BC48">
        <v>4574.3657543134168</v>
      </c>
      <c r="BD48">
        <v>4.2442018538133652</v>
      </c>
      <c r="BE48">
        <v>3682.2695283684757</v>
      </c>
      <c r="BF48">
        <v>4.0174057444157931</v>
      </c>
      <c r="BG48">
        <v>3485.5012238551421</v>
      </c>
      <c r="BH48">
        <v>7.4672132387700403</v>
      </c>
      <c r="BI48">
        <v>6478.554205956887</v>
      </c>
      <c r="BJ48">
        <v>4.2092701513128441</v>
      </c>
      <c r="BK48">
        <v>3651.9627832790238</v>
      </c>
      <c r="BL48">
        <v>5.7274767804473488</v>
      </c>
      <c r="BM48">
        <v>4969.15885471612</v>
      </c>
      <c r="BN48">
        <v>4.2304097650712835</v>
      </c>
      <c r="BO48">
        <v>3670.3035121758458</v>
      </c>
      <c r="BP48">
        <v>3.2508370158379787</v>
      </c>
      <c r="BQ48">
        <v>2820.4261949410302</v>
      </c>
      <c r="BR48">
        <v>7.2022122724426678</v>
      </c>
      <c r="BS48">
        <v>6248.6393675712588</v>
      </c>
      <c r="BT48">
        <v>4.9443028242611291</v>
      </c>
      <c r="BU48">
        <v>4289.6771303289561</v>
      </c>
      <c r="BV48">
        <v>3.318641264140509</v>
      </c>
      <c r="BW48">
        <v>2879.2531607683059</v>
      </c>
      <c r="BX48">
        <v>4.9348154010786107</v>
      </c>
      <c r="BY48">
        <v>4281.445841975803</v>
      </c>
      <c r="BZ48">
        <v>7.8519188785558853</v>
      </c>
      <c r="CA48">
        <v>6812.324819035086</v>
      </c>
      <c r="CB48">
        <v>5.6433249476911511</v>
      </c>
      <c r="CC48">
        <v>4896.1487246168426</v>
      </c>
      <c r="CD48">
        <v>5.6504101014233434</v>
      </c>
      <c r="CE48">
        <v>4902.2958039948926</v>
      </c>
      <c r="CF48">
        <v>3.6070370415028457</v>
      </c>
      <c r="CG48">
        <v>3129.4653372078692</v>
      </c>
      <c r="CH48">
        <v>5.1909476883318257</v>
      </c>
      <c r="CI48">
        <v>4503.6662143966923</v>
      </c>
      <c r="CJ48">
        <v>5.0968874810687357</v>
      </c>
      <c r="CK48">
        <v>4422.0595785752348</v>
      </c>
      <c r="CL48">
        <v>5.7135666971918608</v>
      </c>
      <c r="CM48">
        <v>4957.0904664836589</v>
      </c>
      <c r="CN48">
        <v>5.1004034418834667</v>
      </c>
      <c r="CO48">
        <v>4425.1100261780957</v>
      </c>
      <c r="CP48">
        <v>3.9722432884233827</v>
      </c>
      <c r="CQ48">
        <v>3446.3182770361268</v>
      </c>
      <c r="CR48">
        <v>5.3514288297071264</v>
      </c>
      <c r="CS48">
        <v>4642.8996526539031</v>
      </c>
      <c r="CT48">
        <v>4.6309118133289013</v>
      </c>
      <c r="CU48">
        <v>4017.7790892441549</v>
      </c>
    </row>
    <row r="49" spans="2:99" x14ac:dyDescent="0.2">
      <c r="B49" s="119" t="s">
        <v>129</v>
      </c>
      <c r="C49" s="119" t="s">
        <v>215</v>
      </c>
      <c r="D49">
        <v>10.168985922269323</v>
      </c>
      <c r="E49">
        <v>10018.484930619737</v>
      </c>
      <c r="F49">
        <v>14</v>
      </c>
      <c r="G49">
        <v>13792.8</v>
      </c>
      <c r="H49">
        <v>11</v>
      </c>
      <c r="I49">
        <v>10837.199999999999</v>
      </c>
      <c r="J49">
        <v>13</v>
      </c>
      <c r="K49">
        <v>12807.599999999999</v>
      </c>
      <c r="L49">
        <v>16</v>
      </c>
      <c r="M49">
        <v>15763.199999999999</v>
      </c>
      <c r="N49">
        <v>14</v>
      </c>
      <c r="O49">
        <v>13792.8</v>
      </c>
      <c r="P49">
        <v>15</v>
      </c>
      <c r="Q49">
        <v>14777.999999999998</v>
      </c>
      <c r="R49">
        <v>15</v>
      </c>
      <c r="S49">
        <v>14777.999999999998</v>
      </c>
      <c r="T49">
        <v>16</v>
      </c>
      <c r="U49">
        <v>15763.199999999999</v>
      </c>
      <c r="V49">
        <v>16</v>
      </c>
      <c r="W49">
        <v>15763.199999999999</v>
      </c>
      <c r="X49">
        <v>12</v>
      </c>
      <c r="Y49">
        <v>11822.4</v>
      </c>
      <c r="Z49">
        <v>10</v>
      </c>
      <c r="AA49">
        <v>9852</v>
      </c>
      <c r="AB49">
        <v>14</v>
      </c>
      <c r="AC49">
        <v>13792.8</v>
      </c>
      <c r="AD49">
        <v>11</v>
      </c>
      <c r="AE49">
        <v>10837.199999999999</v>
      </c>
      <c r="AF49">
        <v>10</v>
      </c>
      <c r="AG49">
        <v>9852</v>
      </c>
      <c r="AH49">
        <v>8</v>
      </c>
      <c r="AI49">
        <v>7881.5999999999995</v>
      </c>
      <c r="AJ49">
        <v>15</v>
      </c>
      <c r="AK49">
        <v>14777.999999999998</v>
      </c>
      <c r="AL49">
        <v>9</v>
      </c>
      <c r="AM49">
        <v>8866.7999999999993</v>
      </c>
      <c r="AN49">
        <v>14</v>
      </c>
      <c r="AO49">
        <v>13792.8</v>
      </c>
      <c r="AP49">
        <v>15</v>
      </c>
      <c r="AQ49">
        <v>14777.999999999998</v>
      </c>
      <c r="AR49">
        <v>11</v>
      </c>
      <c r="AS49">
        <v>10837.199999999999</v>
      </c>
      <c r="AT49">
        <v>10</v>
      </c>
      <c r="AU49">
        <v>9852</v>
      </c>
      <c r="AV49">
        <v>14</v>
      </c>
      <c r="AW49">
        <v>13792.8</v>
      </c>
      <c r="AX49">
        <v>11</v>
      </c>
      <c r="AY49">
        <v>10837.199999999999</v>
      </c>
      <c r="AZ49">
        <v>9</v>
      </c>
      <c r="BA49">
        <v>8866.7999999999993</v>
      </c>
      <c r="BB49">
        <v>9</v>
      </c>
      <c r="BC49">
        <v>8866.7999999999993</v>
      </c>
      <c r="BD49">
        <v>14</v>
      </c>
      <c r="BE49">
        <v>13792.8</v>
      </c>
      <c r="BF49">
        <v>15</v>
      </c>
      <c r="BG49">
        <v>14777.999999999998</v>
      </c>
      <c r="BH49">
        <v>13</v>
      </c>
      <c r="BI49">
        <v>12807.599999999999</v>
      </c>
      <c r="BJ49">
        <v>14</v>
      </c>
      <c r="BK49">
        <v>13792.8</v>
      </c>
      <c r="BL49">
        <v>13</v>
      </c>
      <c r="BM49">
        <v>12807.599999999999</v>
      </c>
      <c r="BN49">
        <v>17</v>
      </c>
      <c r="BO49">
        <v>16748.399999999998</v>
      </c>
      <c r="BP49">
        <v>17</v>
      </c>
      <c r="BQ49">
        <v>16748.399999999998</v>
      </c>
      <c r="BR49">
        <v>16</v>
      </c>
      <c r="BS49">
        <v>15763.199999999999</v>
      </c>
      <c r="BT49">
        <v>12</v>
      </c>
      <c r="BU49">
        <v>11822.4</v>
      </c>
      <c r="BV49">
        <v>11</v>
      </c>
      <c r="BW49">
        <v>10837.199999999999</v>
      </c>
      <c r="BX49">
        <v>15</v>
      </c>
      <c r="BY49">
        <v>14777.999999999998</v>
      </c>
      <c r="BZ49">
        <v>14</v>
      </c>
      <c r="CA49">
        <v>13792.8</v>
      </c>
      <c r="CB49">
        <v>15</v>
      </c>
      <c r="CC49">
        <v>14777.999999999998</v>
      </c>
      <c r="CD49">
        <v>12</v>
      </c>
      <c r="CE49">
        <v>11822.4</v>
      </c>
      <c r="CF49">
        <v>11</v>
      </c>
      <c r="CG49">
        <v>10837.199999999999</v>
      </c>
      <c r="CH49">
        <v>16</v>
      </c>
      <c r="CI49">
        <v>15763.199999999999</v>
      </c>
      <c r="CJ49">
        <v>9</v>
      </c>
      <c r="CK49">
        <v>8866.7999999999993</v>
      </c>
      <c r="CL49">
        <v>13</v>
      </c>
      <c r="CM49">
        <v>12807.599999999999</v>
      </c>
      <c r="CN49">
        <v>13</v>
      </c>
      <c r="CO49">
        <v>12807.599999999999</v>
      </c>
      <c r="CP49">
        <v>10</v>
      </c>
      <c r="CQ49">
        <v>9852</v>
      </c>
      <c r="CR49">
        <v>10</v>
      </c>
      <c r="CS49">
        <v>9852</v>
      </c>
      <c r="CT49">
        <v>17</v>
      </c>
      <c r="CU49">
        <v>16748.399999999998</v>
      </c>
    </row>
    <row r="50" spans="2:99" x14ac:dyDescent="0.2">
      <c r="C50" s="119" t="s">
        <v>216</v>
      </c>
      <c r="D50">
        <v>17</v>
      </c>
      <c r="E50">
        <v>4794</v>
      </c>
      <c r="F50">
        <v>14.265955474667599</v>
      </c>
      <c r="G50">
        <v>4022.999443856263</v>
      </c>
      <c r="H50">
        <v>12.086712763983568</v>
      </c>
      <c r="I50">
        <v>3408.4529994433665</v>
      </c>
      <c r="J50">
        <v>15</v>
      </c>
      <c r="K50">
        <v>4230</v>
      </c>
      <c r="L50">
        <v>16</v>
      </c>
      <c r="M50">
        <v>4512</v>
      </c>
      <c r="N50">
        <v>17</v>
      </c>
      <c r="O50">
        <v>4794</v>
      </c>
      <c r="P50">
        <v>14</v>
      </c>
      <c r="Q50">
        <v>3948</v>
      </c>
      <c r="R50">
        <v>19</v>
      </c>
      <c r="S50">
        <v>5358</v>
      </c>
      <c r="T50">
        <v>15</v>
      </c>
      <c r="U50">
        <v>4230</v>
      </c>
      <c r="V50">
        <v>19</v>
      </c>
      <c r="W50">
        <v>5358</v>
      </c>
      <c r="X50">
        <v>15</v>
      </c>
      <c r="Y50">
        <v>4230</v>
      </c>
      <c r="Z50">
        <v>10</v>
      </c>
      <c r="AA50">
        <v>2820</v>
      </c>
      <c r="AB50">
        <v>15</v>
      </c>
      <c r="AC50">
        <v>4230</v>
      </c>
      <c r="AD50">
        <v>13</v>
      </c>
      <c r="AE50">
        <v>3666</v>
      </c>
      <c r="AF50">
        <v>10</v>
      </c>
      <c r="AG50">
        <v>2820</v>
      </c>
      <c r="AH50">
        <v>10</v>
      </c>
      <c r="AI50">
        <v>2820</v>
      </c>
      <c r="AJ50">
        <v>17</v>
      </c>
      <c r="AK50">
        <v>4794</v>
      </c>
      <c r="AL50">
        <v>10</v>
      </c>
      <c r="AM50">
        <v>2820</v>
      </c>
      <c r="AN50">
        <v>6.1644330147157698</v>
      </c>
      <c r="AO50">
        <v>1738.3701101498471</v>
      </c>
      <c r="AP50">
        <v>4.1635792948535464</v>
      </c>
      <c r="AQ50">
        <v>1174.1293611487001</v>
      </c>
      <c r="AR50">
        <v>2.7397838752741639</v>
      </c>
      <c r="AS50">
        <v>772.61905282731425</v>
      </c>
      <c r="AT50">
        <v>2.3787270855093516</v>
      </c>
      <c r="AU50">
        <v>670.80103811363711</v>
      </c>
      <c r="AV50">
        <v>3.291357526731999</v>
      </c>
      <c r="AW50">
        <v>928.16282253842371</v>
      </c>
      <c r="AX50">
        <v>2.8863566751859504</v>
      </c>
      <c r="AY50">
        <v>813.952582402438</v>
      </c>
      <c r="AZ50">
        <v>2.8040820222951361</v>
      </c>
      <c r="BA50">
        <v>790.75113028722842</v>
      </c>
      <c r="BB50">
        <v>2.6362181617758278</v>
      </c>
      <c r="BC50">
        <v>743.4135216207834</v>
      </c>
      <c r="BD50">
        <v>4.2442018538133652</v>
      </c>
      <c r="BE50">
        <v>1196.864922775369</v>
      </c>
      <c r="BF50">
        <v>3.5945209292141316</v>
      </c>
      <c r="BG50">
        <v>1013.6549020383851</v>
      </c>
      <c r="BH50">
        <v>4.3558743892825236</v>
      </c>
      <c r="BI50">
        <v>1228.3565777776716</v>
      </c>
      <c r="BJ50">
        <v>4.7705061714878907</v>
      </c>
      <c r="BK50">
        <v>1345.2827403595852</v>
      </c>
      <c r="BL50">
        <v>3.7353109437700107</v>
      </c>
      <c r="BM50">
        <v>1053.3576861431429</v>
      </c>
      <c r="BN50">
        <v>3.2231693448162164</v>
      </c>
      <c r="BO50">
        <v>908.93375523817303</v>
      </c>
      <c r="BP50">
        <v>4.4118502357801139</v>
      </c>
      <c r="BQ50">
        <v>1244.1417664899921</v>
      </c>
      <c r="BR50">
        <v>4.7091387935202054</v>
      </c>
      <c r="BS50">
        <v>1327.9771397726979</v>
      </c>
      <c r="BT50">
        <v>2.9665816945566776</v>
      </c>
      <c r="BU50">
        <v>836.57603786498305</v>
      </c>
      <c r="BV50">
        <v>2.8445496549775791</v>
      </c>
      <c r="BW50">
        <v>802.16300270367731</v>
      </c>
      <c r="BX50">
        <v>3.1403370734136611</v>
      </c>
      <c r="BY50">
        <v>885.57505470265244</v>
      </c>
      <c r="BZ50">
        <v>5.0476621362144973</v>
      </c>
      <c r="CA50">
        <v>1423.4407224124882</v>
      </c>
      <c r="CB50">
        <v>4.5146599581529205</v>
      </c>
      <c r="CC50">
        <v>1273.1341081991236</v>
      </c>
      <c r="CD50">
        <v>3.3388786962956121</v>
      </c>
      <c r="CE50">
        <v>941.56379235536258</v>
      </c>
      <c r="CF50">
        <v>3.3493915385383564</v>
      </c>
      <c r="CG50">
        <v>944.52841386781654</v>
      </c>
      <c r="CH50">
        <v>4.0111868500745924</v>
      </c>
      <c r="CI50">
        <v>1131.1546917210351</v>
      </c>
      <c r="CJ50">
        <v>2.0850903331644828</v>
      </c>
      <c r="CK50">
        <v>587.99547395238415</v>
      </c>
      <c r="CL50">
        <v>3.4778232069863497</v>
      </c>
      <c r="CM50">
        <v>980.74614437015066</v>
      </c>
      <c r="CN50">
        <v>2.6610800566348516</v>
      </c>
      <c r="CO50">
        <v>750.42457597102816</v>
      </c>
      <c r="CP50">
        <v>3.1210482980469441</v>
      </c>
      <c r="CQ50">
        <v>880.13562004923824</v>
      </c>
      <c r="CR50">
        <v>2.4324676498668758</v>
      </c>
      <c r="CS50">
        <v>685.95587726245901</v>
      </c>
      <c r="CT50">
        <v>4.1678206319960118</v>
      </c>
      <c r="CU50">
        <v>1175.3254182228754</v>
      </c>
    </row>
    <row r="51" spans="2:99" x14ac:dyDescent="0.2">
      <c r="C51" s="119" t="s">
        <v>217</v>
      </c>
      <c r="D51">
        <v>15</v>
      </c>
      <c r="E51">
        <v>12816</v>
      </c>
      <c r="F51">
        <v>13.265955474667599</v>
      </c>
      <c r="G51">
        <v>11334.432357555997</v>
      </c>
      <c r="H51">
        <v>11.086712763983568</v>
      </c>
      <c r="I51">
        <v>9472.4873855475598</v>
      </c>
      <c r="J51">
        <v>13</v>
      </c>
      <c r="K51">
        <v>11107.199999999999</v>
      </c>
      <c r="L51">
        <v>15</v>
      </c>
      <c r="M51">
        <v>12816</v>
      </c>
      <c r="N51">
        <v>15</v>
      </c>
      <c r="O51">
        <v>12816</v>
      </c>
      <c r="P51">
        <v>15</v>
      </c>
      <c r="Q51">
        <v>12816</v>
      </c>
      <c r="R51">
        <v>15</v>
      </c>
      <c r="S51">
        <v>12816</v>
      </c>
      <c r="T51">
        <v>16</v>
      </c>
      <c r="U51">
        <v>13670.4</v>
      </c>
      <c r="V51">
        <v>16</v>
      </c>
      <c r="W51">
        <v>13670.4</v>
      </c>
      <c r="X51">
        <v>12</v>
      </c>
      <c r="Y51">
        <v>10252.799999999999</v>
      </c>
      <c r="Z51">
        <v>10</v>
      </c>
      <c r="AA51">
        <v>8544</v>
      </c>
      <c r="AB51">
        <v>14</v>
      </c>
      <c r="AC51">
        <v>11961.6</v>
      </c>
      <c r="AD51">
        <v>13</v>
      </c>
      <c r="AE51">
        <v>11107.199999999999</v>
      </c>
      <c r="AF51">
        <v>9</v>
      </c>
      <c r="AG51">
        <v>7689.5999999999995</v>
      </c>
      <c r="AH51">
        <v>10</v>
      </c>
      <c r="AI51">
        <v>8544</v>
      </c>
      <c r="AJ51">
        <v>17</v>
      </c>
      <c r="AK51">
        <v>14524.8</v>
      </c>
      <c r="AL51">
        <v>11</v>
      </c>
      <c r="AM51">
        <v>9398.4</v>
      </c>
      <c r="AN51">
        <v>5.0765918944718109</v>
      </c>
      <c r="AO51">
        <v>4337.4401146367154</v>
      </c>
      <c r="AP51">
        <v>4.1635792948535464</v>
      </c>
      <c r="AQ51">
        <v>3557.3621495228699</v>
      </c>
      <c r="AR51">
        <v>2.7397838752741639</v>
      </c>
      <c r="AS51">
        <v>2340.8713430342455</v>
      </c>
      <c r="AT51">
        <v>2.3787270855093516</v>
      </c>
      <c r="AU51">
        <v>2032.3844218591901</v>
      </c>
      <c r="AV51">
        <v>3.797720223152306</v>
      </c>
      <c r="AW51">
        <v>3244.7721586613302</v>
      </c>
      <c r="AX51">
        <v>2.8863566751859504</v>
      </c>
      <c r="AY51">
        <v>2466.1031432788759</v>
      </c>
      <c r="AZ51">
        <v>2.8040820222951361</v>
      </c>
      <c r="BA51">
        <v>2395.8076798489642</v>
      </c>
      <c r="BB51">
        <v>2.3725963455982448</v>
      </c>
      <c r="BC51">
        <v>2027.1463176791403</v>
      </c>
      <c r="BD51">
        <v>4.5271486440675908</v>
      </c>
      <c r="BE51">
        <v>3867.9958014913495</v>
      </c>
      <c r="BF51">
        <v>3.1716361140124687</v>
      </c>
      <c r="BG51">
        <v>2709.8458958122533</v>
      </c>
      <c r="BH51">
        <v>3.7336066193850201</v>
      </c>
      <c r="BI51">
        <v>3189.9934956025613</v>
      </c>
      <c r="BJ51">
        <v>3.9286521412253217</v>
      </c>
      <c r="BK51">
        <v>3356.6403894629148</v>
      </c>
      <c r="BL51">
        <v>3.4862902141853427</v>
      </c>
      <c r="BM51">
        <v>2978.6863589999566</v>
      </c>
      <c r="BN51">
        <v>3.4246174288672298</v>
      </c>
      <c r="BO51">
        <v>2925.9931312241611</v>
      </c>
      <c r="BP51">
        <v>4.1796475917916869</v>
      </c>
      <c r="BQ51">
        <v>3571.0909024268171</v>
      </c>
      <c r="BR51">
        <v>4.1551224648707699</v>
      </c>
      <c r="BS51">
        <v>3550.1366339855858</v>
      </c>
      <c r="BT51">
        <v>3.2137968357697346</v>
      </c>
      <c r="BU51">
        <v>2745.868016481661</v>
      </c>
      <c r="BV51">
        <v>2.6075038503961139</v>
      </c>
      <c r="BW51">
        <v>2227.8512897784394</v>
      </c>
      <c r="BX51">
        <v>3.1403370734136611</v>
      </c>
      <c r="BY51">
        <v>2683.103995524632</v>
      </c>
      <c r="BZ51">
        <v>4.4868107877462204</v>
      </c>
      <c r="CA51">
        <v>3833.5311370503705</v>
      </c>
      <c r="CB51">
        <v>3.9503274633838061</v>
      </c>
      <c r="CC51">
        <v>3375.1597847151238</v>
      </c>
      <c r="CD51">
        <v>3.0820418735036417</v>
      </c>
      <c r="CE51">
        <v>2633.2965767215114</v>
      </c>
      <c r="CF51">
        <v>3.0917460355738675</v>
      </c>
      <c r="CG51">
        <v>2641.5878127943124</v>
      </c>
      <c r="CH51">
        <v>3.3033303471202524</v>
      </c>
      <c r="CI51">
        <v>2822.3654485795437</v>
      </c>
      <c r="CJ51">
        <v>2.0850903331644828</v>
      </c>
      <c r="CK51">
        <v>1781.5011806557341</v>
      </c>
      <c r="CL51">
        <v>2.7325753769178465</v>
      </c>
      <c r="CM51">
        <v>2334.7124020386082</v>
      </c>
      <c r="CN51">
        <v>2.4393233852486143</v>
      </c>
      <c r="CO51">
        <v>2084.1579003564161</v>
      </c>
      <c r="CP51">
        <v>2.8373166345881309</v>
      </c>
      <c r="CQ51">
        <v>2424.2033325920988</v>
      </c>
      <c r="CR51">
        <v>2.4324676498668758</v>
      </c>
      <c r="CS51">
        <v>2078.3003600462584</v>
      </c>
      <c r="CT51">
        <v>3.9362750413295666</v>
      </c>
      <c r="CU51">
        <v>3363.1533953119815</v>
      </c>
    </row>
    <row r="52" spans="2:99" x14ac:dyDescent="0.2">
      <c r="C52" s="119" t="s">
        <v>218</v>
      </c>
      <c r="D52">
        <v>15</v>
      </c>
      <c r="E52">
        <v>8100</v>
      </c>
      <c r="F52">
        <v>15.246958655048484</v>
      </c>
      <c r="G52">
        <v>8233.357673726181</v>
      </c>
      <c r="H52">
        <v>12.097551859481515</v>
      </c>
      <c r="I52">
        <v>6532.6780041200182</v>
      </c>
      <c r="J52">
        <v>14</v>
      </c>
      <c r="K52">
        <v>7560</v>
      </c>
      <c r="L52">
        <v>18</v>
      </c>
      <c r="M52">
        <v>9720</v>
      </c>
      <c r="N52">
        <v>17</v>
      </c>
      <c r="O52">
        <v>9180</v>
      </c>
      <c r="P52">
        <v>14</v>
      </c>
      <c r="Q52">
        <v>7560</v>
      </c>
      <c r="R52">
        <v>18</v>
      </c>
      <c r="S52">
        <v>9720</v>
      </c>
      <c r="T52">
        <v>15</v>
      </c>
      <c r="U52">
        <v>8100</v>
      </c>
      <c r="V52">
        <v>20</v>
      </c>
      <c r="W52">
        <v>10800</v>
      </c>
      <c r="X52">
        <v>13</v>
      </c>
      <c r="Y52">
        <v>7020</v>
      </c>
      <c r="Z52">
        <v>11</v>
      </c>
      <c r="AA52">
        <v>5940</v>
      </c>
      <c r="AB52">
        <v>15</v>
      </c>
      <c r="AC52">
        <v>8100</v>
      </c>
      <c r="AD52">
        <v>14</v>
      </c>
      <c r="AE52">
        <v>7560</v>
      </c>
      <c r="AF52">
        <v>10</v>
      </c>
      <c r="AG52">
        <v>5400</v>
      </c>
      <c r="AH52">
        <v>9</v>
      </c>
      <c r="AI52">
        <v>4860</v>
      </c>
      <c r="AJ52">
        <v>16</v>
      </c>
      <c r="AK52">
        <v>8640</v>
      </c>
      <c r="AL52">
        <v>10</v>
      </c>
      <c r="AM52">
        <v>5400</v>
      </c>
      <c r="AN52">
        <v>5.4392056012197969</v>
      </c>
      <c r="AO52">
        <v>2937.1710246586904</v>
      </c>
      <c r="AP52">
        <v>4.1635792948535464</v>
      </c>
      <c r="AQ52">
        <v>2248.3328192209151</v>
      </c>
      <c r="AR52">
        <v>2.7397838752741639</v>
      </c>
      <c r="AS52">
        <v>1479.4832926480485</v>
      </c>
      <c r="AT52">
        <v>2.3787270855093516</v>
      </c>
      <c r="AU52">
        <v>1284.5126261750499</v>
      </c>
      <c r="AV52">
        <v>3.5445388749421527</v>
      </c>
      <c r="AW52">
        <v>1914.0509924687624</v>
      </c>
      <c r="AX52">
        <v>3.126886398118113</v>
      </c>
      <c r="AY52">
        <v>1688.5186549837811</v>
      </c>
      <c r="AZ52">
        <v>2.8040820222951361</v>
      </c>
      <c r="BA52">
        <v>1514.2042920393735</v>
      </c>
      <c r="BB52">
        <v>2.3725963455982448</v>
      </c>
      <c r="BC52">
        <v>1281.2020266230522</v>
      </c>
      <c r="BD52">
        <v>4.5271486440675908</v>
      </c>
      <c r="BE52">
        <v>2444.6602677964988</v>
      </c>
      <c r="BF52">
        <v>3.3830785216132995</v>
      </c>
      <c r="BG52">
        <v>1826.8624016711817</v>
      </c>
      <c r="BH52">
        <v>4.6670082742312751</v>
      </c>
      <c r="BI52">
        <v>2520.1844680848885</v>
      </c>
      <c r="BJ52">
        <v>4.2092701513128441</v>
      </c>
      <c r="BK52">
        <v>2273.0058817089357</v>
      </c>
      <c r="BL52">
        <v>3.7353109437700107</v>
      </c>
      <c r="BM52">
        <v>2017.0679096358058</v>
      </c>
      <c r="BN52">
        <v>3.4246174288672298</v>
      </c>
      <c r="BO52">
        <v>1849.293411588304</v>
      </c>
      <c r="BP52">
        <v>4.1796475917916869</v>
      </c>
      <c r="BQ52">
        <v>2257.0096995675108</v>
      </c>
      <c r="BR52">
        <v>4.4321306291954876</v>
      </c>
      <c r="BS52">
        <v>2393.3505397655631</v>
      </c>
      <c r="BT52">
        <v>3.4610119769827907</v>
      </c>
      <c r="BU52">
        <v>1868.946467570707</v>
      </c>
      <c r="BV52">
        <v>2.6075038503961139</v>
      </c>
      <c r="BW52">
        <v>1408.0520792139014</v>
      </c>
      <c r="BX52">
        <v>3.1403370734136611</v>
      </c>
      <c r="BY52">
        <v>1695.782019643377</v>
      </c>
      <c r="BZ52">
        <v>5.0476621362144973</v>
      </c>
      <c r="CA52">
        <v>2725.7375535558285</v>
      </c>
      <c r="CB52">
        <v>4.5146599581529205</v>
      </c>
      <c r="CC52">
        <v>2437.9163774025769</v>
      </c>
      <c r="CD52">
        <v>3.0820418735036417</v>
      </c>
      <c r="CE52">
        <v>1664.3026116919666</v>
      </c>
      <c r="CF52">
        <v>3.6070370415028457</v>
      </c>
      <c r="CG52">
        <v>1947.8000024115368</v>
      </c>
      <c r="CH52">
        <v>3.5392825147717</v>
      </c>
      <c r="CI52">
        <v>1911.212557976718</v>
      </c>
      <c r="CJ52">
        <v>2.3167670368494249</v>
      </c>
      <c r="CK52">
        <v>1251.0541998986894</v>
      </c>
      <c r="CL52">
        <v>2.9809913202740144</v>
      </c>
      <c r="CM52">
        <v>1609.7353129479677</v>
      </c>
      <c r="CN52">
        <v>2.6610800566348516</v>
      </c>
      <c r="CO52">
        <v>1436.9832305828199</v>
      </c>
      <c r="CP52">
        <v>2.8373166345881309</v>
      </c>
      <c r="CQ52">
        <v>1532.1509826775907</v>
      </c>
      <c r="CR52">
        <v>2.6757144148535632</v>
      </c>
      <c r="CS52">
        <v>1444.8857840209241</v>
      </c>
      <c r="CT52">
        <v>3.7047294506631214</v>
      </c>
      <c r="CU52">
        <v>2000.5539033580856</v>
      </c>
    </row>
    <row r="53" spans="2:99" x14ac:dyDescent="0.2">
      <c r="C53" s="119" t="s">
        <v>219</v>
      </c>
      <c r="D53">
        <v>16</v>
      </c>
      <c r="E53">
        <v>6508.8</v>
      </c>
      <c r="F53">
        <v>13.284952294286713</v>
      </c>
      <c r="G53">
        <v>5404.3185933158347</v>
      </c>
      <c r="H53">
        <v>11.086712763983568</v>
      </c>
      <c r="I53">
        <v>4510.0747523885157</v>
      </c>
      <c r="J53">
        <v>14</v>
      </c>
      <c r="K53">
        <v>5695.2</v>
      </c>
      <c r="L53">
        <v>16</v>
      </c>
      <c r="M53">
        <v>6508.8</v>
      </c>
      <c r="N53">
        <v>18</v>
      </c>
      <c r="O53">
        <v>7322.4000000000005</v>
      </c>
      <c r="P53">
        <v>14</v>
      </c>
      <c r="Q53">
        <v>5695.2</v>
      </c>
      <c r="R53">
        <v>18</v>
      </c>
      <c r="S53">
        <v>7322.4000000000005</v>
      </c>
      <c r="T53">
        <v>15</v>
      </c>
      <c r="U53">
        <v>6102</v>
      </c>
      <c r="V53">
        <v>16</v>
      </c>
      <c r="W53">
        <v>6508.8</v>
      </c>
      <c r="X53">
        <v>15</v>
      </c>
      <c r="Y53">
        <v>6102</v>
      </c>
      <c r="Z53">
        <v>11</v>
      </c>
      <c r="AA53">
        <v>4474.8</v>
      </c>
      <c r="AB53">
        <v>15</v>
      </c>
      <c r="AC53">
        <v>6102</v>
      </c>
      <c r="AD53">
        <v>14</v>
      </c>
      <c r="AE53">
        <v>5695.2</v>
      </c>
      <c r="AF53">
        <v>11</v>
      </c>
      <c r="AG53">
        <v>4474.8</v>
      </c>
      <c r="AH53">
        <v>9</v>
      </c>
      <c r="AI53">
        <v>3661.2000000000003</v>
      </c>
      <c r="AJ53">
        <v>16</v>
      </c>
      <c r="AK53">
        <v>6508.8</v>
      </c>
      <c r="AL53">
        <v>10</v>
      </c>
      <c r="AM53">
        <v>4068</v>
      </c>
      <c r="AN53">
        <v>5.8018193079677838</v>
      </c>
      <c r="AO53">
        <v>2360.1800944812944</v>
      </c>
      <c r="AP53">
        <v>4.4411512478437825</v>
      </c>
      <c r="AQ53">
        <v>1806.6603276228507</v>
      </c>
      <c r="AR53">
        <v>2.7397838752741639</v>
      </c>
      <c r="AS53">
        <v>1114.5440804615298</v>
      </c>
      <c r="AT53">
        <v>2.3787270855093516</v>
      </c>
      <c r="AU53">
        <v>967.66617838520426</v>
      </c>
      <c r="AV53">
        <v>3.797720223152306</v>
      </c>
      <c r="AW53">
        <v>1544.9125867783582</v>
      </c>
      <c r="AX53">
        <v>2.8863566751859504</v>
      </c>
      <c r="AY53">
        <v>1174.1698954656447</v>
      </c>
      <c r="AZ53">
        <v>2.5491654748137598</v>
      </c>
      <c r="BA53">
        <v>1037.0005151542375</v>
      </c>
      <c r="BB53">
        <v>2.6362181617758278</v>
      </c>
      <c r="BC53">
        <v>1072.4135482104068</v>
      </c>
      <c r="BD53">
        <v>4.5271486440675908</v>
      </c>
      <c r="BE53">
        <v>1841.6440684066961</v>
      </c>
      <c r="BF53">
        <v>3.1716361140124687</v>
      </c>
      <c r="BG53">
        <v>1290.2215711802723</v>
      </c>
      <c r="BH53">
        <v>4.6670082742312751</v>
      </c>
      <c r="BI53">
        <v>1898.5389659572827</v>
      </c>
      <c r="BJ53">
        <v>4.4898881614003665</v>
      </c>
      <c r="BK53">
        <v>1826.4865040576692</v>
      </c>
      <c r="BL53">
        <v>3.7353109437700107</v>
      </c>
      <c r="BM53">
        <v>1519.5244919256404</v>
      </c>
      <c r="BN53">
        <v>3.8275135969692569</v>
      </c>
      <c r="BO53">
        <v>1557.0325312470936</v>
      </c>
      <c r="BP53">
        <v>4.1796475917916869</v>
      </c>
      <c r="BQ53">
        <v>1700.2806403408583</v>
      </c>
      <c r="BR53">
        <v>4.4321306291954876</v>
      </c>
      <c r="BS53">
        <v>1802.9907399567244</v>
      </c>
      <c r="BT53">
        <v>3.2137968357697346</v>
      </c>
      <c r="BU53">
        <v>1307.3725527911281</v>
      </c>
      <c r="BV53">
        <v>2.8445496549775791</v>
      </c>
      <c r="BW53">
        <v>1157.1627996448792</v>
      </c>
      <c r="BX53">
        <v>3.36464686437178</v>
      </c>
      <c r="BY53">
        <v>1368.7383444264401</v>
      </c>
      <c r="BZ53">
        <v>4.7672364619803593</v>
      </c>
      <c r="CA53">
        <v>1939.3117927336102</v>
      </c>
      <c r="CB53">
        <v>4.2324937107683631</v>
      </c>
      <c r="CC53">
        <v>1721.7784415405702</v>
      </c>
      <c r="CD53">
        <v>3.0820418735036417</v>
      </c>
      <c r="CE53">
        <v>1253.7746341412815</v>
      </c>
      <c r="CF53">
        <v>3.0917460355738675</v>
      </c>
      <c r="CG53">
        <v>1257.7222872714494</v>
      </c>
      <c r="CH53">
        <v>4.0111868500745924</v>
      </c>
      <c r="CI53">
        <v>1631.7508106103442</v>
      </c>
      <c r="CJ53">
        <v>2.0850903331644828</v>
      </c>
      <c r="CK53">
        <v>848.21474753131167</v>
      </c>
      <c r="CL53">
        <v>3.2294072636301823</v>
      </c>
      <c r="CM53">
        <v>1313.7228748447583</v>
      </c>
      <c r="CN53">
        <v>2.8828367280210894</v>
      </c>
      <c r="CO53">
        <v>1172.7379809589793</v>
      </c>
      <c r="CP53">
        <v>3.1210482980469441</v>
      </c>
      <c r="CQ53">
        <v>1269.642447645497</v>
      </c>
      <c r="CR53">
        <v>2.6757144148535632</v>
      </c>
      <c r="CS53">
        <v>1088.4806239624295</v>
      </c>
      <c r="CT53">
        <v>3.7047294506631214</v>
      </c>
      <c r="CU53">
        <v>1507.0839405297579</v>
      </c>
    </row>
    <row r="54" spans="2:99" x14ac:dyDescent="0.2">
      <c r="C54" s="119" t="s">
        <v>220</v>
      </c>
      <c r="D54">
        <v>17</v>
      </c>
      <c r="E54">
        <v>5691.6</v>
      </c>
      <c r="F54">
        <v>15.265955474667599</v>
      </c>
      <c r="G54">
        <v>5111.0418929187126</v>
      </c>
      <c r="H54">
        <v>12.102971407230488</v>
      </c>
      <c r="I54">
        <v>4052.0748271407674</v>
      </c>
      <c r="J54">
        <v>13</v>
      </c>
      <c r="K54">
        <v>4352.4000000000005</v>
      </c>
      <c r="L54">
        <v>18</v>
      </c>
      <c r="M54">
        <v>6026.4000000000005</v>
      </c>
      <c r="N54">
        <v>17</v>
      </c>
      <c r="O54">
        <v>5691.6</v>
      </c>
      <c r="P54">
        <v>14</v>
      </c>
      <c r="Q54">
        <v>4687.2</v>
      </c>
      <c r="R54">
        <v>16</v>
      </c>
      <c r="S54">
        <v>5356.8</v>
      </c>
      <c r="T54">
        <v>15</v>
      </c>
      <c r="U54">
        <v>5022</v>
      </c>
      <c r="V54">
        <v>20</v>
      </c>
      <c r="W54">
        <v>6696</v>
      </c>
      <c r="X54">
        <v>15</v>
      </c>
      <c r="Y54">
        <v>5022</v>
      </c>
      <c r="Z54">
        <v>10</v>
      </c>
      <c r="AA54">
        <v>3348</v>
      </c>
      <c r="AB54">
        <v>14</v>
      </c>
      <c r="AC54">
        <v>4687.2</v>
      </c>
      <c r="AD54">
        <v>13</v>
      </c>
      <c r="AE54">
        <v>4352.4000000000005</v>
      </c>
      <c r="AF54">
        <v>12</v>
      </c>
      <c r="AG54">
        <v>4017.6000000000004</v>
      </c>
      <c r="AH54">
        <v>9</v>
      </c>
      <c r="AI54">
        <v>3013.2000000000003</v>
      </c>
      <c r="AJ54">
        <v>18</v>
      </c>
      <c r="AK54">
        <v>6026.4000000000005</v>
      </c>
      <c r="AL54">
        <v>10</v>
      </c>
      <c r="AM54">
        <v>3348</v>
      </c>
      <c r="AN54">
        <v>6.1644330147157698</v>
      </c>
      <c r="AO54">
        <v>2063.8521733268399</v>
      </c>
      <c r="AP54">
        <v>4.1635792948535464</v>
      </c>
      <c r="AQ54">
        <v>1393.9663479169674</v>
      </c>
      <c r="AR54">
        <v>2.7397838752741639</v>
      </c>
      <c r="AS54">
        <v>917.27964144179009</v>
      </c>
      <c r="AT54">
        <v>2.3787270855093516</v>
      </c>
      <c r="AU54">
        <v>796.3978282285309</v>
      </c>
      <c r="AV54">
        <v>3.291357526731999</v>
      </c>
      <c r="AW54">
        <v>1101.9464999498732</v>
      </c>
      <c r="AX54">
        <v>3.126886398118113</v>
      </c>
      <c r="AY54">
        <v>1046.8815660899443</v>
      </c>
      <c r="AZ54">
        <v>2.5491654748137598</v>
      </c>
      <c r="BA54">
        <v>853.46060096764677</v>
      </c>
      <c r="BB54">
        <v>2.6362181617758278</v>
      </c>
      <c r="BC54">
        <v>882.6058405625472</v>
      </c>
      <c r="BD54">
        <v>4.2442018538133652</v>
      </c>
      <c r="BE54">
        <v>1420.9587806567147</v>
      </c>
      <c r="BF54">
        <v>3.1716361140124687</v>
      </c>
      <c r="BG54">
        <v>1061.8637709713746</v>
      </c>
      <c r="BH54">
        <v>4.0447405043337712</v>
      </c>
      <c r="BI54">
        <v>1354.1791208509467</v>
      </c>
      <c r="BJ54">
        <v>4.2092701513128441</v>
      </c>
      <c r="BK54">
        <v>1409.2636466595402</v>
      </c>
      <c r="BL54">
        <v>3.7353109437700107</v>
      </c>
      <c r="BM54">
        <v>1250.5821039741995</v>
      </c>
      <c r="BN54">
        <v>3.4246174288672298</v>
      </c>
      <c r="BO54">
        <v>1146.5619151847486</v>
      </c>
      <c r="BP54">
        <v>4.1796475917916869</v>
      </c>
      <c r="BQ54">
        <v>1399.3460137318568</v>
      </c>
      <c r="BR54">
        <v>4.7091387935202054</v>
      </c>
      <c r="BS54">
        <v>1576.6196680705648</v>
      </c>
      <c r="BT54">
        <v>3.7082271181958473</v>
      </c>
      <c r="BU54">
        <v>1241.5144391719698</v>
      </c>
      <c r="BV54">
        <v>3.0815954595590442</v>
      </c>
      <c r="BW54">
        <v>1031.7181598603681</v>
      </c>
      <c r="BX54">
        <v>3.5889566553298988</v>
      </c>
      <c r="BY54">
        <v>1201.5826882044503</v>
      </c>
      <c r="BZ54">
        <v>5.0476621362144973</v>
      </c>
      <c r="CA54">
        <v>1689.9572832046138</v>
      </c>
      <c r="CB54">
        <v>4.2324937107683631</v>
      </c>
      <c r="CC54">
        <v>1417.0388943652481</v>
      </c>
      <c r="CD54">
        <v>3.3388786962956121</v>
      </c>
      <c r="CE54">
        <v>1117.856587519771</v>
      </c>
      <c r="CF54">
        <v>3.3493915385383564</v>
      </c>
      <c r="CG54">
        <v>1121.3762871026418</v>
      </c>
      <c r="CH54">
        <v>3.5392825147717</v>
      </c>
      <c r="CI54">
        <v>1184.9517859455652</v>
      </c>
      <c r="CJ54">
        <v>2.3167670368494249</v>
      </c>
      <c r="CK54">
        <v>775.65360393718743</v>
      </c>
      <c r="CL54">
        <v>3.2294072636301823</v>
      </c>
      <c r="CM54">
        <v>1081.2055518633852</v>
      </c>
      <c r="CN54">
        <v>2.6610800566348516</v>
      </c>
      <c r="CO54">
        <v>890.92960296134834</v>
      </c>
      <c r="CP54">
        <v>2.8373166345881309</v>
      </c>
      <c r="CQ54">
        <v>949.93360926010621</v>
      </c>
      <c r="CR54">
        <v>2.6757144148535632</v>
      </c>
      <c r="CS54">
        <v>895.82918609297303</v>
      </c>
      <c r="CT54">
        <v>3.9362750413295666</v>
      </c>
      <c r="CU54">
        <v>1317.8648838371389</v>
      </c>
    </row>
    <row r="55" spans="2:99" x14ac:dyDescent="0.2">
      <c r="C55" s="119" t="s">
        <v>221</v>
      </c>
      <c r="D55">
        <v>16</v>
      </c>
      <c r="E55">
        <v>10617.6</v>
      </c>
      <c r="F55">
        <v>15.284952294286713</v>
      </c>
      <c r="G55">
        <v>10143.094342488663</v>
      </c>
      <c r="H55">
        <v>12.086712763983568</v>
      </c>
      <c r="I55">
        <v>8020.7425901794959</v>
      </c>
      <c r="J55">
        <v>13</v>
      </c>
      <c r="K55">
        <v>8626.8000000000011</v>
      </c>
      <c r="L55">
        <v>15</v>
      </c>
      <c r="M55">
        <v>9954</v>
      </c>
      <c r="N55">
        <v>17</v>
      </c>
      <c r="O55">
        <v>11281.2</v>
      </c>
      <c r="P55">
        <v>15</v>
      </c>
      <c r="Q55">
        <v>9954</v>
      </c>
      <c r="R55">
        <v>16</v>
      </c>
      <c r="S55">
        <v>10617.6</v>
      </c>
      <c r="T55">
        <v>15</v>
      </c>
      <c r="U55">
        <v>9954</v>
      </c>
      <c r="V55">
        <v>16</v>
      </c>
      <c r="W55">
        <v>10617.6</v>
      </c>
      <c r="X55">
        <v>15</v>
      </c>
      <c r="Y55">
        <v>9954</v>
      </c>
      <c r="Z55">
        <v>9</v>
      </c>
      <c r="AA55">
        <v>5972.4000000000005</v>
      </c>
      <c r="AB55">
        <v>15</v>
      </c>
      <c r="AC55">
        <v>9954</v>
      </c>
      <c r="AD55">
        <v>12</v>
      </c>
      <c r="AE55">
        <v>7963.2000000000007</v>
      </c>
      <c r="AF55">
        <v>11</v>
      </c>
      <c r="AG55">
        <v>7299.6</v>
      </c>
      <c r="AH55">
        <v>9</v>
      </c>
      <c r="AI55">
        <v>5972.4000000000005</v>
      </c>
      <c r="AJ55">
        <v>17</v>
      </c>
      <c r="AK55">
        <v>11281.2</v>
      </c>
      <c r="AL55">
        <v>11</v>
      </c>
      <c r="AM55">
        <v>7299.6</v>
      </c>
      <c r="AN55">
        <v>5.8018193079677838</v>
      </c>
      <c r="AO55">
        <v>3850.0872927674213</v>
      </c>
      <c r="AP55">
        <v>4.1635792948535464</v>
      </c>
      <c r="AQ55">
        <v>2762.9512200648137</v>
      </c>
      <c r="AR55">
        <v>2.5114685523346503</v>
      </c>
      <c r="AS55">
        <v>1666.610531329274</v>
      </c>
      <c r="AT55">
        <v>2.3787270855093516</v>
      </c>
      <c r="AU55">
        <v>1578.5232939440059</v>
      </c>
      <c r="AV55">
        <v>3.5445388749421527</v>
      </c>
      <c r="AW55">
        <v>2352.1559974116126</v>
      </c>
      <c r="AX55">
        <v>2.6458269522537878</v>
      </c>
      <c r="AY55">
        <v>1755.7707655156137</v>
      </c>
      <c r="AZ55">
        <v>2.5491654748137598</v>
      </c>
      <c r="BA55">
        <v>1691.6262090864111</v>
      </c>
      <c r="BB55">
        <v>2.6362181617758278</v>
      </c>
      <c r="BC55">
        <v>1749.3943721544395</v>
      </c>
      <c r="BD55">
        <v>4.8100954343218145</v>
      </c>
      <c r="BE55">
        <v>3191.9793302159565</v>
      </c>
      <c r="BF55">
        <v>3.3830785216132995</v>
      </c>
      <c r="BG55">
        <v>2245.0109069425857</v>
      </c>
      <c r="BH55">
        <v>4.0447405043337712</v>
      </c>
      <c r="BI55">
        <v>2684.0897986758905</v>
      </c>
      <c r="BJ55">
        <v>4.4898881614003665</v>
      </c>
      <c r="BK55">
        <v>2979.4897839052833</v>
      </c>
      <c r="BL55">
        <v>3.7353109437700107</v>
      </c>
      <c r="BM55">
        <v>2478.7523422857794</v>
      </c>
      <c r="BN55">
        <v>3.6260655129182435</v>
      </c>
      <c r="BO55">
        <v>2406.2570743725464</v>
      </c>
      <c r="BP55">
        <v>3.7152423038148328</v>
      </c>
      <c r="BQ55">
        <v>2465.434792811523</v>
      </c>
      <c r="BR55">
        <v>4.7091387935202054</v>
      </c>
      <c r="BS55">
        <v>3124.9845033800084</v>
      </c>
      <c r="BT55">
        <v>2.9665816945566776</v>
      </c>
      <c r="BU55">
        <v>1968.6236125078115</v>
      </c>
      <c r="BV55">
        <v>2.8445496549775791</v>
      </c>
      <c r="BW55">
        <v>1887.6431510431216</v>
      </c>
      <c r="BX55">
        <v>3.5889566553298988</v>
      </c>
      <c r="BY55">
        <v>2381.6316364769209</v>
      </c>
      <c r="BZ55">
        <v>4.7672364619803593</v>
      </c>
      <c r="CA55">
        <v>3163.5381161701666</v>
      </c>
      <c r="CB55">
        <v>4.5146599581529205</v>
      </c>
      <c r="CC55">
        <v>2995.9283482302781</v>
      </c>
      <c r="CD55">
        <v>2.8252050507116717</v>
      </c>
      <c r="CE55">
        <v>1874.8060716522655</v>
      </c>
      <c r="CF55">
        <v>3.0917460355738675</v>
      </c>
      <c r="CG55">
        <v>2051.6826692068184</v>
      </c>
      <c r="CH55">
        <v>3.5392825147717</v>
      </c>
      <c r="CI55">
        <v>2348.6678768025004</v>
      </c>
      <c r="CJ55">
        <v>2.0850903331644828</v>
      </c>
      <c r="CK55">
        <v>1383.6659450879508</v>
      </c>
      <c r="CL55">
        <v>3.2294072636301823</v>
      </c>
      <c r="CM55">
        <v>2143.0346601449892</v>
      </c>
      <c r="CN55">
        <v>2.4393233852486143</v>
      </c>
      <c r="CO55">
        <v>1618.7349984509806</v>
      </c>
      <c r="CP55">
        <v>2.8373166345881309</v>
      </c>
      <c r="CQ55">
        <v>1882.8433187126836</v>
      </c>
      <c r="CR55">
        <v>2.9189611798402506</v>
      </c>
      <c r="CS55">
        <v>1937.0226389419904</v>
      </c>
      <c r="CT55">
        <v>3.4731838599966762</v>
      </c>
      <c r="CU55">
        <v>2304.8048094937944</v>
      </c>
    </row>
    <row r="56" spans="2:99" x14ac:dyDescent="0.2">
      <c r="C56" s="119" t="s">
        <v>222</v>
      </c>
      <c r="D56">
        <v>9.5282110890329736</v>
      </c>
      <c r="E56">
        <v>10965.065321259146</v>
      </c>
      <c r="F56">
        <v>13</v>
      </c>
      <c r="G56">
        <v>14960.4</v>
      </c>
      <c r="H56">
        <v>10</v>
      </c>
      <c r="I56">
        <v>11508</v>
      </c>
      <c r="J56">
        <v>14</v>
      </c>
      <c r="K56">
        <v>16111.199999999999</v>
      </c>
      <c r="L56">
        <v>15</v>
      </c>
      <c r="M56">
        <v>17262</v>
      </c>
      <c r="N56">
        <v>17</v>
      </c>
      <c r="O56">
        <v>19563.599999999999</v>
      </c>
      <c r="P56">
        <v>12</v>
      </c>
      <c r="Q56">
        <v>13809.599999999999</v>
      </c>
      <c r="R56">
        <v>15</v>
      </c>
      <c r="S56">
        <v>17262</v>
      </c>
      <c r="T56">
        <v>14</v>
      </c>
      <c r="U56">
        <v>16111.199999999999</v>
      </c>
      <c r="V56">
        <v>16</v>
      </c>
      <c r="W56">
        <v>18412.8</v>
      </c>
      <c r="X56">
        <v>13</v>
      </c>
      <c r="Y56">
        <v>14960.4</v>
      </c>
      <c r="Z56">
        <v>9</v>
      </c>
      <c r="AA56">
        <v>10357.199999999999</v>
      </c>
      <c r="AB56">
        <v>14</v>
      </c>
      <c r="AC56">
        <v>16111.199999999999</v>
      </c>
      <c r="AD56">
        <v>13</v>
      </c>
      <c r="AE56">
        <v>14960.4</v>
      </c>
      <c r="AF56">
        <v>9</v>
      </c>
      <c r="AG56">
        <v>10357.199999999999</v>
      </c>
      <c r="AH56">
        <v>8</v>
      </c>
      <c r="AI56">
        <v>9206.4</v>
      </c>
      <c r="AJ56">
        <v>15</v>
      </c>
      <c r="AK56">
        <v>17262</v>
      </c>
      <c r="AL56">
        <v>9</v>
      </c>
      <c r="AM56">
        <v>10357.199999999999</v>
      </c>
      <c r="AN56">
        <v>14</v>
      </c>
      <c r="AO56">
        <v>16111.199999999999</v>
      </c>
      <c r="AP56">
        <v>14</v>
      </c>
      <c r="AQ56">
        <v>16111.199999999999</v>
      </c>
      <c r="AR56">
        <v>11</v>
      </c>
      <c r="AS56">
        <v>12658.8</v>
      </c>
      <c r="AT56">
        <v>11</v>
      </c>
      <c r="AU56">
        <v>12658.8</v>
      </c>
      <c r="AV56">
        <v>12</v>
      </c>
      <c r="AW56">
        <v>13809.599999999999</v>
      </c>
      <c r="AX56">
        <v>11</v>
      </c>
      <c r="AY56">
        <v>12658.8</v>
      </c>
      <c r="AZ56">
        <v>10</v>
      </c>
      <c r="BA56">
        <v>11508</v>
      </c>
      <c r="BB56">
        <v>10</v>
      </c>
      <c r="BC56">
        <v>11508</v>
      </c>
      <c r="BD56">
        <v>15</v>
      </c>
      <c r="BE56">
        <v>17262</v>
      </c>
      <c r="BF56">
        <v>14</v>
      </c>
      <c r="BG56">
        <v>16111.199999999999</v>
      </c>
      <c r="BH56">
        <v>13</v>
      </c>
      <c r="BI56">
        <v>14960.4</v>
      </c>
      <c r="BJ56">
        <v>16</v>
      </c>
      <c r="BK56">
        <v>18412.8</v>
      </c>
      <c r="BL56">
        <v>15</v>
      </c>
      <c r="BM56">
        <v>17262</v>
      </c>
      <c r="BN56">
        <v>17</v>
      </c>
      <c r="BO56">
        <v>19563.599999999999</v>
      </c>
      <c r="BP56">
        <v>17</v>
      </c>
      <c r="BQ56">
        <v>19563.599999999999</v>
      </c>
      <c r="BR56">
        <v>15</v>
      </c>
      <c r="BS56">
        <v>17262</v>
      </c>
      <c r="BT56">
        <v>13</v>
      </c>
      <c r="BU56">
        <v>14960.4</v>
      </c>
      <c r="BV56">
        <v>10</v>
      </c>
      <c r="BW56">
        <v>11508</v>
      </c>
      <c r="BX56">
        <v>13</v>
      </c>
      <c r="BY56">
        <v>14960.4</v>
      </c>
      <c r="BZ56">
        <v>14</v>
      </c>
      <c r="CA56">
        <v>16111.199999999999</v>
      </c>
      <c r="CB56">
        <v>15</v>
      </c>
      <c r="CC56">
        <v>17262</v>
      </c>
      <c r="CD56">
        <v>10</v>
      </c>
      <c r="CE56">
        <v>11508</v>
      </c>
      <c r="CF56">
        <v>13</v>
      </c>
      <c r="CG56">
        <v>14960.4</v>
      </c>
      <c r="CH56">
        <v>15</v>
      </c>
      <c r="CI56">
        <v>17262</v>
      </c>
      <c r="CJ56">
        <v>8</v>
      </c>
      <c r="CK56">
        <v>9206.4</v>
      </c>
      <c r="CL56">
        <v>12</v>
      </c>
      <c r="CM56">
        <v>13809.599999999999</v>
      </c>
      <c r="CN56">
        <v>12</v>
      </c>
      <c r="CO56">
        <v>13809.599999999999</v>
      </c>
      <c r="CP56">
        <v>10</v>
      </c>
      <c r="CQ56">
        <v>11508</v>
      </c>
      <c r="CR56">
        <v>10</v>
      </c>
      <c r="CS56">
        <v>11508</v>
      </c>
      <c r="CT56">
        <v>16</v>
      </c>
      <c r="CU56">
        <v>18412.8</v>
      </c>
    </row>
    <row r="57" spans="2:99" x14ac:dyDescent="0.2">
      <c r="C57" s="119" t="s">
        <v>223</v>
      </c>
      <c r="D57">
        <v>14</v>
      </c>
      <c r="E57">
        <v>19756.8</v>
      </c>
      <c r="F57">
        <v>14.227961835429371</v>
      </c>
      <c r="G57">
        <v>20078.499742157928</v>
      </c>
      <c r="H57">
        <v>11.081293216234595</v>
      </c>
      <c r="I57">
        <v>15637.920986750261</v>
      </c>
      <c r="J57">
        <v>13</v>
      </c>
      <c r="K57">
        <v>18345.600000000002</v>
      </c>
      <c r="L57">
        <v>16</v>
      </c>
      <c r="M57">
        <v>22579.200000000001</v>
      </c>
      <c r="N57">
        <v>15</v>
      </c>
      <c r="O57">
        <v>21168</v>
      </c>
      <c r="P57">
        <v>13</v>
      </c>
      <c r="Q57">
        <v>18345.600000000002</v>
      </c>
      <c r="R57">
        <v>16</v>
      </c>
      <c r="S57">
        <v>22579.200000000001</v>
      </c>
      <c r="T57">
        <v>13</v>
      </c>
      <c r="U57">
        <v>18345.600000000002</v>
      </c>
      <c r="V57">
        <v>17</v>
      </c>
      <c r="W57">
        <v>23990.400000000001</v>
      </c>
      <c r="X57">
        <v>12</v>
      </c>
      <c r="Y57">
        <v>16934.400000000001</v>
      </c>
      <c r="Z57">
        <v>10</v>
      </c>
      <c r="AA57">
        <v>14112</v>
      </c>
      <c r="AB57">
        <v>13</v>
      </c>
      <c r="AC57">
        <v>18345.600000000002</v>
      </c>
      <c r="AD57">
        <v>13</v>
      </c>
      <c r="AE57">
        <v>18345.600000000002</v>
      </c>
      <c r="AF57">
        <v>10</v>
      </c>
      <c r="AG57">
        <v>14112</v>
      </c>
      <c r="AH57">
        <v>9</v>
      </c>
      <c r="AI57">
        <v>12700.800000000001</v>
      </c>
      <c r="AJ57">
        <v>15</v>
      </c>
      <c r="AK57">
        <v>21168</v>
      </c>
      <c r="AL57">
        <v>10</v>
      </c>
      <c r="AM57">
        <v>14112</v>
      </c>
      <c r="AN57">
        <v>5.8018193079677838</v>
      </c>
      <c r="AO57">
        <v>8187.5274074041363</v>
      </c>
      <c r="AP57">
        <v>3.6084353888730734</v>
      </c>
      <c r="AQ57">
        <v>5092.2240207776813</v>
      </c>
      <c r="AR57">
        <v>2.2831532293951367</v>
      </c>
      <c r="AS57">
        <v>3221.985837322417</v>
      </c>
      <c r="AT57">
        <v>2.3787270855093516</v>
      </c>
      <c r="AU57">
        <v>3356.8596630707971</v>
      </c>
      <c r="AV57">
        <v>3.5445388749421527</v>
      </c>
      <c r="AW57">
        <v>5002.0532603183665</v>
      </c>
      <c r="AX57">
        <v>2.6458269522537878</v>
      </c>
      <c r="AY57">
        <v>3733.7909950205453</v>
      </c>
      <c r="AZ57">
        <v>2.2942489273323838</v>
      </c>
      <c r="BA57">
        <v>3237.6440862514601</v>
      </c>
      <c r="BB57">
        <v>2.6362181617758278</v>
      </c>
      <c r="BC57">
        <v>3720.2310698980482</v>
      </c>
      <c r="BD57">
        <v>3.6783082733049168</v>
      </c>
      <c r="BE57">
        <v>5190.8286352878986</v>
      </c>
      <c r="BF57">
        <v>2.9601937064116375</v>
      </c>
      <c r="BG57">
        <v>4177.4253584881026</v>
      </c>
      <c r="BH57">
        <v>3.7336066193850201</v>
      </c>
      <c r="BI57">
        <v>5268.8656612761406</v>
      </c>
      <c r="BJ57">
        <v>4.2092701513128441</v>
      </c>
      <c r="BK57">
        <v>5940.1220375326857</v>
      </c>
      <c r="BL57">
        <v>3.7353109437700107</v>
      </c>
      <c r="BM57">
        <v>5271.2708038482397</v>
      </c>
      <c r="BN57">
        <v>3.0217212607652026</v>
      </c>
      <c r="BO57">
        <v>4264.253043191854</v>
      </c>
      <c r="BP57">
        <v>3.9474449478032598</v>
      </c>
      <c r="BQ57">
        <v>5570.6343103399604</v>
      </c>
      <c r="BR57">
        <v>3.8781143005460521</v>
      </c>
      <c r="BS57">
        <v>5472.7949009305885</v>
      </c>
      <c r="BT57">
        <v>2.9665816945566776</v>
      </c>
      <c r="BU57">
        <v>4186.4400873583836</v>
      </c>
      <c r="BV57">
        <v>2.6075038503961139</v>
      </c>
      <c r="BW57">
        <v>3679.709433678996</v>
      </c>
      <c r="BX57">
        <v>2.9160272824555427</v>
      </c>
      <c r="BY57">
        <v>4115.0977010012621</v>
      </c>
      <c r="BZ57">
        <v>4.4868107877462204</v>
      </c>
      <c r="CA57">
        <v>6331.7873836674662</v>
      </c>
      <c r="CB57">
        <v>3.9503274633838061</v>
      </c>
      <c r="CC57">
        <v>5574.7021163272275</v>
      </c>
      <c r="CD57">
        <v>2.5683682279197013</v>
      </c>
      <c r="CE57">
        <v>3624.4812432402828</v>
      </c>
      <c r="CF57">
        <v>2.8341005326093787</v>
      </c>
      <c r="CG57">
        <v>3999.4826716183552</v>
      </c>
      <c r="CH57">
        <v>3.3033303471202524</v>
      </c>
      <c r="CI57">
        <v>4661.6597858560999</v>
      </c>
      <c r="CJ57">
        <v>2.0850903331644828</v>
      </c>
      <c r="CK57">
        <v>2942.4794781617184</v>
      </c>
      <c r="CL57">
        <v>2.7325753769178465</v>
      </c>
      <c r="CM57">
        <v>3856.2103719064648</v>
      </c>
      <c r="CN57">
        <v>2.4393233852486143</v>
      </c>
      <c r="CO57">
        <v>3442.3731612628444</v>
      </c>
      <c r="CP57">
        <v>2.8373166345881309</v>
      </c>
      <c r="CQ57">
        <v>4004.0212347307706</v>
      </c>
      <c r="CR57">
        <v>2.4324676498668758</v>
      </c>
      <c r="CS57">
        <v>3432.6983474921353</v>
      </c>
      <c r="CT57">
        <v>3.2416382693302315</v>
      </c>
      <c r="CU57">
        <v>4574.5999256788227</v>
      </c>
    </row>
    <row r="58" spans="2:99" x14ac:dyDescent="0.2">
      <c r="C58" s="119" t="s">
        <v>224</v>
      </c>
      <c r="D58">
        <v>8.9499948129308446</v>
      </c>
      <c r="E58">
        <v>10535.93389378219</v>
      </c>
      <c r="F58">
        <v>13</v>
      </c>
      <c r="G58">
        <v>15303.6</v>
      </c>
      <c r="H58">
        <v>10</v>
      </c>
      <c r="I58">
        <v>11772</v>
      </c>
      <c r="J58">
        <v>11</v>
      </c>
      <c r="K58">
        <v>12949.2</v>
      </c>
      <c r="L58">
        <v>16</v>
      </c>
      <c r="M58">
        <v>18835.2</v>
      </c>
      <c r="N58">
        <v>14</v>
      </c>
      <c r="O58">
        <v>16480.8</v>
      </c>
      <c r="P58">
        <v>14</v>
      </c>
      <c r="Q58">
        <v>16480.8</v>
      </c>
      <c r="R58">
        <v>15</v>
      </c>
      <c r="S58">
        <v>17658</v>
      </c>
      <c r="T58">
        <v>13</v>
      </c>
      <c r="U58">
        <v>15303.6</v>
      </c>
      <c r="V58">
        <v>18</v>
      </c>
      <c r="W58">
        <v>21189.600000000002</v>
      </c>
      <c r="X58">
        <v>12</v>
      </c>
      <c r="Y58">
        <v>14126.400000000001</v>
      </c>
      <c r="Z58">
        <v>9</v>
      </c>
      <c r="AA58">
        <v>10594.800000000001</v>
      </c>
      <c r="AB58">
        <v>14</v>
      </c>
      <c r="AC58">
        <v>16480.8</v>
      </c>
      <c r="AD58">
        <v>14</v>
      </c>
      <c r="AE58">
        <v>16480.8</v>
      </c>
      <c r="AF58">
        <v>11</v>
      </c>
      <c r="AG58">
        <v>12949.2</v>
      </c>
      <c r="AH58">
        <v>9</v>
      </c>
      <c r="AI58">
        <v>10594.800000000001</v>
      </c>
      <c r="AJ58">
        <v>15</v>
      </c>
      <c r="AK58">
        <v>17658</v>
      </c>
      <c r="AL58">
        <v>11</v>
      </c>
      <c r="AM58">
        <v>12949.2</v>
      </c>
      <c r="AN58">
        <v>13</v>
      </c>
      <c r="AO58">
        <v>15303.6</v>
      </c>
      <c r="AP58">
        <v>14</v>
      </c>
      <c r="AQ58">
        <v>16480.8</v>
      </c>
      <c r="AR58">
        <v>10</v>
      </c>
      <c r="AS58">
        <v>11772</v>
      </c>
      <c r="AT58">
        <v>10</v>
      </c>
      <c r="AU58">
        <v>11772</v>
      </c>
      <c r="AV58">
        <v>12</v>
      </c>
      <c r="AW58">
        <v>14126.400000000001</v>
      </c>
      <c r="AX58">
        <v>11</v>
      </c>
      <c r="AY58">
        <v>12949.2</v>
      </c>
      <c r="AZ58">
        <v>9</v>
      </c>
      <c r="BA58">
        <v>10594.800000000001</v>
      </c>
      <c r="BB58">
        <v>8</v>
      </c>
      <c r="BC58">
        <v>9417.6</v>
      </c>
      <c r="BD58">
        <v>16</v>
      </c>
      <c r="BE58">
        <v>18835.2</v>
      </c>
      <c r="BF58">
        <v>14</v>
      </c>
      <c r="BG58">
        <v>16480.8</v>
      </c>
      <c r="BH58">
        <v>13</v>
      </c>
      <c r="BI58">
        <v>15303.6</v>
      </c>
      <c r="BJ58">
        <v>16</v>
      </c>
      <c r="BK58">
        <v>18835.2</v>
      </c>
      <c r="BL58">
        <v>16</v>
      </c>
      <c r="BM58">
        <v>18835.2</v>
      </c>
      <c r="BN58">
        <v>16</v>
      </c>
      <c r="BO58">
        <v>18835.2</v>
      </c>
      <c r="BP58">
        <v>15</v>
      </c>
      <c r="BQ58">
        <v>17658</v>
      </c>
      <c r="BR58">
        <v>16</v>
      </c>
      <c r="BS58">
        <v>18835.2</v>
      </c>
      <c r="BT58">
        <v>12</v>
      </c>
      <c r="BU58">
        <v>14126.400000000001</v>
      </c>
      <c r="BV58">
        <v>11</v>
      </c>
      <c r="BW58">
        <v>12949.2</v>
      </c>
      <c r="BX58">
        <v>14</v>
      </c>
      <c r="BY58">
        <v>16480.8</v>
      </c>
      <c r="BZ58">
        <v>16</v>
      </c>
      <c r="CA58">
        <v>18835.2</v>
      </c>
      <c r="CB58">
        <v>14</v>
      </c>
      <c r="CC58">
        <v>16480.8</v>
      </c>
      <c r="CD58">
        <v>11</v>
      </c>
      <c r="CE58">
        <v>12949.2</v>
      </c>
      <c r="CF58">
        <v>12</v>
      </c>
      <c r="CG58">
        <v>14126.400000000001</v>
      </c>
      <c r="CH58">
        <v>15</v>
      </c>
      <c r="CI58">
        <v>17658</v>
      </c>
      <c r="CJ58">
        <v>8</v>
      </c>
      <c r="CK58">
        <v>9417.6</v>
      </c>
      <c r="CL58">
        <v>11</v>
      </c>
      <c r="CM58">
        <v>12949.2</v>
      </c>
      <c r="CN58">
        <v>12</v>
      </c>
      <c r="CO58">
        <v>14126.400000000001</v>
      </c>
      <c r="CP58">
        <v>10</v>
      </c>
      <c r="CQ58">
        <v>11772</v>
      </c>
      <c r="CR58">
        <v>10</v>
      </c>
      <c r="CS58">
        <v>11772</v>
      </c>
      <c r="CT58">
        <v>14</v>
      </c>
      <c r="CU58">
        <v>16480.8</v>
      </c>
    </row>
    <row r="59" spans="2:99" x14ac:dyDescent="0.2">
      <c r="C59" s="119" t="s">
        <v>225</v>
      </c>
      <c r="D59">
        <v>17</v>
      </c>
      <c r="E59">
        <v>5161.2</v>
      </c>
      <c r="F59">
        <v>16.303949113905826</v>
      </c>
      <c r="G59">
        <v>4949.878950981808</v>
      </c>
      <c r="H59">
        <v>13.102971407230488</v>
      </c>
      <c r="I59">
        <v>3978.0621192351755</v>
      </c>
      <c r="J59">
        <v>14</v>
      </c>
      <c r="K59">
        <v>4250.3999999999996</v>
      </c>
      <c r="L59">
        <v>17</v>
      </c>
      <c r="M59">
        <v>5161.2</v>
      </c>
      <c r="N59">
        <v>16</v>
      </c>
      <c r="O59">
        <v>4857.5999999999995</v>
      </c>
      <c r="P59">
        <v>14</v>
      </c>
      <c r="Q59">
        <v>4250.3999999999996</v>
      </c>
      <c r="R59">
        <v>17</v>
      </c>
      <c r="S59">
        <v>5161.2</v>
      </c>
      <c r="T59">
        <v>16</v>
      </c>
      <c r="U59">
        <v>4857.5999999999995</v>
      </c>
      <c r="V59">
        <v>19</v>
      </c>
      <c r="W59">
        <v>5768.4</v>
      </c>
      <c r="X59">
        <v>15</v>
      </c>
      <c r="Y59">
        <v>4553.9999999999991</v>
      </c>
      <c r="Z59">
        <v>11</v>
      </c>
      <c r="AA59">
        <v>3339.5999999999995</v>
      </c>
      <c r="AB59">
        <v>15</v>
      </c>
      <c r="AC59">
        <v>4553.9999999999991</v>
      </c>
      <c r="AD59">
        <v>13</v>
      </c>
      <c r="AE59">
        <v>3946.7999999999997</v>
      </c>
      <c r="AF59">
        <v>10</v>
      </c>
      <c r="AG59">
        <v>3035.9999999999995</v>
      </c>
      <c r="AH59">
        <v>10</v>
      </c>
      <c r="AI59">
        <v>3035.9999999999995</v>
      </c>
      <c r="AJ59">
        <v>16</v>
      </c>
      <c r="AK59">
        <v>4857.5999999999995</v>
      </c>
      <c r="AL59">
        <v>11</v>
      </c>
      <c r="AM59">
        <v>3339.5999999999995</v>
      </c>
      <c r="AN59">
        <v>5.8018193079677838</v>
      </c>
      <c r="AO59">
        <v>1761.4323418990189</v>
      </c>
      <c r="AP59">
        <v>3.8860073418633099</v>
      </c>
      <c r="AQ59">
        <v>1179.7918289897007</v>
      </c>
      <c r="AR59">
        <v>2.5114685523346503</v>
      </c>
      <c r="AS59">
        <v>762.48185248879975</v>
      </c>
      <c r="AT59">
        <v>2.3787270855093516</v>
      </c>
      <c r="AU59">
        <v>722.18154316063908</v>
      </c>
      <c r="AV59">
        <v>3.291357526731999</v>
      </c>
      <c r="AW59">
        <v>999.25614511583478</v>
      </c>
      <c r="AX59">
        <v>3.126886398118113</v>
      </c>
      <c r="AY59">
        <v>949.32271046865901</v>
      </c>
      <c r="AZ59">
        <v>2.5491654748137598</v>
      </c>
      <c r="BA59">
        <v>773.92663815345736</v>
      </c>
      <c r="BB59">
        <v>2.8998399779534103</v>
      </c>
      <c r="BC59">
        <v>880.39141730665528</v>
      </c>
      <c r="BD59">
        <v>3.9612550635591415</v>
      </c>
      <c r="BE59">
        <v>1202.6370372965553</v>
      </c>
      <c r="BF59">
        <v>3.3830785216132995</v>
      </c>
      <c r="BG59">
        <v>1027.1026391617977</v>
      </c>
      <c r="BH59">
        <v>4.3558743892825236</v>
      </c>
      <c r="BI59">
        <v>1322.4434645861741</v>
      </c>
      <c r="BJ59">
        <v>5.0511241815754131</v>
      </c>
      <c r="BK59">
        <v>1533.5213015262952</v>
      </c>
      <c r="BL59">
        <v>3.9843316733546779</v>
      </c>
      <c r="BM59">
        <v>1209.6430960304801</v>
      </c>
      <c r="BN59">
        <v>3.2231693448162164</v>
      </c>
      <c r="BO59">
        <v>978.55421308620316</v>
      </c>
      <c r="BP59">
        <v>4.1796475917916869</v>
      </c>
      <c r="BQ59">
        <v>1268.941008867956</v>
      </c>
      <c r="BR59">
        <v>4.986146957844924</v>
      </c>
      <c r="BS59">
        <v>1513.7942164017188</v>
      </c>
      <c r="BT59">
        <v>3.7082271181958473</v>
      </c>
      <c r="BU59">
        <v>1125.817753084259</v>
      </c>
      <c r="BV59">
        <v>2.6075038503961139</v>
      </c>
      <c r="BW59">
        <v>791.63816898026005</v>
      </c>
      <c r="BX59">
        <v>3.5889566553298988</v>
      </c>
      <c r="BY59">
        <v>1089.6072405581572</v>
      </c>
      <c r="BZ59">
        <v>4.4868107877462204</v>
      </c>
      <c r="CA59">
        <v>1362.1957551597525</v>
      </c>
      <c r="CB59">
        <v>3.9503274633838061</v>
      </c>
      <c r="CC59">
        <v>1199.3194178833235</v>
      </c>
      <c r="CD59">
        <v>3.0820418735036417</v>
      </c>
      <c r="CE59">
        <v>935.70791279570551</v>
      </c>
      <c r="CF59">
        <v>3.6070370415028457</v>
      </c>
      <c r="CG59">
        <v>1095.0964458002638</v>
      </c>
      <c r="CH59">
        <v>3.5392825147717</v>
      </c>
      <c r="CI59">
        <v>1074.5261714846879</v>
      </c>
      <c r="CJ59">
        <v>2.0850903331644828</v>
      </c>
      <c r="CK59">
        <v>633.03342514873691</v>
      </c>
      <c r="CL59">
        <v>3.4778232069863497</v>
      </c>
      <c r="CM59">
        <v>1055.8671256410557</v>
      </c>
      <c r="CN59">
        <v>2.8828367280210894</v>
      </c>
      <c r="CO59">
        <v>875.22923062720258</v>
      </c>
      <c r="CP59">
        <v>3.1210482980469441</v>
      </c>
      <c r="CQ59">
        <v>947.55026328705208</v>
      </c>
      <c r="CR59">
        <v>2.6757144148535632</v>
      </c>
      <c r="CS59">
        <v>812.34689634954168</v>
      </c>
      <c r="CT59">
        <v>4.1678206319960118</v>
      </c>
      <c r="CU59">
        <v>1265.350343873989</v>
      </c>
    </row>
    <row r="60" spans="2:99" x14ac:dyDescent="0.2">
      <c r="C60" s="119" t="s">
        <v>226</v>
      </c>
      <c r="D60">
        <v>15</v>
      </c>
      <c r="E60">
        <v>9774</v>
      </c>
      <c r="F60">
        <v>14.284952294286713</v>
      </c>
      <c r="G60">
        <v>9308.0749149572221</v>
      </c>
      <c r="H60">
        <v>12.097551859481515</v>
      </c>
      <c r="I60">
        <v>7882.7647916381547</v>
      </c>
      <c r="J60">
        <v>14</v>
      </c>
      <c r="K60">
        <v>9122.4</v>
      </c>
      <c r="L60">
        <v>15</v>
      </c>
      <c r="M60">
        <v>9774</v>
      </c>
      <c r="N60">
        <v>18</v>
      </c>
      <c r="O60">
        <v>11728.800000000001</v>
      </c>
      <c r="P60">
        <v>14</v>
      </c>
      <c r="Q60">
        <v>9122.4</v>
      </c>
      <c r="R60">
        <v>17</v>
      </c>
      <c r="S60">
        <v>11077.2</v>
      </c>
      <c r="T60">
        <v>15</v>
      </c>
      <c r="U60">
        <v>9774</v>
      </c>
      <c r="V60">
        <v>19</v>
      </c>
      <c r="W60">
        <v>12380.4</v>
      </c>
      <c r="X60">
        <v>15</v>
      </c>
      <c r="Y60">
        <v>9774</v>
      </c>
      <c r="Z60">
        <v>11</v>
      </c>
      <c r="AA60">
        <v>7167.6</v>
      </c>
      <c r="AB60">
        <v>14</v>
      </c>
      <c r="AC60">
        <v>9122.4</v>
      </c>
      <c r="AD60">
        <v>13</v>
      </c>
      <c r="AE60">
        <v>8470.8000000000011</v>
      </c>
      <c r="AF60">
        <v>11</v>
      </c>
      <c r="AG60">
        <v>7167.6</v>
      </c>
      <c r="AH60">
        <v>9</v>
      </c>
      <c r="AI60">
        <v>5864.4000000000005</v>
      </c>
      <c r="AJ60">
        <v>17</v>
      </c>
      <c r="AK60">
        <v>11077.2</v>
      </c>
      <c r="AL60">
        <v>10</v>
      </c>
      <c r="AM60">
        <v>6516</v>
      </c>
      <c r="AN60">
        <v>5.8018193079677838</v>
      </c>
      <c r="AO60">
        <v>3780.465461071808</v>
      </c>
      <c r="AP60">
        <v>4.1635792948535464</v>
      </c>
      <c r="AQ60">
        <v>2712.9882685265711</v>
      </c>
      <c r="AR60">
        <v>2.2831532293951367</v>
      </c>
      <c r="AS60">
        <v>1487.7026442738711</v>
      </c>
      <c r="AT60">
        <v>2.6165997940602868</v>
      </c>
      <c r="AU60">
        <v>1704.976425809683</v>
      </c>
      <c r="AV60">
        <v>3.291357526731999</v>
      </c>
      <c r="AW60">
        <v>2144.6485644185705</v>
      </c>
      <c r="AX60">
        <v>3.126886398118113</v>
      </c>
      <c r="AY60">
        <v>2037.4791770137624</v>
      </c>
      <c r="AZ60">
        <v>2.5491654748137598</v>
      </c>
      <c r="BA60">
        <v>1661.036223388646</v>
      </c>
      <c r="BB60">
        <v>2.6362181617758278</v>
      </c>
      <c r="BC60">
        <v>1717.7597542131296</v>
      </c>
      <c r="BD60">
        <v>4.5271486440675908</v>
      </c>
      <c r="BE60">
        <v>2949.8900564744422</v>
      </c>
      <c r="BF60">
        <v>3.3830785216132995</v>
      </c>
      <c r="BG60">
        <v>2204.4139646832259</v>
      </c>
      <c r="BH60">
        <v>4.3558743892825236</v>
      </c>
      <c r="BI60">
        <v>2838.2877520564925</v>
      </c>
      <c r="BJ60">
        <v>4.7705061714878907</v>
      </c>
      <c r="BK60">
        <v>3108.4618213415097</v>
      </c>
      <c r="BL60">
        <v>3.7353109437700107</v>
      </c>
      <c r="BM60">
        <v>2433.9286109605391</v>
      </c>
      <c r="BN60">
        <v>3.2231693448162164</v>
      </c>
      <c r="BO60">
        <v>2100.2171450822466</v>
      </c>
      <c r="BP60">
        <v>3.9474449478032598</v>
      </c>
      <c r="BQ60">
        <v>2572.1551279886044</v>
      </c>
      <c r="BR60">
        <v>4.1551224648707699</v>
      </c>
      <c r="BS60">
        <v>2707.4777981097936</v>
      </c>
      <c r="BT60">
        <v>2.9665816945566776</v>
      </c>
      <c r="BU60">
        <v>1933.0246321731313</v>
      </c>
      <c r="BV60">
        <v>2.8445496549775791</v>
      </c>
      <c r="BW60">
        <v>1853.5085551833906</v>
      </c>
      <c r="BX60">
        <v>2.9160272824555427</v>
      </c>
      <c r="BY60">
        <v>1900.0833772480316</v>
      </c>
      <c r="BZ60">
        <v>4.4868107877462204</v>
      </c>
      <c r="CA60">
        <v>2923.6059092954374</v>
      </c>
      <c r="CB60">
        <v>3.9503274633838061</v>
      </c>
      <c r="CC60">
        <v>2574.033375140888</v>
      </c>
      <c r="CD60">
        <v>3.3388786962956121</v>
      </c>
      <c r="CE60">
        <v>2175.6133585062207</v>
      </c>
      <c r="CF60">
        <v>3.6070370415028457</v>
      </c>
      <c r="CG60">
        <v>2350.3453362432542</v>
      </c>
      <c r="CH60">
        <v>3.7752346824231462</v>
      </c>
      <c r="CI60">
        <v>2459.9429190669221</v>
      </c>
      <c r="CJ60">
        <v>1.8534136294795402</v>
      </c>
      <c r="CK60">
        <v>1207.6843209688684</v>
      </c>
      <c r="CL60">
        <v>3.2294072636301823</v>
      </c>
      <c r="CM60">
        <v>2104.2817729814269</v>
      </c>
      <c r="CN60">
        <v>2.6610800566348516</v>
      </c>
      <c r="CO60">
        <v>1733.9597649032694</v>
      </c>
      <c r="CP60">
        <v>3.4047799615057568</v>
      </c>
      <c r="CQ60">
        <v>2218.5546229171514</v>
      </c>
      <c r="CR60">
        <v>2.6757144148535632</v>
      </c>
      <c r="CS60">
        <v>1743.4955127185819</v>
      </c>
      <c r="CT60">
        <v>3.9362750413295666</v>
      </c>
      <c r="CU60">
        <v>2564.8768169303457</v>
      </c>
    </row>
    <row r="61" spans="2:99" x14ac:dyDescent="0.2">
      <c r="C61" s="119" t="s">
        <v>227</v>
      </c>
      <c r="D61">
        <v>15</v>
      </c>
      <c r="E61">
        <v>14273.999999999998</v>
      </c>
      <c r="F61">
        <v>12.246958655048484</v>
      </c>
      <c r="G61">
        <v>11654.205856144137</v>
      </c>
      <c r="H61">
        <v>12.092132311732541</v>
      </c>
      <c r="I61">
        <v>11506.873107844685</v>
      </c>
      <c r="J61">
        <v>14</v>
      </c>
      <c r="K61">
        <v>13322.399999999998</v>
      </c>
      <c r="L61">
        <v>16</v>
      </c>
      <c r="M61">
        <v>15225.599999999999</v>
      </c>
      <c r="N61">
        <v>17</v>
      </c>
      <c r="O61">
        <v>16177.199999999999</v>
      </c>
      <c r="P61">
        <v>14</v>
      </c>
      <c r="Q61">
        <v>13322.399999999998</v>
      </c>
      <c r="R61">
        <v>17</v>
      </c>
      <c r="S61">
        <v>16177.199999999999</v>
      </c>
      <c r="T61">
        <v>14</v>
      </c>
      <c r="U61">
        <v>13322.399999999998</v>
      </c>
      <c r="V61">
        <v>16</v>
      </c>
      <c r="W61">
        <v>15225.599999999999</v>
      </c>
      <c r="X61">
        <v>14</v>
      </c>
      <c r="Y61">
        <v>13322.399999999998</v>
      </c>
      <c r="Z61">
        <v>9</v>
      </c>
      <c r="AA61">
        <v>8564.4</v>
      </c>
      <c r="AB61">
        <v>13</v>
      </c>
      <c r="AC61">
        <v>12370.8</v>
      </c>
      <c r="AD61">
        <v>12</v>
      </c>
      <c r="AE61">
        <v>11419.199999999999</v>
      </c>
      <c r="AF61">
        <v>9</v>
      </c>
      <c r="AG61">
        <v>8564.4</v>
      </c>
      <c r="AH61">
        <v>10</v>
      </c>
      <c r="AI61">
        <v>9516</v>
      </c>
      <c r="AJ61">
        <v>14</v>
      </c>
      <c r="AK61">
        <v>13322.399999999998</v>
      </c>
      <c r="AL61">
        <v>11</v>
      </c>
      <c r="AM61">
        <v>10467.599999999999</v>
      </c>
      <c r="AN61">
        <v>5.0765918944718109</v>
      </c>
      <c r="AO61">
        <v>4830.884846779375</v>
      </c>
      <c r="AP61">
        <v>3.8860073418633099</v>
      </c>
      <c r="AQ61">
        <v>3697.9245865171251</v>
      </c>
      <c r="AR61">
        <v>2.2831532293951367</v>
      </c>
      <c r="AS61">
        <v>2172.6486130924118</v>
      </c>
      <c r="AT61">
        <v>2.3787270855093516</v>
      </c>
      <c r="AU61">
        <v>2263.5966945706987</v>
      </c>
      <c r="AV61">
        <v>3.291357526731999</v>
      </c>
      <c r="AW61">
        <v>3132.0558224381698</v>
      </c>
      <c r="AX61">
        <v>2.6458269522537878</v>
      </c>
      <c r="AY61">
        <v>2517.7689277647041</v>
      </c>
      <c r="AZ61">
        <v>2.5491654748137598</v>
      </c>
      <c r="BA61">
        <v>2425.7858658327737</v>
      </c>
      <c r="BB61">
        <v>2.6362181617758278</v>
      </c>
      <c r="BC61">
        <v>2508.6252027458777</v>
      </c>
      <c r="BD61">
        <v>4.5271486440675908</v>
      </c>
      <c r="BE61">
        <v>4308.0346496947186</v>
      </c>
      <c r="BF61">
        <v>3.3830785216132995</v>
      </c>
      <c r="BG61">
        <v>3219.3375211672155</v>
      </c>
      <c r="BH61">
        <v>3.7336066193850201</v>
      </c>
      <c r="BI61">
        <v>3552.9000590067849</v>
      </c>
      <c r="BJ61">
        <v>3.9286521412253217</v>
      </c>
      <c r="BK61">
        <v>3738.5053775900155</v>
      </c>
      <c r="BL61">
        <v>3.237269484600676</v>
      </c>
      <c r="BM61">
        <v>3080.585641546003</v>
      </c>
      <c r="BN61">
        <v>3.0217212607652026</v>
      </c>
      <c r="BO61">
        <v>2875.4699517441663</v>
      </c>
      <c r="BP61">
        <v>3.9474449478032598</v>
      </c>
      <c r="BQ61">
        <v>3756.3886123295815</v>
      </c>
      <c r="BR61">
        <v>4.7091387935202054</v>
      </c>
      <c r="BS61">
        <v>4481.2164759138268</v>
      </c>
      <c r="BT61">
        <v>2.9665816945566776</v>
      </c>
      <c r="BU61">
        <v>2822.9991405401342</v>
      </c>
      <c r="BV61">
        <v>2.8445496549775791</v>
      </c>
      <c r="BW61">
        <v>2706.873451676664</v>
      </c>
      <c r="BX61">
        <v>3.1403370734136611</v>
      </c>
      <c r="BY61">
        <v>2988.3447590604396</v>
      </c>
      <c r="BZ61">
        <v>4.2063851135120816</v>
      </c>
      <c r="CA61">
        <v>4002.7960740180965</v>
      </c>
      <c r="CB61">
        <v>4.5146599581529205</v>
      </c>
      <c r="CC61">
        <v>4296.1504161783187</v>
      </c>
      <c r="CD61">
        <v>3.0820418735036417</v>
      </c>
      <c r="CE61">
        <v>2932.8710468260651</v>
      </c>
      <c r="CF61">
        <v>3.3493915385383564</v>
      </c>
      <c r="CG61">
        <v>3187.2809880730997</v>
      </c>
      <c r="CH61">
        <v>3.7752346824231462</v>
      </c>
      <c r="CI61">
        <v>3592.5133237938658</v>
      </c>
      <c r="CJ61">
        <v>2.0850903331644828</v>
      </c>
      <c r="CK61">
        <v>1984.1719610393216</v>
      </c>
      <c r="CL61">
        <v>3.2294072636301823</v>
      </c>
      <c r="CM61">
        <v>3073.1039520704812</v>
      </c>
      <c r="CN61">
        <v>2.6610800566348516</v>
      </c>
      <c r="CO61">
        <v>2532.2837818937246</v>
      </c>
      <c r="CP61">
        <v>2.8373166345881309</v>
      </c>
      <c r="CQ61">
        <v>2699.9905094740652</v>
      </c>
      <c r="CR61">
        <v>2.4324676498668758</v>
      </c>
      <c r="CS61">
        <v>2314.736215613319</v>
      </c>
      <c r="CT61">
        <v>3.9362750413295666</v>
      </c>
      <c r="CU61">
        <v>3745.7593293292152</v>
      </c>
    </row>
    <row r="62" spans="2:99" x14ac:dyDescent="0.2">
      <c r="C62" s="119" t="s">
        <v>228</v>
      </c>
      <c r="D62">
        <v>14</v>
      </c>
      <c r="E62">
        <v>23872.799999999999</v>
      </c>
      <c r="F62">
        <v>12.246958655048484</v>
      </c>
      <c r="G62">
        <v>20883.513898588677</v>
      </c>
      <c r="H62">
        <v>10.081293216234595</v>
      </c>
      <c r="I62">
        <v>17190.621192323233</v>
      </c>
      <c r="J62">
        <v>11</v>
      </c>
      <c r="K62">
        <v>18757.2</v>
      </c>
      <c r="L62">
        <v>15</v>
      </c>
      <c r="M62">
        <v>25578</v>
      </c>
      <c r="N62">
        <v>15</v>
      </c>
      <c r="O62">
        <v>25578</v>
      </c>
      <c r="P62">
        <v>12</v>
      </c>
      <c r="Q62">
        <v>20462.400000000001</v>
      </c>
      <c r="R62">
        <v>15</v>
      </c>
      <c r="S62">
        <v>25578</v>
      </c>
      <c r="T62">
        <v>13</v>
      </c>
      <c r="U62">
        <v>22167.600000000002</v>
      </c>
      <c r="V62">
        <v>14</v>
      </c>
      <c r="W62">
        <v>23872.799999999999</v>
      </c>
      <c r="X62">
        <v>12</v>
      </c>
      <c r="Y62">
        <v>20462.400000000001</v>
      </c>
      <c r="Z62">
        <v>8</v>
      </c>
      <c r="AA62">
        <v>13641.6</v>
      </c>
      <c r="AB62">
        <v>12</v>
      </c>
      <c r="AC62">
        <v>20462.400000000001</v>
      </c>
      <c r="AD62">
        <v>11</v>
      </c>
      <c r="AE62">
        <v>18757.2</v>
      </c>
      <c r="AF62">
        <v>9</v>
      </c>
      <c r="AG62">
        <v>15346.800000000001</v>
      </c>
      <c r="AH62">
        <v>9</v>
      </c>
      <c r="AI62">
        <v>15346.800000000001</v>
      </c>
      <c r="AJ62">
        <v>14</v>
      </c>
      <c r="AK62">
        <v>23872.799999999999</v>
      </c>
      <c r="AL62">
        <v>10</v>
      </c>
      <c r="AM62">
        <v>17052</v>
      </c>
      <c r="AN62">
        <v>5.4392056012197969</v>
      </c>
      <c r="AO62">
        <v>9274.9333911999984</v>
      </c>
      <c r="AP62">
        <v>3.6084353888730734</v>
      </c>
      <c r="AQ62">
        <v>6153.104025106365</v>
      </c>
      <c r="AR62">
        <v>2.054837906455623</v>
      </c>
      <c r="AS62">
        <v>3503.9095980881284</v>
      </c>
      <c r="AT62">
        <v>2.3787270855093516</v>
      </c>
      <c r="AU62">
        <v>4056.2054262105466</v>
      </c>
      <c r="AV62">
        <v>3.291357526731999</v>
      </c>
      <c r="AW62">
        <v>5612.4228545834048</v>
      </c>
      <c r="AX62">
        <v>2.6458269522537878</v>
      </c>
      <c r="AY62">
        <v>4511.6641189831589</v>
      </c>
      <c r="AZ62">
        <v>2.5491654748137598</v>
      </c>
      <c r="BA62">
        <v>4346.8369676524235</v>
      </c>
      <c r="BB62">
        <v>2.3725963455982448</v>
      </c>
      <c r="BC62">
        <v>4045.7512885141273</v>
      </c>
      <c r="BD62">
        <v>4.2442018538133652</v>
      </c>
      <c r="BE62">
        <v>7237.2130011225508</v>
      </c>
      <c r="BF62">
        <v>2.9601937064116375</v>
      </c>
      <c r="BG62">
        <v>5047.7223081731245</v>
      </c>
      <c r="BH62">
        <v>4.0447405043337712</v>
      </c>
      <c r="BI62">
        <v>6897.0915079899469</v>
      </c>
      <c r="BJ62">
        <v>4.2092701513128441</v>
      </c>
      <c r="BK62">
        <v>7177.6474620186618</v>
      </c>
      <c r="BL62">
        <v>3.4862902141853427</v>
      </c>
      <c r="BM62">
        <v>5944.8220732288464</v>
      </c>
      <c r="BN62">
        <v>3.0217212607652026</v>
      </c>
      <c r="BO62">
        <v>5152.6390938568238</v>
      </c>
      <c r="BP62">
        <v>3.4830396598264057</v>
      </c>
      <c r="BQ62">
        <v>5939.2792279359874</v>
      </c>
      <c r="BR62">
        <v>3.8781143005460521</v>
      </c>
      <c r="BS62">
        <v>6612.9605052911284</v>
      </c>
      <c r="BT62">
        <v>3.2137968357697346</v>
      </c>
      <c r="BU62">
        <v>5480.1663643545517</v>
      </c>
      <c r="BV62">
        <v>2.6075038503961139</v>
      </c>
      <c r="BW62">
        <v>4446.3155656954532</v>
      </c>
      <c r="BX62">
        <v>2.9160272824555427</v>
      </c>
      <c r="BY62">
        <v>4972.4097220431913</v>
      </c>
      <c r="BZ62">
        <v>3.9259594392779427</v>
      </c>
      <c r="CA62">
        <v>6694.5460358567479</v>
      </c>
      <c r="CB62">
        <v>3.9503274633838061</v>
      </c>
      <c r="CC62">
        <v>6736.098390562066</v>
      </c>
      <c r="CD62">
        <v>2.5683682279197013</v>
      </c>
      <c r="CE62">
        <v>4379.581502248675</v>
      </c>
      <c r="CF62">
        <v>3.0917460355738675</v>
      </c>
      <c r="CG62">
        <v>5272.0453398605587</v>
      </c>
      <c r="CH62">
        <v>3.5392825147717</v>
      </c>
      <c r="CI62">
        <v>6035.1845441887026</v>
      </c>
      <c r="CJ62">
        <v>2.0850903331644828</v>
      </c>
      <c r="CK62">
        <v>3555.4960361120761</v>
      </c>
      <c r="CL62">
        <v>2.7325753769178465</v>
      </c>
      <c r="CM62">
        <v>4659.5875327203121</v>
      </c>
      <c r="CN62">
        <v>2.2175667138623765</v>
      </c>
      <c r="CO62">
        <v>3781.3947604781247</v>
      </c>
      <c r="CP62">
        <v>2.8373166345881309</v>
      </c>
      <c r="CQ62">
        <v>4838.1923252996812</v>
      </c>
      <c r="CR62">
        <v>2.4324676498668758</v>
      </c>
      <c r="CS62">
        <v>4147.8438365529964</v>
      </c>
      <c r="CT62">
        <v>3.4731838599966762</v>
      </c>
      <c r="CU62">
        <v>5922.4731180663321</v>
      </c>
    </row>
    <row r="63" spans="2:99" x14ac:dyDescent="0.2">
      <c r="C63" s="119" t="s">
        <v>229</v>
      </c>
      <c r="D63">
        <v>15</v>
      </c>
      <c r="E63">
        <v>11934</v>
      </c>
      <c r="F63">
        <v>13.265955474667599</v>
      </c>
      <c r="G63">
        <v>10554.394175645542</v>
      </c>
      <c r="H63">
        <v>11.097551859481515</v>
      </c>
      <c r="I63">
        <v>8829.2122594034936</v>
      </c>
      <c r="J63">
        <v>13</v>
      </c>
      <c r="K63">
        <v>10342.800000000001</v>
      </c>
      <c r="L63">
        <v>17</v>
      </c>
      <c r="M63">
        <v>13525.2</v>
      </c>
      <c r="N63">
        <v>17</v>
      </c>
      <c r="O63">
        <v>13525.2</v>
      </c>
      <c r="P63">
        <v>13</v>
      </c>
      <c r="Q63">
        <v>10342.800000000001</v>
      </c>
      <c r="R63">
        <v>16</v>
      </c>
      <c r="S63">
        <v>12729.6</v>
      </c>
      <c r="T63">
        <v>16</v>
      </c>
      <c r="U63">
        <v>12729.6</v>
      </c>
      <c r="V63">
        <v>18</v>
      </c>
      <c r="W63">
        <v>14320.800000000001</v>
      </c>
      <c r="X63">
        <v>13</v>
      </c>
      <c r="Y63">
        <v>10342.800000000001</v>
      </c>
      <c r="Z63">
        <v>10</v>
      </c>
      <c r="AA63">
        <v>7956</v>
      </c>
      <c r="AB63">
        <v>14</v>
      </c>
      <c r="AC63">
        <v>11138.4</v>
      </c>
      <c r="AD63">
        <v>12</v>
      </c>
      <c r="AE63">
        <v>9547.2000000000007</v>
      </c>
      <c r="AF63">
        <v>10</v>
      </c>
      <c r="AG63">
        <v>7956</v>
      </c>
      <c r="AH63">
        <v>9</v>
      </c>
      <c r="AI63">
        <v>7160.4000000000005</v>
      </c>
      <c r="AJ63">
        <v>16</v>
      </c>
      <c r="AK63">
        <v>12729.6</v>
      </c>
      <c r="AL63">
        <v>10</v>
      </c>
      <c r="AM63">
        <v>7956</v>
      </c>
      <c r="AN63">
        <v>5.4392056012197969</v>
      </c>
      <c r="AO63">
        <v>4327.4319763304702</v>
      </c>
      <c r="AP63">
        <v>4.1635792948535464</v>
      </c>
      <c r="AQ63">
        <v>3312.5436869854816</v>
      </c>
      <c r="AR63">
        <v>2.7397838752741639</v>
      </c>
      <c r="AS63">
        <v>2179.772051168125</v>
      </c>
      <c r="AT63">
        <v>2.6165997940602868</v>
      </c>
      <c r="AU63">
        <v>2081.7667961543643</v>
      </c>
      <c r="AV63">
        <v>3.5445388749421527</v>
      </c>
      <c r="AW63">
        <v>2820.0351289039768</v>
      </c>
      <c r="AX63">
        <v>2.8863566751859504</v>
      </c>
      <c r="AY63">
        <v>2296.3853707779422</v>
      </c>
      <c r="AZ63">
        <v>2.5491654748137598</v>
      </c>
      <c r="BA63">
        <v>2028.1160517618273</v>
      </c>
      <c r="BB63">
        <v>2.3725963455982448</v>
      </c>
      <c r="BC63">
        <v>1887.6376525579637</v>
      </c>
      <c r="BD63">
        <v>4.2442018538133652</v>
      </c>
      <c r="BE63">
        <v>3376.6869948939134</v>
      </c>
      <c r="BF63">
        <v>3.1716361140124687</v>
      </c>
      <c r="BG63">
        <v>2523.3536923083202</v>
      </c>
      <c r="BH63">
        <v>4.3558743892825236</v>
      </c>
      <c r="BI63">
        <v>3465.5336641131757</v>
      </c>
      <c r="BJ63">
        <v>4.2092701513128441</v>
      </c>
      <c r="BK63">
        <v>3348.8953323844989</v>
      </c>
      <c r="BL63">
        <v>3.7353109437700107</v>
      </c>
      <c r="BM63">
        <v>2971.8133868634204</v>
      </c>
      <c r="BN63">
        <v>3.0217212607652026</v>
      </c>
      <c r="BO63">
        <v>2404.0814350647952</v>
      </c>
      <c r="BP63">
        <v>4.1796475917916869</v>
      </c>
      <c r="BQ63">
        <v>3325.3276240294663</v>
      </c>
      <c r="BR63">
        <v>4.7091387935202054</v>
      </c>
      <c r="BS63">
        <v>3746.5908241246757</v>
      </c>
      <c r="BT63">
        <v>2.9665816945566776</v>
      </c>
      <c r="BU63">
        <v>2360.2123961892926</v>
      </c>
      <c r="BV63">
        <v>2.8445496549775791</v>
      </c>
      <c r="BW63">
        <v>2263.123705500162</v>
      </c>
      <c r="BX63">
        <v>3.36464686437178</v>
      </c>
      <c r="BY63">
        <v>2676.9130452941881</v>
      </c>
      <c r="BZ63">
        <v>4.4868107877462204</v>
      </c>
      <c r="CA63">
        <v>3569.7066627308932</v>
      </c>
      <c r="CB63">
        <v>3.9503274633838061</v>
      </c>
      <c r="CC63">
        <v>3142.8805298681564</v>
      </c>
      <c r="CD63">
        <v>2.8252050507116717</v>
      </c>
      <c r="CE63">
        <v>2247.733138346206</v>
      </c>
      <c r="CF63">
        <v>3.3493915385383564</v>
      </c>
      <c r="CG63">
        <v>2664.7759080611163</v>
      </c>
      <c r="CH63">
        <v>3.3033303471202524</v>
      </c>
      <c r="CI63">
        <v>2628.1296241688729</v>
      </c>
      <c r="CJ63">
        <v>2.3167670368494249</v>
      </c>
      <c r="CK63">
        <v>1843.2198545174024</v>
      </c>
      <c r="CL63">
        <v>3.2294072636301823</v>
      </c>
      <c r="CM63">
        <v>2569.3164189441732</v>
      </c>
      <c r="CN63">
        <v>2.4393233852486143</v>
      </c>
      <c r="CO63">
        <v>1940.7256853037975</v>
      </c>
      <c r="CP63">
        <v>2.8373166345881309</v>
      </c>
      <c r="CQ63">
        <v>2257.369114478317</v>
      </c>
      <c r="CR63">
        <v>2.9189611798402506</v>
      </c>
      <c r="CS63">
        <v>2322.3255146809033</v>
      </c>
      <c r="CT63">
        <v>3.7047294506631214</v>
      </c>
      <c r="CU63">
        <v>2947.4827509475795</v>
      </c>
    </row>
    <row r="64" spans="2:99" x14ac:dyDescent="0.2">
      <c r="C64" s="119" t="s">
        <v>230</v>
      </c>
      <c r="D64">
        <v>17</v>
      </c>
      <c r="E64">
        <v>17156.399999999998</v>
      </c>
      <c r="F64">
        <v>13.265955474667599</v>
      </c>
      <c r="G64">
        <v>13388.002265034538</v>
      </c>
      <c r="H64">
        <v>11.097551859481515</v>
      </c>
      <c r="I64">
        <v>11199.649336588742</v>
      </c>
      <c r="J64">
        <v>12</v>
      </c>
      <c r="K64">
        <v>12110.399999999998</v>
      </c>
      <c r="L64">
        <v>16</v>
      </c>
      <c r="M64">
        <v>16147.199999999997</v>
      </c>
      <c r="N64">
        <v>16</v>
      </c>
      <c r="O64">
        <v>16147.199999999997</v>
      </c>
      <c r="P64">
        <v>13</v>
      </c>
      <c r="Q64">
        <v>13119.599999999999</v>
      </c>
      <c r="R64">
        <v>16</v>
      </c>
      <c r="S64">
        <v>16147.199999999997</v>
      </c>
      <c r="T64">
        <v>15</v>
      </c>
      <c r="U64">
        <v>15137.999999999996</v>
      </c>
      <c r="V64">
        <v>17</v>
      </c>
      <c r="W64">
        <v>17156.399999999998</v>
      </c>
      <c r="X64">
        <v>14</v>
      </c>
      <c r="Y64">
        <v>14128.799999999997</v>
      </c>
      <c r="Z64">
        <v>10</v>
      </c>
      <c r="AA64">
        <v>10091.999999999998</v>
      </c>
      <c r="AB64">
        <v>12</v>
      </c>
      <c r="AC64">
        <v>12110.399999999998</v>
      </c>
      <c r="AD64">
        <v>12</v>
      </c>
      <c r="AE64">
        <v>12110.399999999998</v>
      </c>
      <c r="AF64">
        <v>11</v>
      </c>
      <c r="AG64">
        <v>11101.199999999997</v>
      </c>
      <c r="AH64">
        <v>9</v>
      </c>
      <c r="AI64">
        <v>9082.7999999999993</v>
      </c>
      <c r="AJ64">
        <v>17</v>
      </c>
      <c r="AK64">
        <v>17156.399999999998</v>
      </c>
      <c r="AL64">
        <v>10</v>
      </c>
      <c r="AM64">
        <v>10091.999999999998</v>
      </c>
      <c r="AN64">
        <v>5.8018193079677838</v>
      </c>
      <c r="AO64">
        <v>5855.1960456010866</v>
      </c>
      <c r="AP64">
        <v>4.1635792948535464</v>
      </c>
      <c r="AQ64">
        <v>4201.8842243661984</v>
      </c>
      <c r="AR64">
        <v>2.5114685523346503</v>
      </c>
      <c r="AS64">
        <v>2534.5740630161285</v>
      </c>
      <c r="AT64">
        <v>2.3787270855093516</v>
      </c>
      <c r="AU64">
        <v>2400.6113746960373</v>
      </c>
      <c r="AV64">
        <v>3.5445388749421527</v>
      </c>
      <c r="AW64">
        <v>3577.1486325916198</v>
      </c>
      <c r="AX64">
        <v>3.126886398118113</v>
      </c>
      <c r="AY64">
        <v>3155.6537529807993</v>
      </c>
      <c r="AZ64">
        <v>2.5491654748137598</v>
      </c>
      <c r="BA64">
        <v>2572.6177971820457</v>
      </c>
      <c r="BB64">
        <v>2.6362181617758278</v>
      </c>
      <c r="BC64">
        <v>2660.471368864165</v>
      </c>
      <c r="BD64">
        <v>4.5271486440675908</v>
      </c>
      <c r="BE64">
        <v>4568.7984115930121</v>
      </c>
      <c r="BF64">
        <v>3.1716361140124687</v>
      </c>
      <c r="BG64">
        <v>3200.8151662613827</v>
      </c>
      <c r="BH64">
        <v>4.3558743892825236</v>
      </c>
      <c r="BI64">
        <v>4395.9484336639216</v>
      </c>
      <c r="BJ64">
        <v>3.9286521412253217</v>
      </c>
      <c r="BK64">
        <v>3964.7957409245942</v>
      </c>
      <c r="BL64">
        <v>3.7353109437700107</v>
      </c>
      <c r="BM64">
        <v>3769.6758044526941</v>
      </c>
      <c r="BN64">
        <v>3.2231693448162164</v>
      </c>
      <c r="BO64">
        <v>3252.8225027885251</v>
      </c>
      <c r="BP64">
        <v>3.7152423038148328</v>
      </c>
      <c r="BQ64">
        <v>3749.4225330099284</v>
      </c>
      <c r="BR64">
        <v>4.4321306291954876</v>
      </c>
      <c r="BS64">
        <v>4472.9062309840856</v>
      </c>
      <c r="BT64">
        <v>3.2137968357697346</v>
      </c>
      <c r="BU64">
        <v>3243.3637666588156</v>
      </c>
      <c r="BV64">
        <v>2.3704580458146496</v>
      </c>
      <c r="BW64">
        <v>2392.2662598361439</v>
      </c>
      <c r="BX64">
        <v>3.1403370734136611</v>
      </c>
      <c r="BY64">
        <v>3169.2281744890661</v>
      </c>
      <c r="BZ64">
        <v>3.9259594392779427</v>
      </c>
      <c r="CA64">
        <v>3962.0782661192989</v>
      </c>
      <c r="CB64">
        <v>4.2324937107683631</v>
      </c>
      <c r="CC64">
        <v>4271.4326529074315</v>
      </c>
      <c r="CD64">
        <v>3.0820418735036417</v>
      </c>
      <c r="CE64">
        <v>3110.3966587398745</v>
      </c>
      <c r="CF64">
        <v>3.3493915385383564</v>
      </c>
      <c r="CG64">
        <v>3380.2059406929088</v>
      </c>
      <c r="CH64">
        <v>3.5392825147717</v>
      </c>
      <c r="CI64">
        <v>3571.843913907599</v>
      </c>
      <c r="CJ64">
        <v>2.0850903331644828</v>
      </c>
      <c r="CK64">
        <v>2104.2731642295957</v>
      </c>
      <c r="CL64">
        <v>2.9809913202740144</v>
      </c>
      <c r="CM64">
        <v>3008.4164404205349</v>
      </c>
      <c r="CN64">
        <v>2.6610800566348516</v>
      </c>
      <c r="CO64">
        <v>2685.5619931558917</v>
      </c>
      <c r="CP64">
        <v>3.1210482980469441</v>
      </c>
      <c r="CQ64">
        <v>3149.7619423889755</v>
      </c>
      <c r="CR64">
        <v>2.6757144148535632</v>
      </c>
      <c r="CS64">
        <v>2700.3309874702154</v>
      </c>
      <c r="CT64">
        <v>3.7047294506631214</v>
      </c>
      <c r="CU64">
        <v>3738.8129616092215</v>
      </c>
    </row>
    <row r="65" spans="2:99" x14ac:dyDescent="0.2">
      <c r="C65" s="119" t="s">
        <v>231</v>
      </c>
      <c r="D65">
        <v>15</v>
      </c>
      <c r="E65">
        <v>15390</v>
      </c>
      <c r="F65">
        <v>14.265955474667599</v>
      </c>
      <c r="G65">
        <v>14636.870317008957</v>
      </c>
      <c r="H65">
        <v>11.086712763983568</v>
      </c>
      <c r="I65">
        <v>11374.967295847142</v>
      </c>
      <c r="J65">
        <v>14</v>
      </c>
      <c r="K65">
        <v>14364</v>
      </c>
      <c r="L65">
        <v>17</v>
      </c>
      <c r="M65">
        <v>17442</v>
      </c>
      <c r="N65">
        <v>17</v>
      </c>
      <c r="O65">
        <v>17442</v>
      </c>
      <c r="P65">
        <v>14</v>
      </c>
      <c r="Q65">
        <v>14364</v>
      </c>
      <c r="R65">
        <v>17</v>
      </c>
      <c r="S65">
        <v>17442</v>
      </c>
      <c r="T65">
        <v>14</v>
      </c>
      <c r="U65">
        <v>14364</v>
      </c>
      <c r="V65">
        <v>16</v>
      </c>
      <c r="W65">
        <v>16416</v>
      </c>
      <c r="X65">
        <v>14</v>
      </c>
      <c r="Y65">
        <v>14364</v>
      </c>
      <c r="Z65">
        <v>10</v>
      </c>
      <c r="AA65">
        <v>10260</v>
      </c>
      <c r="AB65">
        <v>14</v>
      </c>
      <c r="AC65">
        <v>14364</v>
      </c>
      <c r="AD65">
        <v>13</v>
      </c>
      <c r="AE65">
        <v>13338</v>
      </c>
      <c r="AF65">
        <v>11</v>
      </c>
      <c r="AG65">
        <v>11286</v>
      </c>
      <c r="AH65">
        <v>9</v>
      </c>
      <c r="AI65">
        <v>9234</v>
      </c>
      <c r="AJ65">
        <v>15</v>
      </c>
      <c r="AK65">
        <v>15390</v>
      </c>
      <c r="AL65">
        <v>9</v>
      </c>
      <c r="AM65">
        <v>9234</v>
      </c>
      <c r="AN65">
        <v>5.8018193079677838</v>
      </c>
      <c r="AO65">
        <v>5952.6666099749464</v>
      </c>
      <c r="AP65">
        <v>3.6084353888730734</v>
      </c>
      <c r="AQ65">
        <v>3702.2547089837731</v>
      </c>
      <c r="AR65">
        <v>2.5114685523346503</v>
      </c>
      <c r="AS65">
        <v>2576.7667346953513</v>
      </c>
      <c r="AT65">
        <v>2.3787270855093516</v>
      </c>
      <c r="AU65">
        <v>2440.5739897325948</v>
      </c>
      <c r="AV65">
        <v>3.5445388749421527</v>
      </c>
      <c r="AW65">
        <v>3636.6968856906487</v>
      </c>
      <c r="AX65">
        <v>2.8863566751859504</v>
      </c>
      <c r="AY65">
        <v>2961.401948740785</v>
      </c>
      <c r="AZ65">
        <v>2.2942489273323838</v>
      </c>
      <c r="BA65">
        <v>2353.8993994430257</v>
      </c>
      <c r="BB65">
        <v>2.3725963455982448</v>
      </c>
      <c r="BC65">
        <v>2434.283850583799</v>
      </c>
      <c r="BD65">
        <v>3.9612550635591415</v>
      </c>
      <c r="BE65">
        <v>4064.247695211679</v>
      </c>
      <c r="BF65">
        <v>3.3830785216132995</v>
      </c>
      <c r="BG65">
        <v>3471.0385631752451</v>
      </c>
      <c r="BH65">
        <v>3.7336066193850201</v>
      </c>
      <c r="BI65">
        <v>3830.6803914890306</v>
      </c>
      <c r="BJ65">
        <v>3.9286521412253217</v>
      </c>
      <c r="BK65">
        <v>4030.7970968971799</v>
      </c>
      <c r="BL65">
        <v>3.7353109437700107</v>
      </c>
      <c r="BM65">
        <v>3832.4290283080309</v>
      </c>
      <c r="BN65">
        <v>3.0217212607652026</v>
      </c>
      <c r="BO65">
        <v>3100.2860135450978</v>
      </c>
      <c r="BP65">
        <v>3.7152423038148328</v>
      </c>
      <c r="BQ65">
        <v>3811.8386037140185</v>
      </c>
      <c r="BR65">
        <v>4.1551224648707699</v>
      </c>
      <c r="BS65">
        <v>4263.1556489574095</v>
      </c>
      <c r="BT65">
        <v>2.9665816945566776</v>
      </c>
      <c r="BU65">
        <v>3043.7128186151513</v>
      </c>
      <c r="BV65">
        <v>2.8445496549775791</v>
      </c>
      <c r="BW65">
        <v>2918.507946006996</v>
      </c>
      <c r="BX65">
        <v>3.1403370734136611</v>
      </c>
      <c r="BY65">
        <v>3221.985837322416</v>
      </c>
      <c r="BZ65">
        <v>4.4868107877462204</v>
      </c>
      <c r="CA65">
        <v>4603.4678682276226</v>
      </c>
      <c r="CB65">
        <v>3.9503274633838061</v>
      </c>
      <c r="CC65">
        <v>4053.0359774317849</v>
      </c>
      <c r="CD65">
        <v>3.0820418735036417</v>
      </c>
      <c r="CE65">
        <v>3162.1749622147363</v>
      </c>
      <c r="CF65">
        <v>3.6070370415028457</v>
      </c>
      <c r="CG65">
        <v>3700.8200045819194</v>
      </c>
      <c r="CH65">
        <v>3.3033303471202524</v>
      </c>
      <c r="CI65">
        <v>3389.2169361453789</v>
      </c>
      <c r="CJ65">
        <v>1.8534136294795402</v>
      </c>
      <c r="CK65">
        <v>1901.6023838460083</v>
      </c>
      <c r="CL65">
        <v>2.9809913202740144</v>
      </c>
      <c r="CM65">
        <v>3058.4970946011385</v>
      </c>
      <c r="CN65">
        <v>2.8828367280210894</v>
      </c>
      <c r="CO65">
        <v>2957.7904829496379</v>
      </c>
      <c r="CP65">
        <v>2.8373166345881309</v>
      </c>
      <c r="CQ65">
        <v>2911.0868670874224</v>
      </c>
      <c r="CR65">
        <v>2.4324676498668758</v>
      </c>
      <c r="CS65">
        <v>2495.7118087634144</v>
      </c>
      <c r="CT65">
        <v>3.2416382693302315</v>
      </c>
      <c r="CU65">
        <v>3325.9208643328175</v>
      </c>
    </row>
    <row r="66" spans="2:99" x14ac:dyDescent="0.2">
      <c r="C66" s="119" t="s">
        <v>232</v>
      </c>
      <c r="D66">
        <v>14</v>
      </c>
      <c r="E66">
        <v>16665.599999999999</v>
      </c>
      <c r="F66">
        <v>14.265955474667599</v>
      </c>
      <c r="G66">
        <v>16982.19339704431</v>
      </c>
      <c r="H66">
        <v>12.081293216234595</v>
      </c>
      <c r="I66">
        <v>14381.571444605661</v>
      </c>
      <c r="J66">
        <v>12</v>
      </c>
      <c r="K66">
        <v>14284.8</v>
      </c>
      <c r="L66">
        <v>16</v>
      </c>
      <c r="M66">
        <v>19046.399999999998</v>
      </c>
      <c r="N66">
        <v>15</v>
      </c>
      <c r="O66">
        <v>17855.999999999996</v>
      </c>
      <c r="P66">
        <v>14</v>
      </c>
      <c r="Q66">
        <v>16665.599999999999</v>
      </c>
      <c r="R66">
        <v>15</v>
      </c>
      <c r="S66">
        <v>17855.999999999996</v>
      </c>
      <c r="T66">
        <v>14</v>
      </c>
      <c r="U66">
        <v>16665.599999999999</v>
      </c>
      <c r="V66">
        <v>15</v>
      </c>
      <c r="W66">
        <v>17855.999999999996</v>
      </c>
      <c r="X66">
        <v>14</v>
      </c>
      <c r="Y66">
        <v>16665.599999999999</v>
      </c>
      <c r="Z66">
        <v>9</v>
      </c>
      <c r="AA66">
        <v>10713.599999999999</v>
      </c>
      <c r="AB66">
        <v>14</v>
      </c>
      <c r="AC66">
        <v>16665.599999999999</v>
      </c>
      <c r="AD66">
        <v>13</v>
      </c>
      <c r="AE66">
        <v>15475.199999999999</v>
      </c>
      <c r="AF66">
        <v>10</v>
      </c>
      <c r="AG66">
        <v>11903.999999999998</v>
      </c>
      <c r="AH66">
        <v>9</v>
      </c>
      <c r="AI66">
        <v>10713.599999999999</v>
      </c>
      <c r="AJ66">
        <v>14</v>
      </c>
      <c r="AK66">
        <v>16665.599999999999</v>
      </c>
      <c r="AL66">
        <v>9</v>
      </c>
      <c r="AM66">
        <v>10713.599999999999</v>
      </c>
      <c r="AN66">
        <v>5.4392056012197969</v>
      </c>
      <c r="AO66">
        <v>6474.8303476920455</v>
      </c>
      <c r="AP66">
        <v>4.1635792948535464</v>
      </c>
      <c r="AQ66">
        <v>4956.3247925936612</v>
      </c>
      <c r="AR66">
        <v>2.5114685523346503</v>
      </c>
      <c r="AS66">
        <v>2989.6521646991673</v>
      </c>
      <c r="AT66">
        <v>2.1408543769584165</v>
      </c>
      <c r="AU66">
        <v>2548.4730503312985</v>
      </c>
      <c r="AV66">
        <v>3.0381761785218449</v>
      </c>
      <c r="AW66">
        <v>3616.6449229124037</v>
      </c>
      <c r="AX66">
        <v>2.6458269522537878</v>
      </c>
      <c r="AY66">
        <v>3149.5924039629085</v>
      </c>
      <c r="AZ66">
        <v>2.8040820222951361</v>
      </c>
      <c r="BA66">
        <v>3337.9792393401299</v>
      </c>
      <c r="BB66">
        <v>2.1089745294206623</v>
      </c>
      <c r="BC66">
        <v>2510.523279822356</v>
      </c>
      <c r="BD66">
        <v>4.5271486440675908</v>
      </c>
      <c r="BE66">
        <v>5389.1177458980592</v>
      </c>
      <c r="BF66">
        <v>2.9601937064116375</v>
      </c>
      <c r="BG66">
        <v>3523.8145881124128</v>
      </c>
      <c r="BH66">
        <v>3.7336066193850201</v>
      </c>
      <c r="BI66">
        <v>4444.4853197159273</v>
      </c>
      <c r="BJ66">
        <v>4.2092701513128441</v>
      </c>
      <c r="BK66">
        <v>5010.7151881228092</v>
      </c>
      <c r="BL66">
        <v>3.7353109437700107</v>
      </c>
      <c r="BM66">
        <v>4446.5141474638203</v>
      </c>
      <c r="BN66">
        <v>3.2231693448162164</v>
      </c>
      <c r="BO66">
        <v>3836.8607880692234</v>
      </c>
      <c r="BP66">
        <v>3.4830396598264057</v>
      </c>
      <c r="BQ66">
        <v>4146.2104110573528</v>
      </c>
      <c r="BR66">
        <v>4.4321306291954876</v>
      </c>
      <c r="BS66">
        <v>5276.0083009943082</v>
      </c>
      <c r="BT66">
        <v>2.9665816945566776</v>
      </c>
      <c r="BU66">
        <v>3531.4188492002686</v>
      </c>
      <c r="BV66">
        <v>2.6075038503961139</v>
      </c>
      <c r="BW66">
        <v>3103.9725835115337</v>
      </c>
      <c r="BX66">
        <v>3.36464686437178</v>
      </c>
      <c r="BY66">
        <v>4005.2756273481664</v>
      </c>
      <c r="BZ66">
        <v>3.9259594392779427</v>
      </c>
      <c r="CA66">
        <v>4673.4621165164626</v>
      </c>
      <c r="CB66">
        <v>3.9503274633838061</v>
      </c>
      <c r="CC66">
        <v>4702.4698124120823</v>
      </c>
      <c r="CD66">
        <v>2.5683682279197013</v>
      </c>
      <c r="CE66">
        <v>3057.3855385156121</v>
      </c>
      <c r="CF66">
        <v>3.0917460355738675</v>
      </c>
      <c r="CG66">
        <v>3680.4144807471316</v>
      </c>
      <c r="CH66">
        <v>3.3033303471202524</v>
      </c>
      <c r="CI66">
        <v>3932.284445211948</v>
      </c>
      <c r="CJ66">
        <v>1.8534136294795402</v>
      </c>
      <c r="CK66">
        <v>2206.3035845324443</v>
      </c>
      <c r="CL66">
        <v>2.7325753769178465</v>
      </c>
      <c r="CM66">
        <v>3252.8577286830041</v>
      </c>
      <c r="CN66">
        <v>2.4393233852486143</v>
      </c>
      <c r="CO66">
        <v>2903.77055779995</v>
      </c>
      <c r="CP66">
        <v>2.8373166345881309</v>
      </c>
      <c r="CQ66">
        <v>3377.5417218137104</v>
      </c>
      <c r="CR66">
        <v>2.6757144148535632</v>
      </c>
      <c r="CS66">
        <v>3185.1704394416811</v>
      </c>
      <c r="CT66">
        <v>3.7047294506631214</v>
      </c>
      <c r="CU66">
        <v>4410.1099380693795</v>
      </c>
    </row>
    <row r="67" spans="2:99" x14ac:dyDescent="0.2">
      <c r="C67" s="119" t="s">
        <v>233</v>
      </c>
      <c r="D67">
        <v>15</v>
      </c>
      <c r="E67">
        <v>16848</v>
      </c>
      <c r="F67">
        <v>14.265955474667599</v>
      </c>
      <c r="G67">
        <v>16023.521189146648</v>
      </c>
      <c r="H67">
        <v>11.081293216234595</v>
      </c>
      <c r="I67">
        <v>12446.508540474697</v>
      </c>
      <c r="J67">
        <v>13</v>
      </c>
      <c r="K67">
        <v>14601.6</v>
      </c>
      <c r="L67">
        <v>16</v>
      </c>
      <c r="M67">
        <v>17971.2</v>
      </c>
      <c r="N67">
        <v>15</v>
      </c>
      <c r="O67">
        <v>16848</v>
      </c>
      <c r="P67">
        <v>15</v>
      </c>
      <c r="Q67">
        <v>16848</v>
      </c>
      <c r="R67">
        <v>15</v>
      </c>
      <c r="S67">
        <v>16848</v>
      </c>
      <c r="T67">
        <v>15</v>
      </c>
      <c r="U67">
        <v>16848</v>
      </c>
      <c r="V67">
        <v>17</v>
      </c>
      <c r="W67">
        <v>19094.400000000001</v>
      </c>
      <c r="X67">
        <v>13</v>
      </c>
      <c r="Y67">
        <v>14601.6</v>
      </c>
      <c r="Z67">
        <v>9</v>
      </c>
      <c r="AA67">
        <v>10108.800000000001</v>
      </c>
      <c r="AB67">
        <v>13</v>
      </c>
      <c r="AC67">
        <v>14601.6</v>
      </c>
      <c r="AD67">
        <v>13</v>
      </c>
      <c r="AE67">
        <v>14601.6</v>
      </c>
      <c r="AF67">
        <v>10</v>
      </c>
      <c r="AG67">
        <v>11232</v>
      </c>
      <c r="AH67">
        <v>9</v>
      </c>
      <c r="AI67">
        <v>10108.800000000001</v>
      </c>
      <c r="AJ67">
        <v>17</v>
      </c>
      <c r="AK67">
        <v>19094.400000000001</v>
      </c>
      <c r="AL67">
        <v>11</v>
      </c>
      <c r="AM67">
        <v>12355.2</v>
      </c>
      <c r="AN67">
        <v>5.4392056012197969</v>
      </c>
      <c r="AO67">
        <v>6109.3157312900757</v>
      </c>
      <c r="AP67">
        <v>3.6084353888730734</v>
      </c>
      <c r="AQ67">
        <v>4052.9946287822363</v>
      </c>
      <c r="AR67">
        <v>2.2831532293951367</v>
      </c>
      <c r="AS67">
        <v>2564.4377072566176</v>
      </c>
      <c r="AT67">
        <v>2.3787270855093516</v>
      </c>
      <c r="AU67">
        <v>2671.7862624441041</v>
      </c>
      <c r="AV67">
        <v>3.5445388749421527</v>
      </c>
      <c r="AW67">
        <v>3981.226064335026</v>
      </c>
      <c r="AX67">
        <v>2.4052972293216253</v>
      </c>
      <c r="AY67">
        <v>2701.6298479740494</v>
      </c>
      <c r="AZ67">
        <v>2.8040820222951361</v>
      </c>
      <c r="BA67">
        <v>3149.544927441897</v>
      </c>
      <c r="BB67">
        <v>2.3725963455982448</v>
      </c>
      <c r="BC67">
        <v>2664.9002153759488</v>
      </c>
      <c r="BD67">
        <v>4.2442018538133652</v>
      </c>
      <c r="BE67">
        <v>4767.0875222031718</v>
      </c>
      <c r="BF67">
        <v>3.3830785216132995</v>
      </c>
      <c r="BG67">
        <v>3799.8737954760581</v>
      </c>
      <c r="BH67">
        <v>4.0447405043337712</v>
      </c>
      <c r="BI67">
        <v>4543.0525344676917</v>
      </c>
      <c r="BJ67">
        <v>3.9286521412253217</v>
      </c>
      <c r="BK67">
        <v>4412.6620850242816</v>
      </c>
      <c r="BL67">
        <v>3.4862902141853427</v>
      </c>
      <c r="BM67">
        <v>3915.8011685729771</v>
      </c>
      <c r="BN67">
        <v>3.4246174288672298</v>
      </c>
      <c r="BO67">
        <v>3846.5302961036728</v>
      </c>
      <c r="BP67">
        <v>3.7152423038148328</v>
      </c>
      <c r="BQ67">
        <v>4172.9601556448206</v>
      </c>
      <c r="BR67">
        <v>3.8781143005460521</v>
      </c>
      <c r="BS67">
        <v>4355.8979823733262</v>
      </c>
      <c r="BT67">
        <v>2.9665816945566776</v>
      </c>
      <c r="BU67">
        <v>3332.0645593260606</v>
      </c>
      <c r="BV67">
        <v>2.3704580458146496</v>
      </c>
      <c r="BW67">
        <v>2662.4984770590145</v>
      </c>
      <c r="BX67">
        <v>3.5889566553298988</v>
      </c>
      <c r="BY67">
        <v>4031.1161152665427</v>
      </c>
      <c r="BZ67">
        <v>4.4868107877462204</v>
      </c>
      <c r="CA67">
        <v>5039.5858767965547</v>
      </c>
      <c r="CB67">
        <v>4.2324937107683631</v>
      </c>
      <c r="CC67">
        <v>4753.9369359350258</v>
      </c>
      <c r="CD67">
        <v>2.8252050507116717</v>
      </c>
      <c r="CE67">
        <v>3173.2703129593497</v>
      </c>
      <c r="CF67">
        <v>3.3493915385383564</v>
      </c>
      <c r="CG67">
        <v>3762.0365760862819</v>
      </c>
      <c r="CH67">
        <v>3.5392825147717</v>
      </c>
      <c r="CI67">
        <v>3975.3221205915734</v>
      </c>
      <c r="CJ67">
        <v>2.0850903331644828</v>
      </c>
      <c r="CK67">
        <v>2341.973462210347</v>
      </c>
      <c r="CL67">
        <v>3.2294072636301823</v>
      </c>
      <c r="CM67">
        <v>3627.2702385094208</v>
      </c>
      <c r="CN67">
        <v>2.4393233852486143</v>
      </c>
      <c r="CO67">
        <v>2739.8480263112438</v>
      </c>
      <c r="CP67">
        <v>2.5535849711293177</v>
      </c>
      <c r="CQ67">
        <v>2868.1866395724496</v>
      </c>
      <c r="CR67">
        <v>2.4324676498668758</v>
      </c>
      <c r="CS67">
        <v>2732.147664330475</v>
      </c>
      <c r="CT67">
        <v>3.4731838599966762</v>
      </c>
      <c r="CU67">
        <v>3901.0801115482668</v>
      </c>
    </row>
    <row r="68" spans="2:99" x14ac:dyDescent="0.2">
      <c r="C68" s="119" t="s">
        <v>234</v>
      </c>
      <c r="D68">
        <v>16</v>
      </c>
      <c r="E68">
        <v>16531.2</v>
      </c>
      <c r="F68">
        <v>13.246958655048484</v>
      </c>
      <c r="G68">
        <v>13686.757682396094</v>
      </c>
      <c r="H68">
        <v>10.097551859481515</v>
      </c>
      <c r="I68">
        <v>10432.790581216301</v>
      </c>
      <c r="J68">
        <v>12</v>
      </c>
      <c r="K68">
        <v>12398.400000000001</v>
      </c>
      <c r="L68">
        <v>16</v>
      </c>
      <c r="M68">
        <v>16531.2</v>
      </c>
      <c r="N68">
        <v>16</v>
      </c>
      <c r="O68">
        <v>16531.2</v>
      </c>
      <c r="P68">
        <v>12</v>
      </c>
      <c r="Q68">
        <v>12398.400000000001</v>
      </c>
      <c r="R68">
        <v>16</v>
      </c>
      <c r="S68">
        <v>16531.2</v>
      </c>
      <c r="T68">
        <v>13</v>
      </c>
      <c r="U68">
        <v>13431.6</v>
      </c>
      <c r="V68">
        <v>16</v>
      </c>
      <c r="W68">
        <v>16531.2</v>
      </c>
      <c r="X68">
        <v>13</v>
      </c>
      <c r="Y68">
        <v>13431.6</v>
      </c>
      <c r="Z68">
        <v>9</v>
      </c>
      <c r="AA68">
        <v>9298.8000000000011</v>
      </c>
      <c r="AB68">
        <v>13</v>
      </c>
      <c r="AC68">
        <v>13431.6</v>
      </c>
      <c r="AD68">
        <v>13</v>
      </c>
      <c r="AE68">
        <v>13431.6</v>
      </c>
      <c r="AF68">
        <v>11</v>
      </c>
      <c r="AG68">
        <v>11365.2</v>
      </c>
      <c r="AH68">
        <v>10</v>
      </c>
      <c r="AI68">
        <v>10332</v>
      </c>
      <c r="AJ68">
        <v>16</v>
      </c>
      <c r="AK68">
        <v>16531.2</v>
      </c>
      <c r="AL68">
        <v>10</v>
      </c>
      <c r="AM68">
        <v>10332</v>
      </c>
      <c r="AN68">
        <v>5.8018193079677838</v>
      </c>
      <c r="AO68">
        <v>5994.4397089923141</v>
      </c>
      <c r="AP68">
        <v>3.6084353888730734</v>
      </c>
      <c r="AQ68">
        <v>3728.2354437836598</v>
      </c>
      <c r="AR68">
        <v>2.2831532293951367</v>
      </c>
      <c r="AS68">
        <v>2358.9539166110553</v>
      </c>
      <c r="AT68">
        <v>2.1408543769584165</v>
      </c>
      <c r="AU68">
        <v>2211.930742273436</v>
      </c>
      <c r="AV68">
        <v>3.5445388749421527</v>
      </c>
      <c r="AW68">
        <v>3662.2175655902324</v>
      </c>
      <c r="AX68">
        <v>2.6458269522537878</v>
      </c>
      <c r="AY68">
        <v>2733.6684070686138</v>
      </c>
      <c r="AZ68">
        <v>2.5491654748137598</v>
      </c>
      <c r="BA68">
        <v>2633.7977685775768</v>
      </c>
      <c r="BB68">
        <v>2.3725963455982448</v>
      </c>
      <c r="BC68">
        <v>2451.3665442721067</v>
      </c>
      <c r="BD68">
        <v>3.9612550635591415</v>
      </c>
      <c r="BE68">
        <v>4092.768731669305</v>
      </c>
      <c r="BF68">
        <v>3.1716361140124687</v>
      </c>
      <c r="BG68">
        <v>3276.934432997683</v>
      </c>
      <c r="BH68">
        <v>4.0447405043337712</v>
      </c>
      <c r="BI68">
        <v>4179.0258890776522</v>
      </c>
      <c r="BJ68">
        <v>4.2092701513128441</v>
      </c>
      <c r="BK68">
        <v>4349.0179203364305</v>
      </c>
      <c r="BL68">
        <v>3.7353109437700107</v>
      </c>
      <c r="BM68">
        <v>3859.3232671031751</v>
      </c>
      <c r="BN68">
        <v>2.8202731767141893</v>
      </c>
      <c r="BO68">
        <v>2913.9062461811004</v>
      </c>
      <c r="BP68">
        <v>3.7152423038148328</v>
      </c>
      <c r="BQ68">
        <v>3838.5883483014854</v>
      </c>
      <c r="BR68">
        <v>4.4321306291954876</v>
      </c>
      <c r="BS68">
        <v>4579.2773660847779</v>
      </c>
      <c r="BT68">
        <v>3.2137968357697346</v>
      </c>
      <c r="BU68">
        <v>3320.4948907172898</v>
      </c>
      <c r="BV68">
        <v>2.3704580458146496</v>
      </c>
      <c r="BW68">
        <v>2449.1572529356959</v>
      </c>
      <c r="BX68">
        <v>2.9160272824555427</v>
      </c>
      <c r="BY68">
        <v>3012.839388233067</v>
      </c>
      <c r="BZ68">
        <v>3.9259594392779427</v>
      </c>
      <c r="CA68">
        <v>4056.3012926619704</v>
      </c>
      <c r="CB68">
        <v>4.2324937107683631</v>
      </c>
      <c r="CC68">
        <v>4373.0125019658726</v>
      </c>
      <c r="CD68">
        <v>3.0820418735036417</v>
      </c>
      <c r="CE68">
        <v>3184.3656637039626</v>
      </c>
      <c r="CF68">
        <v>3.3493915385383564</v>
      </c>
      <c r="CG68">
        <v>3460.59133761783</v>
      </c>
      <c r="CH68">
        <v>3.0673781794688062</v>
      </c>
      <c r="CI68">
        <v>3169.2151350271706</v>
      </c>
      <c r="CJ68">
        <v>1.8534136294795402</v>
      </c>
      <c r="CK68">
        <v>1914.946961978261</v>
      </c>
      <c r="CL68">
        <v>2.9809913202740144</v>
      </c>
      <c r="CM68">
        <v>3079.960232107112</v>
      </c>
      <c r="CN68">
        <v>2.6610800566348516</v>
      </c>
      <c r="CO68">
        <v>2749.4279145151286</v>
      </c>
      <c r="CP68">
        <v>2.8373166345881309</v>
      </c>
      <c r="CQ68">
        <v>2931.5155468564571</v>
      </c>
      <c r="CR68">
        <v>2.6757144148535632</v>
      </c>
      <c r="CS68">
        <v>2764.5481334267015</v>
      </c>
      <c r="CT68">
        <v>3.7047294506631214</v>
      </c>
      <c r="CU68">
        <v>3827.7264684251372</v>
      </c>
    </row>
    <row r="69" spans="2:99" x14ac:dyDescent="0.2">
      <c r="C69" s="119" t="s">
        <v>235</v>
      </c>
      <c r="D69">
        <v>16</v>
      </c>
      <c r="E69">
        <v>12134.4</v>
      </c>
      <c r="F69">
        <v>14.284952294286713</v>
      </c>
      <c r="G69">
        <v>10833.707819987043</v>
      </c>
      <c r="H69">
        <v>12.081293216234595</v>
      </c>
      <c r="I69">
        <v>9162.452775192316</v>
      </c>
      <c r="J69">
        <v>12</v>
      </c>
      <c r="K69">
        <v>9100.7999999999993</v>
      </c>
      <c r="L69">
        <v>15</v>
      </c>
      <c r="M69">
        <v>11376</v>
      </c>
      <c r="N69">
        <v>16</v>
      </c>
      <c r="O69">
        <v>12134.4</v>
      </c>
      <c r="P69">
        <v>13</v>
      </c>
      <c r="Q69">
        <v>9859.1999999999989</v>
      </c>
      <c r="R69">
        <v>16</v>
      </c>
      <c r="S69">
        <v>12134.4</v>
      </c>
      <c r="T69">
        <v>14</v>
      </c>
      <c r="U69">
        <v>10617.6</v>
      </c>
      <c r="V69">
        <v>19</v>
      </c>
      <c r="W69">
        <v>14409.6</v>
      </c>
      <c r="X69">
        <v>13</v>
      </c>
      <c r="Y69">
        <v>9859.1999999999989</v>
      </c>
      <c r="Z69">
        <v>9</v>
      </c>
      <c r="AA69">
        <v>6825.5999999999995</v>
      </c>
      <c r="AB69">
        <v>15</v>
      </c>
      <c r="AC69">
        <v>11376</v>
      </c>
      <c r="AD69">
        <v>13</v>
      </c>
      <c r="AE69">
        <v>9859.1999999999989</v>
      </c>
      <c r="AF69">
        <v>11</v>
      </c>
      <c r="AG69">
        <v>8342.4</v>
      </c>
      <c r="AH69">
        <v>8</v>
      </c>
      <c r="AI69">
        <v>6067.2</v>
      </c>
      <c r="AJ69">
        <v>16</v>
      </c>
      <c r="AK69">
        <v>12134.4</v>
      </c>
      <c r="AL69">
        <v>11</v>
      </c>
      <c r="AM69">
        <v>8342.4</v>
      </c>
      <c r="AN69">
        <v>5.4392056012197969</v>
      </c>
      <c r="AO69">
        <v>4125.0935279650939</v>
      </c>
      <c r="AP69">
        <v>3.8860073418633099</v>
      </c>
      <c r="AQ69">
        <v>2947.1479680691341</v>
      </c>
      <c r="AR69">
        <v>2.7397838752741639</v>
      </c>
      <c r="AS69">
        <v>2077.852091007926</v>
      </c>
      <c r="AT69">
        <v>2.3787270855093516</v>
      </c>
      <c r="AU69">
        <v>1804.0266216502923</v>
      </c>
      <c r="AV69">
        <v>3.5445388749421527</v>
      </c>
      <c r="AW69">
        <v>2688.1782827561287</v>
      </c>
      <c r="AX69">
        <v>2.8863566751859504</v>
      </c>
      <c r="AY69">
        <v>2189.0129024610246</v>
      </c>
      <c r="AZ69">
        <v>2.5491654748137598</v>
      </c>
      <c r="BA69">
        <v>1933.2870960987555</v>
      </c>
      <c r="BB69">
        <v>2.6362181617758278</v>
      </c>
      <c r="BC69">
        <v>1999.3078538907878</v>
      </c>
      <c r="BD69">
        <v>4.5271486440675908</v>
      </c>
      <c r="BE69">
        <v>3433.3895316608609</v>
      </c>
      <c r="BF69">
        <v>3.5945209292141316</v>
      </c>
      <c r="BG69">
        <v>2726.0846727159974</v>
      </c>
      <c r="BH69">
        <v>4.0447405043337712</v>
      </c>
      <c r="BI69">
        <v>3067.5311984867321</v>
      </c>
      <c r="BJ69">
        <v>4.4898881614003665</v>
      </c>
      <c r="BK69">
        <v>3405.1311816060379</v>
      </c>
      <c r="BL69">
        <v>3.4862902141853427</v>
      </c>
      <c r="BM69">
        <v>2644.0024984381639</v>
      </c>
      <c r="BN69">
        <v>3.2231693448162164</v>
      </c>
      <c r="BO69">
        <v>2444.4516311086186</v>
      </c>
      <c r="BP69">
        <v>4.1796475917916869</v>
      </c>
      <c r="BQ69">
        <v>3169.8447336148151</v>
      </c>
      <c r="BR69">
        <v>4.4321306291954876</v>
      </c>
      <c r="BS69">
        <v>3361.3278691818577</v>
      </c>
      <c r="BT69">
        <v>3.2137968357697346</v>
      </c>
      <c r="BU69">
        <v>2437.3435202477667</v>
      </c>
      <c r="BV69">
        <v>2.6075038503961139</v>
      </c>
      <c r="BW69">
        <v>1977.5309201404127</v>
      </c>
      <c r="BX69">
        <v>3.1403370734136611</v>
      </c>
      <c r="BY69">
        <v>2381.6316364769204</v>
      </c>
      <c r="BZ69">
        <v>4.2063851135120816</v>
      </c>
      <c r="CA69">
        <v>3190.1224700875628</v>
      </c>
      <c r="CB69">
        <v>4.2324937107683631</v>
      </c>
      <c r="CC69">
        <v>3209.9232302467267</v>
      </c>
      <c r="CD69">
        <v>3.0820418735036417</v>
      </c>
      <c r="CE69">
        <v>2337.4205568651619</v>
      </c>
      <c r="CF69">
        <v>3.0917460355738675</v>
      </c>
      <c r="CG69">
        <v>2344.7801933792211</v>
      </c>
      <c r="CH69">
        <v>3.7752346824231462</v>
      </c>
      <c r="CI69">
        <v>2863.1379831497138</v>
      </c>
      <c r="CJ69">
        <v>1.8534136294795402</v>
      </c>
      <c r="CK69">
        <v>1405.6288965972833</v>
      </c>
      <c r="CL69">
        <v>3.2294072636301823</v>
      </c>
      <c r="CM69">
        <v>2449.18246873713</v>
      </c>
      <c r="CN69">
        <v>2.6610800566348516</v>
      </c>
      <c r="CO69">
        <v>2018.1631149518714</v>
      </c>
      <c r="CP69">
        <v>2.8373166345881309</v>
      </c>
      <c r="CQ69">
        <v>2151.8209356716384</v>
      </c>
      <c r="CR69">
        <v>2.6757144148535632</v>
      </c>
      <c r="CS69">
        <v>2029.2618122249423</v>
      </c>
      <c r="CT69">
        <v>3.2416382693302315</v>
      </c>
      <c r="CU69">
        <v>2458.4584634600474</v>
      </c>
    </row>
    <row r="70" spans="2:99" x14ac:dyDescent="0.2">
      <c r="C70" s="119" t="s">
        <v>236</v>
      </c>
      <c r="D70">
        <v>15</v>
      </c>
      <c r="E70">
        <v>8027.9999999999991</v>
      </c>
      <c r="F70">
        <v>13.265955474667599</v>
      </c>
      <c r="G70">
        <v>7099.9393700420978</v>
      </c>
      <c r="H70">
        <v>12.086712763983568</v>
      </c>
      <c r="I70">
        <v>6468.808671284005</v>
      </c>
      <c r="J70">
        <v>14</v>
      </c>
      <c r="K70">
        <v>7492.7999999999993</v>
      </c>
      <c r="L70">
        <v>15</v>
      </c>
      <c r="M70">
        <v>8027.9999999999991</v>
      </c>
      <c r="N70">
        <v>17</v>
      </c>
      <c r="O70">
        <v>9098.4</v>
      </c>
      <c r="P70">
        <v>14</v>
      </c>
      <c r="Q70">
        <v>7492.7999999999993</v>
      </c>
      <c r="R70">
        <v>16</v>
      </c>
      <c r="S70">
        <v>8563.1999999999989</v>
      </c>
      <c r="T70">
        <v>15</v>
      </c>
      <c r="U70">
        <v>8027.9999999999991</v>
      </c>
      <c r="V70">
        <v>17</v>
      </c>
      <c r="W70">
        <v>9098.4</v>
      </c>
      <c r="X70">
        <v>13</v>
      </c>
      <c r="Y70">
        <v>6957.5999999999995</v>
      </c>
      <c r="Z70">
        <v>10</v>
      </c>
      <c r="AA70">
        <v>5351.9999999999991</v>
      </c>
      <c r="AB70">
        <v>14</v>
      </c>
      <c r="AC70">
        <v>7492.7999999999993</v>
      </c>
      <c r="AD70">
        <v>13</v>
      </c>
      <c r="AE70">
        <v>6957.5999999999995</v>
      </c>
      <c r="AF70">
        <v>11</v>
      </c>
      <c r="AG70">
        <v>5887.1999999999989</v>
      </c>
      <c r="AH70">
        <v>10</v>
      </c>
      <c r="AI70">
        <v>5351.9999999999991</v>
      </c>
      <c r="AJ70">
        <v>18</v>
      </c>
      <c r="AK70">
        <v>9633.5999999999985</v>
      </c>
      <c r="AL70">
        <v>11</v>
      </c>
      <c r="AM70">
        <v>5887.1999999999989</v>
      </c>
      <c r="AN70">
        <v>6.1644330147157698</v>
      </c>
      <c r="AO70">
        <v>3299.2045494758795</v>
      </c>
      <c r="AP70">
        <v>4.1635792948535464</v>
      </c>
      <c r="AQ70">
        <v>2228.3476386056177</v>
      </c>
      <c r="AR70">
        <v>2.7397838752741639</v>
      </c>
      <c r="AS70">
        <v>1466.3323300467323</v>
      </c>
      <c r="AT70">
        <v>2.3787270855093516</v>
      </c>
      <c r="AU70">
        <v>1273.0947361646049</v>
      </c>
      <c r="AV70">
        <v>3.5445388749421527</v>
      </c>
      <c r="AW70">
        <v>1897.0372058690398</v>
      </c>
      <c r="AX70">
        <v>3.126886398118113</v>
      </c>
      <c r="AY70">
        <v>1673.5096002728139</v>
      </c>
      <c r="AZ70">
        <v>2.5491654748137598</v>
      </c>
      <c r="BA70">
        <v>1364.313362120324</v>
      </c>
      <c r="BB70">
        <v>2.6362181617758278</v>
      </c>
      <c r="BC70">
        <v>1410.9039601824229</v>
      </c>
      <c r="BD70">
        <v>3.9612550635591415</v>
      </c>
      <c r="BE70">
        <v>2120.0637100168524</v>
      </c>
      <c r="BF70">
        <v>3.3830785216132995</v>
      </c>
      <c r="BG70">
        <v>1810.6236247674376</v>
      </c>
      <c r="BH70">
        <v>4.3558743892825236</v>
      </c>
      <c r="BI70">
        <v>2331.2639731440063</v>
      </c>
      <c r="BJ70">
        <v>4.2092701513128441</v>
      </c>
      <c r="BK70">
        <v>2252.8013849826339</v>
      </c>
      <c r="BL70">
        <v>3.7353109437700107</v>
      </c>
      <c r="BM70">
        <v>1999.1384171057096</v>
      </c>
      <c r="BN70">
        <v>3.2231693448162164</v>
      </c>
      <c r="BO70">
        <v>1725.0402333456389</v>
      </c>
      <c r="BP70">
        <v>4.1796475917916869</v>
      </c>
      <c r="BQ70">
        <v>2236.9473911269106</v>
      </c>
      <c r="BR70">
        <v>4.1551224648707699</v>
      </c>
      <c r="BS70">
        <v>2223.8215431988356</v>
      </c>
      <c r="BT70">
        <v>2.9665816945566776</v>
      </c>
      <c r="BU70">
        <v>1587.7145229267337</v>
      </c>
      <c r="BV70">
        <v>2.3704580458146496</v>
      </c>
      <c r="BW70">
        <v>1268.6691461200003</v>
      </c>
      <c r="BX70">
        <v>3.1403370734136611</v>
      </c>
      <c r="BY70">
        <v>1680.7084016909912</v>
      </c>
      <c r="BZ70">
        <v>4.4868107877462204</v>
      </c>
      <c r="CA70">
        <v>2401.3411336017771</v>
      </c>
      <c r="CB70">
        <v>4.5146599581529205</v>
      </c>
      <c r="CC70">
        <v>2416.2460096034429</v>
      </c>
      <c r="CD70">
        <v>3.0820418735036417</v>
      </c>
      <c r="CE70">
        <v>1649.5088106991489</v>
      </c>
      <c r="CF70">
        <v>3.6070370415028457</v>
      </c>
      <c r="CG70">
        <v>1930.4862246123228</v>
      </c>
      <c r="CH70">
        <v>4.0111868500745924</v>
      </c>
      <c r="CI70">
        <v>2146.7872021599214</v>
      </c>
      <c r="CJ70">
        <v>2.0850903331644828</v>
      </c>
      <c r="CK70">
        <v>1115.940346309631</v>
      </c>
      <c r="CL70">
        <v>3.4778232069863497</v>
      </c>
      <c r="CM70">
        <v>1861.3309803790942</v>
      </c>
      <c r="CN70">
        <v>2.8828367280210894</v>
      </c>
      <c r="CO70">
        <v>1542.8942168368869</v>
      </c>
      <c r="CP70">
        <v>3.4047799615057568</v>
      </c>
      <c r="CQ70">
        <v>1822.2382353978808</v>
      </c>
      <c r="CR70">
        <v>2.6757144148535632</v>
      </c>
      <c r="CS70">
        <v>1432.0423548296269</v>
      </c>
      <c r="CT70">
        <v>3.9362750413295666</v>
      </c>
      <c r="CU70">
        <v>2106.6944021195836</v>
      </c>
    </row>
    <row r="71" spans="2:99" x14ac:dyDescent="0.2">
      <c r="B71" s="119" t="s">
        <v>130</v>
      </c>
      <c r="C71" s="119" t="s">
        <v>237</v>
      </c>
      <c r="D71">
        <v>9.0542590748212159</v>
      </c>
      <c r="E71">
        <v>5106.6021181991655</v>
      </c>
      <c r="F71">
        <v>9</v>
      </c>
      <c r="G71">
        <v>5076</v>
      </c>
      <c r="H71">
        <v>10</v>
      </c>
      <c r="I71">
        <v>5640</v>
      </c>
      <c r="J71">
        <v>10</v>
      </c>
      <c r="K71">
        <v>5640</v>
      </c>
      <c r="L71">
        <v>9</v>
      </c>
      <c r="M71">
        <v>5076</v>
      </c>
      <c r="N71">
        <v>16</v>
      </c>
      <c r="O71">
        <v>9024</v>
      </c>
      <c r="P71">
        <v>15</v>
      </c>
      <c r="Q71">
        <v>8460</v>
      </c>
      <c r="R71">
        <v>8</v>
      </c>
      <c r="S71">
        <v>4512</v>
      </c>
      <c r="T71">
        <v>12</v>
      </c>
      <c r="U71">
        <v>6768</v>
      </c>
      <c r="V71">
        <v>10</v>
      </c>
      <c r="W71">
        <v>5640</v>
      </c>
      <c r="X71">
        <v>9</v>
      </c>
      <c r="Y71">
        <v>5076</v>
      </c>
      <c r="Z71">
        <v>15</v>
      </c>
      <c r="AA71">
        <v>8460</v>
      </c>
      <c r="AB71">
        <v>13</v>
      </c>
      <c r="AC71">
        <v>7332</v>
      </c>
      <c r="AD71">
        <v>9</v>
      </c>
      <c r="AE71">
        <v>5076</v>
      </c>
      <c r="AF71">
        <v>9</v>
      </c>
      <c r="AG71">
        <v>5076</v>
      </c>
      <c r="AH71">
        <v>13</v>
      </c>
      <c r="AI71">
        <v>7332</v>
      </c>
      <c r="AJ71">
        <v>13</v>
      </c>
      <c r="AK71">
        <v>7332</v>
      </c>
      <c r="AL71">
        <v>11</v>
      </c>
      <c r="AM71">
        <v>6204</v>
      </c>
      <c r="AN71">
        <v>14</v>
      </c>
      <c r="AO71">
        <v>7896</v>
      </c>
      <c r="AP71">
        <v>15</v>
      </c>
      <c r="AQ71">
        <v>8460</v>
      </c>
      <c r="AR71">
        <v>10</v>
      </c>
      <c r="AS71">
        <v>5640</v>
      </c>
      <c r="AT71">
        <v>13</v>
      </c>
      <c r="AU71">
        <v>7332</v>
      </c>
      <c r="AV71">
        <v>17</v>
      </c>
      <c r="AW71">
        <v>9588</v>
      </c>
      <c r="AX71">
        <v>10</v>
      </c>
      <c r="AY71">
        <v>5640</v>
      </c>
      <c r="AZ71">
        <v>12</v>
      </c>
      <c r="BA71">
        <v>6768</v>
      </c>
      <c r="BB71">
        <v>16</v>
      </c>
      <c r="BC71">
        <v>9024</v>
      </c>
      <c r="BD71">
        <v>10</v>
      </c>
      <c r="BE71">
        <v>5640</v>
      </c>
      <c r="BF71">
        <v>10</v>
      </c>
      <c r="BG71">
        <v>5640</v>
      </c>
      <c r="BH71">
        <v>15</v>
      </c>
      <c r="BI71">
        <v>8460</v>
      </c>
      <c r="BJ71">
        <v>16</v>
      </c>
      <c r="BK71">
        <v>9024</v>
      </c>
      <c r="BL71">
        <v>16</v>
      </c>
      <c r="BM71">
        <v>9024</v>
      </c>
      <c r="BN71">
        <v>12</v>
      </c>
      <c r="BO71">
        <v>6768</v>
      </c>
      <c r="BP71">
        <v>12</v>
      </c>
      <c r="BQ71">
        <v>6768</v>
      </c>
      <c r="BR71">
        <v>9</v>
      </c>
      <c r="BS71">
        <v>5076</v>
      </c>
      <c r="BT71">
        <v>17</v>
      </c>
      <c r="BU71">
        <v>9588</v>
      </c>
      <c r="BV71">
        <v>12</v>
      </c>
      <c r="BW71">
        <v>6768</v>
      </c>
      <c r="BX71">
        <v>12</v>
      </c>
      <c r="BY71">
        <v>6768</v>
      </c>
      <c r="BZ71">
        <v>13</v>
      </c>
      <c r="CA71">
        <v>7332</v>
      </c>
      <c r="CB71">
        <v>8</v>
      </c>
      <c r="CC71">
        <v>4512</v>
      </c>
      <c r="CD71">
        <v>16</v>
      </c>
      <c r="CE71">
        <v>9024</v>
      </c>
      <c r="CF71">
        <v>10</v>
      </c>
      <c r="CG71">
        <v>5640</v>
      </c>
      <c r="CH71">
        <v>13</v>
      </c>
      <c r="CI71">
        <v>7332</v>
      </c>
      <c r="CJ71">
        <v>13</v>
      </c>
      <c r="CK71">
        <v>7332</v>
      </c>
      <c r="CL71">
        <v>12</v>
      </c>
      <c r="CM71">
        <v>6768</v>
      </c>
      <c r="CN71">
        <v>9</v>
      </c>
      <c r="CO71">
        <v>5076</v>
      </c>
      <c r="CP71">
        <v>14</v>
      </c>
      <c r="CQ71">
        <v>7896</v>
      </c>
      <c r="CR71">
        <v>14</v>
      </c>
      <c r="CS71">
        <v>7896</v>
      </c>
      <c r="CT71">
        <v>16</v>
      </c>
      <c r="CU71">
        <v>9024</v>
      </c>
    </row>
    <row r="72" spans="2:99" x14ac:dyDescent="0.2">
      <c r="C72" s="119" t="s">
        <v>238</v>
      </c>
      <c r="D72">
        <v>9.0751119271992913</v>
      </c>
      <c r="E72">
        <v>675.18832738362721</v>
      </c>
      <c r="F72">
        <v>9</v>
      </c>
      <c r="G72">
        <v>669.59999999999991</v>
      </c>
      <c r="H72">
        <v>12</v>
      </c>
      <c r="I72">
        <v>892.8</v>
      </c>
      <c r="J72">
        <v>11</v>
      </c>
      <c r="K72">
        <v>818.39999999999986</v>
      </c>
      <c r="L72">
        <v>11</v>
      </c>
      <c r="M72">
        <v>818.39999999999986</v>
      </c>
      <c r="N72">
        <v>17</v>
      </c>
      <c r="O72">
        <v>1264.8</v>
      </c>
      <c r="P72">
        <v>15</v>
      </c>
      <c r="Q72">
        <v>1115.9999999999998</v>
      </c>
      <c r="R72">
        <v>9</v>
      </c>
      <c r="S72">
        <v>669.59999999999991</v>
      </c>
      <c r="T72">
        <v>14</v>
      </c>
      <c r="U72">
        <v>1041.5999999999999</v>
      </c>
      <c r="V72">
        <v>10</v>
      </c>
      <c r="W72">
        <v>743.99999999999989</v>
      </c>
      <c r="X72">
        <v>8</v>
      </c>
      <c r="Y72">
        <v>595.19999999999993</v>
      </c>
      <c r="Z72">
        <v>17</v>
      </c>
      <c r="AA72">
        <v>1264.8</v>
      </c>
      <c r="AB72">
        <v>13</v>
      </c>
      <c r="AC72">
        <v>967.19999999999993</v>
      </c>
      <c r="AD72">
        <v>10</v>
      </c>
      <c r="AE72">
        <v>743.99999999999989</v>
      </c>
      <c r="AF72">
        <v>10</v>
      </c>
      <c r="AG72">
        <v>743.99999999999989</v>
      </c>
      <c r="AH72">
        <v>14</v>
      </c>
      <c r="AI72">
        <v>1041.5999999999999</v>
      </c>
      <c r="AJ72">
        <v>14</v>
      </c>
      <c r="AK72">
        <v>1041.5999999999999</v>
      </c>
      <c r="AL72">
        <v>12</v>
      </c>
      <c r="AM72">
        <v>892.8</v>
      </c>
      <c r="AN72">
        <v>18</v>
      </c>
      <c r="AO72">
        <v>1339.1999999999998</v>
      </c>
      <c r="AP72">
        <v>17</v>
      </c>
      <c r="AQ72">
        <v>1264.8</v>
      </c>
      <c r="AR72">
        <v>10</v>
      </c>
      <c r="AS72">
        <v>743.99999999999989</v>
      </c>
      <c r="AT72">
        <v>12</v>
      </c>
      <c r="AU72">
        <v>892.8</v>
      </c>
      <c r="AV72">
        <v>16</v>
      </c>
      <c r="AW72">
        <v>1190.3999999999999</v>
      </c>
      <c r="AX72">
        <v>12</v>
      </c>
      <c r="AY72">
        <v>892.8</v>
      </c>
      <c r="AZ72">
        <v>10</v>
      </c>
      <c r="BA72">
        <v>743.99999999999989</v>
      </c>
      <c r="BB72">
        <v>16</v>
      </c>
      <c r="BC72">
        <v>1190.3999999999999</v>
      </c>
      <c r="BD72">
        <v>11</v>
      </c>
      <c r="BE72">
        <v>818.39999999999986</v>
      </c>
      <c r="BF72">
        <v>11</v>
      </c>
      <c r="BG72">
        <v>818.39999999999986</v>
      </c>
      <c r="BH72">
        <v>17</v>
      </c>
      <c r="BI72">
        <v>1264.8</v>
      </c>
      <c r="BJ72">
        <v>16</v>
      </c>
      <c r="BK72">
        <v>1190.3999999999999</v>
      </c>
      <c r="BL72">
        <v>15</v>
      </c>
      <c r="BM72">
        <v>1115.9999999999998</v>
      </c>
      <c r="BN72">
        <v>14</v>
      </c>
      <c r="BO72">
        <v>1041.5999999999999</v>
      </c>
      <c r="BP72">
        <v>14</v>
      </c>
      <c r="BQ72">
        <v>1041.5999999999999</v>
      </c>
      <c r="BR72">
        <v>9</v>
      </c>
      <c r="BS72">
        <v>669.59999999999991</v>
      </c>
      <c r="BT72">
        <v>17</v>
      </c>
      <c r="BU72">
        <v>1264.8</v>
      </c>
      <c r="BV72">
        <v>14</v>
      </c>
      <c r="BW72">
        <v>1041.5999999999999</v>
      </c>
      <c r="BX72">
        <v>13</v>
      </c>
      <c r="BY72">
        <v>967.19999999999993</v>
      </c>
      <c r="BZ72">
        <v>15</v>
      </c>
      <c r="CA72">
        <v>1115.9999999999998</v>
      </c>
      <c r="CB72">
        <v>10</v>
      </c>
      <c r="CC72">
        <v>743.99999999999989</v>
      </c>
      <c r="CD72">
        <v>18</v>
      </c>
      <c r="CE72">
        <v>1339.1999999999998</v>
      </c>
      <c r="CF72">
        <v>10</v>
      </c>
      <c r="CG72">
        <v>743.99999999999989</v>
      </c>
      <c r="CH72">
        <v>15</v>
      </c>
      <c r="CI72">
        <v>1115.9999999999998</v>
      </c>
      <c r="CJ72">
        <v>13</v>
      </c>
      <c r="CK72">
        <v>967.19999999999993</v>
      </c>
      <c r="CL72">
        <v>12</v>
      </c>
      <c r="CM72">
        <v>892.8</v>
      </c>
      <c r="CN72">
        <v>12</v>
      </c>
      <c r="CO72">
        <v>892.8</v>
      </c>
      <c r="CP72">
        <v>14</v>
      </c>
      <c r="CQ72">
        <v>1041.5999999999999</v>
      </c>
      <c r="CR72">
        <v>16</v>
      </c>
      <c r="CS72">
        <v>1190.3999999999999</v>
      </c>
      <c r="CT72">
        <v>16</v>
      </c>
      <c r="CU72">
        <v>1190.3999999999999</v>
      </c>
    </row>
    <row r="73" spans="2:99" x14ac:dyDescent="0.2">
      <c r="C73" s="119" t="s">
        <v>239</v>
      </c>
      <c r="D73">
        <v>7.814415113104662</v>
      </c>
      <c r="E73">
        <v>4369.8209312481267</v>
      </c>
      <c r="F73">
        <v>8</v>
      </c>
      <c r="G73">
        <v>4473.5999999999995</v>
      </c>
      <c r="H73">
        <v>10</v>
      </c>
      <c r="I73">
        <v>5591.9999999999991</v>
      </c>
      <c r="J73">
        <v>10</v>
      </c>
      <c r="K73">
        <v>5591.9999999999991</v>
      </c>
      <c r="L73">
        <v>10</v>
      </c>
      <c r="M73">
        <v>5591.9999999999991</v>
      </c>
      <c r="N73">
        <v>14</v>
      </c>
      <c r="O73">
        <v>7828.7999999999993</v>
      </c>
      <c r="P73">
        <v>14</v>
      </c>
      <c r="Q73">
        <v>7828.7999999999993</v>
      </c>
      <c r="R73">
        <v>8</v>
      </c>
      <c r="S73">
        <v>4473.5999999999995</v>
      </c>
      <c r="T73">
        <v>12</v>
      </c>
      <c r="U73">
        <v>6710.4</v>
      </c>
      <c r="V73">
        <v>11</v>
      </c>
      <c r="W73">
        <v>6151.1999999999989</v>
      </c>
      <c r="X73">
        <v>8</v>
      </c>
      <c r="Y73">
        <v>4473.5999999999995</v>
      </c>
      <c r="Z73">
        <v>17</v>
      </c>
      <c r="AA73">
        <v>9506.4</v>
      </c>
      <c r="AB73">
        <v>13</v>
      </c>
      <c r="AC73">
        <v>7269.5999999999995</v>
      </c>
      <c r="AD73">
        <v>10</v>
      </c>
      <c r="AE73">
        <v>5591.9999999999991</v>
      </c>
      <c r="AF73">
        <v>10</v>
      </c>
      <c r="AG73">
        <v>5591.9999999999991</v>
      </c>
      <c r="AH73">
        <v>12</v>
      </c>
      <c r="AI73">
        <v>6710.4</v>
      </c>
      <c r="AJ73">
        <v>13</v>
      </c>
      <c r="AK73">
        <v>7269.5999999999995</v>
      </c>
      <c r="AL73">
        <v>11</v>
      </c>
      <c r="AM73">
        <v>6151.1999999999989</v>
      </c>
      <c r="AN73">
        <v>17</v>
      </c>
      <c r="AO73">
        <v>9506.4</v>
      </c>
      <c r="AP73">
        <v>14</v>
      </c>
      <c r="AQ73">
        <v>7828.7999999999993</v>
      </c>
      <c r="AR73">
        <v>10</v>
      </c>
      <c r="AS73">
        <v>5591.9999999999991</v>
      </c>
      <c r="AT73">
        <v>11</v>
      </c>
      <c r="AU73">
        <v>6151.1999999999989</v>
      </c>
      <c r="AV73">
        <v>16</v>
      </c>
      <c r="AW73">
        <v>8947.1999999999989</v>
      </c>
      <c r="AX73">
        <v>11</v>
      </c>
      <c r="AY73">
        <v>6151.1999999999989</v>
      </c>
      <c r="AZ73">
        <v>12</v>
      </c>
      <c r="BA73">
        <v>6710.4</v>
      </c>
      <c r="BB73">
        <v>14</v>
      </c>
      <c r="BC73">
        <v>7828.7999999999993</v>
      </c>
      <c r="BD73">
        <v>10</v>
      </c>
      <c r="BE73">
        <v>5591.9999999999991</v>
      </c>
      <c r="BF73">
        <v>9</v>
      </c>
      <c r="BG73">
        <v>5032.7999999999993</v>
      </c>
      <c r="BH73">
        <v>15</v>
      </c>
      <c r="BI73">
        <v>8387.9999999999982</v>
      </c>
      <c r="BJ73">
        <v>15</v>
      </c>
      <c r="BK73">
        <v>8387.9999999999982</v>
      </c>
      <c r="BL73">
        <v>14</v>
      </c>
      <c r="BM73">
        <v>7828.7999999999993</v>
      </c>
      <c r="BN73">
        <v>13</v>
      </c>
      <c r="BO73">
        <v>7269.5999999999995</v>
      </c>
      <c r="BP73">
        <v>14</v>
      </c>
      <c r="BQ73">
        <v>7828.7999999999993</v>
      </c>
      <c r="BR73">
        <v>9</v>
      </c>
      <c r="BS73">
        <v>5032.7999999999993</v>
      </c>
      <c r="BT73">
        <v>15</v>
      </c>
      <c r="BU73">
        <v>8387.9999999999982</v>
      </c>
      <c r="BV73">
        <v>13</v>
      </c>
      <c r="BW73">
        <v>7269.5999999999995</v>
      </c>
      <c r="BX73">
        <v>10</v>
      </c>
      <c r="BY73">
        <v>5591.9999999999991</v>
      </c>
      <c r="BZ73">
        <v>13</v>
      </c>
      <c r="CA73">
        <v>7269.5999999999995</v>
      </c>
      <c r="CB73">
        <v>9</v>
      </c>
      <c r="CC73">
        <v>5032.7999999999993</v>
      </c>
      <c r="CD73">
        <v>17</v>
      </c>
      <c r="CE73">
        <v>9506.4</v>
      </c>
      <c r="CF73">
        <v>10</v>
      </c>
      <c r="CG73">
        <v>5591.9999999999991</v>
      </c>
      <c r="CH73">
        <v>15</v>
      </c>
      <c r="CI73">
        <v>8387.9999999999982</v>
      </c>
      <c r="CJ73">
        <v>14</v>
      </c>
      <c r="CK73">
        <v>7828.7999999999993</v>
      </c>
      <c r="CL73">
        <v>11</v>
      </c>
      <c r="CM73">
        <v>6151.1999999999989</v>
      </c>
      <c r="CN73">
        <v>10</v>
      </c>
      <c r="CO73">
        <v>5591.9999999999991</v>
      </c>
      <c r="CP73">
        <v>13</v>
      </c>
      <c r="CQ73">
        <v>7269.5999999999995</v>
      </c>
      <c r="CR73">
        <v>14</v>
      </c>
      <c r="CS73">
        <v>7828.7999999999993</v>
      </c>
      <c r="CT73">
        <v>15</v>
      </c>
      <c r="CU73">
        <v>8387.9999999999982</v>
      </c>
    </row>
    <row r="74" spans="2:99" x14ac:dyDescent="0.2">
      <c r="C74" s="119" t="s">
        <v>240</v>
      </c>
      <c r="D74">
        <v>7.8769736702388862</v>
      </c>
      <c r="E74">
        <v>3175.9957838403188</v>
      </c>
      <c r="F74">
        <v>9</v>
      </c>
      <c r="G74">
        <v>3628.7999999999997</v>
      </c>
      <c r="H74">
        <v>11</v>
      </c>
      <c r="I74">
        <v>4435.2</v>
      </c>
      <c r="J74">
        <v>11</v>
      </c>
      <c r="K74">
        <v>4435.2</v>
      </c>
      <c r="L74">
        <v>11</v>
      </c>
      <c r="M74">
        <v>4435.2</v>
      </c>
      <c r="N74">
        <v>17</v>
      </c>
      <c r="O74">
        <v>6854.4</v>
      </c>
      <c r="P74">
        <v>15</v>
      </c>
      <c r="Q74">
        <v>6048</v>
      </c>
      <c r="R74">
        <v>9</v>
      </c>
      <c r="S74">
        <v>3628.7999999999997</v>
      </c>
      <c r="T74">
        <v>14</v>
      </c>
      <c r="U74">
        <v>5644.8</v>
      </c>
      <c r="V74">
        <v>10</v>
      </c>
      <c r="W74">
        <v>4032</v>
      </c>
      <c r="X74">
        <v>8</v>
      </c>
      <c r="Y74">
        <v>3225.6</v>
      </c>
      <c r="Z74">
        <v>15</v>
      </c>
      <c r="AA74">
        <v>6048</v>
      </c>
      <c r="AB74">
        <v>13</v>
      </c>
      <c r="AC74">
        <v>5241.5999999999995</v>
      </c>
      <c r="AD74">
        <v>9</v>
      </c>
      <c r="AE74">
        <v>3628.7999999999997</v>
      </c>
      <c r="AF74">
        <v>10</v>
      </c>
      <c r="AG74">
        <v>4032</v>
      </c>
      <c r="AH74">
        <v>13</v>
      </c>
      <c r="AI74">
        <v>5241.5999999999995</v>
      </c>
      <c r="AJ74">
        <v>12</v>
      </c>
      <c r="AK74">
        <v>4838.3999999999996</v>
      </c>
      <c r="AL74">
        <v>10</v>
      </c>
      <c r="AM74">
        <v>4032</v>
      </c>
      <c r="AN74">
        <v>16</v>
      </c>
      <c r="AO74">
        <v>6451.2</v>
      </c>
      <c r="AP74">
        <v>15</v>
      </c>
      <c r="AQ74">
        <v>6048</v>
      </c>
      <c r="AR74">
        <v>9</v>
      </c>
      <c r="AS74">
        <v>3628.7999999999997</v>
      </c>
      <c r="AT74">
        <v>13</v>
      </c>
      <c r="AU74">
        <v>5241.5999999999995</v>
      </c>
      <c r="AV74">
        <v>16</v>
      </c>
      <c r="AW74">
        <v>6451.2</v>
      </c>
      <c r="AX74">
        <v>11</v>
      </c>
      <c r="AY74">
        <v>4435.2</v>
      </c>
      <c r="AZ74">
        <v>12</v>
      </c>
      <c r="BA74">
        <v>4838.3999999999996</v>
      </c>
      <c r="BB74">
        <v>14</v>
      </c>
      <c r="BC74">
        <v>5644.8</v>
      </c>
      <c r="BD74">
        <v>12</v>
      </c>
      <c r="BE74">
        <v>4838.3999999999996</v>
      </c>
      <c r="BF74">
        <v>10</v>
      </c>
      <c r="BG74">
        <v>4032</v>
      </c>
      <c r="BH74">
        <v>14</v>
      </c>
      <c r="BI74">
        <v>5644.8</v>
      </c>
      <c r="BJ74">
        <v>17</v>
      </c>
      <c r="BK74">
        <v>6854.4</v>
      </c>
      <c r="BL74">
        <v>14</v>
      </c>
      <c r="BM74">
        <v>5644.8</v>
      </c>
      <c r="BN74">
        <v>13</v>
      </c>
      <c r="BO74">
        <v>5241.5999999999995</v>
      </c>
      <c r="BP74">
        <v>13</v>
      </c>
      <c r="BQ74">
        <v>5241.5999999999995</v>
      </c>
      <c r="BR74">
        <v>9</v>
      </c>
      <c r="BS74">
        <v>3628.7999999999997</v>
      </c>
      <c r="BT74">
        <v>17</v>
      </c>
      <c r="BU74">
        <v>6854.4</v>
      </c>
      <c r="BV74">
        <v>13</v>
      </c>
      <c r="BW74">
        <v>5241.5999999999995</v>
      </c>
      <c r="BX74">
        <v>12</v>
      </c>
      <c r="BY74">
        <v>4838.3999999999996</v>
      </c>
      <c r="BZ74">
        <v>14</v>
      </c>
      <c r="CA74">
        <v>5644.8</v>
      </c>
      <c r="CB74">
        <v>9</v>
      </c>
      <c r="CC74">
        <v>3628.7999999999997</v>
      </c>
      <c r="CD74">
        <v>17</v>
      </c>
      <c r="CE74">
        <v>6854.4</v>
      </c>
      <c r="CF74">
        <v>9</v>
      </c>
      <c r="CG74">
        <v>3628.7999999999997</v>
      </c>
      <c r="CH74">
        <v>14</v>
      </c>
      <c r="CI74">
        <v>5644.8</v>
      </c>
      <c r="CJ74">
        <v>13</v>
      </c>
      <c r="CK74">
        <v>5241.5999999999995</v>
      </c>
      <c r="CL74">
        <v>11</v>
      </c>
      <c r="CM74">
        <v>4435.2</v>
      </c>
      <c r="CN74">
        <v>10</v>
      </c>
      <c r="CO74">
        <v>4032</v>
      </c>
      <c r="CP74">
        <v>15</v>
      </c>
      <c r="CQ74">
        <v>6048</v>
      </c>
      <c r="CR74">
        <v>16</v>
      </c>
      <c r="CS74">
        <v>6451.2</v>
      </c>
      <c r="CT74">
        <v>17</v>
      </c>
      <c r="CU74">
        <v>6854.4</v>
      </c>
    </row>
    <row r="75" spans="2:99" x14ac:dyDescent="0.2">
      <c r="C75" s="119" t="s">
        <v>241</v>
      </c>
      <c r="D75">
        <v>8.4968956510971623</v>
      </c>
      <c r="E75">
        <v>5465.2032827856938</v>
      </c>
      <c r="F75">
        <v>8</v>
      </c>
      <c r="G75">
        <v>5145.5999999999995</v>
      </c>
      <c r="H75">
        <v>10</v>
      </c>
      <c r="I75">
        <v>6431.9999999999991</v>
      </c>
      <c r="J75">
        <v>11</v>
      </c>
      <c r="K75">
        <v>7075.1999999999989</v>
      </c>
      <c r="L75">
        <v>10</v>
      </c>
      <c r="M75">
        <v>6431.9999999999991</v>
      </c>
      <c r="N75">
        <v>17</v>
      </c>
      <c r="O75">
        <v>10934.4</v>
      </c>
      <c r="P75">
        <v>15</v>
      </c>
      <c r="Q75">
        <v>9647.9999999999982</v>
      </c>
      <c r="R75">
        <v>9</v>
      </c>
      <c r="S75">
        <v>5788.7999999999993</v>
      </c>
      <c r="T75">
        <v>12</v>
      </c>
      <c r="U75">
        <v>7718.4</v>
      </c>
      <c r="V75">
        <v>11</v>
      </c>
      <c r="W75">
        <v>7075.1999999999989</v>
      </c>
      <c r="X75">
        <v>8</v>
      </c>
      <c r="Y75">
        <v>5145.5999999999995</v>
      </c>
      <c r="Z75">
        <v>14</v>
      </c>
      <c r="AA75">
        <v>9004.7999999999993</v>
      </c>
      <c r="AB75">
        <v>12</v>
      </c>
      <c r="AC75">
        <v>7718.4</v>
      </c>
      <c r="AD75">
        <v>9</v>
      </c>
      <c r="AE75">
        <v>5788.7999999999993</v>
      </c>
      <c r="AF75">
        <v>9</v>
      </c>
      <c r="AG75">
        <v>5788.7999999999993</v>
      </c>
      <c r="AH75">
        <v>12</v>
      </c>
      <c r="AI75">
        <v>7718.4</v>
      </c>
      <c r="AJ75">
        <v>13</v>
      </c>
      <c r="AK75">
        <v>8361.5999999999985</v>
      </c>
      <c r="AL75">
        <v>10</v>
      </c>
      <c r="AM75">
        <v>6431.9999999999991</v>
      </c>
      <c r="AN75">
        <v>16</v>
      </c>
      <c r="AO75">
        <v>10291.199999999999</v>
      </c>
      <c r="AP75">
        <v>16</v>
      </c>
      <c r="AQ75">
        <v>10291.199999999999</v>
      </c>
      <c r="AR75">
        <v>8</v>
      </c>
      <c r="AS75">
        <v>5145.5999999999995</v>
      </c>
      <c r="AT75">
        <v>13</v>
      </c>
      <c r="AU75">
        <v>8361.5999999999985</v>
      </c>
      <c r="AV75">
        <v>15</v>
      </c>
      <c r="AW75">
        <v>9647.9999999999982</v>
      </c>
      <c r="AX75">
        <v>10</v>
      </c>
      <c r="AY75">
        <v>6431.9999999999991</v>
      </c>
      <c r="AZ75">
        <v>10</v>
      </c>
      <c r="BA75">
        <v>6431.9999999999991</v>
      </c>
      <c r="BB75">
        <v>14</v>
      </c>
      <c r="BC75">
        <v>9004.7999999999993</v>
      </c>
      <c r="BD75">
        <v>12</v>
      </c>
      <c r="BE75">
        <v>7718.4</v>
      </c>
      <c r="BF75">
        <v>10</v>
      </c>
      <c r="BG75">
        <v>6431.9999999999991</v>
      </c>
      <c r="BH75">
        <v>16</v>
      </c>
      <c r="BI75">
        <v>10291.199999999999</v>
      </c>
      <c r="BJ75">
        <v>15</v>
      </c>
      <c r="BK75">
        <v>9647.9999999999982</v>
      </c>
      <c r="BL75">
        <v>14</v>
      </c>
      <c r="BM75">
        <v>9004.7999999999993</v>
      </c>
      <c r="BN75">
        <v>14</v>
      </c>
      <c r="BO75">
        <v>9004.7999999999993</v>
      </c>
      <c r="BP75">
        <v>13</v>
      </c>
      <c r="BQ75">
        <v>8361.5999999999985</v>
      </c>
      <c r="BR75">
        <v>8</v>
      </c>
      <c r="BS75">
        <v>5145.5999999999995</v>
      </c>
      <c r="BT75">
        <v>15</v>
      </c>
      <c r="BU75">
        <v>9647.9999999999982</v>
      </c>
      <c r="BV75">
        <v>12</v>
      </c>
      <c r="BW75">
        <v>7718.4</v>
      </c>
      <c r="BX75">
        <v>12</v>
      </c>
      <c r="BY75">
        <v>7718.4</v>
      </c>
      <c r="BZ75">
        <v>13</v>
      </c>
      <c r="CA75">
        <v>8361.5999999999985</v>
      </c>
      <c r="CB75">
        <v>8</v>
      </c>
      <c r="CC75">
        <v>5145.5999999999995</v>
      </c>
      <c r="CD75">
        <v>16</v>
      </c>
      <c r="CE75">
        <v>10291.199999999999</v>
      </c>
      <c r="CF75">
        <v>10</v>
      </c>
      <c r="CG75">
        <v>6431.9999999999991</v>
      </c>
      <c r="CH75">
        <v>13</v>
      </c>
      <c r="CI75">
        <v>8361.5999999999985</v>
      </c>
      <c r="CJ75">
        <v>14</v>
      </c>
      <c r="CK75">
        <v>9004.7999999999993</v>
      </c>
      <c r="CL75">
        <v>12</v>
      </c>
      <c r="CM75">
        <v>7718.4</v>
      </c>
      <c r="CN75">
        <v>11</v>
      </c>
      <c r="CO75">
        <v>7075.1999999999989</v>
      </c>
      <c r="CP75">
        <v>13</v>
      </c>
      <c r="CQ75">
        <v>8361.5999999999985</v>
      </c>
      <c r="CR75">
        <v>15</v>
      </c>
      <c r="CS75">
        <v>9647.9999999999982</v>
      </c>
      <c r="CT75">
        <v>16</v>
      </c>
      <c r="CU75">
        <v>10291.199999999999</v>
      </c>
    </row>
    <row r="76" spans="2:99" x14ac:dyDescent="0.2">
      <c r="C76" s="119" t="s">
        <v>242</v>
      </c>
      <c r="D76">
        <v>9.0959647795773648</v>
      </c>
      <c r="E76">
        <v>7083.937370334851</v>
      </c>
      <c r="F76">
        <v>9</v>
      </c>
      <c r="G76">
        <v>7009.2</v>
      </c>
      <c r="H76">
        <v>10</v>
      </c>
      <c r="I76">
        <v>7788</v>
      </c>
      <c r="J76">
        <v>11</v>
      </c>
      <c r="K76">
        <v>8566.7999999999993</v>
      </c>
      <c r="L76">
        <v>9</v>
      </c>
      <c r="M76">
        <v>7009.2</v>
      </c>
      <c r="N76">
        <v>15</v>
      </c>
      <c r="O76">
        <v>11682</v>
      </c>
      <c r="P76">
        <v>13</v>
      </c>
      <c r="Q76">
        <v>10124.4</v>
      </c>
      <c r="R76">
        <v>7</v>
      </c>
      <c r="S76">
        <v>5451.5999999999995</v>
      </c>
      <c r="T76">
        <v>12</v>
      </c>
      <c r="U76">
        <v>9345.5999999999985</v>
      </c>
      <c r="V76">
        <v>10</v>
      </c>
      <c r="W76">
        <v>7788</v>
      </c>
      <c r="X76">
        <v>8</v>
      </c>
      <c r="Y76">
        <v>6230.4</v>
      </c>
      <c r="Z76">
        <v>17</v>
      </c>
      <c r="AA76">
        <v>13239.599999999999</v>
      </c>
      <c r="AB76">
        <v>12</v>
      </c>
      <c r="AC76">
        <v>9345.5999999999985</v>
      </c>
      <c r="AD76">
        <v>8</v>
      </c>
      <c r="AE76">
        <v>6230.4</v>
      </c>
      <c r="AF76">
        <v>9</v>
      </c>
      <c r="AG76">
        <v>7009.2</v>
      </c>
      <c r="AH76">
        <v>12</v>
      </c>
      <c r="AI76">
        <v>9345.5999999999985</v>
      </c>
      <c r="AJ76">
        <v>12</v>
      </c>
      <c r="AK76">
        <v>9345.5999999999985</v>
      </c>
      <c r="AL76">
        <v>11</v>
      </c>
      <c r="AM76">
        <v>8566.7999999999993</v>
      </c>
      <c r="AN76">
        <v>15</v>
      </c>
      <c r="AO76">
        <v>11682</v>
      </c>
      <c r="AP76">
        <v>16</v>
      </c>
      <c r="AQ76">
        <v>12460.8</v>
      </c>
      <c r="AR76">
        <v>8</v>
      </c>
      <c r="AS76">
        <v>6230.4</v>
      </c>
      <c r="AT76">
        <v>12</v>
      </c>
      <c r="AU76">
        <v>9345.5999999999985</v>
      </c>
      <c r="AV76">
        <v>15</v>
      </c>
      <c r="AW76">
        <v>11682</v>
      </c>
      <c r="AX76">
        <v>10</v>
      </c>
      <c r="AY76">
        <v>7788</v>
      </c>
      <c r="AZ76">
        <v>10</v>
      </c>
      <c r="BA76">
        <v>7788</v>
      </c>
      <c r="BB76">
        <v>14</v>
      </c>
      <c r="BC76">
        <v>10903.199999999999</v>
      </c>
      <c r="BD76">
        <v>11</v>
      </c>
      <c r="BE76">
        <v>8566.7999999999993</v>
      </c>
      <c r="BF76">
        <v>10</v>
      </c>
      <c r="BG76">
        <v>7788</v>
      </c>
      <c r="BH76">
        <v>16</v>
      </c>
      <c r="BI76">
        <v>12460.8</v>
      </c>
      <c r="BJ76">
        <v>14</v>
      </c>
      <c r="BK76">
        <v>10903.199999999999</v>
      </c>
      <c r="BL76">
        <v>15</v>
      </c>
      <c r="BM76">
        <v>11682</v>
      </c>
      <c r="BN76">
        <v>12</v>
      </c>
      <c r="BO76">
        <v>9345.5999999999985</v>
      </c>
      <c r="BP76">
        <v>11</v>
      </c>
      <c r="BQ76">
        <v>8566.7999999999993</v>
      </c>
      <c r="BR76">
        <v>9</v>
      </c>
      <c r="BS76">
        <v>7009.2</v>
      </c>
      <c r="BT76">
        <v>14</v>
      </c>
      <c r="BU76">
        <v>10903.199999999999</v>
      </c>
      <c r="BV76">
        <v>12</v>
      </c>
      <c r="BW76">
        <v>9345.5999999999985</v>
      </c>
      <c r="BX76">
        <v>10</v>
      </c>
      <c r="BY76">
        <v>7788</v>
      </c>
      <c r="BZ76">
        <v>12</v>
      </c>
      <c r="CA76">
        <v>9345.5999999999985</v>
      </c>
      <c r="CB76">
        <v>9</v>
      </c>
      <c r="CC76">
        <v>7009.2</v>
      </c>
      <c r="CD76">
        <v>17</v>
      </c>
      <c r="CE76">
        <v>13239.599999999999</v>
      </c>
      <c r="CF76">
        <v>9</v>
      </c>
      <c r="CG76">
        <v>7009.2</v>
      </c>
      <c r="CH76">
        <v>13</v>
      </c>
      <c r="CI76">
        <v>10124.4</v>
      </c>
      <c r="CJ76">
        <v>12</v>
      </c>
      <c r="CK76">
        <v>9345.5999999999985</v>
      </c>
      <c r="CL76">
        <v>11</v>
      </c>
      <c r="CM76">
        <v>8566.7999999999993</v>
      </c>
      <c r="CN76">
        <v>10</v>
      </c>
      <c r="CO76">
        <v>7788</v>
      </c>
      <c r="CP76">
        <v>14</v>
      </c>
      <c r="CQ76">
        <v>10903.199999999999</v>
      </c>
      <c r="CR76">
        <v>15</v>
      </c>
      <c r="CS76">
        <v>11682</v>
      </c>
      <c r="CT76">
        <v>14</v>
      </c>
      <c r="CU76">
        <v>10903.199999999999</v>
      </c>
    </row>
    <row r="77" spans="2:99" x14ac:dyDescent="0.2">
      <c r="C77" s="119" t="s">
        <v>243</v>
      </c>
      <c r="D77">
        <v>9.0751119271992913</v>
      </c>
      <c r="E77">
        <v>2526.5111605322827</v>
      </c>
      <c r="F77">
        <v>8</v>
      </c>
      <c r="G77">
        <v>2227.1999999999998</v>
      </c>
      <c r="H77">
        <v>12</v>
      </c>
      <c r="I77">
        <v>3340.7999999999997</v>
      </c>
      <c r="J77">
        <v>11</v>
      </c>
      <c r="K77">
        <v>3062.3999999999996</v>
      </c>
      <c r="L77">
        <v>10</v>
      </c>
      <c r="M77">
        <v>2784</v>
      </c>
      <c r="N77">
        <v>17</v>
      </c>
      <c r="O77">
        <v>4732.7999999999993</v>
      </c>
      <c r="P77">
        <v>16</v>
      </c>
      <c r="Q77">
        <v>4454.3999999999996</v>
      </c>
      <c r="R77">
        <v>8</v>
      </c>
      <c r="S77">
        <v>2227.1999999999998</v>
      </c>
      <c r="T77">
        <v>12</v>
      </c>
      <c r="U77">
        <v>3340.7999999999997</v>
      </c>
      <c r="V77">
        <v>12</v>
      </c>
      <c r="W77">
        <v>3340.7999999999997</v>
      </c>
      <c r="X77">
        <v>8</v>
      </c>
      <c r="Y77">
        <v>2227.1999999999998</v>
      </c>
      <c r="Z77">
        <v>17</v>
      </c>
      <c r="AA77">
        <v>4732.7999999999993</v>
      </c>
      <c r="AB77">
        <v>13</v>
      </c>
      <c r="AC77">
        <v>3619.2</v>
      </c>
      <c r="AD77">
        <v>10</v>
      </c>
      <c r="AE77">
        <v>2784</v>
      </c>
      <c r="AF77">
        <v>10</v>
      </c>
      <c r="AG77">
        <v>2784</v>
      </c>
      <c r="AH77">
        <v>13</v>
      </c>
      <c r="AI77">
        <v>3619.2</v>
      </c>
      <c r="AJ77">
        <v>13</v>
      </c>
      <c r="AK77">
        <v>3619.2</v>
      </c>
      <c r="AL77">
        <v>10</v>
      </c>
      <c r="AM77">
        <v>2784</v>
      </c>
      <c r="AN77">
        <v>15</v>
      </c>
      <c r="AO77">
        <v>4176</v>
      </c>
      <c r="AP77">
        <v>17</v>
      </c>
      <c r="AQ77">
        <v>4732.7999999999993</v>
      </c>
      <c r="AR77">
        <v>9</v>
      </c>
      <c r="AS77">
        <v>2505.6</v>
      </c>
      <c r="AT77">
        <v>13</v>
      </c>
      <c r="AU77">
        <v>3619.2</v>
      </c>
      <c r="AV77">
        <v>16</v>
      </c>
      <c r="AW77">
        <v>4454.3999999999996</v>
      </c>
      <c r="AX77">
        <v>12</v>
      </c>
      <c r="AY77">
        <v>3340.7999999999997</v>
      </c>
      <c r="AZ77">
        <v>11</v>
      </c>
      <c r="BA77">
        <v>3062.3999999999996</v>
      </c>
      <c r="BB77">
        <v>17</v>
      </c>
      <c r="BC77">
        <v>4732.7999999999993</v>
      </c>
      <c r="BD77">
        <v>11</v>
      </c>
      <c r="BE77">
        <v>3062.3999999999996</v>
      </c>
      <c r="BF77">
        <v>10</v>
      </c>
      <c r="BG77">
        <v>2784</v>
      </c>
      <c r="BH77">
        <v>17</v>
      </c>
      <c r="BI77">
        <v>4732.7999999999993</v>
      </c>
      <c r="BJ77">
        <v>17</v>
      </c>
      <c r="BK77">
        <v>4732.7999999999993</v>
      </c>
      <c r="BL77">
        <v>17</v>
      </c>
      <c r="BM77">
        <v>4732.7999999999993</v>
      </c>
      <c r="BN77">
        <v>14</v>
      </c>
      <c r="BO77">
        <v>3897.5999999999995</v>
      </c>
      <c r="BP77">
        <v>14</v>
      </c>
      <c r="BQ77">
        <v>3897.5999999999995</v>
      </c>
      <c r="BR77">
        <v>8</v>
      </c>
      <c r="BS77">
        <v>2227.1999999999998</v>
      </c>
      <c r="BT77">
        <v>16</v>
      </c>
      <c r="BU77">
        <v>4454.3999999999996</v>
      </c>
      <c r="BV77">
        <v>13</v>
      </c>
      <c r="BW77">
        <v>3619.2</v>
      </c>
      <c r="BX77">
        <v>12</v>
      </c>
      <c r="BY77">
        <v>3340.7999999999997</v>
      </c>
      <c r="BZ77">
        <v>14</v>
      </c>
      <c r="CA77">
        <v>3897.5999999999995</v>
      </c>
      <c r="CB77">
        <v>10</v>
      </c>
      <c r="CC77">
        <v>2784</v>
      </c>
      <c r="CD77">
        <v>16</v>
      </c>
      <c r="CE77">
        <v>4454.3999999999996</v>
      </c>
      <c r="CF77">
        <v>9</v>
      </c>
      <c r="CG77">
        <v>2505.6</v>
      </c>
      <c r="CH77">
        <v>15</v>
      </c>
      <c r="CI77">
        <v>4176</v>
      </c>
      <c r="CJ77">
        <v>13</v>
      </c>
      <c r="CK77">
        <v>3619.2</v>
      </c>
      <c r="CL77">
        <v>11</v>
      </c>
      <c r="CM77">
        <v>3062.3999999999996</v>
      </c>
      <c r="CN77">
        <v>11</v>
      </c>
      <c r="CO77">
        <v>3062.3999999999996</v>
      </c>
      <c r="CP77">
        <v>14</v>
      </c>
      <c r="CQ77">
        <v>3897.5999999999995</v>
      </c>
      <c r="CR77">
        <v>14</v>
      </c>
      <c r="CS77">
        <v>3897.5999999999995</v>
      </c>
      <c r="CT77">
        <v>16</v>
      </c>
      <c r="CU77">
        <v>4454.3999999999996</v>
      </c>
    </row>
    <row r="78" spans="2:99" x14ac:dyDescent="0.2">
      <c r="C78" s="119" t="s">
        <v>244</v>
      </c>
      <c r="D78">
        <v>8.4343370939629398</v>
      </c>
      <c r="E78">
        <v>4655.7540758675432</v>
      </c>
      <c r="F78">
        <v>8</v>
      </c>
      <c r="G78">
        <v>4416</v>
      </c>
      <c r="H78">
        <v>11</v>
      </c>
      <c r="I78">
        <v>6072</v>
      </c>
      <c r="J78">
        <v>11</v>
      </c>
      <c r="K78">
        <v>6072</v>
      </c>
      <c r="L78">
        <v>10</v>
      </c>
      <c r="M78">
        <v>5520</v>
      </c>
      <c r="N78">
        <v>15</v>
      </c>
      <c r="O78">
        <v>8280</v>
      </c>
      <c r="P78">
        <v>14</v>
      </c>
      <c r="Q78">
        <v>7728</v>
      </c>
      <c r="R78">
        <v>8</v>
      </c>
      <c r="S78">
        <v>4416</v>
      </c>
      <c r="T78">
        <v>13</v>
      </c>
      <c r="U78">
        <v>7176</v>
      </c>
      <c r="V78">
        <v>12</v>
      </c>
      <c r="W78">
        <v>6624</v>
      </c>
      <c r="X78">
        <v>8</v>
      </c>
      <c r="Y78">
        <v>4416</v>
      </c>
      <c r="Z78">
        <v>15</v>
      </c>
      <c r="AA78">
        <v>8280</v>
      </c>
      <c r="AB78">
        <v>13</v>
      </c>
      <c r="AC78">
        <v>7176</v>
      </c>
      <c r="AD78">
        <v>8</v>
      </c>
      <c r="AE78">
        <v>4416</v>
      </c>
      <c r="AF78">
        <v>10</v>
      </c>
      <c r="AG78">
        <v>5520</v>
      </c>
      <c r="AH78">
        <v>12</v>
      </c>
      <c r="AI78">
        <v>6624</v>
      </c>
      <c r="AJ78">
        <v>13</v>
      </c>
      <c r="AK78">
        <v>7176</v>
      </c>
      <c r="AL78">
        <v>9</v>
      </c>
      <c r="AM78">
        <v>4968</v>
      </c>
      <c r="AN78">
        <v>16</v>
      </c>
      <c r="AO78">
        <v>8832</v>
      </c>
      <c r="AP78">
        <v>15</v>
      </c>
      <c r="AQ78">
        <v>8280</v>
      </c>
      <c r="AR78">
        <v>9</v>
      </c>
      <c r="AS78">
        <v>4968</v>
      </c>
      <c r="AT78">
        <v>11</v>
      </c>
      <c r="AU78">
        <v>6072</v>
      </c>
      <c r="AV78">
        <v>15</v>
      </c>
      <c r="AW78">
        <v>8280</v>
      </c>
      <c r="AX78">
        <v>10</v>
      </c>
      <c r="AY78">
        <v>5520</v>
      </c>
      <c r="AZ78">
        <v>10</v>
      </c>
      <c r="BA78">
        <v>5520</v>
      </c>
      <c r="BB78">
        <v>15</v>
      </c>
      <c r="BC78">
        <v>8280</v>
      </c>
      <c r="BD78">
        <v>11</v>
      </c>
      <c r="BE78">
        <v>6072</v>
      </c>
      <c r="BF78">
        <v>10</v>
      </c>
      <c r="BG78">
        <v>5520</v>
      </c>
      <c r="BH78">
        <v>15</v>
      </c>
      <c r="BI78">
        <v>8280</v>
      </c>
      <c r="BJ78">
        <v>16</v>
      </c>
      <c r="BK78">
        <v>8832</v>
      </c>
      <c r="BL78">
        <v>15</v>
      </c>
      <c r="BM78">
        <v>8280</v>
      </c>
      <c r="BN78">
        <v>13</v>
      </c>
      <c r="BO78">
        <v>7176</v>
      </c>
      <c r="BP78">
        <v>12</v>
      </c>
      <c r="BQ78">
        <v>6624</v>
      </c>
      <c r="BR78">
        <v>8</v>
      </c>
      <c r="BS78">
        <v>4416</v>
      </c>
      <c r="BT78">
        <v>16</v>
      </c>
      <c r="BU78">
        <v>8832</v>
      </c>
      <c r="BV78">
        <v>13</v>
      </c>
      <c r="BW78">
        <v>7176</v>
      </c>
      <c r="BX78">
        <v>12</v>
      </c>
      <c r="BY78">
        <v>6624</v>
      </c>
      <c r="BZ78">
        <v>12</v>
      </c>
      <c r="CA78">
        <v>6624</v>
      </c>
      <c r="CB78">
        <v>8</v>
      </c>
      <c r="CC78">
        <v>4416</v>
      </c>
      <c r="CD78">
        <v>16</v>
      </c>
      <c r="CE78">
        <v>8832</v>
      </c>
      <c r="CF78">
        <v>10</v>
      </c>
      <c r="CG78">
        <v>5520</v>
      </c>
      <c r="CH78">
        <v>14</v>
      </c>
      <c r="CI78">
        <v>7728</v>
      </c>
      <c r="CJ78">
        <v>13</v>
      </c>
      <c r="CK78">
        <v>7176</v>
      </c>
      <c r="CL78">
        <v>11</v>
      </c>
      <c r="CM78">
        <v>6072</v>
      </c>
      <c r="CN78">
        <v>10</v>
      </c>
      <c r="CO78">
        <v>5520</v>
      </c>
      <c r="CP78">
        <v>14</v>
      </c>
      <c r="CQ78">
        <v>7728</v>
      </c>
      <c r="CR78">
        <v>13</v>
      </c>
      <c r="CS78">
        <v>7176</v>
      </c>
      <c r="CT78">
        <v>16</v>
      </c>
      <c r="CU78">
        <v>8832</v>
      </c>
    </row>
    <row r="79" spans="2:99" x14ac:dyDescent="0.2">
      <c r="C79" s="119" t="s">
        <v>245</v>
      </c>
      <c r="D79">
        <v>9.0959647795773648</v>
      </c>
      <c r="E79">
        <v>6887.4645310959804</v>
      </c>
      <c r="F79">
        <v>8</v>
      </c>
      <c r="G79">
        <v>6057.5999999999995</v>
      </c>
      <c r="H79">
        <v>10</v>
      </c>
      <c r="I79">
        <v>7571.9999999999991</v>
      </c>
      <c r="J79">
        <v>10</v>
      </c>
      <c r="K79">
        <v>7571.9999999999991</v>
      </c>
      <c r="L79">
        <v>9</v>
      </c>
      <c r="M79">
        <v>6814.7999999999993</v>
      </c>
      <c r="N79">
        <v>16</v>
      </c>
      <c r="O79">
        <v>12115.199999999999</v>
      </c>
      <c r="P79">
        <v>14</v>
      </c>
      <c r="Q79">
        <v>10600.8</v>
      </c>
      <c r="R79">
        <v>8</v>
      </c>
      <c r="S79">
        <v>6057.5999999999995</v>
      </c>
      <c r="T79">
        <v>13</v>
      </c>
      <c r="U79">
        <v>9843.5999999999985</v>
      </c>
      <c r="V79">
        <v>11</v>
      </c>
      <c r="W79">
        <v>8329.1999999999989</v>
      </c>
      <c r="X79">
        <v>7</v>
      </c>
      <c r="Y79">
        <v>5300.4</v>
      </c>
      <c r="Z79">
        <v>16</v>
      </c>
      <c r="AA79">
        <v>12115.199999999999</v>
      </c>
      <c r="AB79">
        <v>13</v>
      </c>
      <c r="AC79">
        <v>9843.5999999999985</v>
      </c>
      <c r="AD79">
        <v>9</v>
      </c>
      <c r="AE79">
        <v>6814.7999999999993</v>
      </c>
      <c r="AF79">
        <v>8</v>
      </c>
      <c r="AG79">
        <v>6057.5999999999995</v>
      </c>
      <c r="AH79">
        <v>12</v>
      </c>
      <c r="AI79">
        <v>9086.4</v>
      </c>
      <c r="AJ79">
        <v>11</v>
      </c>
      <c r="AK79">
        <v>8329.1999999999989</v>
      </c>
      <c r="AL79">
        <v>11</v>
      </c>
      <c r="AM79">
        <v>8329.1999999999989</v>
      </c>
      <c r="AN79">
        <v>14</v>
      </c>
      <c r="AO79">
        <v>10600.8</v>
      </c>
      <c r="AP79">
        <v>15</v>
      </c>
      <c r="AQ79">
        <v>11357.999999999998</v>
      </c>
      <c r="AR79">
        <v>9</v>
      </c>
      <c r="AS79">
        <v>6814.7999999999993</v>
      </c>
      <c r="AT79">
        <v>11</v>
      </c>
      <c r="AU79">
        <v>8329.1999999999989</v>
      </c>
      <c r="AV79">
        <v>16</v>
      </c>
      <c r="AW79">
        <v>12115.199999999999</v>
      </c>
      <c r="AX79">
        <v>11</v>
      </c>
      <c r="AY79">
        <v>8329.1999999999989</v>
      </c>
      <c r="AZ79">
        <v>10</v>
      </c>
      <c r="BA79">
        <v>7571.9999999999991</v>
      </c>
      <c r="BB79">
        <v>16</v>
      </c>
      <c r="BC79">
        <v>12115.199999999999</v>
      </c>
      <c r="BD79">
        <v>10</v>
      </c>
      <c r="BE79">
        <v>7571.9999999999991</v>
      </c>
      <c r="BF79">
        <v>10</v>
      </c>
      <c r="BG79">
        <v>7571.9999999999991</v>
      </c>
      <c r="BH79">
        <v>16</v>
      </c>
      <c r="BI79">
        <v>12115.199999999999</v>
      </c>
      <c r="BJ79">
        <v>16</v>
      </c>
      <c r="BK79">
        <v>12115.199999999999</v>
      </c>
      <c r="BL79">
        <v>15</v>
      </c>
      <c r="BM79">
        <v>11357.999999999998</v>
      </c>
      <c r="BN79">
        <v>13</v>
      </c>
      <c r="BO79">
        <v>9843.5999999999985</v>
      </c>
      <c r="BP79">
        <v>13</v>
      </c>
      <c r="BQ79">
        <v>9843.5999999999985</v>
      </c>
      <c r="BR79">
        <v>8</v>
      </c>
      <c r="BS79">
        <v>6057.5999999999995</v>
      </c>
      <c r="BT79">
        <v>16</v>
      </c>
      <c r="BU79">
        <v>12115.199999999999</v>
      </c>
      <c r="BV79">
        <v>13</v>
      </c>
      <c r="BW79">
        <v>9843.5999999999985</v>
      </c>
      <c r="BX79">
        <v>10</v>
      </c>
      <c r="BY79">
        <v>7571.9999999999991</v>
      </c>
      <c r="BZ79">
        <v>12</v>
      </c>
      <c r="CA79">
        <v>9086.4</v>
      </c>
      <c r="CB79">
        <v>8</v>
      </c>
      <c r="CC79">
        <v>6057.5999999999995</v>
      </c>
      <c r="CD79">
        <v>16</v>
      </c>
      <c r="CE79">
        <v>12115.199999999999</v>
      </c>
      <c r="CF79">
        <v>9</v>
      </c>
      <c r="CG79">
        <v>6814.7999999999993</v>
      </c>
      <c r="CH79">
        <v>14</v>
      </c>
      <c r="CI79">
        <v>10600.8</v>
      </c>
      <c r="CJ79">
        <v>13</v>
      </c>
      <c r="CK79">
        <v>9843.5999999999985</v>
      </c>
      <c r="CL79">
        <v>12</v>
      </c>
      <c r="CM79">
        <v>9086.4</v>
      </c>
      <c r="CN79">
        <v>11</v>
      </c>
      <c r="CO79">
        <v>8329.1999999999989</v>
      </c>
      <c r="CP79">
        <v>15</v>
      </c>
      <c r="CQ79">
        <v>11357.999999999998</v>
      </c>
      <c r="CR79">
        <v>14</v>
      </c>
      <c r="CS79">
        <v>10600.8</v>
      </c>
      <c r="CT79">
        <v>16</v>
      </c>
      <c r="CU79">
        <v>12115.199999999999</v>
      </c>
    </row>
    <row r="80" spans="2:99" x14ac:dyDescent="0.2">
      <c r="C80" s="119" t="s">
        <v>246</v>
      </c>
      <c r="D80">
        <v>7.8769736702388862</v>
      </c>
      <c r="E80">
        <v>6342.5391992763507</v>
      </c>
      <c r="F80">
        <v>9</v>
      </c>
      <c r="G80">
        <v>7246.7999999999993</v>
      </c>
      <c r="H80">
        <v>10</v>
      </c>
      <c r="I80">
        <v>8051.9999999999991</v>
      </c>
      <c r="J80">
        <v>10</v>
      </c>
      <c r="K80">
        <v>8051.9999999999991</v>
      </c>
      <c r="L80">
        <v>10</v>
      </c>
      <c r="M80">
        <v>8051.9999999999991</v>
      </c>
      <c r="N80">
        <v>14</v>
      </c>
      <c r="O80">
        <v>11272.8</v>
      </c>
      <c r="P80">
        <v>15</v>
      </c>
      <c r="Q80">
        <v>12077.999999999998</v>
      </c>
      <c r="R80">
        <v>8</v>
      </c>
      <c r="S80">
        <v>6441.5999999999995</v>
      </c>
      <c r="T80">
        <v>12</v>
      </c>
      <c r="U80">
        <v>9662.4</v>
      </c>
      <c r="V80">
        <v>10</v>
      </c>
      <c r="W80">
        <v>8051.9999999999991</v>
      </c>
      <c r="X80">
        <v>7</v>
      </c>
      <c r="Y80">
        <v>5636.4</v>
      </c>
      <c r="Z80">
        <v>14</v>
      </c>
      <c r="AA80">
        <v>11272.8</v>
      </c>
      <c r="AB80">
        <v>13</v>
      </c>
      <c r="AC80">
        <v>10467.599999999999</v>
      </c>
      <c r="AD80">
        <v>9</v>
      </c>
      <c r="AE80">
        <v>7246.7999999999993</v>
      </c>
      <c r="AF80">
        <v>10</v>
      </c>
      <c r="AG80">
        <v>8051.9999999999991</v>
      </c>
      <c r="AH80">
        <v>14</v>
      </c>
      <c r="AI80">
        <v>11272.8</v>
      </c>
      <c r="AJ80">
        <v>12</v>
      </c>
      <c r="AK80">
        <v>9662.4</v>
      </c>
      <c r="AL80">
        <v>9</v>
      </c>
      <c r="AM80">
        <v>7246.7999999999993</v>
      </c>
      <c r="AN80">
        <v>16</v>
      </c>
      <c r="AO80">
        <v>12883.199999999999</v>
      </c>
      <c r="AP80">
        <v>14</v>
      </c>
      <c r="AQ80">
        <v>11272.8</v>
      </c>
      <c r="AR80">
        <v>9</v>
      </c>
      <c r="AS80">
        <v>7246.7999999999993</v>
      </c>
      <c r="AT80">
        <v>12</v>
      </c>
      <c r="AU80">
        <v>9662.4</v>
      </c>
      <c r="AV80">
        <v>16</v>
      </c>
      <c r="AW80">
        <v>12883.199999999999</v>
      </c>
      <c r="AX80">
        <v>11</v>
      </c>
      <c r="AY80">
        <v>8857.1999999999989</v>
      </c>
      <c r="AZ80">
        <v>11</v>
      </c>
      <c r="BA80">
        <v>8857.1999999999989</v>
      </c>
      <c r="BB80">
        <v>14</v>
      </c>
      <c r="BC80">
        <v>11272.8</v>
      </c>
      <c r="BD80">
        <v>11</v>
      </c>
      <c r="BE80">
        <v>8857.1999999999989</v>
      </c>
      <c r="BF80">
        <v>10</v>
      </c>
      <c r="BG80">
        <v>8051.9999999999991</v>
      </c>
      <c r="BH80">
        <v>16</v>
      </c>
      <c r="BI80">
        <v>12883.199999999999</v>
      </c>
      <c r="BJ80">
        <v>16</v>
      </c>
      <c r="BK80">
        <v>12883.199999999999</v>
      </c>
      <c r="BL80">
        <v>14</v>
      </c>
      <c r="BM80">
        <v>11272.8</v>
      </c>
      <c r="BN80">
        <v>14</v>
      </c>
      <c r="BO80">
        <v>11272.8</v>
      </c>
      <c r="BP80">
        <v>12</v>
      </c>
      <c r="BQ80">
        <v>9662.4</v>
      </c>
      <c r="BR80">
        <v>9</v>
      </c>
      <c r="BS80">
        <v>7246.7999999999993</v>
      </c>
      <c r="BT80">
        <v>16</v>
      </c>
      <c r="BU80">
        <v>12883.199999999999</v>
      </c>
      <c r="BV80">
        <v>13</v>
      </c>
      <c r="BW80">
        <v>10467.599999999999</v>
      </c>
      <c r="BX80">
        <v>10</v>
      </c>
      <c r="BY80">
        <v>8051.9999999999991</v>
      </c>
      <c r="BZ80">
        <v>11</v>
      </c>
      <c r="CA80">
        <v>8857.1999999999989</v>
      </c>
      <c r="CB80">
        <v>8</v>
      </c>
      <c r="CC80">
        <v>6441.5999999999995</v>
      </c>
      <c r="CD80">
        <v>15</v>
      </c>
      <c r="CE80">
        <v>12077.999999999998</v>
      </c>
      <c r="CF80">
        <v>9</v>
      </c>
      <c r="CG80">
        <v>7246.7999999999993</v>
      </c>
      <c r="CH80">
        <v>13</v>
      </c>
      <c r="CI80">
        <v>10467.599999999999</v>
      </c>
      <c r="CJ80">
        <v>12</v>
      </c>
      <c r="CK80">
        <v>9662.4</v>
      </c>
      <c r="CL80">
        <v>11</v>
      </c>
      <c r="CM80">
        <v>8857.1999999999989</v>
      </c>
      <c r="CN80">
        <v>10</v>
      </c>
      <c r="CO80">
        <v>8051.9999999999991</v>
      </c>
      <c r="CP80">
        <v>14</v>
      </c>
      <c r="CQ80">
        <v>11272.8</v>
      </c>
      <c r="CR80">
        <v>14</v>
      </c>
      <c r="CS80">
        <v>11272.8</v>
      </c>
      <c r="CT80">
        <v>16</v>
      </c>
      <c r="CU80">
        <v>12883.199999999999</v>
      </c>
    </row>
    <row r="81" spans="2:99" x14ac:dyDescent="0.2">
      <c r="C81" s="119" t="s">
        <v>247</v>
      </c>
      <c r="D81">
        <v>8.4551899463410134</v>
      </c>
      <c r="E81">
        <v>6371.8311435625883</v>
      </c>
      <c r="F81">
        <v>9</v>
      </c>
      <c r="G81">
        <v>6782.4000000000005</v>
      </c>
      <c r="H81">
        <v>11</v>
      </c>
      <c r="I81">
        <v>8289.6</v>
      </c>
      <c r="J81">
        <v>10</v>
      </c>
      <c r="K81">
        <v>7536</v>
      </c>
      <c r="L81">
        <v>9</v>
      </c>
      <c r="M81">
        <v>6782.4000000000005</v>
      </c>
      <c r="N81">
        <v>14</v>
      </c>
      <c r="O81">
        <v>10550.4</v>
      </c>
      <c r="P81">
        <v>15</v>
      </c>
      <c r="Q81">
        <v>11304</v>
      </c>
      <c r="R81">
        <v>9</v>
      </c>
      <c r="S81">
        <v>6782.4000000000005</v>
      </c>
      <c r="T81">
        <v>13</v>
      </c>
      <c r="U81">
        <v>9796.8000000000011</v>
      </c>
      <c r="V81">
        <v>10</v>
      </c>
      <c r="W81">
        <v>7536</v>
      </c>
      <c r="X81">
        <v>7</v>
      </c>
      <c r="Y81">
        <v>5275.2</v>
      </c>
      <c r="Z81">
        <v>16</v>
      </c>
      <c r="AA81">
        <v>12057.6</v>
      </c>
      <c r="AB81">
        <v>13</v>
      </c>
      <c r="AC81">
        <v>9796.8000000000011</v>
      </c>
      <c r="AD81">
        <v>10</v>
      </c>
      <c r="AE81">
        <v>7536</v>
      </c>
      <c r="AF81">
        <v>9</v>
      </c>
      <c r="AG81">
        <v>6782.4000000000005</v>
      </c>
      <c r="AH81">
        <v>14</v>
      </c>
      <c r="AI81">
        <v>10550.4</v>
      </c>
      <c r="AJ81">
        <v>13</v>
      </c>
      <c r="AK81">
        <v>9796.8000000000011</v>
      </c>
      <c r="AL81">
        <v>11</v>
      </c>
      <c r="AM81">
        <v>8289.6</v>
      </c>
      <c r="AN81">
        <v>15</v>
      </c>
      <c r="AO81">
        <v>11304</v>
      </c>
      <c r="AP81">
        <v>15</v>
      </c>
      <c r="AQ81">
        <v>11304</v>
      </c>
      <c r="AR81">
        <v>10</v>
      </c>
      <c r="AS81">
        <v>7536</v>
      </c>
      <c r="AT81">
        <v>11</v>
      </c>
      <c r="AU81">
        <v>8289.6</v>
      </c>
      <c r="AV81">
        <v>16</v>
      </c>
      <c r="AW81">
        <v>12057.6</v>
      </c>
      <c r="AX81">
        <v>10</v>
      </c>
      <c r="AY81">
        <v>7536</v>
      </c>
      <c r="AZ81">
        <v>11</v>
      </c>
      <c r="BA81">
        <v>8289.6</v>
      </c>
      <c r="BB81">
        <v>14</v>
      </c>
      <c r="BC81">
        <v>10550.4</v>
      </c>
      <c r="BD81">
        <v>11</v>
      </c>
      <c r="BE81">
        <v>8289.6</v>
      </c>
      <c r="BF81">
        <v>9</v>
      </c>
      <c r="BG81">
        <v>6782.4000000000005</v>
      </c>
      <c r="BH81">
        <v>14</v>
      </c>
      <c r="BI81">
        <v>10550.4</v>
      </c>
      <c r="BJ81">
        <v>15</v>
      </c>
      <c r="BK81">
        <v>11304</v>
      </c>
      <c r="BL81">
        <v>14</v>
      </c>
      <c r="BM81">
        <v>10550.4</v>
      </c>
      <c r="BN81">
        <v>14</v>
      </c>
      <c r="BO81">
        <v>10550.4</v>
      </c>
      <c r="BP81">
        <v>13</v>
      </c>
      <c r="BQ81">
        <v>9796.8000000000011</v>
      </c>
      <c r="BR81">
        <v>8</v>
      </c>
      <c r="BS81">
        <v>6028.8</v>
      </c>
      <c r="BT81">
        <v>15</v>
      </c>
      <c r="BU81">
        <v>11304</v>
      </c>
      <c r="BV81">
        <v>13</v>
      </c>
      <c r="BW81">
        <v>9796.8000000000011</v>
      </c>
      <c r="BX81">
        <v>10</v>
      </c>
      <c r="BY81">
        <v>7536</v>
      </c>
      <c r="BZ81">
        <v>13</v>
      </c>
      <c r="CA81">
        <v>9796.8000000000011</v>
      </c>
      <c r="CB81">
        <v>8</v>
      </c>
      <c r="CC81">
        <v>6028.8</v>
      </c>
      <c r="CD81">
        <v>17</v>
      </c>
      <c r="CE81">
        <v>12811.2</v>
      </c>
      <c r="CF81">
        <v>9</v>
      </c>
      <c r="CG81">
        <v>6782.4000000000005</v>
      </c>
      <c r="CH81">
        <v>15</v>
      </c>
      <c r="CI81">
        <v>11304</v>
      </c>
      <c r="CJ81">
        <v>13</v>
      </c>
      <c r="CK81">
        <v>9796.8000000000011</v>
      </c>
      <c r="CL81">
        <v>12</v>
      </c>
      <c r="CM81">
        <v>9043.2000000000007</v>
      </c>
      <c r="CN81">
        <v>11</v>
      </c>
      <c r="CO81">
        <v>8289.6</v>
      </c>
      <c r="CP81">
        <v>13</v>
      </c>
      <c r="CQ81">
        <v>9796.8000000000011</v>
      </c>
      <c r="CR81">
        <v>14</v>
      </c>
      <c r="CS81">
        <v>10550.4</v>
      </c>
      <c r="CT81">
        <v>17</v>
      </c>
      <c r="CU81">
        <v>12811.2</v>
      </c>
    </row>
    <row r="82" spans="2:99" x14ac:dyDescent="0.2">
      <c r="C82" s="119" t="s">
        <v>248</v>
      </c>
      <c r="D82">
        <v>9.0959647795773648</v>
      </c>
      <c r="E82">
        <v>4628.0268798489624</v>
      </c>
      <c r="F82">
        <v>8</v>
      </c>
      <c r="G82">
        <v>4070.3999999999992</v>
      </c>
      <c r="H82">
        <v>11</v>
      </c>
      <c r="I82">
        <v>5596.7999999999993</v>
      </c>
      <c r="J82">
        <v>12</v>
      </c>
      <c r="K82">
        <v>6105.5999999999985</v>
      </c>
      <c r="L82">
        <v>10</v>
      </c>
      <c r="M82">
        <v>5087.9999999999991</v>
      </c>
      <c r="N82">
        <v>15</v>
      </c>
      <c r="O82">
        <v>7631.9999999999982</v>
      </c>
      <c r="P82">
        <v>14</v>
      </c>
      <c r="Q82">
        <v>7123.1999999999989</v>
      </c>
      <c r="R82">
        <v>9</v>
      </c>
      <c r="S82">
        <v>4579.1999999999989</v>
      </c>
      <c r="T82">
        <v>12</v>
      </c>
      <c r="U82">
        <v>6105.5999999999985</v>
      </c>
      <c r="V82">
        <v>10</v>
      </c>
      <c r="W82">
        <v>5087.9999999999991</v>
      </c>
      <c r="X82">
        <v>8</v>
      </c>
      <c r="Y82">
        <v>4070.3999999999992</v>
      </c>
      <c r="Z82">
        <v>15</v>
      </c>
      <c r="AA82">
        <v>7631.9999999999982</v>
      </c>
      <c r="AB82">
        <v>13</v>
      </c>
      <c r="AC82">
        <v>6614.3999999999987</v>
      </c>
      <c r="AD82">
        <v>9</v>
      </c>
      <c r="AE82">
        <v>4579.1999999999989</v>
      </c>
      <c r="AF82">
        <v>10</v>
      </c>
      <c r="AG82">
        <v>5087.9999999999991</v>
      </c>
      <c r="AH82">
        <v>12</v>
      </c>
      <c r="AI82">
        <v>6105.5999999999985</v>
      </c>
      <c r="AJ82">
        <v>11</v>
      </c>
      <c r="AK82">
        <v>5596.7999999999993</v>
      </c>
      <c r="AL82">
        <v>10</v>
      </c>
      <c r="AM82">
        <v>5087.9999999999991</v>
      </c>
      <c r="AN82">
        <v>15</v>
      </c>
      <c r="AO82">
        <v>7631.9999999999982</v>
      </c>
      <c r="AP82">
        <v>16</v>
      </c>
      <c r="AQ82">
        <v>8140.7999999999984</v>
      </c>
      <c r="AR82">
        <v>9</v>
      </c>
      <c r="AS82">
        <v>4579.1999999999989</v>
      </c>
      <c r="AT82">
        <v>13</v>
      </c>
      <c r="AU82">
        <v>6614.3999999999987</v>
      </c>
      <c r="AV82">
        <v>16</v>
      </c>
      <c r="AW82">
        <v>8140.7999999999984</v>
      </c>
      <c r="AX82">
        <v>11</v>
      </c>
      <c r="AY82">
        <v>5596.7999999999993</v>
      </c>
      <c r="AZ82">
        <v>12</v>
      </c>
      <c r="BA82">
        <v>6105.5999999999985</v>
      </c>
      <c r="BB82">
        <v>16</v>
      </c>
      <c r="BC82">
        <v>8140.7999999999984</v>
      </c>
      <c r="BD82">
        <v>12</v>
      </c>
      <c r="BE82">
        <v>6105.5999999999985</v>
      </c>
      <c r="BF82">
        <v>10</v>
      </c>
      <c r="BG82">
        <v>5087.9999999999991</v>
      </c>
      <c r="BH82">
        <v>14</v>
      </c>
      <c r="BI82">
        <v>7123.1999999999989</v>
      </c>
      <c r="BJ82">
        <v>18</v>
      </c>
      <c r="BK82">
        <v>9158.3999999999978</v>
      </c>
      <c r="BL82">
        <v>15</v>
      </c>
      <c r="BM82">
        <v>7631.9999999999982</v>
      </c>
      <c r="BN82">
        <v>12</v>
      </c>
      <c r="BO82">
        <v>6105.5999999999985</v>
      </c>
      <c r="BP82">
        <v>12</v>
      </c>
      <c r="BQ82">
        <v>6105.5999999999985</v>
      </c>
      <c r="BR82">
        <v>9</v>
      </c>
      <c r="BS82">
        <v>4579.1999999999989</v>
      </c>
      <c r="BT82">
        <v>15</v>
      </c>
      <c r="BU82">
        <v>7631.9999999999982</v>
      </c>
      <c r="BV82">
        <v>13</v>
      </c>
      <c r="BW82">
        <v>6614.3999999999987</v>
      </c>
      <c r="BX82">
        <v>11</v>
      </c>
      <c r="BY82">
        <v>5596.7999999999993</v>
      </c>
      <c r="BZ82">
        <v>12</v>
      </c>
      <c r="CA82">
        <v>6105.5999999999985</v>
      </c>
      <c r="CB82">
        <v>9</v>
      </c>
      <c r="CC82">
        <v>4579.1999999999989</v>
      </c>
      <c r="CD82">
        <v>18</v>
      </c>
      <c r="CE82">
        <v>9158.3999999999978</v>
      </c>
      <c r="CF82">
        <v>9</v>
      </c>
      <c r="CG82">
        <v>4579.1999999999989</v>
      </c>
      <c r="CH82">
        <v>15</v>
      </c>
      <c r="CI82">
        <v>7631.9999999999982</v>
      </c>
      <c r="CJ82">
        <v>15</v>
      </c>
      <c r="CK82">
        <v>7631.9999999999982</v>
      </c>
      <c r="CL82">
        <v>12</v>
      </c>
      <c r="CM82">
        <v>6105.5999999999985</v>
      </c>
      <c r="CN82">
        <v>10</v>
      </c>
      <c r="CO82">
        <v>5087.9999999999991</v>
      </c>
      <c r="CP82">
        <v>14</v>
      </c>
      <c r="CQ82">
        <v>7123.1999999999989</v>
      </c>
      <c r="CR82">
        <v>15</v>
      </c>
      <c r="CS82">
        <v>7631.9999999999982</v>
      </c>
      <c r="CT82">
        <v>15</v>
      </c>
      <c r="CU82">
        <v>7631.9999999999982</v>
      </c>
    </row>
    <row r="83" spans="2:99" x14ac:dyDescent="0.2">
      <c r="C83" s="119" t="s">
        <v>249</v>
      </c>
      <c r="D83">
        <v>8.4760427987190869</v>
      </c>
      <c r="E83">
        <v>7292.7872240179022</v>
      </c>
      <c r="F83">
        <v>8</v>
      </c>
      <c r="G83">
        <v>6883.2</v>
      </c>
      <c r="H83">
        <v>10</v>
      </c>
      <c r="I83">
        <v>8604</v>
      </c>
      <c r="J83">
        <v>11</v>
      </c>
      <c r="K83">
        <v>9464.4</v>
      </c>
      <c r="L83">
        <v>9</v>
      </c>
      <c r="M83">
        <v>7743.5999999999995</v>
      </c>
      <c r="N83">
        <v>16</v>
      </c>
      <c r="O83">
        <v>13766.4</v>
      </c>
      <c r="P83">
        <v>15</v>
      </c>
      <c r="Q83">
        <v>12906</v>
      </c>
      <c r="R83">
        <v>8</v>
      </c>
      <c r="S83">
        <v>6883.2</v>
      </c>
      <c r="T83">
        <v>13</v>
      </c>
      <c r="U83">
        <v>11185.199999999999</v>
      </c>
      <c r="V83">
        <v>11</v>
      </c>
      <c r="W83">
        <v>9464.4</v>
      </c>
      <c r="X83">
        <v>8</v>
      </c>
      <c r="Y83">
        <v>6883.2</v>
      </c>
      <c r="Z83">
        <v>15</v>
      </c>
      <c r="AA83">
        <v>12906</v>
      </c>
      <c r="AB83">
        <v>12</v>
      </c>
      <c r="AC83">
        <v>10324.799999999999</v>
      </c>
      <c r="AD83">
        <v>9</v>
      </c>
      <c r="AE83">
        <v>7743.5999999999995</v>
      </c>
      <c r="AF83">
        <v>9</v>
      </c>
      <c r="AG83">
        <v>7743.5999999999995</v>
      </c>
      <c r="AH83">
        <v>12</v>
      </c>
      <c r="AI83">
        <v>10324.799999999999</v>
      </c>
      <c r="AJ83">
        <v>13</v>
      </c>
      <c r="AK83">
        <v>11185.199999999999</v>
      </c>
      <c r="AL83">
        <v>11</v>
      </c>
      <c r="AM83">
        <v>9464.4</v>
      </c>
      <c r="AN83">
        <v>16</v>
      </c>
      <c r="AO83">
        <v>13766.4</v>
      </c>
      <c r="AP83">
        <v>15</v>
      </c>
      <c r="AQ83">
        <v>12906</v>
      </c>
      <c r="AR83">
        <v>9</v>
      </c>
      <c r="AS83">
        <v>7743.5999999999995</v>
      </c>
      <c r="AT83">
        <v>12</v>
      </c>
      <c r="AU83">
        <v>10324.799999999999</v>
      </c>
      <c r="AV83">
        <v>16</v>
      </c>
      <c r="AW83">
        <v>13766.4</v>
      </c>
      <c r="AX83">
        <v>10</v>
      </c>
      <c r="AY83">
        <v>8604</v>
      </c>
      <c r="AZ83">
        <v>11</v>
      </c>
      <c r="BA83">
        <v>9464.4</v>
      </c>
      <c r="BB83">
        <v>14</v>
      </c>
      <c r="BC83">
        <v>12045.6</v>
      </c>
      <c r="BD83">
        <v>10</v>
      </c>
      <c r="BE83">
        <v>8604</v>
      </c>
      <c r="BF83">
        <v>10</v>
      </c>
      <c r="BG83">
        <v>8604</v>
      </c>
      <c r="BH83">
        <v>14</v>
      </c>
      <c r="BI83">
        <v>12045.6</v>
      </c>
      <c r="BJ83">
        <v>14</v>
      </c>
      <c r="BK83">
        <v>12045.6</v>
      </c>
      <c r="BL83">
        <v>16</v>
      </c>
      <c r="BM83">
        <v>13766.4</v>
      </c>
      <c r="BN83">
        <v>12</v>
      </c>
      <c r="BO83">
        <v>10324.799999999999</v>
      </c>
      <c r="BP83">
        <v>13</v>
      </c>
      <c r="BQ83">
        <v>11185.199999999999</v>
      </c>
      <c r="BR83">
        <v>8</v>
      </c>
      <c r="BS83">
        <v>6883.2</v>
      </c>
      <c r="BT83">
        <v>16</v>
      </c>
      <c r="BU83">
        <v>13766.4</v>
      </c>
      <c r="BV83">
        <v>11</v>
      </c>
      <c r="BW83">
        <v>9464.4</v>
      </c>
      <c r="BX83">
        <v>10</v>
      </c>
      <c r="BY83">
        <v>8604</v>
      </c>
      <c r="BZ83">
        <v>12</v>
      </c>
      <c r="CA83">
        <v>10324.799999999999</v>
      </c>
      <c r="CB83">
        <v>8</v>
      </c>
      <c r="CC83">
        <v>6883.2</v>
      </c>
      <c r="CD83">
        <v>17</v>
      </c>
      <c r="CE83">
        <v>14626.8</v>
      </c>
      <c r="CF83">
        <v>10</v>
      </c>
      <c r="CG83">
        <v>8604</v>
      </c>
      <c r="CH83">
        <v>15</v>
      </c>
      <c r="CI83">
        <v>12906</v>
      </c>
      <c r="CJ83">
        <v>12</v>
      </c>
      <c r="CK83">
        <v>10324.799999999999</v>
      </c>
      <c r="CL83">
        <v>10</v>
      </c>
      <c r="CM83">
        <v>8604</v>
      </c>
      <c r="CN83">
        <v>11</v>
      </c>
      <c r="CO83">
        <v>9464.4</v>
      </c>
      <c r="CP83">
        <v>14</v>
      </c>
      <c r="CQ83">
        <v>12045.6</v>
      </c>
      <c r="CR83">
        <v>14</v>
      </c>
      <c r="CS83">
        <v>12045.6</v>
      </c>
      <c r="CT83">
        <v>14</v>
      </c>
      <c r="CU83">
        <v>12045.6</v>
      </c>
    </row>
    <row r="84" spans="2:99" x14ac:dyDescent="0.2">
      <c r="C84" s="119" t="s">
        <v>250</v>
      </c>
      <c r="D84">
        <v>8.4551899463410134</v>
      </c>
      <c r="E84">
        <v>6605.1943860815991</v>
      </c>
      <c r="F84">
        <v>7</v>
      </c>
      <c r="G84">
        <v>5468.4</v>
      </c>
      <c r="H84">
        <v>11</v>
      </c>
      <c r="I84">
        <v>8593.1999999999989</v>
      </c>
      <c r="J84">
        <v>11</v>
      </c>
      <c r="K84">
        <v>8593.1999999999989</v>
      </c>
      <c r="L84">
        <v>10</v>
      </c>
      <c r="M84">
        <v>7811.9999999999991</v>
      </c>
      <c r="N84">
        <v>14</v>
      </c>
      <c r="O84">
        <v>10936.8</v>
      </c>
      <c r="P84">
        <v>15</v>
      </c>
      <c r="Q84">
        <v>11717.999999999998</v>
      </c>
      <c r="R84">
        <v>7</v>
      </c>
      <c r="S84">
        <v>5468.4</v>
      </c>
      <c r="T84">
        <v>12</v>
      </c>
      <c r="U84">
        <v>9374.4</v>
      </c>
      <c r="V84">
        <v>11</v>
      </c>
      <c r="W84">
        <v>8593.1999999999989</v>
      </c>
      <c r="X84">
        <v>7</v>
      </c>
      <c r="Y84">
        <v>5468.4</v>
      </c>
      <c r="Z84">
        <v>16</v>
      </c>
      <c r="AA84">
        <v>12499.199999999999</v>
      </c>
      <c r="AB84">
        <v>12</v>
      </c>
      <c r="AC84">
        <v>9374.4</v>
      </c>
      <c r="AD84">
        <v>9</v>
      </c>
      <c r="AE84">
        <v>7030.7999999999993</v>
      </c>
      <c r="AF84">
        <v>8</v>
      </c>
      <c r="AG84">
        <v>6249.5999999999995</v>
      </c>
      <c r="AH84">
        <v>12</v>
      </c>
      <c r="AI84">
        <v>9374.4</v>
      </c>
      <c r="AJ84">
        <v>13</v>
      </c>
      <c r="AK84">
        <v>10155.599999999999</v>
      </c>
      <c r="AL84">
        <v>10</v>
      </c>
      <c r="AM84">
        <v>7811.9999999999991</v>
      </c>
      <c r="AN84">
        <v>15</v>
      </c>
      <c r="AO84">
        <v>11717.999999999998</v>
      </c>
      <c r="AP84">
        <v>15</v>
      </c>
      <c r="AQ84">
        <v>11717.999999999998</v>
      </c>
      <c r="AR84">
        <v>10</v>
      </c>
      <c r="AS84">
        <v>7811.9999999999991</v>
      </c>
      <c r="AT84">
        <v>11</v>
      </c>
      <c r="AU84">
        <v>8593.1999999999989</v>
      </c>
      <c r="AV84">
        <v>15</v>
      </c>
      <c r="AW84">
        <v>11717.999999999998</v>
      </c>
      <c r="AX84">
        <v>10</v>
      </c>
      <c r="AY84">
        <v>7811.9999999999991</v>
      </c>
      <c r="AZ84">
        <v>10</v>
      </c>
      <c r="BA84">
        <v>7811.9999999999991</v>
      </c>
      <c r="BB84">
        <v>14</v>
      </c>
      <c r="BC84">
        <v>10936.8</v>
      </c>
      <c r="BD84">
        <v>10</v>
      </c>
      <c r="BE84">
        <v>7811.9999999999991</v>
      </c>
      <c r="BF84">
        <v>9</v>
      </c>
      <c r="BG84">
        <v>7030.7999999999993</v>
      </c>
      <c r="BH84">
        <v>14</v>
      </c>
      <c r="BI84">
        <v>10936.8</v>
      </c>
      <c r="BJ84">
        <v>16</v>
      </c>
      <c r="BK84">
        <v>12499.199999999999</v>
      </c>
      <c r="BL84">
        <v>14</v>
      </c>
      <c r="BM84">
        <v>10936.8</v>
      </c>
      <c r="BN84">
        <v>13</v>
      </c>
      <c r="BO84">
        <v>10155.599999999999</v>
      </c>
      <c r="BP84">
        <v>12</v>
      </c>
      <c r="BQ84">
        <v>9374.4</v>
      </c>
      <c r="BR84">
        <v>9</v>
      </c>
      <c r="BS84">
        <v>7030.7999999999993</v>
      </c>
      <c r="BT84">
        <v>17</v>
      </c>
      <c r="BU84">
        <v>13280.4</v>
      </c>
      <c r="BV84">
        <v>13</v>
      </c>
      <c r="BW84">
        <v>10155.599999999999</v>
      </c>
      <c r="BX84">
        <v>12</v>
      </c>
      <c r="BY84">
        <v>9374.4</v>
      </c>
      <c r="BZ84">
        <v>13</v>
      </c>
      <c r="CA84">
        <v>10155.599999999999</v>
      </c>
      <c r="CB84">
        <v>8</v>
      </c>
      <c r="CC84">
        <v>6249.5999999999995</v>
      </c>
      <c r="CD84">
        <v>17</v>
      </c>
      <c r="CE84">
        <v>13280.4</v>
      </c>
      <c r="CF84">
        <v>10</v>
      </c>
      <c r="CG84">
        <v>7811.9999999999991</v>
      </c>
      <c r="CH84">
        <v>13</v>
      </c>
      <c r="CI84">
        <v>10155.599999999999</v>
      </c>
      <c r="CJ84">
        <v>13</v>
      </c>
      <c r="CK84">
        <v>10155.599999999999</v>
      </c>
      <c r="CL84">
        <v>11</v>
      </c>
      <c r="CM84">
        <v>8593.1999999999989</v>
      </c>
      <c r="CN84">
        <v>10</v>
      </c>
      <c r="CO84">
        <v>7811.9999999999991</v>
      </c>
      <c r="CP84">
        <v>12</v>
      </c>
      <c r="CQ84">
        <v>9374.4</v>
      </c>
      <c r="CR84">
        <v>15</v>
      </c>
      <c r="CS84">
        <v>11717.999999999998</v>
      </c>
      <c r="CT84">
        <v>17</v>
      </c>
      <c r="CU84">
        <v>13280.4</v>
      </c>
    </row>
    <row r="85" spans="2:99" x14ac:dyDescent="0.2">
      <c r="C85" s="119" t="s">
        <v>251</v>
      </c>
      <c r="D85">
        <v>8.4760427987190869</v>
      </c>
      <c r="E85">
        <v>1271.4064198078631</v>
      </c>
      <c r="F85">
        <v>8</v>
      </c>
      <c r="G85">
        <v>1200</v>
      </c>
      <c r="H85">
        <v>12</v>
      </c>
      <c r="I85">
        <v>1800</v>
      </c>
      <c r="J85">
        <v>12</v>
      </c>
      <c r="K85">
        <v>1800</v>
      </c>
      <c r="L85">
        <v>10</v>
      </c>
      <c r="M85">
        <v>1500</v>
      </c>
      <c r="N85">
        <v>16</v>
      </c>
      <c r="O85">
        <v>2400</v>
      </c>
      <c r="P85">
        <v>15</v>
      </c>
      <c r="Q85">
        <v>2250</v>
      </c>
      <c r="R85">
        <v>9</v>
      </c>
      <c r="S85">
        <v>1350</v>
      </c>
      <c r="T85">
        <v>13</v>
      </c>
      <c r="U85">
        <v>1950</v>
      </c>
      <c r="V85">
        <v>12</v>
      </c>
      <c r="W85">
        <v>1800</v>
      </c>
      <c r="X85">
        <v>8</v>
      </c>
      <c r="Y85">
        <v>1200</v>
      </c>
      <c r="Z85">
        <v>18</v>
      </c>
      <c r="AA85">
        <v>2700</v>
      </c>
      <c r="AB85">
        <v>15</v>
      </c>
      <c r="AC85">
        <v>2250</v>
      </c>
      <c r="AD85">
        <v>10</v>
      </c>
      <c r="AE85">
        <v>1500</v>
      </c>
      <c r="AF85">
        <v>11</v>
      </c>
      <c r="AG85">
        <v>1650</v>
      </c>
      <c r="AH85">
        <v>13</v>
      </c>
      <c r="AI85">
        <v>1950</v>
      </c>
      <c r="AJ85">
        <v>12</v>
      </c>
      <c r="AK85">
        <v>1800</v>
      </c>
      <c r="AL85">
        <v>12</v>
      </c>
      <c r="AM85">
        <v>1800</v>
      </c>
      <c r="AN85">
        <v>17</v>
      </c>
      <c r="AO85">
        <v>2550</v>
      </c>
      <c r="AP85">
        <v>15</v>
      </c>
      <c r="AQ85">
        <v>2250</v>
      </c>
      <c r="AR85">
        <v>9</v>
      </c>
      <c r="AS85">
        <v>1350</v>
      </c>
      <c r="AT85">
        <v>14</v>
      </c>
      <c r="AU85">
        <v>2100</v>
      </c>
      <c r="AV85">
        <v>18</v>
      </c>
      <c r="AW85">
        <v>2700</v>
      </c>
      <c r="AX85">
        <v>12</v>
      </c>
      <c r="AY85">
        <v>1800</v>
      </c>
      <c r="AZ85">
        <v>11</v>
      </c>
      <c r="BA85">
        <v>1650</v>
      </c>
      <c r="BB85">
        <v>17</v>
      </c>
      <c r="BC85">
        <v>2550</v>
      </c>
      <c r="BD85">
        <v>11</v>
      </c>
      <c r="BE85">
        <v>1650</v>
      </c>
      <c r="BF85">
        <v>11</v>
      </c>
      <c r="BG85">
        <v>1650</v>
      </c>
      <c r="BH85">
        <v>17</v>
      </c>
      <c r="BI85">
        <v>2550</v>
      </c>
      <c r="BJ85">
        <v>18</v>
      </c>
      <c r="BK85">
        <v>2700</v>
      </c>
      <c r="BL85">
        <v>16</v>
      </c>
      <c r="BM85">
        <v>2400</v>
      </c>
      <c r="BN85">
        <v>14</v>
      </c>
      <c r="BO85">
        <v>2100</v>
      </c>
      <c r="BP85">
        <v>14</v>
      </c>
      <c r="BQ85">
        <v>2100</v>
      </c>
      <c r="BR85">
        <v>9</v>
      </c>
      <c r="BS85">
        <v>1350</v>
      </c>
      <c r="BT85">
        <v>16</v>
      </c>
      <c r="BU85">
        <v>2400</v>
      </c>
      <c r="BV85">
        <v>14</v>
      </c>
      <c r="BW85">
        <v>2100</v>
      </c>
      <c r="BX85">
        <v>12</v>
      </c>
      <c r="BY85">
        <v>1800</v>
      </c>
      <c r="BZ85">
        <v>13</v>
      </c>
      <c r="CA85">
        <v>1950</v>
      </c>
      <c r="CB85">
        <v>9</v>
      </c>
      <c r="CC85">
        <v>1350</v>
      </c>
      <c r="CD85">
        <v>18</v>
      </c>
      <c r="CE85">
        <v>2700</v>
      </c>
      <c r="CF85">
        <v>10</v>
      </c>
      <c r="CG85">
        <v>1500</v>
      </c>
      <c r="CH85">
        <v>16</v>
      </c>
      <c r="CI85">
        <v>2400</v>
      </c>
      <c r="CJ85">
        <v>14</v>
      </c>
      <c r="CK85">
        <v>2100</v>
      </c>
      <c r="CL85">
        <v>13</v>
      </c>
      <c r="CM85">
        <v>1950</v>
      </c>
      <c r="CN85">
        <v>11</v>
      </c>
      <c r="CO85">
        <v>1650</v>
      </c>
      <c r="CP85">
        <v>14</v>
      </c>
      <c r="CQ85">
        <v>2100</v>
      </c>
      <c r="CR85">
        <v>14</v>
      </c>
      <c r="CS85">
        <v>2100</v>
      </c>
      <c r="CT85">
        <v>16</v>
      </c>
      <c r="CU85">
        <v>2400</v>
      </c>
    </row>
    <row r="86" spans="2:99" x14ac:dyDescent="0.2">
      <c r="C86" s="119" t="s">
        <v>252</v>
      </c>
      <c r="D86">
        <v>9.0751119271992913</v>
      </c>
      <c r="E86">
        <v>4900.5604406876173</v>
      </c>
      <c r="F86">
        <v>8</v>
      </c>
      <c r="G86">
        <v>4320</v>
      </c>
      <c r="H86">
        <v>12</v>
      </c>
      <c r="I86">
        <v>6480</v>
      </c>
      <c r="J86">
        <v>10</v>
      </c>
      <c r="K86">
        <v>5400</v>
      </c>
      <c r="L86">
        <v>10</v>
      </c>
      <c r="M86">
        <v>5400</v>
      </c>
      <c r="N86">
        <v>14</v>
      </c>
      <c r="O86">
        <v>7560</v>
      </c>
      <c r="P86">
        <v>14</v>
      </c>
      <c r="Q86">
        <v>7560</v>
      </c>
      <c r="R86">
        <v>8</v>
      </c>
      <c r="S86">
        <v>4320</v>
      </c>
      <c r="T86">
        <v>12</v>
      </c>
      <c r="U86">
        <v>6480</v>
      </c>
      <c r="V86">
        <v>11</v>
      </c>
      <c r="W86">
        <v>5940</v>
      </c>
      <c r="X86">
        <v>8</v>
      </c>
      <c r="Y86">
        <v>4320</v>
      </c>
      <c r="Z86">
        <v>15</v>
      </c>
      <c r="AA86">
        <v>8100</v>
      </c>
      <c r="AB86">
        <v>13</v>
      </c>
      <c r="AC86">
        <v>7020</v>
      </c>
      <c r="AD86">
        <v>9</v>
      </c>
      <c r="AE86">
        <v>4860</v>
      </c>
      <c r="AF86">
        <v>9</v>
      </c>
      <c r="AG86">
        <v>4860</v>
      </c>
      <c r="AH86">
        <v>13</v>
      </c>
      <c r="AI86">
        <v>7020</v>
      </c>
      <c r="AJ86">
        <v>13</v>
      </c>
      <c r="AK86">
        <v>7020</v>
      </c>
      <c r="AL86">
        <v>10</v>
      </c>
      <c r="AM86">
        <v>5400</v>
      </c>
      <c r="AN86">
        <v>15</v>
      </c>
      <c r="AO86">
        <v>8100</v>
      </c>
      <c r="AP86">
        <v>17</v>
      </c>
      <c r="AQ86">
        <v>9180</v>
      </c>
      <c r="AR86">
        <v>9</v>
      </c>
      <c r="AS86">
        <v>4860</v>
      </c>
      <c r="AT86">
        <v>12</v>
      </c>
      <c r="AU86">
        <v>6480</v>
      </c>
      <c r="AV86">
        <v>16</v>
      </c>
      <c r="AW86">
        <v>8640</v>
      </c>
      <c r="AX86">
        <v>11</v>
      </c>
      <c r="AY86">
        <v>5940</v>
      </c>
      <c r="AZ86">
        <v>11</v>
      </c>
      <c r="BA86">
        <v>5940</v>
      </c>
      <c r="BB86">
        <v>15</v>
      </c>
      <c r="BC86">
        <v>8100</v>
      </c>
      <c r="BD86">
        <v>12</v>
      </c>
      <c r="BE86">
        <v>6480</v>
      </c>
      <c r="BF86">
        <v>10</v>
      </c>
      <c r="BG86">
        <v>5400</v>
      </c>
      <c r="BH86">
        <v>14</v>
      </c>
      <c r="BI86">
        <v>7560</v>
      </c>
      <c r="BJ86">
        <v>15</v>
      </c>
      <c r="BK86">
        <v>8100</v>
      </c>
      <c r="BL86">
        <v>17</v>
      </c>
      <c r="BM86">
        <v>9180</v>
      </c>
      <c r="BN86">
        <v>13</v>
      </c>
      <c r="BO86">
        <v>7020</v>
      </c>
      <c r="BP86">
        <v>12</v>
      </c>
      <c r="BQ86">
        <v>6480</v>
      </c>
      <c r="BR86">
        <v>9</v>
      </c>
      <c r="BS86">
        <v>4860</v>
      </c>
      <c r="BT86">
        <v>16</v>
      </c>
      <c r="BU86">
        <v>8640</v>
      </c>
      <c r="BV86">
        <v>13</v>
      </c>
      <c r="BW86">
        <v>7020</v>
      </c>
      <c r="BX86">
        <v>11</v>
      </c>
      <c r="BY86">
        <v>5940</v>
      </c>
      <c r="BZ86">
        <v>12</v>
      </c>
      <c r="CA86">
        <v>6480</v>
      </c>
      <c r="CB86">
        <v>9</v>
      </c>
      <c r="CC86">
        <v>4860</v>
      </c>
      <c r="CD86">
        <v>15</v>
      </c>
      <c r="CE86">
        <v>8100</v>
      </c>
      <c r="CF86">
        <v>10</v>
      </c>
      <c r="CG86">
        <v>5400</v>
      </c>
      <c r="CH86">
        <v>13</v>
      </c>
      <c r="CI86">
        <v>7020</v>
      </c>
      <c r="CJ86">
        <v>15</v>
      </c>
      <c r="CK86">
        <v>8100</v>
      </c>
      <c r="CL86">
        <v>11</v>
      </c>
      <c r="CM86">
        <v>5940</v>
      </c>
      <c r="CN86">
        <v>10</v>
      </c>
      <c r="CO86">
        <v>5400</v>
      </c>
      <c r="CP86">
        <v>14</v>
      </c>
      <c r="CQ86">
        <v>7560</v>
      </c>
      <c r="CR86">
        <v>13</v>
      </c>
      <c r="CS86">
        <v>7020</v>
      </c>
      <c r="CT86">
        <v>15</v>
      </c>
      <c r="CU86">
        <v>8100</v>
      </c>
    </row>
    <row r="87" spans="2:99" x14ac:dyDescent="0.2">
      <c r="B87" s="119" t="s">
        <v>131</v>
      </c>
      <c r="C87" s="119" t="s">
        <v>253</v>
      </c>
      <c r="D87">
        <v>6.4494540371196623</v>
      </c>
      <c r="E87">
        <v>12607.392751761516</v>
      </c>
      <c r="F87">
        <v>6</v>
      </c>
      <c r="G87">
        <v>11728.8</v>
      </c>
      <c r="H87">
        <v>6</v>
      </c>
      <c r="I87">
        <v>11728.8</v>
      </c>
      <c r="J87">
        <v>7</v>
      </c>
      <c r="K87">
        <v>13683.6</v>
      </c>
      <c r="L87">
        <v>9</v>
      </c>
      <c r="M87">
        <v>17593.2</v>
      </c>
      <c r="N87">
        <v>12</v>
      </c>
      <c r="O87">
        <v>23457.599999999999</v>
      </c>
      <c r="P87">
        <v>7</v>
      </c>
      <c r="Q87">
        <v>13683.6</v>
      </c>
      <c r="R87">
        <v>7</v>
      </c>
      <c r="S87">
        <v>13683.6</v>
      </c>
      <c r="T87">
        <v>9</v>
      </c>
      <c r="U87">
        <v>17593.2</v>
      </c>
      <c r="V87">
        <v>12</v>
      </c>
      <c r="W87">
        <v>23457.599999999999</v>
      </c>
      <c r="X87">
        <v>10</v>
      </c>
      <c r="Y87">
        <v>19548</v>
      </c>
      <c r="Z87">
        <v>9</v>
      </c>
      <c r="AA87">
        <v>17593.2</v>
      </c>
      <c r="AB87">
        <v>10</v>
      </c>
      <c r="AC87">
        <v>19548</v>
      </c>
      <c r="AD87">
        <v>10</v>
      </c>
      <c r="AE87">
        <v>19548</v>
      </c>
      <c r="AF87">
        <v>10</v>
      </c>
      <c r="AG87">
        <v>19548</v>
      </c>
      <c r="AH87">
        <v>9</v>
      </c>
      <c r="AI87">
        <v>17593.2</v>
      </c>
      <c r="AJ87">
        <v>7</v>
      </c>
      <c r="AK87">
        <v>13683.6</v>
      </c>
      <c r="AL87">
        <v>12</v>
      </c>
      <c r="AM87">
        <v>23457.599999999999</v>
      </c>
      <c r="AN87">
        <v>11</v>
      </c>
      <c r="AO87">
        <v>21502.799999999999</v>
      </c>
      <c r="AP87">
        <v>6</v>
      </c>
      <c r="AQ87">
        <v>11728.8</v>
      </c>
      <c r="AR87">
        <v>8</v>
      </c>
      <c r="AS87">
        <v>15638.4</v>
      </c>
      <c r="AT87">
        <v>7</v>
      </c>
      <c r="AU87">
        <v>13683.6</v>
      </c>
      <c r="AV87">
        <v>9</v>
      </c>
      <c r="AW87">
        <v>17593.2</v>
      </c>
      <c r="AX87">
        <v>7</v>
      </c>
      <c r="AY87">
        <v>13683.6</v>
      </c>
      <c r="AZ87">
        <v>10</v>
      </c>
      <c r="BA87">
        <v>19548</v>
      </c>
      <c r="BB87">
        <v>9</v>
      </c>
      <c r="BC87">
        <v>17593.2</v>
      </c>
      <c r="BD87">
        <v>11</v>
      </c>
      <c r="BE87">
        <v>21502.799999999999</v>
      </c>
      <c r="BF87">
        <v>10</v>
      </c>
      <c r="BG87">
        <v>19548</v>
      </c>
      <c r="BH87">
        <v>6</v>
      </c>
      <c r="BI87">
        <v>11728.8</v>
      </c>
      <c r="BJ87">
        <v>10</v>
      </c>
      <c r="BK87">
        <v>19548</v>
      </c>
      <c r="BL87">
        <v>11</v>
      </c>
      <c r="BM87">
        <v>21502.799999999999</v>
      </c>
      <c r="BN87">
        <v>8</v>
      </c>
      <c r="BO87">
        <v>15638.4</v>
      </c>
      <c r="BP87">
        <v>8</v>
      </c>
      <c r="BQ87">
        <v>15638.4</v>
      </c>
      <c r="BR87">
        <v>7</v>
      </c>
      <c r="BS87">
        <v>13683.6</v>
      </c>
      <c r="BT87">
        <v>8</v>
      </c>
      <c r="BU87">
        <v>15638.4</v>
      </c>
      <c r="BV87">
        <v>9</v>
      </c>
      <c r="BW87">
        <v>17593.2</v>
      </c>
      <c r="BX87">
        <v>13</v>
      </c>
      <c r="BY87">
        <v>25412.399999999998</v>
      </c>
      <c r="BZ87">
        <v>8</v>
      </c>
      <c r="CA87">
        <v>15638.4</v>
      </c>
      <c r="CB87">
        <v>7</v>
      </c>
      <c r="CC87">
        <v>13683.6</v>
      </c>
      <c r="CD87">
        <v>8</v>
      </c>
      <c r="CE87">
        <v>15638.4</v>
      </c>
      <c r="CF87">
        <v>9</v>
      </c>
      <c r="CG87">
        <v>17593.2</v>
      </c>
      <c r="CH87">
        <v>12</v>
      </c>
      <c r="CI87">
        <v>23457.599999999999</v>
      </c>
      <c r="CJ87">
        <v>11</v>
      </c>
      <c r="CK87">
        <v>21502.799999999999</v>
      </c>
      <c r="CL87">
        <v>9</v>
      </c>
      <c r="CM87">
        <v>17593.2</v>
      </c>
      <c r="CN87">
        <v>11</v>
      </c>
      <c r="CO87">
        <v>21502.799999999999</v>
      </c>
      <c r="CP87">
        <v>14</v>
      </c>
      <c r="CQ87">
        <v>27367.200000000001</v>
      </c>
      <c r="CR87">
        <v>7</v>
      </c>
      <c r="CS87">
        <v>13683.6</v>
      </c>
      <c r="CT87">
        <v>13</v>
      </c>
      <c r="CU87">
        <v>25412.399999999998</v>
      </c>
    </row>
    <row r="88" spans="2:99" x14ac:dyDescent="0.2">
      <c r="C88" s="119" t="s">
        <v>254</v>
      </c>
      <c r="D88">
        <v>6.4703068894977367</v>
      </c>
      <c r="E88">
        <v>12244.408757685516</v>
      </c>
      <c r="F88">
        <v>5</v>
      </c>
      <c r="G88">
        <v>9462</v>
      </c>
      <c r="H88">
        <v>7</v>
      </c>
      <c r="I88">
        <v>13246.8</v>
      </c>
      <c r="J88">
        <v>8</v>
      </c>
      <c r="K88">
        <v>15139.199999999999</v>
      </c>
      <c r="L88">
        <v>8</v>
      </c>
      <c r="M88">
        <v>15139.199999999999</v>
      </c>
      <c r="N88">
        <v>11</v>
      </c>
      <c r="O88">
        <v>20816.399999999998</v>
      </c>
      <c r="P88">
        <v>6</v>
      </c>
      <c r="Q88">
        <v>11354.4</v>
      </c>
      <c r="R88">
        <v>6</v>
      </c>
      <c r="S88">
        <v>11354.4</v>
      </c>
      <c r="T88">
        <v>9</v>
      </c>
      <c r="U88">
        <v>17031.599999999999</v>
      </c>
      <c r="V88">
        <v>10</v>
      </c>
      <c r="W88">
        <v>18924</v>
      </c>
      <c r="X88">
        <v>10</v>
      </c>
      <c r="Y88">
        <v>18924</v>
      </c>
      <c r="Z88">
        <v>8</v>
      </c>
      <c r="AA88">
        <v>15139.199999999999</v>
      </c>
      <c r="AB88">
        <v>9</v>
      </c>
      <c r="AC88">
        <v>17031.599999999999</v>
      </c>
      <c r="AD88">
        <v>11</v>
      </c>
      <c r="AE88">
        <v>20816.399999999998</v>
      </c>
      <c r="AF88">
        <v>9</v>
      </c>
      <c r="AG88">
        <v>17031.599999999999</v>
      </c>
      <c r="AH88">
        <v>9</v>
      </c>
      <c r="AI88">
        <v>17031.599999999999</v>
      </c>
      <c r="AJ88">
        <v>6</v>
      </c>
      <c r="AK88">
        <v>11354.4</v>
      </c>
      <c r="AL88">
        <v>12</v>
      </c>
      <c r="AM88">
        <v>22708.799999999999</v>
      </c>
      <c r="AN88">
        <v>12</v>
      </c>
      <c r="AO88">
        <v>22708.799999999999</v>
      </c>
      <c r="AP88">
        <v>7</v>
      </c>
      <c r="AQ88">
        <v>13246.8</v>
      </c>
      <c r="AR88">
        <v>8</v>
      </c>
      <c r="AS88">
        <v>15139.199999999999</v>
      </c>
      <c r="AT88">
        <v>7</v>
      </c>
      <c r="AU88">
        <v>13246.8</v>
      </c>
      <c r="AV88">
        <v>11</v>
      </c>
      <c r="AW88">
        <v>20816.399999999998</v>
      </c>
      <c r="AX88">
        <v>6</v>
      </c>
      <c r="AY88">
        <v>11354.4</v>
      </c>
      <c r="AZ88">
        <v>10</v>
      </c>
      <c r="BA88">
        <v>18924</v>
      </c>
      <c r="BB88">
        <v>8</v>
      </c>
      <c r="BC88">
        <v>15139.199999999999</v>
      </c>
      <c r="BD88">
        <v>12</v>
      </c>
      <c r="BE88">
        <v>22708.799999999999</v>
      </c>
      <c r="BF88">
        <v>10</v>
      </c>
      <c r="BG88">
        <v>18924</v>
      </c>
      <c r="BH88">
        <v>7</v>
      </c>
      <c r="BI88">
        <v>13246.8</v>
      </c>
      <c r="BJ88">
        <v>9</v>
      </c>
      <c r="BK88">
        <v>17031.599999999999</v>
      </c>
      <c r="BL88">
        <v>11</v>
      </c>
      <c r="BM88">
        <v>20816.399999999998</v>
      </c>
      <c r="BN88">
        <v>9</v>
      </c>
      <c r="BO88">
        <v>17031.599999999999</v>
      </c>
      <c r="BP88">
        <v>8</v>
      </c>
      <c r="BQ88">
        <v>15139.199999999999</v>
      </c>
      <c r="BR88">
        <v>7</v>
      </c>
      <c r="BS88">
        <v>13246.8</v>
      </c>
      <c r="BT88">
        <v>10</v>
      </c>
      <c r="BU88">
        <v>18924</v>
      </c>
      <c r="BV88">
        <v>9</v>
      </c>
      <c r="BW88">
        <v>17031.599999999999</v>
      </c>
      <c r="BX88">
        <v>14</v>
      </c>
      <c r="BY88">
        <v>26493.599999999999</v>
      </c>
      <c r="BZ88">
        <v>9</v>
      </c>
      <c r="CA88">
        <v>17031.599999999999</v>
      </c>
      <c r="CB88">
        <v>7</v>
      </c>
      <c r="CC88">
        <v>13246.8</v>
      </c>
      <c r="CD88">
        <v>7</v>
      </c>
      <c r="CE88">
        <v>13246.8</v>
      </c>
      <c r="CF88">
        <v>9</v>
      </c>
      <c r="CG88">
        <v>17031.599999999999</v>
      </c>
      <c r="CH88">
        <v>11</v>
      </c>
      <c r="CI88">
        <v>20816.399999999998</v>
      </c>
      <c r="CJ88">
        <v>14</v>
      </c>
      <c r="CK88">
        <v>26493.599999999999</v>
      </c>
      <c r="CL88">
        <v>8</v>
      </c>
      <c r="CM88">
        <v>15139.199999999999</v>
      </c>
      <c r="CN88">
        <v>10</v>
      </c>
      <c r="CO88">
        <v>18924</v>
      </c>
      <c r="CP88">
        <v>12</v>
      </c>
      <c r="CQ88">
        <v>22708.799999999999</v>
      </c>
      <c r="CR88">
        <v>8</v>
      </c>
      <c r="CS88">
        <v>15139.199999999999</v>
      </c>
      <c r="CT88">
        <v>12</v>
      </c>
      <c r="CU88">
        <v>22708.799999999999</v>
      </c>
    </row>
    <row r="89" spans="2:99" x14ac:dyDescent="0.2">
      <c r="C89" s="119" t="s">
        <v>255</v>
      </c>
      <c r="D89">
        <v>7.0485231655998648</v>
      </c>
      <c r="E89">
        <v>16899.539141842237</v>
      </c>
      <c r="F89">
        <v>5</v>
      </c>
      <c r="G89">
        <v>11988</v>
      </c>
      <c r="H89">
        <v>6</v>
      </c>
      <c r="I89">
        <v>14385.599999999999</v>
      </c>
      <c r="J89">
        <v>8</v>
      </c>
      <c r="K89">
        <v>19180.8</v>
      </c>
      <c r="L89">
        <v>9</v>
      </c>
      <c r="M89">
        <v>21578.399999999998</v>
      </c>
      <c r="N89">
        <v>11</v>
      </c>
      <c r="O89">
        <v>26373.599999999999</v>
      </c>
      <c r="P89">
        <v>6</v>
      </c>
      <c r="Q89">
        <v>14385.599999999999</v>
      </c>
      <c r="R89">
        <v>6</v>
      </c>
      <c r="S89">
        <v>14385.599999999999</v>
      </c>
      <c r="T89">
        <v>8</v>
      </c>
      <c r="U89">
        <v>19180.8</v>
      </c>
      <c r="V89">
        <v>11</v>
      </c>
      <c r="W89">
        <v>26373.599999999999</v>
      </c>
      <c r="X89">
        <v>10</v>
      </c>
      <c r="Y89">
        <v>23976</v>
      </c>
      <c r="Z89">
        <v>8</v>
      </c>
      <c r="AA89">
        <v>19180.8</v>
      </c>
      <c r="AB89">
        <v>9</v>
      </c>
      <c r="AC89">
        <v>21578.399999999998</v>
      </c>
      <c r="AD89">
        <v>10</v>
      </c>
      <c r="AE89">
        <v>23976</v>
      </c>
      <c r="AF89">
        <v>9</v>
      </c>
      <c r="AG89">
        <v>21578.399999999998</v>
      </c>
      <c r="AH89">
        <v>8</v>
      </c>
      <c r="AI89">
        <v>19180.8</v>
      </c>
      <c r="AJ89">
        <v>7</v>
      </c>
      <c r="AK89">
        <v>16783.2</v>
      </c>
      <c r="AL89">
        <v>10</v>
      </c>
      <c r="AM89">
        <v>23976</v>
      </c>
      <c r="AN89">
        <v>12</v>
      </c>
      <c r="AO89">
        <v>28771.199999999997</v>
      </c>
      <c r="AP89">
        <v>6</v>
      </c>
      <c r="AQ89">
        <v>14385.599999999999</v>
      </c>
      <c r="AR89">
        <v>8</v>
      </c>
      <c r="AS89">
        <v>19180.8</v>
      </c>
      <c r="AT89">
        <v>6</v>
      </c>
      <c r="AU89">
        <v>14385.599999999999</v>
      </c>
      <c r="AV89">
        <v>10</v>
      </c>
      <c r="AW89">
        <v>23976</v>
      </c>
      <c r="AX89">
        <v>6</v>
      </c>
      <c r="AY89">
        <v>14385.599999999999</v>
      </c>
      <c r="AZ89">
        <v>10</v>
      </c>
      <c r="BA89">
        <v>23976</v>
      </c>
      <c r="BB89">
        <v>9</v>
      </c>
      <c r="BC89">
        <v>21578.399999999998</v>
      </c>
      <c r="BD89">
        <v>12</v>
      </c>
      <c r="BE89">
        <v>28771.199999999997</v>
      </c>
      <c r="BF89">
        <v>10</v>
      </c>
      <c r="BG89">
        <v>23976</v>
      </c>
      <c r="BH89">
        <v>7</v>
      </c>
      <c r="BI89">
        <v>16783.2</v>
      </c>
      <c r="BJ89">
        <v>10</v>
      </c>
      <c r="BK89">
        <v>23976</v>
      </c>
      <c r="BL89">
        <v>11</v>
      </c>
      <c r="BM89">
        <v>26373.599999999999</v>
      </c>
      <c r="BN89">
        <v>7</v>
      </c>
      <c r="BO89">
        <v>16783.2</v>
      </c>
      <c r="BP89">
        <v>8</v>
      </c>
      <c r="BQ89">
        <v>19180.8</v>
      </c>
      <c r="BR89">
        <v>7</v>
      </c>
      <c r="BS89">
        <v>16783.2</v>
      </c>
      <c r="BT89">
        <v>9</v>
      </c>
      <c r="BU89">
        <v>21578.399999999998</v>
      </c>
      <c r="BV89">
        <v>9</v>
      </c>
      <c r="BW89">
        <v>21578.399999999998</v>
      </c>
      <c r="BX89">
        <v>13</v>
      </c>
      <c r="BY89">
        <v>31168.799999999999</v>
      </c>
      <c r="BZ89">
        <v>8</v>
      </c>
      <c r="CA89">
        <v>19180.8</v>
      </c>
      <c r="CB89">
        <v>8</v>
      </c>
      <c r="CC89">
        <v>19180.8</v>
      </c>
      <c r="CD89">
        <v>7</v>
      </c>
      <c r="CE89">
        <v>16783.2</v>
      </c>
      <c r="CF89">
        <v>8</v>
      </c>
      <c r="CG89">
        <v>19180.8</v>
      </c>
      <c r="CH89">
        <v>12</v>
      </c>
      <c r="CI89">
        <v>28771.199999999997</v>
      </c>
      <c r="CJ89">
        <v>12</v>
      </c>
      <c r="CK89">
        <v>28771.199999999997</v>
      </c>
      <c r="CL89">
        <v>9</v>
      </c>
      <c r="CM89">
        <v>21578.399999999998</v>
      </c>
      <c r="CN89">
        <v>10</v>
      </c>
      <c r="CO89">
        <v>23976</v>
      </c>
      <c r="CP89">
        <v>11</v>
      </c>
      <c r="CQ89">
        <v>26373.599999999999</v>
      </c>
      <c r="CR89">
        <v>7</v>
      </c>
      <c r="CS89">
        <v>16783.2</v>
      </c>
      <c r="CT89">
        <v>12</v>
      </c>
      <c r="CU89">
        <v>28771.199999999997</v>
      </c>
    </row>
    <row r="90" spans="2:99" x14ac:dyDescent="0.2">
      <c r="C90" s="119" t="s">
        <v>256</v>
      </c>
      <c r="D90">
        <v>7.0485231655998648</v>
      </c>
      <c r="E90">
        <v>15487.015099456021</v>
      </c>
      <c r="F90">
        <v>5</v>
      </c>
      <c r="G90">
        <v>10986</v>
      </c>
      <c r="H90">
        <v>6</v>
      </c>
      <c r="I90">
        <v>13183.199999999999</v>
      </c>
      <c r="J90">
        <v>8</v>
      </c>
      <c r="K90">
        <v>17577.599999999999</v>
      </c>
      <c r="L90">
        <v>8</v>
      </c>
      <c r="M90">
        <v>17577.599999999999</v>
      </c>
      <c r="N90">
        <v>11</v>
      </c>
      <c r="O90">
        <v>24169.199999999997</v>
      </c>
      <c r="P90">
        <v>6</v>
      </c>
      <c r="Q90">
        <v>13183.199999999999</v>
      </c>
      <c r="R90">
        <v>6</v>
      </c>
      <c r="S90">
        <v>13183.199999999999</v>
      </c>
      <c r="T90">
        <v>8</v>
      </c>
      <c r="U90">
        <v>17577.599999999999</v>
      </c>
      <c r="V90">
        <v>11</v>
      </c>
      <c r="W90">
        <v>24169.199999999997</v>
      </c>
      <c r="X90">
        <v>10</v>
      </c>
      <c r="Y90">
        <v>21972</v>
      </c>
      <c r="Z90">
        <v>9</v>
      </c>
      <c r="AA90">
        <v>19774.8</v>
      </c>
      <c r="AB90">
        <v>10</v>
      </c>
      <c r="AC90">
        <v>21972</v>
      </c>
      <c r="AD90">
        <v>9</v>
      </c>
      <c r="AE90">
        <v>19774.8</v>
      </c>
      <c r="AF90">
        <v>9</v>
      </c>
      <c r="AG90">
        <v>19774.8</v>
      </c>
      <c r="AH90">
        <v>9</v>
      </c>
      <c r="AI90">
        <v>19774.8</v>
      </c>
      <c r="AJ90">
        <v>7</v>
      </c>
      <c r="AK90">
        <v>15380.399999999998</v>
      </c>
      <c r="AL90">
        <v>11</v>
      </c>
      <c r="AM90">
        <v>24169.199999999997</v>
      </c>
      <c r="AN90">
        <v>13</v>
      </c>
      <c r="AO90">
        <v>28563.599999999999</v>
      </c>
      <c r="AP90">
        <v>6</v>
      </c>
      <c r="AQ90">
        <v>13183.199999999999</v>
      </c>
      <c r="AR90">
        <v>8</v>
      </c>
      <c r="AS90">
        <v>17577.599999999999</v>
      </c>
      <c r="AT90">
        <v>7</v>
      </c>
      <c r="AU90">
        <v>15380.399999999998</v>
      </c>
      <c r="AV90">
        <v>10</v>
      </c>
      <c r="AW90">
        <v>21972</v>
      </c>
      <c r="AX90">
        <v>7</v>
      </c>
      <c r="AY90">
        <v>15380.399999999998</v>
      </c>
      <c r="AZ90">
        <v>9</v>
      </c>
      <c r="BA90">
        <v>19774.8</v>
      </c>
      <c r="BB90">
        <v>9</v>
      </c>
      <c r="BC90">
        <v>19774.8</v>
      </c>
      <c r="BD90">
        <v>12</v>
      </c>
      <c r="BE90">
        <v>26366.399999999998</v>
      </c>
      <c r="BF90">
        <v>10</v>
      </c>
      <c r="BG90">
        <v>21972</v>
      </c>
      <c r="BH90">
        <v>7</v>
      </c>
      <c r="BI90">
        <v>15380.399999999998</v>
      </c>
      <c r="BJ90">
        <v>9</v>
      </c>
      <c r="BK90">
        <v>19774.8</v>
      </c>
      <c r="BL90">
        <v>11</v>
      </c>
      <c r="BM90">
        <v>24169.199999999997</v>
      </c>
      <c r="BN90">
        <v>8</v>
      </c>
      <c r="BO90">
        <v>17577.599999999999</v>
      </c>
      <c r="BP90">
        <v>8</v>
      </c>
      <c r="BQ90">
        <v>17577.599999999999</v>
      </c>
      <c r="BR90">
        <v>7</v>
      </c>
      <c r="BS90">
        <v>15380.399999999998</v>
      </c>
      <c r="BT90">
        <v>10</v>
      </c>
      <c r="BU90">
        <v>21972</v>
      </c>
      <c r="BV90">
        <v>9</v>
      </c>
      <c r="BW90">
        <v>19774.8</v>
      </c>
      <c r="BX90">
        <v>12</v>
      </c>
      <c r="BY90">
        <v>26366.399999999998</v>
      </c>
      <c r="BZ90">
        <v>8</v>
      </c>
      <c r="CA90">
        <v>17577.599999999999</v>
      </c>
      <c r="CB90">
        <v>7</v>
      </c>
      <c r="CC90">
        <v>15380.399999999998</v>
      </c>
      <c r="CD90">
        <v>8</v>
      </c>
      <c r="CE90">
        <v>17577.599999999999</v>
      </c>
      <c r="CF90">
        <v>8</v>
      </c>
      <c r="CG90">
        <v>17577.599999999999</v>
      </c>
      <c r="CH90">
        <v>12</v>
      </c>
      <c r="CI90">
        <v>26366.399999999998</v>
      </c>
      <c r="CJ90">
        <v>13</v>
      </c>
      <c r="CK90">
        <v>28563.599999999999</v>
      </c>
      <c r="CL90">
        <v>7</v>
      </c>
      <c r="CM90">
        <v>15380.399999999998</v>
      </c>
      <c r="CN90">
        <v>10</v>
      </c>
      <c r="CO90">
        <v>21972</v>
      </c>
      <c r="CP90">
        <v>13</v>
      </c>
      <c r="CQ90">
        <v>28563.599999999999</v>
      </c>
      <c r="CR90">
        <v>7</v>
      </c>
      <c r="CS90">
        <v>15380.399999999998</v>
      </c>
      <c r="CT90">
        <v>13</v>
      </c>
      <c r="CU90">
        <v>28563.599999999999</v>
      </c>
    </row>
    <row r="91" spans="2:99" x14ac:dyDescent="0.2">
      <c r="C91" s="119" t="s">
        <v>257</v>
      </c>
      <c r="D91">
        <v>6.4494540371196623</v>
      </c>
      <c r="E91">
        <v>14813.106032456439</v>
      </c>
      <c r="F91">
        <v>5</v>
      </c>
      <c r="G91">
        <v>11483.999999999998</v>
      </c>
      <c r="H91">
        <v>6</v>
      </c>
      <c r="I91">
        <v>13780.8</v>
      </c>
      <c r="J91">
        <v>8</v>
      </c>
      <c r="K91">
        <v>18374.399999999998</v>
      </c>
      <c r="L91">
        <v>9</v>
      </c>
      <c r="M91">
        <v>20671.199999999997</v>
      </c>
      <c r="N91">
        <v>11</v>
      </c>
      <c r="O91">
        <v>25264.799999999996</v>
      </c>
      <c r="P91">
        <v>6</v>
      </c>
      <c r="Q91">
        <v>13780.8</v>
      </c>
      <c r="R91">
        <v>6</v>
      </c>
      <c r="S91">
        <v>13780.8</v>
      </c>
      <c r="T91">
        <v>8</v>
      </c>
      <c r="U91">
        <v>18374.399999999998</v>
      </c>
      <c r="V91">
        <v>11</v>
      </c>
      <c r="W91">
        <v>25264.799999999996</v>
      </c>
      <c r="X91">
        <v>11</v>
      </c>
      <c r="Y91">
        <v>25264.799999999996</v>
      </c>
      <c r="Z91">
        <v>8</v>
      </c>
      <c r="AA91">
        <v>18374.399999999998</v>
      </c>
      <c r="AB91">
        <v>8</v>
      </c>
      <c r="AC91">
        <v>18374.399999999998</v>
      </c>
      <c r="AD91">
        <v>11</v>
      </c>
      <c r="AE91">
        <v>25264.799999999996</v>
      </c>
      <c r="AF91">
        <v>9</v>
      </c>
      <c r="AG91">
        <v>20671.199999999997</v>
      </c>
      <c r="AH91">
        <v>8</v>
      </c>
      <c r="AI91">
        <v>18374.399999999998</v>
      </c>
      <c r="AJ91">
        <v>7</v>
      </c>
      <c r="AK91">
        <v>16077.599999999999</v>
      </c>
      <c r="AL91">
        <v>10</v>
      </c>
      <c r="AM91">
        <v>22967.999999999996</v>
      </c>
      <c r="AN91">
        <v>12</v>
      </c>
      <c r="AO91">
        <v>27561.599999999999</v>
      </c>
      <c r="AP91">
        <v>6</v>
      </c>
      <c r="AQ91">
        <v>13780.8</v>
      </c>
      <c r="AR91">
        <v>8</v>
      </c>
      <c r="AS91">
        <v>18374.399999999998</v>
      </c>
      <c r="AT91">
        <v>7</v>
      </c>
      <c r="AU91">
        <v>16077.599999999999</v>
      </c>
      <c r="AV91">
        <v>9</v>
      </c>
      <c r="AW91">
        <v>20671.199999999997</v>
      </c>
      <c r="AX91">
        <v>7</v>
      </c>
      <c r="AY91">
        <v>16077.599999999999</v>
      </c>
      <c r="AZ91">
        <v>11</v>
      </c>
      <c r="BA91">
        <v>25264.799999999996</v>
      </c>
      <c r="BB91">
        <v>10</v>
      </c>
      <c r="BC91">
        <v>22967.999999999996</v>
      </c>
      <c r="BD91">
        <v>11</v>
      </c>
      <c r="BE91">
        <v>25264.799999999996</v>
      </c>
      <c r="BF91">
        <v>10</v>
      </c>
      <c r="BG91">
        <v>22967.999999999996</v>
      </c>
      <c r="BH91">
        <v>6</v>
      </c>
      <c r="BI91">
        <v>13780.8</v>
      </c>
      <c r="BJ91">
        <v>10</v>
      </c>
      <c r="BK91">
        <v>22967.999999999996</v>
      </c>
      <c r="BL91">
        <v>12</v>
      </c>
      <c r="BM91">
        <v>27561.599999999999</v>
      </c>
      <c r="BN91">
        <v>8</v>
      </c>
      <c r="BO91">
        <v>18374.399999999998</v>
      </c>
      <c r="BP91">
        <v>8</v>
      </c>
      <c r="BQ91">
        <v>18374.399999999998</v>
      </c>
      <c r="BR91">
        <v>7</v>
      </c>
      <c r="BS91">
        <v>16077.599999999999</v>
      </c>
      <c r="BT91">
        <v>9</v>
      </c>
      <c r="BU91">
        <v>20671.199999999997</v>
      </c>
      <c r="BV91">
        <v>9</v>
      </c>
      <c r="BW91">
        <v>20671.199999999997</v>
      </c>
      <c r="BX91">
        <v>12</v>
      </c>
      <c r="BY91">
        <v>27561.599999999999</v>
      </c>
      <c r="BZ91">
        <v>8</v>
      </c>
      <c r="CA91">
        <v>18374.399999999998</v>
      </c>
      <c r="CB91">
        <v>7</v>
      </c>
      <c r="CC91">
        <v>16077.599999999999</v>
      </c>
      <c r="CD91">
        <v>7</v>
      </c>
      <c r="CE91">
        <v>16077.599999999999</v>
      </c>
      <c r="CF91">
        <v>8</v>
      </c>
      <c r="CG91">
        <v>18374.399999999998</v>
      </c>
      <c r="CH91">
        <v>11</v>
      </c>
      <c r="CI91">
        <v>25264.799999999996</v>
      </c>
      <c r="CJ91">
        <v>13</v>
      </c>
      <c r="CK91">
        <v>29858.399999999998</v>
      </c>
      <c r="CL91">
        <v>7</v>
      </c>
      <c r="CM91">
        <v>16077.599999999999</v>
      </c>
      <c r="CN91">
        <v>10</v>
      </c>
      <c r="CO91">
        <v>22967.999999999996</v>
      </c>
      <c r="CP91">
        <v>11</v>
      </c>
      <c r="CQ91">
        <v>25264.799999999996</v>
      </c>
      <c r="CR91">
        <v>7</v>
      </c>
      <c r="CS91">
        <v>16077.599999999999</v>
      </c>
      <c r="CT91">
        <v>12</v>
      </c>
      <c r="CU91">
        <v>27561.599999999999</v>
      </c>
    </row>
    <row r="92" spans="2:99" x14ac:dyDescent="0.2">
      <c r="C92" s="119" t="s">
        <v>258</v>
      </c>
      <c r="D92">
        <v>7.0902288703560137</v>
      </c>
      <c r="E92">
        <v>10073.797179001824</v>
      </c>
      <c r="F92">
        <v>6</v>
      </c>
      <c r="G92">
        <v>8524.7999999999993</v>
      </c>
      <c r="H92">
        <v>6</v>
      </c>
      <c r="I92">
        <v>8524.7999999999993</v>
      </c>
      <c r="J92">
        <v>9</v>
      </c>
      <c r="K92">
        <v>12787.199999999999</v>
      </c>
      <c r="L92">
        <v>9</v>
      </c>
      <c r="M92">
        <v>12787.199999999999</v>
      </c>
      <c r="N92">
        <v>11</v>
      </c>
      <c r="O92">
        <v>15628.8</v>
      </c>
      <c r="P92">
        <v>7</v>
      </c>
      <c r="Q92">
        <v>9945.6</v>
      </c>
      <c r="R92">
        <v>7</v>
      </c>
      <c r="S92">
        <v>9945.6</v>
      </c>
      <c r="T92">
        <v>9</v>
      </c>
      <c r="U92">
        <v>12787.199999999999</v>
      </c>
      <c r="V92">
        <v>10</v>
      </c>
      <c r="W92">
        <v>14208</v>
      </c>
      <c r="X92">
        <v>11</v>
      </c>
      <c r="Y92">
        <v>15628.8</v>
      </c>
      <c r="Z92">
        <v>9</v>
      </c>
      <c r="AA92">
        <v>12787.199999999999</v>
      </c>
      <c r="AB92">
        <v>9</v>
      </c>
      <c r="AC92">
        <v>12787.199999999999</v>
      </c>
      <c r="AD92">
        <v>12</v>
      </c>
      <c r="AE92">
        <v>17049.599999999999</v>
      </c>
      <c r="AF92">
        <v>9</v>
      </c>
      <c r="AG92">
        <v>12787.199999999999</v>
      </c>
      <c r="AH92">
        <v>10</v>
      </c>
      <c r="AI92">
        <v>14208</v>
      </c>
      <c r="AJ92">
        <v>7</v>
      </c>
      <c r="AK92">
        <v>9945.6</v>
      </c>
      <c r="AL92">
        <v>11</v>
      </c>
      <c r="AM92">
        <v>15628.8</v>
      </c>
      <c r="AN92">
        <v>13</v>
      </c>
      <c r="AO92">
        <v>18470.399999999998</v>
      </c>
      <c r="AP92">
        <v>7</v>
      </c>
      <c r="AQ92">
        <v>9945.6</v>
      </c>
      <c r="AR92">
        <v>7</v>
      </c>
      <c r="AS92">
        <v>9945.6</v>
      </c>
      <c r="AT92">
        <v>7</v>
      </c>
      <c r="AU92">
        <v>9945.6</v>
      </c>
      <c r="AV92">
        <v>10</v>
      </c>
      <c r="AW92">
        <v>14208</v>
      </c>
      <c r="AX92">
        <v>8</v>
      </c>
      <c r="AY92">
        <v>11366.4</v>
      </c>
      <c r="AZ92">
        <v>11</v>
      </c>
      <c r="BA92">
        <v>15628.8</v>
      </c>
      <c r="BB92">
        <v>10</v>
      </c>
      <c r="BC92">
        <v>14208</v>
      </c>
      <c r="BD92">
        <v>11</v>
      </c>
      <c r="BE92">
        <v>15628.8</v>
      </c>
      <c r="BF92">
        <v>10</v>
      </c>
      <c r="BG92">
        <v>14208</v>
      </c>
      <c r="BH92">
        <v>7</v>
      </c>
      <c r="BI92">
        <v>9945.6</v>
      </c>
      <c r="BJ92">
        <v>11</v>
      </c>
      <c r="BK92">
        <v>15628.8</v>
      </c>
      <c r="BL92">
        <v>11</v>
      </c>
      <c r="BM92">
        <v>15628.8</v>
      </c>
      <c r="BN92">
        <v>9</v>
      </c>
      <c r="BO92">
        <v>12787.199999999999</v>
      </c>
      <c r="BP92">
        <v>8</v>
      </c>
      <c r="BQ92">
        <v>11366.4</v>
      </c>
      <c r="BR92">
        <v>8</v>
      </c>
      <c r="BS92">
        <v>11366.4</v>
      </c>
      <c r="BT92">
        <v>9</v>
      </c>
      <c r="BU92">
        <v>12787.199999999999</v>
      </c>
      <c r="BV92">
        <v>10</v>
      </c>
      <c r="BW92">
        <v>14208</v>
      </c>
      <c r="BX92">
        <v>13</v>
      </c>
      <c r="BY92">
        <v>18470.399999999998</v>
      </c>
      <c r="BZ92">
        <v>9</v>
      </c>
      <c r="CA92">
        <v>12787.199999999999</v>
      </c>
      <c r="CB92">
        <v>8</v>
      </c>
      <c r="CC92">
        <v>11366.4</v>
      </c>
      <c r="CD92">
        <v>9</v>
      </c>
      <c r="CE92">
        <v>12787.199999999999</v>
      </c>
      <c r="CF92">
        <v>9</v>
      </c>
      <c r="CG92">
        <v>12787.199999999999</v>
      </c>
      <c r="CH92">
        <v>12</v>
      </c>
      <c r="CI92">
        <v>17049.599999999999</v>
      </c>
      <c r="CJ92">
        <v>12</v>
      </c>
      <c r="CK92">
        <v>17049.599999999999</v>
      </c>
      <c r="CL92">
        <v>9</v>
      </c>
      <c r="CM92">
        <v>12787.199999999999</v>
      </c>
      <c r="CN92">
        <v>10</v>
      </c>
      <c r="CO92">
        <v>14208</v>
      </c>
      <c r="CP92">
        <v>14</v>
      </c>
      <c r="CQ92">
        <v>19891.2</v>
      </c>
      <c r="CR92">
        <v>7</v>
      </c>
      <c r="CS92">
        <v>9945.6</v>
      </c>
      <c r="CT92">
        <v>15</v>
      </c>
      <c r="CU92">
        <v>21312</v>
      </c>
    </row>
    <row r="93" spans="2:99" x14ac:dyDescent="0.2">
      <c r="C93" s="119" t="s">
        <v>259</v>
      </c>
      <c r="D93">
        <v>6.4494540371196623</v>
      </c>
      <c r="E93">
        <v>11431.012335390889</v>
      </c>
      <c r="F93">
        <v>6</v>
      </c>
      <c r="G93">
        <v>10634.4</v>
      </c>
      <c r="H93">
        <v>6</v>
      </c>
      <c r="I93">
        <v>10634.4</v>
      </c>
      <c r="J93">
        <v>9</v>
      </c>
      <c r="K93">
        <v>15951.599999999999</v>
      </c>
      <c r="L93">
        <v>9</v>
      </c>
      <c r="M93">
        <v>15951.599999999999</v>
      </c>
      <c r="N93">
        <v>11</v>
      </c>
      <c r="O93">
        <v>19496.399999999998</v>
      </c>
      <c r="P93">
        <v>7</v>
      </c>
      <c r="Q93">
        <v>12406.8</v>
      </c>
      <c r="R93">
        <v>7</v>
      </c>
      <c r="S93">
        <v>12406.8</v>
      </c>
      <c r="T93">
        <v>9</v>
      </c>
      <c r="U93">
        <v>15951.599999999999</v>
      </c>
      <c r="V93">
        <v>12</v>
      </c>
      <c r="W93">
        <v>21268.799999999999</v>
      </c>
      <c r="X93">
        <v>11</v>
      </c>
      <c r="Y93">
        <v>19496.399999999998</v>
      </c>
      <c r="Z93">
        <v>9</v>
      </c>
      <c r="AA93">
        <v>15951.599999999999</v>
      </c>
      <c r="AB93">
        <v>10</v>
      </c>
      <c r="AC93">
        <v>17724</v>
      </c>
      <c r="AD93">
        <v>12</v>
      </c>
      <c r="AE93">
        <v>21268.799999999999</v>
      </c>
      <c r="AF93">
        <v>9</v>
      </c>
      <c r="AG93">
        <v>15951.599999999999</v>
      </c>
      <c r="AH93">
        <v>8</v>
      </c>
      <c r="AI93">
        <v>14179.199999999999</v>
      </c>
      <c r="AJ93">
        <v>6</v>
      </c>
      <c r="AK93">
        <v>10634.4</v>
      </c>
      <c r="AL93">
        <v>11</v>
      </c>
      <c r="AM93">
        <v>19496.399999999998</v>
      </c>
      <c r="AN93">
        <v>11</v>
      </c>
      <c r="AO93">
        <v>19496.399999999998</v>
      </c>
      <c r="AP93">
        <v>6</v>
      </c>
      <c r="AQ93">
        <v>10634.4</v>
      </c>
      <c r="AR93">
        <v>8</v>
      </c>
      <c r="AS93">
        <v>14179.199999999999</v>
      </c>
      <c r="AT93">
        <v>7</v>
      </c>
      <c r="AU93">
        <v>12406.8</v>
      </c>
      <c r="AV93">
        <v>9</v>
      </c>
      <c r="AW93">
        <v>15951.599999999999</v>
      </c>
      <c r="AX93">
        <v>7</v>
      </c>
      <c r="AY93">
        <v>12406.8</v>
      </c>
      <c r="AZ93">
        <v>11</v>
      </c>
      <c r="BA93">
        <v>19496.399999999998</v>
      </c>
      <c r="BB93">
        <v>9</v>
      </c>
      <c r="BC93">
        <v>15951.599999999999</v>
      </c>
      <c r="BD93">
        <v>13</v>
      </c>
      <c r="BE93">
        <v>23041.199999999997</v>
      </c>
      <c r="BF93">
        <v>10</v>
      </c>
      <c r="BG93">
        <v>17724</v>
      </c>
      <c r="BH93">
        <v>8</v>
      </c>
      <c r="BI93">
        <v>14179.199999999999</v>
      </c>
      <c r="BJ93">
        <v>9</v>
      </c>
      <c r="BK93">
        <v>15951.599999999999</v>
      </c>
      <c r="BL93">
        <v>12</v>
      </c>
      <c r="BM93">
        <v>21268.799999999999</v>
      </c>
      <c r="BN93">
        <v>8</v>
      </c>
      <c r="BO93">
        <v>14179.199999999999</v>
      </c>
      <c r="BP93">
        <v>9</v>
      </c>
      <c r="BQ93">
        <v>15951.599999999999</v>
      </c>
      <c r="BR93">
        <v>7</v>
      </c>
      <c r="BS93">
        <v>12406.8</v>
      </c>
      <c r="BT93">
        <v>9</v>
      </c>
      <c r="BU93">
        <v>15951.599999999999</v>
      </c>
      <c r="BV93">
        <v>8</v>
      </c>
      <c r="BW93">
        <v>14179.199999999999</v>
      </c>
      <c r="BX93">
        <v>14</v>
      </c>
      <c r="BY93">
        <v>24813.599999999999</v>
      </c>
      <c r="BZ93">
        <v>8</v>
      </c>
      <c r="CA93">
        <v>14179.199999999999</v>
      </c>
      <c r="CB93">
        <v>8</v>
      </c>
      <c r="CC93">
        <v>14179.199999999999</v>
      </c>
      <c r="CD93">
        <v>8</v>
      </c>
      <c r="CE93">
        <v>14179.199999999999</v>
      </c>
      <c r="CF93">
        <v>9</v>
      </c>
      <c r="CG93">
        <v>15951.599999999999</v>
      </c>
      <c r="CH93">
        <v>12</v>
      </c>
      <c r="CI93">
        <v>21268.799999999999</v>
      </c>
      <c r="CJ93">
        <v>13</v>
      </c>
      <c r="CK93">
        <v>23041.199999999997</v>
      </c>
      <c r="CL93">
        <v>8</v>
      </c>
      <c r="CM93">
        <v>14179.199999999999</v>
      </c>
      <c r="CN93">
        <v>9</v>
      </c>
      <c r="CO93">
        <v>15951.599999999999</v>
      </c>
      <c r="CP93">
        <v>14</v>
      </c>
      <c r="CQ93">
        <v>24813.599999999999</v>
      </c>
      <c r="CR93">
        <v>8</v>
      </c>
      <c r="CS93">
        <v>14179.199999999999</v>
      </c>
      <c r="CT93">
        <v>14</v>
      </c>
      <c r="CU93">
        <v>24813.599999999999</v>
      </c>
    </row>
    <row r="94" spans="2:99" x14ac:dyDescent="0.2">
      <c r="C94" s="119" t="s">
        <v>260</v>
      </c>
      <c r="D94">
        <v>5.8086792038833108</v>
      </c>
      <c r="E94">
        <v>13912.948429141305</v>
      </c>
      <c r="F94">
        <v>5</v>
      </c>
      <c r="G94">
        <v>11976</v>
      </c>
      <c r="H94">
        <v>6</v>
      </c>
      <c r="I94">
        <v>14371.199999999999</v>
      </c>
      <c r="J94">
        <v>8</v>
      </c>
      <c r="K94">
        <v>19161.599999999999</v>
      </c>
      <c r="L94">
        <v>8</v>
      </c>
      <c r="M94">
        <v>19161.599999999999</v>
      </c>
      <c r="N94">
        <v>11</v>
      </c>
      <c r="O94">
        <v>26347.199999999997</v>
      </c>
      <c r="P94">
        <v>6</v>
      </c>
      <c r="Q94">
        <v>14371.199999999999</v>
      </c>
      <c r="R94">
        <v>5</v>
      </c>
      <c r="S94">
        <v>11976</v>
      </c>
      <c r="T94">
        <v>7</v>
      </c>
      <c r="U94">
        <v>16766.399999999998</v>
      </c>
      <c r="V94">
        <v>10</v>
      </c>
      <c r="W94">
        <v>23952</v>
      </c>
      <c r="X94">
        <v>10</v>
      </c>
      <c r="Y94">
        <v>23952</v>
      </c>
      <c r="Z94">
        <v>9</v>
      </c>
      <c r="AA94">
        <v>21556.799999999999</v>
      </c>
      <c r="AB94">
        <v>8</v>
      </c>
      <c r="AC94">
        <v>19161.599999999999</v>
      </c>
      <c r="AD94">
        <v>11</v>
      </c>
      <c r="AE94">
        <v>26347.199999999997</v>
      </c>
      <c r="AF94">
        <v>10</v>
      </c>
      <c r="AG94">
        <v>23952</v>
      </c>
      <c r="AH94">
        <v>9</v>
      </c>
      <c r="AI94">
        <v>21556.799999999999</v>
      </c>
      <c r="AJ94">
        <v>7</v>
      </c>
      <c r="AK94">
        <v>16766.399999999998</v>
      </c>
      <c r="AL94">
        <v>11</v>
      </c>
      <c r="AM94">
        <v>26347.199999999997</v>
      </c>
      <c r="AN94">
        <v>13</v>
      </c>
      <c r="AO94">
        <v>31137.599999999999</v>
      </c>
      <c r="AP94">
        <v>6</v>
      </c>
      <c r="AQ94">
        <v>14371.199999999999</v>
      </c>
      <c r="AR94">
        <v>7</v>
      </c>
      <c r="AS94">
        <v>16766.399999999998</v>
      </c>
      <c r="AT94">
        <v>7</v>
      </c>
      <c r="AU94">
        <v>16766.399999999998</v>
      </c>
      <c r="AV94">
        <v>10</v>
      </c>
      <c r="AW94">
        <v>23952</v>
      </c>
      <c r="AX94">
        <v>7</v>
      </c>
      <c r="AY94">
        <v>16766.399999999998</v>
      </c>
      <c r="AZ94">
        <v>9</v>
      </c>
      <c r="BA94">
        <v>21556.799999999999</v>
      </c>
      <c r="BB94">
        <v>9</v>
      </c>
      <c r="BC94">
        <v>21556.799999999999</v>
      </c>
      <c r="BD94">
        <v>11</v>
      </c>
      <c r="BE94">
        <v>26347.199999999997</v>
      </c>
      <c r="BF94">
        <v>9</v>
      </c>
      <c r="BG94">
        <v>21556.799999999999</v>
      </c>
      <c r="BH94">
        <v>6</v>
      </c>
      <c r="BI94">
        <v>14371.199999999999</v>
      </c>
      <c r="BJ94">
        <v>9</v>
      </c>
      <c r="BK94">
        <v>21556.799999999999</v>
      </c>
      <c r="BL94">
        <v>12</v>
      </c>
      <c r="BM94">
        <v>28742.399999999998</v>
      </c>
      <c r="BN94">
        <v>7</v>
      </c>
      <c r="BO94">
        <v>16766.399999999998</v>
      </c>
      <c r="BP94">
        <v>7</v>
      </c>
      <c r="BQ94">
        <v>16766.399999999998</v>
      </c>
      <c r="BR94">
        <v>7</v>
      </c>
      <c r="BS94">
        <v>16766.399999999998</v>
      </c>
      <c r="BT94">
        <v>8</v>
      </c>
      <c r="BU94">
        <v>19161.599999999999</v>
      </c>
      <c r="BV94">
        <v>7</v>
      </c>
      <c r="BW94">
        <v>16766.399999999998</v>
      </c>
      <c r="BX94">
        <v>11</v>
      </c>
      <c r="BY94">
        <v>26347.199999999997</v>
      </c>
      <c r="BZ94">
        <v>7</v>
      </c>
      <c r="CA94">
        <v>16766.399999999998</v>
      </c>
      <c r="CB94">
        <v>7</v>
      </c>
      <c r="CC94">
        <v>16766.399999999998</v>
      </c>
      <c r="CD94">
        <v>7</v>
      </c>
      <c r="CE94">
        <v>16766.399999999998</v>
      </c>
      <c r="CF94">
        <v>9</v>
      </c>
      <c r="CG94">
        <v>21556.799999999999</v>
      </c>
      <c r="CH94">
        <v>12</v>
      </c>
      <c r="CI94">
        <v>28742.399999999998</v>
      </c>
      <c r="CJ94">
        <v>11</v>
      </c>
      <c r="CK94">
        <v>26347.199999999997</v>
      </c>
      <c r="CL94">
        <v>8</v>
      </c>
      <c r="CM94">
        <v>19161.599999999999</v>
      </c>
      <c r="CN94">
        <v>9</v>
      </c>
      <c r="CO94">
        <v>21556.799999999999</v>
      </c>
      <c r="CP94">
        <v>13</v>
      </c>
      <c r="CQ94">
        <v>31137.599999999999</v>
      </c>
      <c r="CR94">
        <v>7</v>
      </c>
      <c r="CS94">
        <v>16766.399999999998</v>
      </c>
      <c r="CT94">
        <v>13</v>
      </c>
      <c r="CU94">
        <v>31137.599999999999</v>
      </c>
    </row>
    <row r="95" spans="2:99" x14ac:dyDescent="0.2">
      <c r="B95" s="119" t="s">
        <v>132</v>
      </c>
      <c r="C95" s="119" t="s">
        <v>261</v>
      </c>
      <c r="D95">
        <v>14.529292640655337</v>
      </c>
      <c r="E95">
        <v>25176.358287727566</v>
      </c>
      <c r="F95">
        <v>21</v>
      </c>
      <c r="G95">
        <v>36388.799999999996</v>
      </c>
      <c r="H95">
        <v>19</v>
      </c>
      <c r="I95">
        <v>32923.199999999997</v>
      </c>
      <c r="J95">
        <v>21</v>
      </c>
      <c r="K95">
        <v>36388.799999999996</v>
      </c>
      <c r="L95">
        <v>26</v>
      </c>
      <c r="M95">
        <v>45052.799999999996</v>
      </c>
      <c r="N95">
        <v>28</v>
      </c>
      <c r="O95">
        <v>48518.400000000001</v>
      </c>
      <c r="P95">
        <v>31</v>
      </c>
      <c r="Q95">
        <v>53716.799999999996</v>
      </c>
      <c r="R95">
        <v>28</v>
      </c>
      <c r="S95">
        <v>48518.400000000001</v>
      </c>
      <c r="T95">
        <v>15</v>
      </c>
      <c r="U95">
        <v>25992</v>
      </c>
      <c r="V95">
        <v>13</v>
      </c>
      <c r="W95">
        <v>22526.399999999998</v>
      </c>
      <c r="X95">
        <v>16</v>
      </c>
      <c r="Y95">
        <v>27724.799999999999</v>
      </c>
      <c r="Z95">
        <v>16</v>
      </c>
      <c r="AA95">
        <v>27724.799999999999</v>
      </c>
      <c r="AB95">
        <v>23</v>
      </c>
      <c r="AC95">
        <v>39854.400000000001</v>
      </c>
      <c r="AD95">
        <v>26</v>
      </c>
      <c r="AE95">
        <v>45052.799999999996</v>
      </c>
      <c r="AF95">
        <v>16</v>
      </c>
      <c r="AG95">
        <v>27724.799999999999</v>
      </c>
      <c r="AH95">
        <v>23</v>
      </c>
      <c r="AI95">
        <v>39854.400000000001</v>
      </c>
      <c r="AJ95">
        <v>26</v>
      </c>
      <c r="AK95">
        <v>45052.799999999996</v>
      </c>
      <c r="AL95">
        <v>17</v>
      </c>
      <c r="AM95">
        <v>29457.599999999999</v>
      </c>
      <c r="AN95">
        <v>16</v>
      </c>
      <c r="AO95">
        <v>27724.799999999999</v>
      </c>
      <c r="AP95">
        <v>25</v>
      </c>
      <c r="AQ95">
        <v>43320</v>
      </c>
      <c r="AR95">
        <v>20</v>
      </c>
      <c r="AS95">
        <v>34656</v>
      </c>
      <c r="AT95">
        <v>15</v>
      </c>
      <c r="AU95">
        <v>25992</v>
      </c>
      <c r="AV95">
        <v>12</v>
      </c>
      <c r="AW95">
        <v>20793.599999999999</v>
      </c>
      <c r="AX95">
        <v>21</v>
      </c>
      <c r="AY95">
        <v>36388.799999999996</v>
      </c>
      <c r="AZ95">
        <v>16</v>
      </c>
      <c r="BA95">
        <v>27724.799999999999</v>
      </c>
      <c r="BB95">
        <v>25</v>
      </c>
      <c r="BC95">
        <v>43320</v>
      </c>
      <c r="BD95">
        <v>17</v>
      </c>
      <c r="BE95">
        <v>29457.599999999999</v>
      </c>
      <c r="BF95">
        <v>14</v>
      </c>
      <c r="BG95">
        <v>24259.200000000001</v>
      </c>
      <c r="BH95">
        <v>22</v>
      </c>
      <c r="BI95">
        <v>38121.599999999999</v>
      </c>
      <c r="BJ95">
        <v>16</v>
      </c>
      <c r="BK95">
        <v>27724.799999999999</v>
      </c>
      <c r="BL95">
        <v>24</v>
      </c>
      <c r="BM95">
        <v>41587.199999999997</v>
      </c>
      <c r="BN95">
        <v>22</v>
      </c>
      <c r="BO95">
        <v>38121.599999999999</v>
      </c>
      <c r="BP95">
        <v>22</v>
      </c>
      <c r="BQ95">
        <v>38121.599999999999</v>
      </c>
      <c r="BR95">
        <v>23</v>
      </c>
      <c r="BS95">
        <v>39854.400000000001</v>
      </c>
      <c r="BT95">
        <v>24</v>
      </c>
      <c r="BU95">
        <v>41587.199999999997</v>
      </c>
      <c r="BV95">
        <v>16</v>
      </c>
      <c r="BW95">
        <v>27724.799999999999</v>
      </c>
      <c r="BX95">
        <v>17</v>
      </c>
      <c r="BY95">
        <v>29457.599999999999</v>
      </c>
      <c r="BZ95">
        <v>22</v>
      </c>
      <c r="CA95">
        <v>38121.599999999999</v>
      </c>
      <c r="CB95">
        <v>19</v>
      </c>
      <c r="CC95">
        <v>32923.199999999997</v>
      </c>
      <c r="CD95">
        <v>14</v>
      </c>
      <c r="CE95">
        <v>24259.200000000001</v>
      </c>
      <c r="CF95">
        <v>25</v>
      </c>
      <c r="CG95">
        <v>43320</v>
      </c>
      <c r="CH95">
        <v>20</v>
      </c>
      <c r="CI95">
        <v>34656</v>
      </c>
      <c r="CJ95">
        <v>28</v>
      </c>
      <c r="CK95">
        <v>48518.400000000001</v>
      </c>
      <c r="CL95">
        <v>14</v>
      </c>
      <c r="CM95">
        <v>24259.200000000001</v>
      </c>
      <c r="CN95">
        <v>24</v>
      </c>
      <c r="CO95">
        <v>41587.199999999997</v>
      </c>
      <c r="CP95">
        <v>15</v>
      </c>
      <c r="CQ95">
        <v>25992</v>
      </c>
      <c r="CR95">
        <v>19</v>
      </c>
      <c r="CS95">
        <v>32923.199999999997</v>
      </c>
      <c r="CT95">
        <v>16</v>
      </c>
      <c r="CU95">
        <v>27724.799999999999</v>
      </c>
    </row>
    <row r="96" spans="2:99" x14ac:dyDescent="0.2">
      <c r="C96" s="119" t="s">
        <v>262</v>
      </c>
      <c r="D96">
        <v>17.628902544946722</v>
      </c>
      <c r="E96">
        <v>14512.112575000141</v>
      </c>
      <c r="F96">
        <v>23</v>
      </c>
      <c r="G96">
        <v>18933.599999999999</v>
      </c>
      <c r="H96">
        <v>21</v>
      </c>
      <c r="I96">
        <v>17287.199999999997</v>
      </c>
      <c r="J96">
        <v>23</v>
      </c>
      <c r="K96">
        <v>18933.599999999999</v>
      </c>
      <c r="L96">
        <v>30</v>
      </c>
      <c r="M96">
        <v>24695.999999999996</v>
      </c>
      <c r="N96">
        <v>31</v>
      </c>
      <c r="O96">
        <v>25519.199999999997</v>
      </c>
      <c r="P96">
        <v>33</v>
      </c>
      <c r="Q96">
        <v>27165.599999999999</v>
      </c>
      <c r="R96">
        <v>35</v>
      </c>
      <c r="S96">
        <v>28811.999999999996</v>
      </c>
      <c r="T96">
        <v>14</v>
      </c>
      <c r="U96">
        <v>11524.8</v>
      </c>
      <c r="V96">
        <v>15</v>
      </c>
      <c r="W96">
        <v>12347.999999999998</v>
      </c>
      <c r="X96">
        <v>16</v>
      </c>
      <c r="Y96">
        <v>13171.199999999999</v>
      </c>
      <c r="Z96">
        <v>19</v>
      </c>
      <c r="AA96">
        <v>15640.8</v>
      </c>
      <c r="AB96">
        <v>22</v>
      </c>
      <c r="AC96">
        <v>18110.399999999998</v>
      </c>
      <c r="AD96">
        <v>27</v>
      </c>
      <c r="AE96">
        <v>22226.399999999998</v>
      </c>
      <c r="AF96">
        <v>18</v>
      </c>
      <c r="AG96">
        <v>14817.599999999999</v>
      </c>
      <c r="AH96">
        <v>25</v>
      </c>
      <c r="AI96">
        <v>20580</v>
      </c>
      <c r="AJ96">
        <v>30</v>
      </c>
      <c r="AK96">
        <v>24695.999999999996</v>
      </c>
      <c r="AL96">
        <v>18</v>
      </c>
      <c r="AM96">
        <v>14817.599999999999</v>
      </c>
      <c r="AN96">
        <v>17</v>
      </c>
      <c r="AO96">
        <v>13994.4</v>
      </c>
      <c r="AP96">
        <v>30</v>
      </c>
      <c r="AQ96">
        <v>24695.999999999996</v>
      </c>
      <c r="AR96">
        <v>21</v>
      </c>
      <c r="AS96">
        <v>17287.199999999997</v>
      </c>
      <c r="AT96">
        <v>14</v>
      </c>
      <c r="AU96">
        <v>11524.8</v>
      </c>
      <c r="AV96">
        <v>14</v>
      </c>
      <c r="AW96">
        <v>11524.8</v>
      </c>
      <c r="AX96">
        <v>24</v>
      </c>
      <c r="AY96">
        <v>19756.8</v>
      </c>
      <c r="AZ96">
        <v>17</v>
      </c>
      <c r="BA96">
        <v>13994.4</v>
      </c>
      <c r="BB96">
        <v>27</v>
      </c>
      <c r="BC96">
        <v>22226.399999999998</v>
      </c>
      <c r="BD96">
        <v>20</v>
      </c>
      <c r="BE96">
        <v>16464</v>
      </c>
      <c r="BF96">
        <v>16</v>
      </c>
      <c r="BG96">
        <v>13171.199999999999</v>
      </c>
      <c r="BH96">
        <v>27</v>
      </c>
      <c r="BI96">
        <v>22226.399999999998</v>
      </c>
      <c r="BJ96">
        <v>17</v>
      </c>
      <c r="BK96">
        <v>13994.4</v>
      </c>
      <c r="BL96">
        <v>24</v>
      </c>
      <c r="BM96">
        <v>19756.8</v>
      </c>
      <c r="BN96">
        <v>25</v>
      </c>
      <c r="BO96">
        <v>20580</v>
      </c>
      <c r="BP96">
        <v>22</v>
      </c>
      <c r="BQ96">
        <v>18110.399999999998</v>
      </c>
      <c r="BR96">
        <v>23</v>
      </c>
      <c r="BS96">
        <v>18933.599999999999</v>
      </c>
      <c r="BT96">
        <v>29</v>
      </c>
      <c r="BU96">
        <v>23872.799999999999</v>
      </c>
      <c r="BV96">
        <v>20</v>
      </c>
      <c r="BW96">
        <v>16464</v>
      </c>
      <c r="BX96">
        <v>19</v>
      </c>
      <c r="BY96">
        <v>15640.8</v>
      </c>
      <c r="BZ96">
        <v>29</v>
      </c>
      <c r="CA96">
        <v>23872.799999999999</v>
      </c>
      <c r="CB96">
        <v>21</v>
      </c>
      <c r="CC96">
        <v>17287.199999999997</v>
      </c>
      <c r="CD96">
        <v>14</v>
      </c>
      <c r="CE96">
        <v>11524.8</v>
      </c>
      <c r="CF96">
        <v>24</v>
      </c>
      <c r="CG96">
        <v>19756.8</v>
      </c>
      <c r="CH96">
        <v>21</v>
      </c>
      <c r="CI96">
        <v>17287.199999999997</v>
      </c>
      <c r="CJ96">
        <v>31</v>
      </c>
      <c r="CK96">
        <v>25519.199999999997</v>
      </c>
      <c r="CL96">
        <v>18</v>
      </c>
      <c r="CM96">
        <v>14817.599999999999</v>
      </c>
      <c r="CN96">
        <v>29</v>
      </c>
      <c r="CO96">
        <v>23872.799999999999</v>
      </c>
      <c r="CP96">
        <v>19</v>
      </c>
      <c r="CQ96">
        <v>15640.8</v>
      </c>
      <c r="CR96">
        <v>21</v>
      </c>
      <c r="CS96">
        <v>17287.199999999997</v>
      </c>
      <c r="CT96">
        <v>18</v>
      </c>
      <c r="CU96">
        <v>14817.599999999999</v>
      </c>
    </row>
    <row r="97" spans="2:99" x14ac:dyDescent="0.2">
      <c r="C97" s="119" t="s">
        <v>263</v>
      </c>
      <c r="D97">
        <v>15.727430897615744</v>
      </c>
      <c r="E97">
        <v>28762.325625559672</v>
      </c>
      <c r="F97">
        <v>17</v>
      </c>
      <c r="G97">
        <v>31089.599999999999</v>
      </c>
      <c r="H97">
        <v>20</v>
      </c>
      <c r="I97">
        <v>36576</v>
      </c>
      <c r="J97">
        <v>20</v>
      </c>
      <c r="K97">
        <v>36576</v>
      </c>
      <c r="L97">
        <v>26</v>
      </c>
      <c r="M97">
        <v>47548.799999999996</v>
      </c>
      <c r="N97">
        <v>26</v>
      </c>
      <c r="O97">
        <v>47548.799999999996</v>
      </c>
      <c r="P97">
        <v>29</v>
      </c>
      <c r="Q97">
        <v>53035.199999999997</v>
      </c>
      <c r="R97">
        <v>31</v>
      </c>
      <c r="S97">
        <v>56692.799999999996</v>
      </c>
      <c r="T97">
        <v>14</v>
      </c>
      <c r="U97">
        <v>25603.200000000001</v>
      </c>
      <c r="V97">
        <v>13</v>
      </c>
      <c r="W97">
        <v>23774.399999999998</v>
      </c>
      <c r="X97">
        <v>14</v>
      </c>
      <c r="Y97">
        <v>25603.200000000001</v>
      </c>
      <c r="Z97">
        <v>16</v>
      </c>
      <c r="AA97">
        <v>29260.799999999999</v>
      </c>
      <c r="AB97">
        <v>19</v>
      </c>
      <c r="AC97">
        <v>34747.199999999997</v>
      </c>
      <c r="AD97">
        <v>26</v>
      </c>
      <c r="AE97">
        <v>47548.799999999996</v>
      </c>
      <c r="AF97">
        <v>16</v>
      </c>
      <c r="AG97">
        <v>29260.799999999999</v>
      </c>
      <c r="AH97">
        <v>23</v>
      </c>
      <c r="AI97">
        <v>42062.400000000001</v>
      </c>
      <c r="AJ97">
        <v>26</v>
      </c>
      <c r="AK97">
        <v>47548.799999999996</v>
      </c>
      <c r="AL97">
        <v>16</v>
      </c>
      <c r="AM97">
        <v>29260.799999999999</v>
      </c>
      <c r="AN97">
        <v>15</v>
      </c>
      <c r="AO97">
        <v>27432</v>
      </c>
      <c r="AP97">
        <v>27</v>
      </c>
      <c r="AQ97">
        <v>49377.599999999999</v>
      </c>
      <c r="AR97">
        <v>17</v>
      </c>
      <c r="AS97">
        <v>31089.599999999999</v>
      </c>
      <c r="AT97">
        <v>14</v>
      </c>
      <c r="AU97">
        <v>25603.200000000001</v>
      </c>
      <c r="AV97">
        <v>12</v>
      </c>
      <c r="AW97">
        <v>21945.599999999999</v>
      </c>
      <c r="AX97">
        <v>20</v>
      </c>
      <c r="AY97">
        <v>36576</v>
      </c>
      <c r="AZ97">
        <v>15</v>
      </c>
      <c r="BA97">
        <v>27432</v>
      </c>
      <c r="BB97">
        <v>24</v>
      </c>
      <c r="BC97">
        <v>43891.199999999997</v>
      </c>
      <c r="BD97">
        <v>17</v>
      </c>
      <c r="BE97">
        <v>31089.599999999999</v>
      </c>
      <c r="BF97">
        <v>16</v>
      </c>
      <c r="BG97">
        <v>29260.799999999999</v>
      </c>
      <c r="BH97">
        <v>26</v>
      </c>
      <c r="BI97">
        <v>47548.799999999996</v>
      </c>
      <c r="BJ97">
        <v>15</v>
      </c>
      <c r="BK97">
        <v>27432</v>
      </c>
      <c r="BL97">
        <v>22</v>
      </c>
      <c r="BM97">
        <v>40233.599999999999</v>
      </c>
      <c r="BN97">
        <v>25</v>
      </c>
      <c r="BO97">
        <v>45720</v>
      </c>
      <c r="BP97">
        <v>20</v>
      </c>
      <c r="BQ97">
        <v>36576</v>
      </c>
      <c r="BR97">
        <v>19</v>
      </c>
      <c r="BS97">
        <v>34747.199999999997</v>
      </c>
      <c r="BT97">
        <v>26</v>
      </c>
      <c r="BU97">
        <v>47548.799999999996</v>
      </c>
      <c r="BV97">
        <v>16</v>
      </c>
      <c r="BW97">
        <v>29260.799999999999</v>
      </c>
      <c r="BX97">
        <v>19</v>
      </c>
      <c r="BY97">
        <v>34747.199999999997</v>
      </c>
      <c r="BZ97">
        <v>24</v>
      </c>
      <c r="CA97">
        <v>43891.199999999997</v>
      </c>
      <c r="CB97">
        <v>21</v>
      </c>
      <c r="CC97">
        <v>38404.799999999996</v>
      </c>
      <c r="CD97">
        <v>13</v>
      </c>
      <c r="CE97">
        <v>23774.399999999998</v>
      </c>
      <c r="CF97">
        <v>24</v>
      </c>
      <c r="CG97">
        <v>43891.199999999997</v>
      </c>
      <c r="CH97">
        <v>19</v>
      </c>
      <c r="CI97">
        <v>34747.199999999997</v>
      </c>
      <c r="CJ97">
        <v>24</v>
      </c>
      <c r="CK97">
        <v>43891.199999999997</v>
      </c>
      <c r="CL97">
        <v>14</v>
      </c>
      <c r="CM97">
        <v>25603.200000000001</v>
      </c>
      <c r="CN97">
        <v>22</v>
      </c>
      <c r="CO97">
        <v>40233.599999999999</v>
      </c>
      <c r="CP97">
        <v>17</v>
      </c>
      <c r="CQ97">
        <v>31089.599999999999</v>
      </c>
      <c r="CR97">
        <v>17</v>
      </c>
      <c r="CS97">
        <v>31089.599999999999</v>
      </c>
      <c r="CT97">
        <v>18</v>
      </c>
      <c r="CU97">
        <v>32918.400000000001</v>
      </c>
    </row>
    <row r="98" spans="2:99" x14ac:dyDescent="0.2">
      <c r="C98" s="119" t="s">
        <v>264</v>
      </c>
      <c r="D98">
        <v>14.529292640655337</v>
      </c>
      <c r="E98">
        <v>18359.21418073208</v>
      </c>
      <c r="F98">
        <v>19</v>
      </c>
      <c r="G98">
        <v>24008.399999999998</v>
      </c>
      <c r="H98">
        <v>20</v>
      </c>
      <c r="I98">
        <v>25272</v>
      </c>
      <c r="J98">
        <v>20</v>
      </c>
      <c r="K98">
        <v>25272</v>
      </c>
      <c r="L98">
        <v>27</v>
      </c>
      <c r="M98">
        <v>34117.199999999997</v>
      </c>
      <c r="N98">
        <v>32</v>
      </c>
      <c r="O98">
        <v>40435.199999999997</v>
      </c>
      <c r="P98">
        <v>35</v>
      </c>
      <c r="Q98">
        <v>44226</v>
      </c>
      <c r="R98">
        <v>33</v>
      </c>
      <c r="S98">
        <v>41698.799999999996</v>
      </c>
      <c r="T98">
        <v>14</v>
      </c>
      <c r="U98">
        <v>17690.399999999998</v>
      </c>
      <c r="V98">
        <v>14</v>
      </c>
      <c r="W98">
        <v>17690.399999999998</v>
      </c>
      <c r="X98">
        <v>15</v>
      </c>
      <c r="Y98">
        <v>18954</v>
      </c>
      <c r="Z98">
        <v>19</v>
      </c>
      <c r="AA98">
        <v>24008.399999999998</v>
      </c>
      <c r="AB98">
        <v>24</v>
      </c>
      <c r="AC98">
        <v>30326.399999999998</v>
      </c>
      <c r="AD98">
        <v>25</v>
      </c>
      <c r="AE98">
        <v>31589.999999999996</v>
      </c>
      <c r="AF98">
        <v>15</v>
      </c>
      <c r="AG98">
        <v>18954</v>
      </c>
      <c r="AH98">
        <v>24</v>
      </c>
      <c r="AI98">
        <v>30326.399999999998</v>
      </c>
      <c r="AJ98">
        <v>29</v>
      </c>
      <c r="AK98">
        <v>36644.399999999994</v>
      </c>
      <c r="AL98">
        <v>18</v>
      </c>
      <c r="AM98">
        <v>22744.799999999999</v>
      </c>
      <c r="AN98">
        <v>16</v>
      </c>
      <c r="AO98">
        <v>20217.599999999999</v>
      </c>
      <c r="AP98">
        <v>26</v>
      </c>
      <c r="AQ98">
        <v>32853.599999999999</v>
      </c>
      <c r="AR98">
        <v>21</v>
      </c>
      <c r="AS98">
        <v>26535.599999999999</v>
      </c>
      <c r="AT98">
        <v>14</v>
      </c>
      <c r="AU98">
        <v>17690.399999999998</v>
      </c>
      <c r="AV98">
        <v>15</v>
      </c>
      <c r="AW98">
        <v>18954</v>
      </c>
      <c r="AX98">
        <v>21</v>
      </c>
      <c r="AY98">
        <v>26535.599999999999</v>
      </c>
      <c r="AZ98">
        <v>15</v>
      </c>
      <c r="BA98">
        <v>18954</v>
      </c>
      <c r="BB98">
        <v>26</v>
      </c>
      <c r="BC98">
        <v>32853.599999999999</v>
      </c>
      <c r="BD98">
        <v>19</v>
      </c>
      <c r="BE98">
        <v>24008.399999999998</v>
      </c>
      <c r="BF98">
        <v>17</v>
      </c>
      <c r="BG98">
        <v>21481.199999999997</v>
      </c>
      <c r="BH98">
        <v>26</v>
      </c>
      <c r="BI98">
        <v>32853.599999999999</v>
      </c>
      <c r="BJ98">
        <v>18</v>
      </c>
      <c r="BK98">
        <v>22744.799999999999</v>
      </c>
      <c r="BL98">
        <v>24</v>
      </c>
      <c r="BM98">
        <v>30326.399999999998</v>
      </c>
      <c r="BN98">
        <v>27</v>
      </c>
      <c r="BO98">
        <v>34117.199999999997</v>
      </c>
      <c r="BP98">
        <v>23</v>
      </c>
      <c r="BQ98">
        <v>29062.799999999999</v>
      </c>
      <c r="BR98">
        <v>24</v>
      </c>
      <c r="BS98">
        <v>30326.399999999998</v>
      </c>
      <c r="BT98">
        <v>26</v>
      </c>
      <c r="BU98">
        <v>32853.599999999999</v>
      </c>
      <c r="BV98">
        <v>18</v>
      </c>
      <c r="BW98">
        <v>22744.799999999999</v>
      </c>
      <c r="BX98">
        <v>19</v>
      </c>
      <c r="BY98">
        <v>24008.399999999998</v>
      </c>
      <c r="BZ98">
        <v>28</v>
      </c>
      <c r="CA98">
        <v>35380.799999999996</v>
      </c>
      <c r="CB98">
        <v>20</v>
      </c>
      <c r="CC98">
        <v>25272</v>
      </c>
      <c r="CD98">
        <v>15</v>
      </c>
      <c r="CE98">
        <v>18954</v>
      </c>
      <c r="CF98">
        <v>26</v>
      </c>
      <c r="CG98">
        <v>32853.599999999999</v>
      </c>
      <c r="CH98">
        <v>20</v>
      </c>
      <c r="CI98">
        <v>25272</v>
      </c>
      <c r="CJ98">
        <v>27</v>
      </c>
      <c r="CK98">
        <v>34117.199999999997</v>
      </c>
      <c r="CL98">
        <v>15</v>
      </c>
      <c r="CM98">
        <v>18954</v>
      </c>
      <c r="CN98">
        <v>28</v>
      </c>
      <c r="CO98">
        <v>35380.799999999996</v>
      </c>
      <c r="CP98">
        <v>18</v>
      </c>
      <c r="CQ98">
        <v>22744.799999999999</v>
      </c>
      <c r="CR98">
        <v>19</v>
      </c>
      <c r="CS98">
        <v>24008.399999999998</v>
      </c>
      <c r="CT98">
        <v>17</v>
      </c>
      <c r="CU98">
        <v>21481.199999999997</v>
      </c>
    </row>
    <row r="99" spans="2:99" x14ac:dyDescent="0.2">
      <c r="C99" s="119" t="s">
        <v>265</v>
      </c>
      <c r="D99">
        <v>9.4865053842768248</v>
      </c>
      <c r="E99">
        <v>52001.22791445184</v>
      </c>
      <c r="F99">
        <v>13</v>
      </c>
      <c r="G99">
        <v>71260.799999999988</v>
      </c>
      <c r="H99">
        <v>13</v>
      </c>
      <c r="I99">
        <v>71260.799999999988</v>
      </c>
      <c r="J99">
        <v>12</v>
      </c>
      <c r="K99">
        <v>65779.199999999997</v>
      </c>
      <c r="L99">
        <v>19</v>
      </c>
      <c r="M99">
        <v>104150.39999999999</v>
      </c>
      <c r="N99">
        <v>19</v>
      </c>
      <c r="O99">
        <v>104150.39999999999</v>
      </c>
      <c r="P99">
        <v>22</v>
      </c>
      <c r="Q99">
        <v>120595.19999999998</v>
      </c>
      <c r="R99">
        <v>18</v>
      </c>
      <c r="S99">
        <v>98668.799999999988</v>
      </c>
      <c r="T99">
        <v>10</v>
      </c>
      <c r="U99">
        <v>54815.999999999993</v>
      </c>
      <c r="V99">
        <v>9</v>
      </c>
      <c r="W99">
        <v>49334.399999999994</v>
      </c>
      <c r="X99">
        <v>9</v>
      </c>
      <c r="Y99">
        <v>49334.399999999994</v>
      </c>
      <c r="Z99">
        <v>12</v>
      </c>
      <c r="AA99">
        <v>65779.199999999997</v>
      </c>
      <c r="AB99">
        <v>16</v>
      </c>
      <c r="AC99">
        <v>87705.599999999991</v>
      </c>
      <c r="AD99">
        <v>16</v>
      </c>
      <c r="AE99">
        <v>87705.599999999991</v>
      </c>
      <c r="AF99">
        <v>11</v>
      </c>
      <c r="AG99">
        <v>60297.599999999991</v>
      </c>
      <c r="AH99">
        <v>16</v>
      </c>
      <c r="AI99">
        <v>87705.599999999991</v>
      </c>
      <c r="AJ99">
        <v>17</v>
      </c>
      <c r="AK99">
        <v>93187.199999999997</v>
      </c>
      <c r="AL99">
        <v>12</v>
      </c>
      <c r="AM99">
        <v>65779.199999999997</v>
      </c>
      <c r="AN99">
        <v>11</v>
      </c>
      <c r="AO99">
        <v>60297.599999999991</v>
      </c>
      <c r="AP99">
        <v>19</v>
      </c>
      <c r="AQ99">
        <v>104150.39999999999</v>
      </c>
      <c r="AR99">
        <v>13</v>
      </c>
      <c r="AS99">
        <v>71260.799999999988</v>
      </c>
      <c r="AT99">
        <v>11</v>
      </c>
      <c r="AU99">
        <v>60297.599999999991</v>
      </c>
      <c r="AV99">
        <v>9</v>
      </c>
      <c r="AW99">
        <v>49334.399999999994</v>
      </c>
      <c r="AX99">
        <v>15</v>
      </c>
      <c r="AY99">
        <v>82223.999999999985</v>
      </c>
      <c r="AZ99">
        <v>10</v>
      </c>
      <c r="BA99">
        <v>54815.999999999993</v>
      </c>
      <c r="BB99">
        <v>17</v>
      </c>
      <c r="BC99">
        <v>93187.199999999997</v>
      </c>
      <c r="BD99">
        <v>12</v>
      </c>
      <c r="BE99">
        <v>65779.199999999997</v>
      </c>
      <c r="BF99">
        <v>11</v>
      </c>
      <c r="BG99">
        <v>60297.599999999991</v>
      </c>
      <c r="BH99">
        <v>18</v>
      </c>
      <c r="BI99">
        <v>98668.799999999988</v>
      </c>
      <c r="BJ99">
        <v>12</v>
      </c>
      <c r="BK99">
        <v>65779.199999999997</v>
      </c>
      <c r="BL99">
        <v>17</v>
      </c>
      <c r="BM99">
        <v>93187.199999999997</v>
      </c>
      <c r="BN99">
        <v>18</v>
      </c>
      <c r="BO99">
        <v>98668.799999999988</v>
      </c>
      <c r="BP99">
        <v>14</v>
      </c>
      <c r="BQ99">
        <v>76742.399999999994</v>
      </c>
      <c r="BR99">
        <v>14</v>
      </c>
      <c r="BS99">
        <v>76742.399999999994</v>
      </c>
      <c r="BT99">
        <v>19</v>
      </c>
      <c r="BU99">
        <v>104150.39999999999</v>
      </c>
      <c r="BV99">
        <v>13</v>
      </c>
      <c r="BW99">
        <v>71260.799999999988</v>
      </c>
      <c r="BX99">
        <v>13</v>
      </c>
      <c r="BY99">
        <v>71260.799999999988</v>
      </c>
      <c r="BZ99">
        <v>16</v>
      </c>
      <c r="CA99">
        <v>87705.599999999991</v>
      </c>
      <c r="CB99">
        <v>15</v>
      </c>
      <c r="CC99">
        <v>82223.999999999985</v>
      </c>
      <c r="CD99">
        <v>10</v>
      </c>
      <c r="CE99">
        <v>54815.999999999993</v>
      </c>
      <c r="CF99">
        <v>19</v>
      </c>
      <c r="CG99">
        <v>104150.39999999999</v>
      </c>
      <c r="CH99">
        <v>15</v>
      </c>
      <c r="CI99">
        <v>82223.999999999985</v>
      </c>
      <c r="CJ99">
        <v>17</v>
      </c>
      <c r="CK99">
        <v>93187.199999999997</v>
      </c>
      <c r="CL99">
        <v>10</v>
      </c>
      <c r="CM99">
        <v>54815.999999999993</v>
      </c>
      <c r="CN99">
        <v>17</v>
      </c>
      <c r="CO99">
        <v>93187.199999999997</v>
      </c>
      <c r="CP99">
        <v>11</v>
      </c>
      <c r="CQ99">
        <v>60297.599999999991</v>
      </c>
      <c r="CR99">
        <v>13</v>
      </c>
      <c r="CS99">
        <v>71260.799999999988</v>
      </c>
      <c r="CT99">
        <v>11</v>
      </c>
      <c r="CU99">
        <v>60297.599999999991</v>
      </c>
    </row>
    <row r="100" spans="2:99" x14ac:dyDescent="0.2">
      <c r="C100" s="119" t="s">
        <v>266</v>
      </c>
      <c r="D100">
        <v>13.268595826560707</v>
      </c>
      <c r="E100">
        <v>21526.969869012089</v>
      </c>
      <c r="F100">
        <v>20</v>
      </c>
      <c r="G100">
        <v>32447.999999999996</v>
      </c>
      <c r="H100">
        <v>21</v>
      </c>
      <c r="I100">
        <v>34070.399999999994</v>
      </c>
      <c r="J100">
        <v>20</v>
      </c>
      <c r="K100">
        <v>32447.999999999996</v>
      </c>
      <c r="L100">
        <v>30</v>
      </c>
      <c r="M100">
        <v>48671.999999999993</v>
      </c>
      <c r="N100">
        <v>28</v>
      </c>
      <c r="O100">
        <v>45427.199999999997</v>
      </c>
      <c r="P100">
        <v>33</v>
      </c>
      <c r="Q100">
        <v>53539.199999999997</v>
      </c>
      <c r="R100">
        <v>32</v>
      </c>
      <c r="S100">
        <v>51916.799999999996</v>
      </c>
      <c r="T100">
        <v>13</v>
      </c>
      <c r="U100">
        <v>21091.199999999997</v>
      </c>
      <c r="V100">
        <v>14</v>
      </c>
      <c r="W100">
        <v>22713.599999999999</v>
      </c>
      <c r="X100">
        <v>14</v>
      </c>
      <c r="Y100">
        <v>22713.599999999999</v>
      </c>
      <c r="Z100">
        <v>16</v>
      </c>
      <c r="AA100">
        <v>25958.399999999998</v>
      </c>
      <c r="AB100">
        <v>21</v>
      </c>
      <c r="AC100">
        <v>34070.399999999994</v>
      </c>
      <c r="AD100">
        <v>24</v>
      </c>
      <c r="AE100">
        <v>38937.599999999999</v>
      </c>
      <c r="AF100">
        <v>15</v>
      </c>
      <c r="AG100">
        <v>24335.999999999996</v>
      </c>
      <c r="AH100">
        <v>22</v>
      </c>
      <c r="AI100">
        <v>35692.799999999996</v>
      </c>
      <c r="AJ100">
        <v>24</v>
      </c>
      <c r="AK100">
        <v>38937.599999999999</v>
      </c>
      <c r="AL100">
        <v>16</v>
      </c>
      <c r="AM100">
        <v>25958.399999999998</v>
      </c>
      <c r="AN100">
        <v>16</v>
      </c>
      <c r="AO100">
        <v>25958.399999999998</v>
      </c>
      <c r="AP100">
        <v>28</v>
      </c>
      <c r="AQ100">
        <v>45427.199999999997</v>
      </c>
      <c r="AR100">
        <v>20</v>
      </c>
      <c r="AS100">
        <v>32447.999999999996</v>
      </c>
      <c r="AT100">
        <v>14</v>
      </c>
      <c r="AU100">
        <v>22713.599999999999</v>
      </c>
      <c r="AV100">
        <v>13</v>
      </c>
      <c r="AW100">
        <v>21091.199999999997</v>
      </c>
      <c r="AX100">
        <v>24</v>
      </c>
      <c r="AY100">
        <v>38937.599999999999</v>
      </c>
      <c r="AZ100">
        <v>14</v>
      </c>
      <c r="BA100">
        <v>22713.599999999999</v>
      </c>
      <c r="BB100">
        <v>25</v>
      </c>
      <c r="BC100">
        <v>40560</v>
      </c>
      <c r="BD100">
        <v>18</v>
      </c>
      <c r="BE100">
        <v>29203.199999999997</v>
      </c>
      <c r="BF100">
        <v>16</v>
      </c>
      <c r="BG100">
        <v>25958.399999999998</v>
      </c>
      <c r="BH100">
        <v>27</v>
      </c>
      <c r="BI100">
        <v>43804.799999999996</v>
      </c>
      <c r="BJ100">
        <v>18</v>
      </c>
      <c r="BK100">
        <v>29203.199999999997</v>
      </c>
      <c r="BL100">
        <v>24</v>
      </c>
      <c r="BM100">
        <v>38937.599999999999</v>
      </c>
      <c r="BN100">
        <v>23</v>
      </c>
      <c r="BO100">
        <v>37315.199999999997</v>
      </c>
      <c r="BP100">
        <v>19</v>
      </c>
      <c r="BQ100">
        <v>30825.599999999999</v>
      </c>
      <c r="BR100">
        <v>22</v>
      </c>
      <c r="BS100">
        <v>35692.799999999996</v>
      </c>
      <c r="BT100">
        <v>25</v>
      </c>
      <c r="BU100">
        <v>40560</v>
      </c>
      <c r="BV100">
        <v>18</v>
      </c>
      <c r="BW100">
        <v>29203.199999999997</v>
      </c>
      <c r="BX100">
        <v>18</v>
      </c>
      <c r="BY100">
        <v>29203.199999999997</v>
      </c>
      <c r="BZ100">
        <v>23</v>
      </c>
      <c r="CA100">
        <v>37315.199999999997</v>
      </c>
      <c r="CB100">
        <v>20</v>
      </c>
      <c r="CC100">
        <v>32447.999999999996</v>
      </c>
      <c r="CD100">
        <v>15</v>
      </c>
      <c r="CE100">
        <v>24335.999999999996</v>
      </c>
      <c r="CF100">
        <v>24</v>
      </c>
      <c r="CG100">
        <v>38937.599999999999</v>
      </c>
      <c r="CH100">
        <v>22</v>
      </c>
      <c r="CI100">
        <v>35692.799999999996</v>
      </c>
      <c r="CJ100">
        <v>26</v>
      </c>
      <c r="CK100">
        <v>42182.399999999994</v>
      </c>
      <c r="CL100">
        <v>15</v>
      </c>
      <c r="CM100">
        <v>24335.999999999996</v>
      </c>
      <c r="CN100">
        <v>25</v>
      </c>
      <c r="CO100">
        <v>40560</v>
      </c>
      <c r="CP100">
        <v>16</v>
      </c>
      <c r="CQ100">
        <v>25958.399999999998</v>
      </c>
      <c r="CR100">
        <v>19</v>
      </c>
      <c r="CS100">
        <v>30825.599999999999</v>
      </c>
      <c r="CT100">
        <v>16</v>
      </c>
      <c r="CU100">
        <v>25958.399999999998</v>
      </c>
    </row>
    <row r="101" spans="2:99" x14ac:dyDescent="0.2">
      <c r="C101" s="119" t="s">
        <v>267</v>
      </c>
      <c r="D101">
        <v>16.988127711710369</v>
      </c>
      <c r="E101">
        <v>20222.667228020022</v>
      </c>
      <c r="F101">
        <v>19</v>
      </c>
      <c r="G101">
        <v>22617.599999999999</v>
      </c>
      <c r="H101">
        <v>20</v>
      </c>
      <c r="I101">
        <v>23807.999999999996</v>
      </c>
      <c r="J101">
        <v>21</v>
      </c>
      <c r="K101">
        <v>24998.399999999998</v>
      </c>
      <c r="L101">
        <v>26</v>
      </c>
      <c r="M101">
        <v>30950.399999999998</v>
      </c>
      <c r="N101">
        <v>30</v>
      </c>
      <c r="O101">
        <v>35711.999999999993</v>
      </c>
      <c r="P101">
        <v>34</v>
      </c>
      <c r="Q101">
        <v>40473.599999999999</v>
      </c>
      <c r="R101">
        <v>30</v>
      </c>
      <c r="S101">
        <v>35711.999999999993</v>
      </c>
      <c r="T101">
        <v>14</v>
      </c>
      <c r="U101">
        <v>16665.599999999999</v>
      </c>
      <c r="V101">
        <v>15</v>
      </c>
      <c r="W101">
        <v>17855.999999999996</v>
      </c>
      <c r="X101">
        <v>16</v>
      </c>
      <c r="Y101">
        <v>19046.399999999998</v>
      </c>
      <c r="Z101">
        <v>18</v>
      </c>
      <c r="AA101">
        <v>21427.199999999997</v>
      </c>
      <c r="AB101">
        <v>23</v>
      </c>
      <c r="AC101">
        <v>27379.199999999997</v>
      </c>
      <c r="AD101">
        <v>27</v>
      </c>
      <c r="AE101">
        <v>32140.799999999996</v>
      </c>
      <c r="AF101">
        <v>16</v>
      </c>
      <c r="AG101">
        <v>19046.399999999998</v>
      </c>
      <c r="AH101">
        <v>25</v>
      </c>
      <c r="AI101">
        <v>29759.999999999996</v>
      </c>
      <c r="AJ101">
        <v>25</v>
      </c>
      <c r="AK101">
        <v>29759.999999999996</v>
      </c>
      <c r="AL101">
        <v>18</v>
      </c>
      <c r="AM101">
        <v>21427.199999999997</v>
      </c>
      <c r="AN101">
        <v>19</v>
      </c>
      <c r="AO101">
        <v>22617.599999999999</v>
      </c>
      <c r="AP101">
        <v>29</v>
      </c>
      <c r="AQ101">
        <v>34521.599999999999</v>
      </c>
      <c r="AR101">
        <v>19</v>
      </c>
      <c r="AS101">
        <v>22617.599999999999</v>
      </c>
      <c r="AT101">
        <v>14</v>
      </c>
      <c r="AU101">
        <v>16665.599999999999</v>
      </c>
      <c r="AV101">
        <v>15</v>
      </c>
      <c r="AW101">
        <v>17855.999999999996</v>
      </c>
      <c r="AX101">
        <v>24</v>
      </c>
      <c r="AY101">
        <v>28569.599999999999</v>
      </c>
      <c r="AZ101">
        <v>15</v>
      </c>
      <c r="BA101">
        <v>17855.999999999996</v>
      </c>
      <c r="BB101">
        <v>28</v>
      </c>
      <c r="BC101">
        <v>33331.199999999997</v>
      </c>
      <c r="BD101">
        <v>18</v>
      </c>
      <c r="BE101">
        <v>21427.199999999997</v>
      </c>
      <c r="BF101">
        <v>15</v>
      </c>
      <c r="BG101">
        <v>17855.999999999996</v>
      </c>
      <c r="BH101">
        <v>26</v>
      </c>
      <c r="BI101">
        <v>30950.399999999998</v>
      </c>
      <c r="BJ101">
        <v>17</v>
      </c>
      <c r="BK101">
        <v>20236.8</v>
      </c>
      <c r="BL101">
        <v>23</v>
      </c>
      <c r="BM101">
        <v>27379.199999999997</v>
      </c>
      <c r="BN101">
        <v>26</v>
      </c>
      <c r="BO101">
        <v>30950.399999999998</v>
      </c>
      <c r="BP101">
        <v>22</v>
      </c>
      <c r="BQ101">
        <v>26188.799999999996</v>
      </c>
      <c r="BR101">
        <v>20</v>
      </c>
      <c r="BS101">
        <v>23807.999999999996</v>
      </c>
      <c r="BT101">
        <v>28</v>
      </c>
      <c r="BU101">
        <v>33331.199999999997</v>
      </c>
      <c r="BV101">
        <v>18</v>
      </c>
      <c r="BW101">
        <v>21427.199999999997</v>
      </c>
      <c r="BX101">
        <v>19</v>
      </c>
      <c r="BY101">
        <v>22617.599999999999</v>
      </c>
      <c r="BZ101">
        <v>28</v>
      </c>
      <c r="CA101">
        <v>33331.199999999997</v>
      </c>
      <c r="CB101">
        <v>19</v>
      </c>
      <c r="CC101">
        <v>22617.599999999999</v>
      </c>
      <c r="CD101">
        <v>15</v>
      </c>
      <c r="CE101">
        <v>17855.999999999996</v>
      </c>
      <c r="CF101">
        <v>28</v>
      </c>
      <c r="CG101">
        <v>33331.199999999997</v>
      </c>
      <c r="CH101">
        <v>19</v>
      </c>
      <c r="CI101">
        <v>22617.599999999999</v>
      </c>
      <c r="CJ101">
        <v>29</v>
      </c>
      <c r="CK101">
        <v>34521.599999999999</v>
      </c>
      <c r="CL101">
        <v>16</v>
      </c>
      <c r="CM101">
        <v>19046.399999999998</v>
      </c>
      <c r="CN101">
        <v>27</v>
      </c>
      <c r="CO101">
        <v>32140.799999999996</v>
      </c>
      <c r="CP101">
        <v>16</v>
      </c>
      <c r="CQ101">
        <v>19046.399999999998</v>
      </c>
      <c r="CR101">
        <v>18</v>
      </c>
      <c r="CS101">
        <v>21427.199999999997</v>
      </c>
      <c r="CT101">
        <v>18</v>
      </c>
      <c r="CU101">
        <v>21427.199999999997</v>
      </c>
    </row>
    <row r="102" spans="2:99" x14ac:dyDescent="0.2">
      <c r="C102" s="119" t="s">
        <v>268</v>
      </c>
      <c r="D102">
        <v>15.128361769135539</v>
      </c>
      <c r="E102">
        <v>29336.919142707637</v>
      </c>
      <c r="F102">
        <v>17</v>
      </c>
      <c r="G102">
        <v>32966.399999999994</v>
      </c>
      <c r="H102">
        <v>19</v>
      </c>
      <c r="I102">
        <v>36844.799999999996</v>
      </c>
      <c r="J102">
        <v>20</v>
      </c>
      <c r="K102">
        <v>38784</v>
      </c>
      <c r="L102">
        <v>28</v>
      </c>
      <c r="M102">
        <v>54297.599999999991</v>
      </c>
      <c r="N102">
        <v>29</v>
      </c>
      <c r="O102">
        <v>56236.799999999996</v>
      </c>
      <c r="P102">
        <v>27</v>
      </c>
      <c r="Q102">
        <v>52358.399999999994</v>
      </c>
      <c r="R102">
        <v>31</v>
      </c>
      <c r="S102">
        <v>60115.199999999997</v>
      </c>
      <c r="T102">
        <v>13</v>
      </c>
      <c r="U102">
        <v>25209.599999999999</v>
      </c>
      <c r="V102">
        <v>12</v>
      </c>
      <c r="W102">
        <v>23270.399999999998</v>
      </c>
      <c r="X102">
        <v>13</v>
      </c>
      <c r="Y102">
        <v>25209.599999999999</v>
      </c>
      <c r="Z102">
        <v>16</v>
      </c>
      <c r="AA102">
        <v>31027.199999999997</v>
      </c>
      <c r="AB102">
        <v>19</v>
      </c>
      <c r="AC102">
        <v>36844.799999999996</v>
      </c>
      <c r="AD102">
        <v>22</v>
      </c>
      <c r="AE102">
        <v>42662.399999999994</v>
      </c>
      <c r="AF102">
        <v>15</v>
      </c>
      <c r="AG102">
        <v>29087.999999999996</v>
      </c>
      <c r="AH102">
        <v>26</v>
      </c>
      <c r="AI102">
        <v>50419.199999999997</v>
      </c>
      <c r="AJ102">
        <v>24</v>
      </c>
      <c r="AK102">
        <v>46540.799999999996</v>
      </c>
      <c r="AL102">
        <v>17</v>
      </c>
      <c r="AM102">
        <v>32966.399999999994</v>
      </c>
      <c r="AN102">
        <v>17</v>
      </c>
      <c r="AO102">
        <v>32966.399999999994</v>
      </c>
      <c r="AP102">
        <v>25</v>
      </c>
      <c r="AQ102">
        <v>48479.999999999993</v>
      </c>
      <c r="AR102">
        <v>18</v>
      </c>
      <c r="AS102">
        <v>34905.599999999999</v>
      </c>
      <c r="AT102">
        <v>13</v>
      </c>
      <c r="AU102">
        <v>25209.599999999999</v>
      </c>
      <c r="AV102">
        <v>12</v>
      </c>
      <c r="AW102">
        <v>23270.399999999998</v>
      </c>
      <c r="AX102">
        <v>22</v>
      </c>
      <c r="AY102">
        <v>42662.399999999994</v>
      </c>
      <c r="AZ102">
        <v>13</v>
      </c>
      <c r="BA102">
        <v>25209.599999999999</v>
      </c>
      <c r="BB102">
        <v>26</v>
      </c>
      <c r="BC102">
        <v>50419.199999999997</v>
      </c>
      <c r="BD102">
        <v>18</v>
      </c>
      <c r="BE102">
        <v>34905.599999999999</v>
      </c>
      <c r="BF102">
        <v>15</v>
      </c>
      <c r="BG102">
        <v>29087.999999999996</v>
      </c>
      <c r="BH102">
        <v>23</v>
      </c>
      <c r="BI102">
        <v>44601.599999999999</v>
      </c>
      <c r="BJ102">
        <v>15</v>
      </c>
      <c r="BK102">
        <v>29087.999999999996</v>
      </c>
      <c r="BL102">
        <v>22</v>
      </c>
      <c r="BM102">
        <v>42662.399999999994</v>
      </c>
      <c r="BN102">
        <v>23</v>
      </c>
      <c r="BO102">
        <v>44601.599999999999</v>
      </c>
      <c r="BP102">
        <v>21</v>
      </c>
      <c r="BQ102">
        <v>40723.199999999997</v>
      </c>
      <c r="BR102">
        <v>19</v>
      </c>
      <c r="BS102">
        <v>36844.799999999996</v>
      </c>
      <c r="BT102">
        <v>27</v>
      </c>
      <c r="BU102">
        <v>52358.399999999994</v>
      </c>
      <c r="BV102">
        <v>15</v>
      </c>
      <c r="BW102">
        <v>29087.999999999996</v>
      </c>
      <c r="BX102">
        <v>18</v>
      </c>
      <c r="BY102">
        <v>34905.599999999999</v>
      </c>
      <c r="BZ102">
        <v>23</v>
      </c>
      <c r="CA102">
        <v>44601.599999999999</v>
      </c>
      <c r="CB102">
        <v>21</v>
      </c>
      <c r="CC102">
        <v>40723.199999999997</v>
      </c>
      <c r="CD102">
        <v>14</v>
      </c>
      <c r="CE102">
        <v>27148.799999999996</v>
      </c>
      <c r="CF102">
        <v>22</v>
      </c>
      <c r="CG102">
        <v>42662.399999999994</v>
      </c>
      <c r="CH102">
        <v>18</v>
      </c>
      <c r="CI102">
        <v>34905.599999999999</v>
      </c>
      <c r="CJ102">
        <v>25</v>
      </c>
      <c r="CK102">
        <v>48479.999999999993</v>
      </c>
      <c r="CL102">
        <v>14</v>
      </c>
      <c r="CM102">
        <v>27148.799999999996</v>
      </c>
      <c r="CN102">
        <v>23</v>
      </c>
      <c r="CO102">
        <v>44601.599999999999</v>
      </c>
      <c r="CP102">
        <v>16</v>
      </c>
      <c r="CQ102">
        <v>31027.199999999997</v>
      </c>
      <c r="CR102">
        <v>20</v>
      </c>
      <c r="CS102">
        <v>38784</v>
      </c>
      <c r="CT102">
        <v>16</v>
      </c>
      <c r="CU102">
        <v>31027.199999999997</v>
      </c>
    </row>
    <row r="103" spans="2:99" x14ac:dyDescent="0.2">
      <c r="C103" s="119" t="s">
        <v>269</v>
      </c>
      <c r="D103">
        <v>15.107508916757466</v>
      </c>
      <c r="E103">
        <v>30638.028083184141</v>
      </c>
      <c r="F103">
        <v>18</v>
      </c>
      <c r="G103">
        <v>36504</v>
      </c>
      <c r="H103">
        <v>18</v>
      </c>
      <c r="I103">
        <v>36504</v>
      </c>
      <c r="J103">
        <v>20</v>
      </c>
      <c r="K103">
        <v>40560</v>
      </c>
      <c r="L103">
        <v>26</v>
      </c>
      <c r="M103">
        <v>52728</v>
      </c>
      <c r="N103">
        <v>25</v>
      </c>
      <c r="O103">
        <v>50700</v>
      </c>
      <c r="P103">
        <v>30</v>
      </c>
      <c r="Q103">
        <v>60840</v>
      </c>
      <c r="R103">
        <v>26</v>
      </c>
      <c r="S103">
        <v>52728</v>
      </c>
      <c r="T103">
        <v>13</v>
      </c>
      <c r="U103">
        <v>26364</v>
      </c>
      <c r="V103">
        <v>12</v>
      </c>
      <c r="W103">
        <v>24336</v>
      </c>
      <c r="X103">
        <v>15</v>
      </c>
      <c r="Y103">
        <v>30420</v>
      </c>
      <c r="Z103">
        <v>15</v>
      </c>
      <c r="AA103">
        <v>30420</v>
      </c>
      <c r="AB103">
        <v>20</v>
      </c>
      <c r="AC103">
        <v>40560</v>
      </c>
      <c r="AD103">
        <v>23</v>
      </c>
      <c r="AE103">
        <v>46644</v>
      </c>
      <c r="AF103">
        <v>15</v>
      </c>
      <c r="AG103">
        <v>30420</v>
      </c>
      <c r="AH103">
        <v>25</v>
      </c>
      <c r="AI103">
        <v>50700</v>
      </c>
      <c r="AJ103">
        <v>22</v>
      </c>
      <c r="AK103">
        <v>44616</v>
      </c>
      <c r="AL103">
        <v>16</v>
      </c>
      <c r="AM103">
        <v>32448</v>
      </c>
      <c r="AN103">
        <v>15</v>
      </c>
      <c r="AO103">
        <v>30420</v>
      </c>
      <c r="AP103">
        <v>26</v>
      </c>
      <c r="AQ103">
        <v>52728</v>
      </c>
      <c r="AR103">
        <v>20</v>
      </c>
      <c r="AS103">
        <v>40560</v>
      </c>
      <c r="AT103">
        <v>14</v>
      </c>
      <c r="AU103">
        <v>28392</v>
      </c>
      <c r="AV103">
        <v>13</v>
      </c>
      <c r="AW103">
        <v>26364</v>
      </c>
      <c r="AX103">
        <v>22</v>
      </c>
      <c r="AY103">
        <v>44616</v>
      </c>
      <c r="AZ103">
        <v>15</v>
      </c>
      <c r="BA103">
        <v>30420</v>
      </c>
      <c r="BB103">
        <v>25</v>
      </c>
      <c r="BC103">
        <v>50700</v>
      </c>
      <c r="BD103">
        <v>18</v>
      </c>
      <c r="BE103">
        <v>36504</v>
      </c>
      <c r="BF103">
        <v>15</v>
      </c>
      <c r="BG103">
        <v>30420</v>
      </c>
      <c r="BH103">
        <v>23</v>
      </c>
      <c r="BI103">
        <v>46644</v>
      </c>
      <c r="BJ103">
        <v>15</v>
      </c>
      <c r="BK103">
        <v>30420</v>
      </c>
      <c r="BL103">
        <v>21</v>
      </c>
      <c r="BM103">
        <v>42588</v>
      </c>
      <c r="BN103">
        <v>22</v>
      </c>
      <c r="BO103">
        <v>44616</v>
      </c>
      <c r="BP103">
        <v>20</v>
      </c>
      <c r="BQ103">
        <v>40560</v>
      </c>
      <c r="BR103">
        <v>19</v>
      </c>
      <c r="BS103">
        <v>38532</v>
      </c>
      <c r="BT103">
        <v>26</v>
      </c>
      <c r="BU103">
        <v>52728</v>
      </c>
      <c r="BV103">
        <v>17</v>
      </c>
      <c r="BW103">
        <v>34476</v>
      </c>
      <c r="BX103">
        <v>17</v>
      </c>
      <c r="BY103">
        <v>34476</v>
      </c>
      <c r="BZ103">
        <v>22</v>
      </c>
      <c r="CA103">
        <v>44616</v>
      </c>
      <c r="CB103">
        <v>21</v>
      </c>
      <c r="CC103">
        <v>42588</v>
      </c>
      <c r="CD103">
        <v>14</v>
      </c>
      <c r="CE103">
        <v>28392</v>
      </c>
      <c r="CF103">
        <v>22</v>
      </c>
      <c r="CG103">
        <v>44616</v>
      </c>
      <c r="CH103">
        <v>19</v>
      </c>
      <c r="CI103">
        <v>38532</v>
      </c>
      <c r="CJ103">
        <v>26</v>
      </c>
      <c r="CK103">
        <v>52728</v>
      </c>
      <c r="CL103">
        <v>13</v>
      </c>
      <c r="CM103">
        <v>26364</v>
      </c>
      <c r="CN103">
        <v>25</v>
      </c>
      <c r="CO103">
        <v>50700</v>
      </c>
      <c r="CP103">
        <v>15</v>
      </c>
      <c r="CQ103">
        <v>30420</v>
      </c>
      <c r="CR103">
        <v>17</v>
      </c>
      <c r="CS103">
        <v>34476</v>
      </c>
      <c r="CT103">
        <v>16</v>
      </c>
      <c r="CU103">
        <v>32448</v>
      </c>
    </row>
    <row r="104" spans="2:99" x14ac:dyDescent="0.2">
      <c r="C104" s="119" t="s">
        <v>270</v>
      </c>
      <c r="D104">
        <v>15.128361769135539</v>
      </c>
      <c r="E104">
        <v>31352.016930356494</v>
      </c>
      <c r="F104">
        <v>18</v>
      </c>
      <c r="G104">
        <v>37303.200000000004</v>
      </c>
      <c r="H104">
        <v>17</v>
      </c>
      <c r="I104">
        <v>35230.800000000003</v>
      </c>
      <c r="J104">
        <v>18</v>
      </c>
      <c r="K104">
        <v>37303.200000000004</v>
      </c>
      <c r="L104">
        <v>25</v>
      </c>
      <c r="M104">
        <v>51810</v>
      </c>
      <c r="N104">
        <v>29</v>
      </c>
      <c r="O104">
        <v>60099.600000000006</v>
      </c>
      <c r="P104">
        <v>29</v>
      </c>
      <c r="Q104">
        <v>60099.600000000006</v>
      </c>
      <c r="R104">
        <v>29</v>
      </c>
      <c r="S104">
        <v>60099.600000000006</v>
      </c>
      <c r="T104">
        <v>13</v>
      </c>
      <c r="U104">
        <v>26941.200000000001</v>
      </c>
      <c r="V104">
        <v>13</v>
      </c>
      <c r="W104">
        <v>26941.200000000001</v>
      </c>
      <c r="X104">
        <v>13</v>
      </c>
      <c r="Y104">
        <v>26941.200000000001</v>
      </c>
      <c r="Z104">
        <v>17</v>
      </c>
      <c r="AA104">
        <v>35230.800000000003</v>
      </c>
      <c r="AB104">
        <v>19</v>
      </c>
      <c r="AC104">
        <v>39375.599999999999</v>
      </c>
      <c r="AD104">
        <v>23</v>
      </c>
      <c r="AE104">
        <v>47665.200000000004</v>
      </c>
      <c r="AF104">
        <v>16</v>
      </c>
      <c r="AG104">
        <v>33158.400000000001</v>
      </c>
      <c r="AH104">
        <v>23</v>
      </c>
      <c r="AI104">
        <v>47665.200000000004</v>
      </c>
      <c r="AJ104">
        <v>24</v>
      </c>
      <c r="AK104">
        <v>49737.600000000006</v>
      </c>
      <c r="AL104">
        <v>17</v>
      </c>
      <c r="AM104">
        <v>35230.800000000003</v>
      </c>
      <c r="AN104">
        <v>14</v>
      </c>
      <c r="AO104">
        <v>29013.600000000002</v>
      </c>
      <c r="AP104">
        <v>26</v>
      </c>
      <c r="AQ104">
        <v>53882.400000000001</v>
      </c>
      <c r="AR104">
        <v>18</v>
      </c>
      <c r="AS104">
        <v>37303.200000000004</v>
      </c>
      <c r="AT104">
        <v>13</v>
      </c>
      <c r="AU104">
        <v>26941.200000000001</v>
      </c>
      <c r="AV104">
        <v>13</v>
      </c>
      <c r="AW104">
        <v>26941.200000000001</v>
      </c>
      <c r="AX104">
        <v>19</v>
      </c>
      <c r="AY104">
        <v>39375.599999999999</v>
      </c>
      <c r="AZ104">
        <v>15</v>
      </c>
      <c r="BA104">
        <v>31086</v>
      </c>
      <c r="BB104">
        <v>22</v>
      </c>
      <c r="BC104">
        <v>45592.800000000003</v>
      </c>
      <c r="BD104">
        <v>17</v>
      </c>
      <c r="BE104">
        <v>35230.800000000003</v>
      </c>
      <c r="BF104">
        <v>15</v>
      </c>
      <c r="BG104">
        <v>31086</v>
      </c>
      <c r="BH104">
        <v>21</v>
      </c>
      <c r="BI104">
        <v>43520.4</v>
      </c>
      <c r="BJ104">
        <v>15</v>
      </c>
      <c r="BK104">
        <v>31086</v>
      </c>
      <c r="BL104">
        <v>20</v>
      </c>
      <c r="BM104">
        <v>41448</v>
      </c>
      <c r="BN104">
        <v>25</v>
      </c>
      <c r="BO104">
        <v>51810</v>
      </c>
      <c r="BP104">
        <v>22</v>
      </c>
      <c r="BQ104">
        <v>45592.800000000003</v>
      </c>
      <c r="BR104">
        <v>19</v>
      </c>
      <c r="BS104">
        <v>39375.599999999999</v>
      </c>
      <c r="BT104">
        <v>25</v>
      </c>
      <c r="BU104">
        <v>51810</v>
      </c>
      <c r="BV104">
        <v>15</v>
      </c>
      <c r="BW104">
        <v>31086</v>
      </c>
      <c r="BX104">
        <v>18</v>
      </c>
      <c r="BY104">
        <v>37303.200000000004</v>
      </c>
      <c r="BZ104">
        <v>23</v>
      </c>
      <c r="CA104">
        <v>47665.200000000004</v>
      </c>
      <c r="CB104">
        <v>18</v>
      </c>
      <c r="CC104">
        <v>37303.200000000004</v>
      </c>
      <c r="CD104">
        <v>14</v>
      </c>
      <c r="CE104">
        <v>29013.600000000002</v>
      </c>
      <c r="CF104">
        <v>22</v>
      </c>
      <c r="CG104">
        <v>45592.800000000003</v>
      </c>
      <c r="CH104">
        <v>17</v>
      </c>
      <c r="CI104">
        <v>35230.800000000003</v>
      </c>
      <c r="CJ104">
        <v>28</v>
      </c>
      <c r="CK104">
        <v>58027.200000000004</v>
      </c>
      <c r="CL104">
        <v>15</v>
      </c>
      <c r="CM104">
        <v>31086</v>
      </c>
      <c r="CN104">
        <v>22</v>
      </c>
      <c r="CO104">
        <v>45592.800000000003</v>
      </c>
      <c r="CP104">
        <v>16</v>
      </c>
      <c r="CQ104">
        <v>33158.400000000001</v>
      </c>
      <c r="CR104">
        <v>20</v>
      </c>
      <c r="CS104">
        <v>41448</v>
      </c>
      <c r="CT104">
        <v>16</v>
      </c>
      <c r="CU104">
        <v>33158.400000000001</v>
      </c>
    </row>
    <row r="105" spans="2:99" x14ac:dyDescent="0.2">
      <c r="C105" s="119" t="s">
        <v>271</v>
      </c>
      <c r="D105">
        <v>15.107508916757466</v>
      </c>
      <c r="E105">
        <v>30184.802815681418</v>
      </c>
      <c r="F105">
        <v>19</v>
      </c>
      <c r="G105">
        <v>37962</v>
      </c>
      <c r="H105">
        <v>19</v>
      </c>
      <c r="I105">
        <v>37962</v>
      </c>
      <c r="J105">
        <v>19</v>
      </c>
      <c r="K105">
        <v>37962</v>
      </c>
      <c r="L105">
        <v>26</v>
      </c>
      <c r="M105">
        <v>51948</v>
      </c>
      <c r="N105">
        <v>25</v>
      </c>
      <c r="O105">
        <v>49950</v>
      </c>
      <c r="P105">
        <v>32</v>
      </c>
      <c r="Q105">
        <v>63936</v>
      </c>
      <c r="R105">
        <v>26</v>
      </c>
      <c r="S105">
        <v>51948</v>
      </c>
      <c r="T105">
        <v>12</v>
      </c>
      <c r="U105">
        <v>23976</v>
      </c>
      <c r="V105">
        <v>12</v>
      </c>
      <c r="W105">
        <v>23976</v>
      </c>
      <c r="X105">
        <v>13</v>
      </c>
      <c r="Y105">
        <v>25974</v>
      </c>
      <c r="Z105">
        <v>15</v>
      </c>
      <c r="AA105">
        <v>29970</v>
      </c>
      <c r="AB105">
        <v>22</v>
      </c>
      <c r="AC105">
        <v>43956</v>
      </c>
      <c r="AD105">
        <v>25</v>
      </c>
      <c r="AE105">
        <v>49950</v>
      </c>
      <c r="AF105">
        <v>14</v>
      </c>
      <c r="AG105">
        <v>27972</v>
      </c>
      <c r="AH105">
        <v>23</v>
      </c>
      <c r="AI105">
        <v>45954</v>
      </c>
      <c r="AJ105">
        <v>27</v>
      </c>
      <c r="AK105">
        <v>53946</v>
      </c>
      <c r="AL105">
        <v>15</v>
      </c>
      <c r="AM105">
        <v>29970</v>
      </c>
      <c r="AN105">
        <v>15</v>
      </c>
      <c r="AO105">
        <v>29970</v>
      </c>
      <c r="AP105">
        <v>23</v>
      </c>
      <c r="AQ105">
        <v>45954</v>
      </c>
      <c r="AR105">
        <v>17</v>
      </c>
      <c r="AS105">
        <v>33966</v>
      </c>
      <c r="AT105">
        <v>14</v>
      </c>
      <c r="AU105">
        <v>27972</v>
      </c>
      <c r="AV105">
        <v>14</v>
      </c>
      <c r="AW105">
        <v>27972</v>
      </c>
      <c r="AX105">
        <v>20</v>
      </c>
      <c r="AY105">
        <v>39960</v>
      </c>
      <c r="AZ105">
        <v>15</v>
      </c>
      <c r="BA105">
        <v>29970</v>
      </c>
      <c r="BB105">
        <v>25</v>
      </c>
      <c r="BC105">
        <v>49950</v>
      </c>
      <c r="BD105">
        <v>17</v>
      </c>
      <c r="BE105">
        <v>33966</v>
      </c>
      <c r="BF105">
        <v>14</v>
      </c>
      <c r="BG105">
        <v>27972</v>
      </c>
      <c r="BH105">
        <v>23</v>
      </c>
      <c r="BI105">
        <v>45954</v>
      </c>
      <c r="BJ105">
        <v>17</v>
      </c>
      <c r="BK105">
        <v>33966</v>
      </c>
      <c r="BL105">
        <v>23</v>
      </c>
      <c r="BM105">
        <v>45954</v>
      </c>
      <c r="BN105">
        <v>22</v>
      </c>
      <c r="BO105">
        <v>43956</v>
      </c>
      <c r="BP105">
        <v>19</v>
      </c>
      <c r="BQ105">
        <v>37962</v>
      </c>
      <c r="BR105">
        <v>19</v>
      </c>
      <c r="BS105">
        <v>37962</v>
      </c>
      <c r="BT105">
        <v>26</v>
      </c>
      <c r="BU105">
        <v>51948</v>
      </c>
      <c r="BV105">
        <v>15</v>
      </c>
      <c r="BW105">
        <v>29970</v>
      </c>
      <c r="BX105">
        <v>18</v>
      </c>
      <c r="BY105">
        <v>35964</v>
      </c>
      <c r="BZ105">
        <v>21</v>
      </c>
      <c r="CA105">
        <v>41958</v>
      </c>
      <c r="CB105">
        <v>21</v>
      </c>
      <c r="CC105">
        <v>41958</v>
      </c>
      <c r="CD105">
        <v>13</v>
      </c>
      <c r="CE105">
        <v>25974</v>
      </c>
      <c r="CF105">
        <v>23</v>
      </c>
      <c r="CG105">
        <v>45954</v>
      </c>
      <c r="CH105">
        <v>21</v>
      </c>
      <c r="CI105">
        <v>41958</v>
      </c>
      <c r="CJ105">
        <v>26</v>
      </c>
      <c r="CK105">
        <v>51948</v>
      </c>
      <c r="CL105">
        <v>16</v>
      </c>
      <c r="CM105">
        <v>31968</v>
      </c>
      <c r="CN105">
        <v>22</v>
      </c>
      <c r="CO105">
        <v>43956</v>
      </c>
      <c r="CP105">
        <v>17</v>
      </c>
      <c r="CQ105">
        <v>33966</v>
      </c>
      <c r="CR105">
        <v>19</v>
      </c>
      <c r="CS105">
        <v>37962</v>
      </c>
      <c r="CT105">
        <v>15</v>
      </c>
      <c r="CU105">
        <v>29970</v>
      </c>
    </row>
    <row r="107" spans="2:99" x14ac:dyDescent="0.2">
      <c r="B107" s="122" t="s">
        <v>276</v>
      </c>
    </row>
    <row r="108" spans="2:99" x14ac:dyDescent="0.2">
      <c r="C108" s="119" t="s">
        <v>277</v>
      </c>
      <c r="D108" s="119" t="s">
        <v>92</v>
      </c>
      <c r="E108" s="119" t="s">
        <v>93</v>
      </c>
      <c r="F108" s="119" t="s">
        <v>94</v>
      </c>
      <c r="G108" s="119" t="s">
        <v>95</v>
      </c>
      <c r="H108" s="119" t="s">
        <v>96</v>
      </c>
      <c r="I108" s="119" t="s">
        <v>97</v>
      </c>
      <c r="J108" s="119" t="s">
        <v>98</v>
      </c>
      <c r="K108" s="119" t="s">
        <v>99</v>
      </c>
      <c r="L108" s="119" t="s">
        <v>100</v>
      </c>
      <c r="M108" s="119" t="s">
        <v>101</v>
      </c>
      <c r="N108" s="119" t="s">
        <v>102</v>
      </c>
      <c r="O108" s="119" t="s">
        <v>103</v>
      </c>
    </row>
    <row r="109" spans="2:99" x14ac:dyDescent="0.2">
      <c r="C109" s="119" t="s">
        <v>126</v>
      </c>
      <c r="D109">
        <f>SUM(D$6:D$19)+SUM(F$6:F$19)+SUM(H$6:H$19)+SUM(J$6:J$19)</f>
        <v>1509.6478635762467</v>
      </c>
      <c r="E109">
        <f>SUM(L$6:L$19)+SUM(N$6:N$19)+SUM(P$6:P$19)+SUM(R$6:R$19)</f>
        <v>1186</v>
      </c>
      <c r="F109">
        <f>SUM(T$6:T$19)+SUM(V$6:V$19)+SUM(X$6:X$19)+SUM(Z$6:Z$19)</f>
        <v>1591</v>
      </c>
      <c r="G109">
        <f>SUM(AB$6:AB$19)+SUM(AD$6:AD$19)+SUM(AF$6:AF$19)+SUM(AH$6:AH$19)</f>
        <v>1403</v>
      </c>
      <c r="H109">
        <f>SUM(AJ$6:AJ$19)+SUM(AL$6:AL$19)+SUM(AN$6:AN$19)+SUM(AP$6:AP$19)</f>
        <v>1102.7871813238417</v>
      </c>
      <c r="I109">
        <f>SUM(AR$6:AR$19)+SUM(AT$6:AT$19)+SUM(AV$6:AV$19)+SUM(AX$6:AX$19)</f>
        <v>375.3181912281816</v>
      </c>
      <c r="J109">
        <f>SUM(AZ$6:AZ$19)+SUM(BB$6:BB$19)+SUM(BD$6:BD$19)+SUM(BF$6:BF$19)</f>
        <v>436.59961295160093</v>
      </c>
      <c r="K109">
        <f>SUM(BH$6:BH$19)+SUM(BJ$6:BJ$19)+SUM(BL$6:BL$19)+SUM(BN$6:BN$19)</f>
        <v>354.48178573648704</v>
      </c>
      <c r="L109">
        <f>SUM(BP$6:BP$19)+SUM(BR$6:BR$19)+SUM(BT$6:BT$19)+SUM(BV$6:BV$19)</f>
        <v>336.34282499212895</v>
      </c>
      <c r="M109">
        <f>SUM(BX$6:BX$19)+SUM(BZ$6:BZ$19)+SUM(CB$6:CB$19)+SUM(CD$6:CD$19)</f>
        <v>430.07434692769459</v>
      </c>
      <c r="N109">
        <f>SUM(CF$6:CF$19)+SUM(CH$6:CH$19)+SUM(CJ$6:CJ$19)+SUM(CL$6:CL$19)</f>
        <v>481.11619170144888</v>
      </c>
      <c r="O109">
        <f>SUM(CN$6:CN$19)+SUM(CP$6:CP$19)+SUM(CR$6:CR$19)+SUM(CT$6:CT$19)</f>
        <v>407.84358867810698</v>
      </c>
    </row>
    <row r="110" spans="2:99" x14ac:dyDescent="0.2">
      <c r="C110" s="119" t="s">
        <v>127</v>
      </c>
      <c r="D110">
        <f>SUM(D$20:D$36)+SUM(F$20:F$36)+SUM(H$20:H$36)+SUM(J$20:J$36)</f>
        <v>2488.3918391176758</v>
      </c>
      <c r="E110">
        <f>SUM(L$20:L$36)+SUM(N$20:N$36)+SUM(P$20:P$36)+SUM(R$20:R$36)</f>
        <v>2634</v>
      </c>
      <c r="F110">
        <f>SUM(T$20:T$36)+SUM(V$20:V$36)+SUM(X$20:X$36)+SUM(Z$20:Z$36)</f>
        <v>2476</v>
      </c>
      <c r="G110">
        <f>SUM(AB$20:AB$36)+SUM(AD$20:AD$36)+SUM(AF$20:AF$36)+SUM(AH$20:AH$36)</f>
        <v>2793</v>
      </c>
      <c r="H110">
        <f>SUM(AJ$20:AJ$36)+SUM(AL$20:AL$36)+SUM(AN$20:AN$36)+SUM(AP$20:AP$36)</f>
        <v>2206.4233103939659</v>
      </c>
      <c r="I110">
        <f>SUM(AR$20:AR$36)+SUM(AT$20:AT$36)+SUM(AV$20:AV$36)+SUM(AX$20:AX$36)</f>
        <v>821.18792713250946</v>
      </c>
      <c r="J110">
        <f>SUM(AZ$20:AZ$36)+SUM(BB$20:BB$36)+SUM(BD$20:BD$36)+SUM(BF$20:BF$36)</f>
        <v>759.11487254212159</v>
      </c>
      <c r="K110">
        <f>SUM(BH$20:BH$36)+SUM(BJ$20:BJ$36)+SUM(BL$20:BL$36)+SUM(BN$20:BN$36)</f>
        <v>733.9278326181078</v>
      </c>
      <c r="L110">
        <f>SUM(BP$20:BP$36)+SUM(BR$20:BR$36)+SUM(BT$20:BT$36)+SUM(BV$20:BV$36)</f>
        <v>817.28255998077407</v>
      </c>
      <c r="M110">
        <f>SUM(BX$20:BX$36)+SUM(BZ$20:BZ$36)+SUM(CB$20:CB$36)+SUM(CD$20:CD$36)</f>
        <v>659.20928503079926</v>
      </c>
      <c r="N110">
        <f>SUM(CF$20:CF$36)+SUM(CH$20:CH$36)+SUM(CJ$20:CJ$36)+SUM(CL$20:CL$36)</f>
        <v>699.1210447645999</v>
      </c>
      <c r="O110">
        <f>SUM(CN$20:CN$36)+SUM(CP$20:CP$36)+SUM(CR$20:CR$36)+SUM(CT$20:CT$36)</f>
        <v>765.92975192552456</v>
      </c>
    </row>
    <row r="111" spans="2:99" x14ac:dyDescent="0.2">
      <c r="C111" s="119" t="s">
        <v>128</v>
      </c>
      <c r="D111">
        <f>SUM(D$37:D$48)+SUM(F$37:F$48)+SUM(H$37:H$48)+SUM(J$37:J$48)</f>
        <v>926.05537271727644</v>
      </c>
      <c r="E111">
        <f>SUM(L$37:L$48)+SUM(N$37:N$48)+SUM(P$37:P$48)+SUM(R$37:R$48)</f>
        <v>881</v>
      </c>
      <c r="F111">
        <f>SUM(T$37:T$48)+SUM(V$37:V$48)+SUM(X$37:X$48)+SUM(Z$37:Z$48)</f>
        <v>710</v>
      </c>
      <c r="G111">
        <f>SUM(AB$37:AB$48)+SUM(AD$37:AD$48)+SUM(AF$37:AF$48)+SUM(AH$37:AH$48)</f>
        <v>781</v>
      </c>
      <c r="H111">
        <f>SUM(AJ$37:AJ$48)+SUM(AL$37:AL$48)+SUM(AN$37:AN$48)+SUM(AP$37:AP$48)</f>
        <v>581.1527285258511</v>
      </c>
      <c r="I111">
        <f>SUM(AR$37:AR$48)+SUM(AT$37:AT$48)+SUM(AV$37:AV$48)+SUM(AX$37:AX$48)</f>
        <v>226.72921611045851</v>
      </c>
      <c r="J111">
        <f>SUM(AZ$37:AZ$48)+SUM(BB$37:BB$48)+SUM(BD$37:BD$48)+SUM(BF$37:BF$48)</f>
        <v>199.73599491037049</v>
      </c>
      <c r="K111">
        <f>SUM(BH$37:BH$48)+SUM(BJ$37:BJ$48)+SUM(BL$37:BL$48)+SUM(BN$37:BN$48)</f>
        <v>257.00073654005496</v>
      </c>
      <c r="L111">
        <f>SUM(BP$37:BP$48)+SUM(BR$37:BR$48)+SUM(BT$37:BT$48)+SUM(BV$37:BV$48)</f>
        <v>213.77186938954716</v>
      </c>
      <c r="M111">
        <f>SUM(BX$37:BX$48)+SUM(BZ$37:BZ$48)+SUM(CB$37:CB$48)+SUM(CD$37:CD$48)</f>
        <v>264.76681989940124</v>
      </c>
      <c r="N111">
        <f>SUM(CF$37:CF$48)+SUM(CH$37:CH$48)+SUM(CJ$37:CJ$48)+SUM(CL$37:CL$48)</f>
        <v>227.46686608356146</v>
      </c>
      <c r="O111">
        <f>SUM(CN$37:CN$48)+SUM(CP$37:CP$48)+SUM(CR$37:CR$48)+SUM(CT$37:CT$48)</f>
        <v>237.21006251501524</v>
      </c>
    </row>
    <row r="112" spans="2:99" x14ac:dyDescent="0.2">
      <c r="C112" s="119" t="s">
        <v>129</v>
      </c>
      <c r="D112">
        <f>SUM(D$49:D$70)+SUM(F$49:F$70)+SUM(H$49:H$70)+SUM(J$49:J$70)</f>
        <v>1167.4129229315931</v>
      </c>
      <c r="E112">
        <f>SUM(L$49:L$70)+SUM(N$49:N$70)+SUM(P$49:P$70)+SUM(R$49:R$70)</f>
        <v>1366</v>
      </c>
      <c r="F112">
        <f>SUM(T$49:T$70)+SUM(V$49:V$70)+SUM(X$49:X$70)+SUM(Z$49:Z$70)</f>
        <v>1209</v>
      </c>
      <c r="G112">
        <f>SUM(AB$49:AB$70)+SUM(AD$49:AD$70)+SUM(AF$49:AF$70)+SUM(AH$49:AH$70)</f>
        <v>1015</v>
      </c>
      <c r="H112">
        <f>SUM(AJ$49:AJ$70)+SUM(AL$49:AL$70)+SUM(AN$49:AN$70)+SUM(AP$49:AP$70)</f>
        <v>842.47341407048657</v>
      </c>
      <c r="I112">
        <f>SUM(AR$49:AR$70)+SUM(AT$49:AT$70)+SUM(AV$49:AV$70)+SUM(AX$49:AX$70)</f>
        <v>347.32890035928426</v>
      </c>
      <c r="J112">
        <f>SUM(AZ$49:AZ$70)+SUM(BB$49:BB$70)+SUM(BD$49:BD$70)+SUM(BF$49:BF$70)</f>
        <v>384.1137544263409</v>
      </c>
      <c r="K112">
        <f>SUM(BH$49:BH$70)+SUM(BJ$49:BJ$70)+SUM(BL$49:BL$70)+SUM(BN$49:BN$70)</f>
        <v>470.15387993578418</v>
      </c>
      <c r="L112">
        <f>SUM(BP$49:BP$70)+SUM(BR$49:BR$70)+SUM(BT$49:BT$70)+SUM(BV$49:BV$70)</f>
        <v>434.16698046798359</v>
      </c>
      <c r="M112">
        <f>SUM(BX$49:BX$70)+SUM(BZ$49:BZ$70)+SUM(CB$49:CB$70)+SUM(CD$49:CD$70)</f>
        <v>445.51378297253893</v>
      </c>
      <c r="N112">
        <f>SUM(CF$49:CF$70)+SUM(CH$49:CH$70)+SUM(CJ$49:CJ$70)+SUM(CL$49:CL$70)</f>
        <v>371.86013228082368</v>
      </c>
      <c r="O112">
        <f>SUM(CN$49:CN$70)+SUM(CP$49:CP$70)+SUM(CR$49:CR$70)+SUM(CT$49:CT$70)</f>
        <v>369.58083171178703</v>
      </c>
    </row>
    <row r="113" spans="2:15" x14ac:dyDescent="0.2">
      <c r="C113" s="119" t="s">
        <v>130</v>
      </c>
      <c r="D113">
        <f>SUM(D$71:D$86)+SUM(F$71:F$86)+SUM(H$71:H$86)+SUM(J$71:J$86)</f>
        <v>615.92954988391386</v>
      </c>
      <c r="E113">
        <f>SUM(L$71:L$86)+SUM(N$71:N$86)+SUM(P$71:P$86)+SUM(R$71:R$86)</f>
        <v>770</v>
      </c>
      <c r="F113">
        <f>SUM(T$71:T$86)+SUM(V$71:V$86)+SUM(X$71:X$86)+SUM(Z$71:Z$86)</f>
        <v>750</v>
      </c>
      <c r="G113">
        <f>SUM(AB$71:AB$86)+SUM(AD$71:AD$86)+SUM(AF$71:AF$86)+SUM(AH$71:AH$86)</f>
        <v>707</v>
      </c>
      <c r="H113">
        <f>SUM(AJ$71:AJ$86)+SUM(AL$71:AL$86)+SUM(AN$71:AN$86)+SUM(AP$71:AP$86)</f>
        <v>866</v>
      </c>
      <c r="I113">
        <f>SUM(AR$71:AR$86)+SUM(AT$71:AT$86)+SUM(AV$71:AV$86)+SUM(AX$71:AX$86)</f>
        <v>768</v>
      </c>
      <c r="J113">
        <f>SUM(AZ$71:AZ$86)+SUM(BB$71:BB$86)+SUM(BD$71:BD$86)+SUM(BF$71:BF$86)</f>
        <v>748</v>
      </c>
      <c r="K113">
        <f>SUM(BH$71:BH$86)+SUM(BJ$71:BJ$86)+SUM(BL$71:BL$86)+SUM(BN$71:BN$86)</f>
        <v>949</v>
      </c>
      <c r="L113">
        <f>SUM(BP$71:BP$86)+SUM(BR$71:BR$86)+SUM(BT$71:BT$86)+SUM(BV$71:BV$86)</f>
        <v>801</v>
      </c>
      <c r="M113">
        <f>SUM(BX$71:BX$86)+SUM(BZ$71:BZ$86)+SUM(CB$71:CB$86)+SUM(CD$71:CD$86)</f>
        <v>787</v>
      </c>
      <c r="N113">
        <f>SUM(CF$71:CF$86)+SUM(CH$71:CH$86)+SUM(CJ$71:CJ$86)+SUM(CL$71:CL$86)</f>
        <v>774</v>
      </c>
      <c r="O113">
        <f>SUM(CN$71:CN$86)+SUM(CP$71:CP$86)+SUM(CR$71:CR$86)+SUM(CT$71:CT$86)</f>
        <v>870</v>
      </c>
    </row>
    <row r="114" spans="2:15" x14ac:dyDescent="0.2">
      <c r="C114" s="119" t="s">
        <v>131</v>
      </c>
      <c r="D114">
        <f>SUM(D$87:D$94)+SUM(F$87:F$94)+SUM(H$87:H$94)+SUM(J$87:J$94)</f>
        <v>209.81462340629577</v>
      </c>
      <c r="E114">
        <f>SUM(L$87:L$94)+SUM(N$87:N$94)+SUM(P$87:P$94)+SUM(R$87:R$94)</f>
        <v>259</v>
      </c>
      <c r="F114">
        <f>SUM(T$87:T$94)+SUM(V$87:V$94)+SUM(X$87:X$94)+SUM(Z$87:Z$94)</f>
        <v>306</v>
      </c>
      <c r="G114">
        <f>SUM(AB$87:AB$94)+SUM(AD$87:AD$94)+SUM(AF$87:AF$94)+SUM(AH$87:AH$94)</f>
        <v>303</v>
      </c>
      <c r="H114">
        <f>SUM(AJ$87:AJ$94)+SUM(AL$87:AL$94)+SUM(AN$87:AN$94)+SUM(AP$87:AP$94)</f>
        <v>289</v>
      </c>
      <c r="I114">
        <f>SUM(AR$87:AR$94)+SUM(AT$87:AT$94)+SUM(AV$87:AV$94)+SUM(AX$87:AX$94)</f>
        <v>250</v>
      </c>
      <c r="J114">
        <f>SUM(AZ$87:AZ$94)+SUM(BB$87:BB$94)+SUM(BD$87:BD$94)+SUM(BF$87:BF$94)</f>
        <v>326</v>
      </c>
      <c r="K114">
        <f>SUM(BH$87:BH$94)+SUM(BJ$87:BJ$94)+SUM(BL$87:BL$94)+SUM(BN$87:BN$94)</f>
        <v>286</v>
      </c>
      <c r="L114">
        <f>SUM(BP$87:BP$94)+SUM(BR$87:BR$94)+SUM(BT$87:BT$94)+SUM(BV$87:BV$94)</f>
        <v>263</v>
      </c>
      <c r="M114">
        <f>SUM(BX$87:BX$94)+SUM(BZ$87:BZ$94)+SUM(CB$87:CB$94)+SUM(CD$87:CD$94)</f>
        <v>287</v>
      </c>
      <c r="N114">
        <f>SUM(CF$87:CF$94)+SUM(CH$87:CH$94)+SUM(CJ$87:CJ$94)+SUM(CL$87:CL$94)</f>
        <v>327</v>
      </c>
      <c r="O114">
        <f>SUM(CN$87:CN$94)+SUM(CP$87:CP$94)+SUM(CR$87:CR$94)+SUM(CT$87:CT$94)</f>
        <v>343</v>
      </c>
    </row>
    <row r="115" spans="2:15" x14ac:dyDescent="0.2">
      <c r="C115" s="119" t="s">
        <v>132</v>
      </c>
      <c r="D115">
        <f>SUM(D$95:D$105)+SUM(F$95:F$105)+SUM(H$95:H$105)+SUM(J$95:J$105)</f>
        <v>787.629889018207</v>
      </c>
      <c r="E115">
        <f>SUM(L$95:L$105)+SUM(N$95:N$105)+SUM(P$95:P$105)+SUM(R$95:R$105)</f>
        <v>1245</v>
      </c>
      <c r="F115">
        <f>SUM(T$95:T$105)+SUM(V$95:V$105)+SUM(X$95:X$105)+SUM(Z$95:Z$105)</f>
        <v>620</v>
      </c>
      <c r="G115">
        <f>SUM(AB$95:AB$105)+SUM(AD$95:AD$105)+SUM(AF$95:AF$105)+SUM(AH$95:AH$105)</f>
        <v>914</v>
      </c>
      <c r="H115">
        <f>SUM(AJ$95:AJ$105)+SUM(AL$95:AL$105)+SUM(AN$95:AN$105)+SUM(AP$95:AP$105)</f>
        <v>909</v>
      </c>
      <c r="I115">
        <f>SUM(AR$95:AR$105)+SUM(AT$95:AT$105)+SUM(AV$95:AV$105)+SUM(AX$95:AX$105)</f>
        <v>728</v>
      </c>
      <c r="J115">
        <f>SUM(AZ$95:AZ$105)+SUM(BB$95:BB$105)+SUM(BD$95:BD$105)+SUM(BF$95:BF$105)</f>
        <v>785</v>
      </c>
      <c r="K115">
        <f>SUM(BH$95:BH$105)+SUM(BJ$95:BJ$105)+SUM(BL$95:BL$105)+SUM(BN$95:BN$105)</f>
        <v>939</v>
      </c>
      <c r="L115">
        <f>SUM(BP$95:BP$105)+SUM(BR$95:BR$105)+SUM(BT$95:BT$105)+SUM(BV$95:BV$105)</f>
        <v>907</v>
      </c>
      <c r="M115">
        <f>SUM(BX$95:BX$105)+SUM(BZ$95:BZ$105)+SUM(CB$95:CB$105)+SUM(CD$95:CD$105)</f>
        <v>821</v>
      </c>
      <c r="N115">
        <f>SUM(CF$95:CF$105)+SUM(CH$95:CH$105)+SUM(CJ$95:CJ$105)+SUM(CL$95:CL$105)</f>
        <v>917</v>
      </c>
      <c r="O115">
        <f>SUM(CN$95:CN$105)+SUM(CP$95:CP$105)+SUM(CR$95:CR$105)+SUM(CT$95:CT$105)</f>
        <v>819</v>
      </c>
    </row>
    <row r="116" spans="2:15" x14ac:dyDescent="0.2">
      <c r="C116" s="119" t="s">
        <v>278</v>
      </c>
      <c r="D116">
        <f t="shared" ref="D116:O116" si="0">SUM(D$109:D$115)</f>
        <v>7704.882060651209</v>
      </c>
      <c r="E116">
        <f t="shared" si="0"/>
        <v>8341</v>
      </c>
      <c r="F116">
        <f t="shared" si="0"/>
        <v>7662</v>
      </c>
      <c r="G116">
        <f t="shared" si="0"/>
        <v>7916</v>
      </c>
      <c r="H116">
        <f t="shared" si="0"/>
        <v>6796.8366343141452</v>
      </c>
      <c r="I116">
        <f t="shared" si="0"/>
        <v>3516.5642348304336</v>
      </c>
      <c r="J116">
        <f t="shared" si="0"/>
        <v>3638.5642348304336</v>
      </c>
      <c r="K116">
        <f t="shared" si="0"/>
        <v>3989.5642348304341</v>
      </c>
      <c r="L116">
        <f t="shared" si="0"/>
        <v>3772.5642348304336</v>
      </c>
      <c r="M116">
        <f t="shared" si="0"/>
        <v>3694.5642348304341</v>
      </c>
      <c r="N116">
        <f t="shared" si="0"/>
        <v>3797.5642348304336</v>
      </c>
      <c r="O116">
        <f t="shared" si="0"/>
        <v>3812.5642348304341</v>
      </c>
    </row>
    <row r="118" spans="2:15" x14ac:dyDescent="0.2">
      <c r="B118" s="121" t="s">
        <v>279</v>
      </c>
    </row>
    <row r="119" spans="2:15" x14ac:dyDescent="0.2">
      <c r="C119" s="119" t="s">
        <v>277</v>
      </c>
      <c r="D119" s="119" t="s">
        <v>92</v>
      </c>
      <c r="E119" s="119" t="s">
        <v>93</v>
      </c>
      <c r="F119" s="119" t="s">
        <v>94</v>
      </c>
      <c r="G119" s="119" t="s">
        <v>95</v>
      </c>
      <c r="H119" s="119" t="s">
        <v>96</v>
      </c>
      <c r="I119" s="119" t="s">
        <v>97</v>
      </c>
      <c r="J119" s="119" t="s">
        <v>98</v>
      </c>
      <c r="K119" s="119" t="s">
        <v>99</v>
      </c>
      <c r="L119" s="119" t="s">
        <v>100</v>
      </c>
      <c r="M119" s="119" t="s">
        <v>101</v>
      </c>
      <c r="N119" s="119" t="s">
        <v>102</v>
      </c>
      <c r="O119" s="119" t="s">
        <v>103</v>
      </c>
    </row>
    <row r="120" spans="2:15" x14ac:dyDescent="0.2">
      <c r="C120" s="119" t="s">
        <v>126</v>
      </c>
      <c r="D120">
        <f>D109*pricing!D24*2000</f>
        <v>5449828.7875102507</v>
      </c>
      <c r="E120">
        <f>E109*pricing!E24*2000</f>
        <v>4281460</v>
      </c>
      <c r="F120">
        <f>F109*pricing!F24*2000</f>
        <v>5743510</v>
      </c>
      <c r="G120">
        <f>G109*pricing!G24*2000</f>
        <v>5064830</v>
      </c>
      <c r="H120">
        <f>H109*pricing!H24*2000</f>
        <v>3981061.7245790684</v>
      </c>
      <c r="I120">
        <f>I109*pricing!I24*2000</f>
        <v>1354898.6703337354</v>
      </c>
      <c r="J120">
        <f>J109*pricing!J24*2000</f>
        <v>1576124.6027552793</v>
      </c>
      <c r="K120">
        <f>K109*pricing!K24*2000</f>
        <v>1279679.2465087182</v>
      </c>
      <c r="L120">
        <f>L109*pricing!L24*2000</f>
        <v>1214197.5982215854</v>
      </c>
      <c r="M120">
        <f>M109*pricing!M24*2000</f>
        <v>1552568.3924089775</v>
      </c>
      <c r="N120">
        <f>N109*pricing!N24*2000</f>
        <v>1736829.4520422304</v>
      </c>
      <c r="O120">
        <f>O109*pricing!O24*2000</f>
        <v>1472315.355127966</v>
      </c>
    </row>
    <row r="121" spans="2:15" x14ac:dyDescent="0.2">
      <c r="C121" s="119" t="s">
        <v>127</v>
      </c>
      <c r="D121">
        <f>D110*pricing!D25*2000</f>
        <v>8983094.5392148104</v>
      </c>
      <c r="E121">
        <f>E110*pricing!E25*2000</f>
        <v>9508740</v>
      </c>
      <c r="F121">
        <f>F110*pricing!F25*2000</f>
        <v>8938360</v>
      </c>
      <c r="G121">
        <f>G110*pricing!G25*2000</f>
        <v>10082730</v>
      </c>
      <c r="H121">
        <f>H110*pricing!H25*2000</f>
        <v>7965188.1505222162</v>
      </c>
      <c r="I121">
        <f>I110*pricing!I25*2000</f>
        <v>2964488.416948359</v>
      </c>
      <c r="J121">
        <f>J110*pricing!J25*2000</f>
        <v>2740404.6898770588</v>
      </c>
      <c r="K121">
        <f>K110*pricing!K25*2000</f>
        <v>2649479.4757513693</v>
      </c>
      <c r="L121">
        <f>L110*pricing!L25*2000</f>
        <v>2950390.0415305942</v>
      </c>
      <c r="M121">
        <f>M110*pricing!M25*2000</f>
        <v>2379745.5189611851</v>
      </c>
      <c r="N121">
        <f>N110*pricing!N25*2000</f>
        <v>2523826.9716002056</v>
      </c>
      <c r="O121">
        <f>O110*pricing!O25*2000</f>
        <v>2765006.4044511435</v>
      </c>
    </row>
    <row r="122" spans="2:15" x14ac:dyDescent="0.2">
      <c r="C122" s="119" t="s">
        <v>128</v>
      </c>
      <c r="D122">
        <f>D111*pricing!D26*2000</f>
        <v>3782936.1975500742</v>
      </c>
      <c r="E122">
        <f>E111*pricing!E26*2000</f>
        <v>3598884.9999999995</v>
      </c>
      <c r="F122">
        <f>F111*pricing!F26*2000</f>
        <v>2900350</v>
      </c>
      <c r="G122">
        <f>G111*pricing!G26*2000</f>
        <v>3190384.9999999995</v>
      </c>
      <c r="H122">
        <f>H111*pricing!H26*2000</f>
        <v>2374008.8960281019</v>
      </c>
      <c r="I122">
        <f>I111*pricing!I26*2000</f>
        <v>926188.84781122301</v>
      </c>
      <c r="J122">
        <f>J111*pricing!J26*2000</f>
        <v>815921.53920886351</v>
      </c>
      <c r="K122">
        <f>K111*pricing!K26*2000</f>
        <v>1049848.0087661245</v>
      </c>
      <c r="L122">
        <f>L111*pricing!L26*2000</f>
        <v>873258.08645630011</v>
      </c>
      <c r="M122">
        <f>M111*pricing!M26*2000</f>
        <v>1081572.4592890539</v>
      </c>
      <c r="N122">
        <f>N111*pricing!N26*2000</f>
        <v>929202.14795134857</v>
      </c>
      <c r="O122">
        <f>O111*pricing!O26*2000</f>
        <v>969003.10537383729</v>
      </c>
    </row>
    <row r="123" spans="2:15" x14ac:dyDescent="0.2">
      <c r="C123" s="119" t="s">
        <v>129</v>
      </c>
      <c r="D123">
        <f>D112*pricing!D27*2000</f>
        <v>4879786.0178540582</v>
      </c>
      <c r="E123">
        <f>E112*pricing!E27*2000</f>
        <v>5709879.9999999991</v>
      </c>
      <c r="F123">
        <f>F112*pricing!F27*2000</f>
        <v>5053620</v>
      </c>
      <c r="G123">
        <f>G112*pricing!G27*2000</f>
        <v>4242700</v>
      </c>
      <c r="H123">
        <f>H112*pricing!H27*2000</f>
        <v>3521538.870814634</v>
      </c>
      <c r="I123">
        <f>I112*pricing!I27*2000</f>
        <v>1451834.8035018083</v>
      </c>
      <c r="J123">
        <f>J112*pricing!J27*2000</f>
        <v>1605595.4935021049</v>
      </c>
      <c r="K123">
        <f>K112*pricing!K27*2000</f>
        <v>1965243.2181315778</v>
      </c>
      <c r="L123">
        <f>L112*pricing!L27*2000</f>
        <v>1814817.9783561714</v>
      </c>
      <c r="M123">
        <f>M112*pricing!M27*2000</f>
        <v>1862247.6128252125</v>
      </c>
      <c r="N123">
        <f>N112*pricing!N27*2000</f>
        <v>1554375.3529338427</v>
      </c>
      <c r="O123">
        <f>O112*pricing!O27*2000</f>
        <v>1544847.8765552698</v>
      </c>
    </row>
    <row r="124" spans="2:15" x14ac:dyDescent="0.2">
      <c r="C124" s="119" t="s">
        <v>130</v>
      </c>
      <c r="D124">
        <f>D113*pricing!D28*2000</f>
        <v>2574585.5185147598</v>
      </c>
      <c r="E124">
        <f>E113*pricing!E28*2000</f>
        <v>3218600</v>
      </c>
      <c r="F124">
        <f>F113*pricing!F28*2000</f>
        <v>3135000</v>
      </c>
      <c r="G124">
        <f>G113*pricing!G28*2000</f>
        <v>2955259.9999999995</v>
      </c>
      <c r="H124">
        <f>H113*pricing!H28*2000</f>
        <v>3619879.9999999995</v>
      </c>
      <c r="I124">
        <f>I113*pricing!I28*2000</f>
        <v>3210240</v>
      </c>
      <c r="J124">
        <f>J113*pricing!J28*2000</f>
        <v>3126640</v>
      </c>
      <c r="K124">
        <f>K113*pricing!K28*2000</f>
        <v>3966819.9999999995</v>
      </c>
      <c r="L124">
        <f>L113*pricing!L28*2000</f>
        <v>3348180</v>
      </c>
      <c r="M124">
        <f>M113*pricing!M28*2000</f>
        <v>3289660</v>
      </c>
      <c r="N124">
        <f>N113*pricing!N28*2000</f>
        <v>3235319.9999999995</v>
      </c>
      <c r="O124">
        <f>O113*pricing!O28*2000</f>
        <v>3636600</v>
      </c>
    </row>
    <row r="125" spans="2:15" x14ac:dyDescent="0.2">
      <c r="C125" s="119" t="s">
        <v>131</v>
      </c>
      <c r="D125">
        <f>D114*pricing!D29*2000</f>
        <v>1001291.9957371333</v>
      </c>
      <c r="E125">
        <f>E114*pricing!E29*2000</f>
        <v>1236017.884195463</v>
      </c>
      <c r="F125">
        <f>F114*pricing!F29*2000</f>
        <v>1460314.5658834425</v>
      </c>
      <c r="G125">
        <f>G114*pricing!G29*2000</f>
        <v>1445997.7564139972</v>
      </c>
      <c r="H125">
        <f>H114*pricing!H29*2000</f>
        <v>1379185.978889918</v>
      </c>
      <c r="I125">
        <f>I114*pricing!I29*2000</f>
        <v>1193067.4557871264</v>
      </c>
      <c r="J125">
        <f>J114*pricing!J29*2000</f>
        <v>1555759.9623464127</v>
      </c>
      <c r="K125">
        <f>K114*pricing!K29*2000</f>
        <v>1364869.1694204726</v>
      </c>
      <c r="L125">
        <f>L114*pricing!L29*2000</f>
        <v>1255106.9634880568</v>
      </c>
      <c r="M125">
        <f>M114*pricing!M29*2000</f>
        <v>1369641.4392436212</v>
      </c>
      <c r="N125">
        <f>N114*pricing!N29*2000</f>
        <v>1560532.2321695613</v>
      </c>
      <c r="O125">
        <f>O114*pricing!O29*2000</f>
        <v>1636888.5493399373</v>
      </c>
    </row>
    <row r="126" spans="2:15" x14ac:dyDescent="0.2">
      <c r="C126" s="119" t="s">
        <v>132</v>
      </c>
      <c r="D126">
        <f>D115*pricing!D30*2000</f>
        <v>2835467.6004655454</v>
      </c>
      <c r="E126">
        <f>E115*pricing!E30*2000</f>
        <v>4482000</v>
      </c>
      <c r="F126">
        <f>F115*pricing!F30*2000</f>
        <v>2591600</v>
      </c>
      <c r="G126">
        <f>G115*pricing!G30*2000</f>
        <v>3820519.9999999995</v>
      </c>
      <c r="H126">
        <f>H115*pricing!H30*2000</f>
        <v>3799620</v>
      </c>
      <c r="I126">
        <f>I115*pricing!I30*2000</f>
        <v>3043040</v>
      </c>
      <c r="J126">
        <f>J115*pricing!J30*2000</f>
        <v>3281299.9999999995</v>
      </c>
      <c r="K126">
        <f>K115*pricing!K30*2000</f>
        <v>3925019.9999999995</v>
      </c>
      <c r="L126">
        <f>L115*pricing!L30*2000</f>
        <v>3791259.9999999995</v>
      </c>
      <c r="M126">
        <f>M115*pricing!M30*2000</f>
        <v>3431779.9999999995</v>
      </c>
      <c r="N126">
        <f>N115*pricing!N30*2000</f>
        <v>3833060</v>
      </c>
      <c r="O126">
        <f>O115*pricing!O30*2000</f>
        <v>3423419.9999999995</v>
      </c>
    </row>
    <row r="127" spans="2:15" x14ac:dyDescent="0.2">
      <c r="C127" s="119" t="s">
        <v>278</v>
      </c>
      <c r="D127">
        <f t="shared" ref="D127:O127" si="1">SUM(D$120:D$126)</f>
        <v>29506990.656846628</v>
      </c>
      <c r="E127">
        <f t="shared" si="1"/>
        <v>32035582.884195462</v>
      </c>
      <c r="F127">
        <f t="shared" si="1"/>
        <v>29822754.565883443</v>
      </c>
      <c r="G127">
        <f t="shared" si="1"/>
        <v>30802422.756413996</v>
      </c>
      <c r="H127">
        <f t="shared" si="1"/>
        <v>26640483.620833941</v>
      </c>
      <c r="I127">
        <f t="shared" si="1"/>
        <v>14143758.19438225</v>
      </c>
      <c r="J127">
        <f t="shared" si="1"/>
        <v>14701746.287689719</v>
      </c>
      <c r="K127">
        <f t="shared" si="1"/>
        <v>16200959.118578263</v>
      </c>
      <c r="L127">
        <f t="shared" si="1"/>
        <v>15247210.668052707</v>
      </c>
      <c r="M127">
        <f t="shared" si="1"/>
        <v>14967215.422728051</v>
      </c>
      <c r="N127">
        <f t="shared" si="1"/>
        <v>15373146.156697188</v>
      </c>
      <c r="O127">
        <f t="shared" si="1"/>
        <v>15448081.290848153</v>
      </c>
    </row>
    <row r="129" spans="2:15" x14ac:dyDescent="0.2">
      <c r="B129" s="121" t="s">
        <v>280</v>
      </c>
    </row>
    <row r="130" spans="2:15" x14ac:dyDescent="0.2">
      <c r="C130" s="123" t="s">
        <v>277</v>
      </c>
      <c r="D130" s="123" t="s">
        <v>92</v>
      </c>
      <c r="E130" s="123" t="s">
        <v>93</v>
      </c>
      <c r="F130" s="123" t="s">
        <v>94</v>
      </c>
      <c r="G130" s="123" t="s">
        <v>95</v>
      </c>
      <c r="H130" s="123" t="s">
        <v>96</v>
      </c>
      <c r="I130" s="123" t="s">
        <v>97</v>
      </c>
      <c r="J130" s="123" t="s">
        <v>98</v>
      </c>
      <c r="K130" s="123" t="s">
        <v>99</v>
      </c>
      <c r="L130" s="123" t="s">
        <v>100</v>
      </c>
      <c r="M130" s="123" t="s">
        <v>101</v>
      </c>
      <c r="N130" s="123" t="s">
        <v>102</v>
      </c>
      <c r="O130" s="123" t="s">
        <v>103</v>
      </c>
    </row>
    <row r="131" spans="2:15" x14ac:dyDescent="0.2">
      <c r="C131" s="123" t="s">
        <v>126</v>
      </c>
      <c r="D131" s="124">
        <f>SUM(E$6:E$19)+SUM(G$6:G$19)+SUM(I$6:I$19)+SUM(K$6:K$19)</f>
        <v>754729.09963730164</v>
      </c>
      <c r="E131" s="124">
        <f>SUM(M$6:M$19)+SUM(O$6:O$19)+SUM(Q$6:Q$19)+SUM(S$6:S$19)</f>
        <v>597836.4</v>
      </c>
      <c r="F131" s="124">
        <f>SUM(U$6:U$19)+SUM(W$6:W$19)+SUM(Y$6:Y$19)+SUM(AA$6:AA$19)</f>
        <v>801673.2</v>
      </c>
      <c r="G131" s="124">
        <f>SUM(AC$6:AC$19)+SUM(AE$6:AE$19)+SUM(AG$6:AG$19)+SUM(AI$6:AI$19)</f>
        <v>703485.59999999986</v>
      </c>
      <c r="H131" s="124">
        <f>SUM(AK$6:AK$19)+SUM(AM$6:AM$19)+SUM(AO$6:AO$19)+SUM(AQ$6:AQ$19)</f>
        <v>554641.12464349461</v>
      </c>
      <c r="I131" s="124">
        <f>SUM(AS$6:AS$19)+SUM(AU$6:AU$19)+SUM(AW$6:AW$19)+SUM(AY$6:AY$19)</f>
        <v>188934.3743938196</v>
      </c>
      <c r="J131" s="124">
        <f>SUM(BA$6:BA$19)+SUM(BC$6:BC$19)+SUM(BE$6:BE$19)+SUM(BG$6:BG$19)</f>
        <v>220068.22548791417</v>
      </c>
      <c r="K131" s="124">
        <f>SUM(BI$6:BI$19)+SUM(BK$6:BK$19)+SUM(BM$6:BM$19)+SUM(BO$6:BO$19)</f>
        <v>178343.02992834771</v>
      </c>
      <c r="L131" s="124">
        <f>SUM(BQ$6:BQ$19)+SUM(BS$6:BS$19)+SUM(BU$6:BU$19)+SUM(BW$6:BW$19)</f>
        <v>168657.41645866068</v>
      </c>
      <c r="M131" s="124">
        <f>SUM(BY$6:BY$19)+SUM(CA$6:CA$19)+SUM(CC$6:CC$19)+SUM(CE$6:CE$19)</f>
        <v>217274.20416939911</v>
      </c>
      <c r="N131" s="124">
        <f>SUM(CG$6:CG$19)+SUM(CI$6:CI$19)+SUM(CK$6:CK$19)+SUM(CM$6:CM$19)</f>
        <v>241364.64555821952</v>
      </c>
      <c r="O131" s="124">
        <f>SUM(CO$6:CO$19)+SUM(CQ$6:CQ$19)+SUM(CS$6:CS$19)+SUM(CU$6:CU$19)</f>
        <v>204110.39398730602</v>
      </c>
    </row>
    <row r="132" spans="2:15" x14ac:dyDescent="0.2">
      <c r="C132" s="123" t="s">
        <v>127</v>
      </c>
      <c r="D132" s="124">
        <f>SUM(E$20:E$36)+SUM(G$20:G$36)+SUM(I$20:I$36)+SUM(K$20:K$36)</f>
        <v>1055011.2949350346</v>
      </c>
      <c r="E132" s="124">
        <f>SUM(M$20:M$36)+SUM(O$20:O$36)+SUM(Q$20:Q$36)+SUM(S$20:S$36)</f>
        <v>1125891.5999999999</v>
      </c>
      <c r="F132" s="124">
        <f>SUM(U$20:U$36)+SUM(W$20:W$36)+SUM(Y$20:Y$36)+SUM(AA$20:AA$36)</f>
        <v>1054608</v>
      </c>
      <c r="G132" s="124">
        <f>SUM(AC$20:AC$36)+SUM(AE$20:AE$36)+SUM(AG$20:AG$36)+SUM(AI$20:AI$36)</f>
        <v>1195773.6000000001</v>
      </c>
      <c r="H132" s="124">
        <f>SUM(AK$20:AK$36)+SUM(AM$20:AM$36)+SUM(AO$20:AO$36)+SUM(AQ$20:AQ$36)</f>
        <v>938344.68842384615</v>
      </c>
      <c r="I132" s="124">
        <f>SUM(AS$20:AS$36)+SUM(AU$20:AU$36)+SUM(AW$20:AW$36)+SUM(AY$20:AY$36)</f>
        <v>350234.14172532968</v>
      </c>
      <c r="J132" s="124">
        <f>SUM(BA$20:BA$36)+SUM(BC$20:BC$36)+SUM(BE$20:BE$36)+SUM(BG$20:BG$36)</f>
        <v>323055.24301386741</v>
      </c>
      <c r="K132" s="124">
        <f>SUM(BI$20:BI$36)+SUM(BK$20:BK$36)+SUM(BM$20:BM$36)+SUM(BO$20:BO$36)</f>
        <v>312492.72219576</v>
      </c>
      <c r="L132" s="124">
        <f>SUM(BQ$20:BQ$36)+SUM(BS$20:BS$36)+SUM(BU$20:BU$36)+SUM(BW$20:BW$36)</f>
        <v>346440.81570636883</v>
      </c>
      <c r="M132" s="124">
        <f>SUM(BY$20:BY$36)+SUM(CA$20:CA$36)+SUM(CC$20:CC$36)+SUM(CE$20:CE$36)</f>
        <v>281072.83572215488</v>
      </c>
      <c r="N132" s="124">
        <f>SUM(CG$20:CG$36)+SUM(CI$20:CI$36)+SUM(CK$20:CK$36)+SUM(CM$20:CM$36)</f>
        <v>297519.26044672681</v>
      </c>
      <c r="O132" s="124">
        <f>SUM(CO$20:CO$36)+SUM(CQ$20:CQ$36)+SUM(CS$20:CS$36)+SUM(CU$20:CU$36)</f>
        <v>326615.12842823728</v>
      </c>
    </row>
    <row r="133" spans="2:15" x14ac:dyDescent="0.2">
      <c r="C133" s="123" t="s">
        <v>128</v>
      </c>
      <c r="D133" s="124">
        <f>SUM(E$37:E$48)+SUM(G$37:G$48)+SUM(I$37:I$48)+SUM(K$37:K$48)</f>
        <v>967940.92494693759</v>
      </c>
      <c r="E133" s="124">
        <f>SUM(M$37:M$48)+SUM(O$37:O$48)+SUM(Q$37:Q$48)+SUM(S$37:S$48)</f>
        <v>922297.2</v>
      </c>
      <c r="F133" s="124">
        <f>SUM(U$37:U$48)+SUM(W$37:W$48)+SUM(Y$37:Y$48)+SUM(AA$37:AA$48)</f>
        <v>744492</v>
      </c>
      <c r="G133" s="124">
        <f>SUM(AC$37:AC$48)+SUM(AE$37:AE$48)+SUM(AG$37:AG$48)+SUM(AI$37:AI$48)</f>
        <v>816668.4</v>
      </c>
      <c r="H133" s="124">
        <f>SUM(AK$37:AK$48)+SUM(AM$37:AM$48)+SUM(AO$37:AO$48)+SUM(AQ$37:AQ$48)</f>
        <v>610159.64074273</v>
      </c>
      <c r="I133" s="124">
        <f>SUM(AS$37:AS$48)+SUM(AU$37:AU$48)+SUM(AW$37:AW$48)+SUM(AY$37:AY$48)</f>
        <v>238176.33691804006</v>
      </c>
      <c r="J133" s="124">
        <f>SUM(BA$37:BA$48)+SUM(BC$37:BC$48)+SUM(BE$37:BE$48)+SUM(BG$37:BG$48)</f>
        <v>208714.73035703937</v>
      </c>
      <c r="K133" s="124">
        <f>SUM(BI$37:BI$48)+SUM(BK$37:BK$48)+SUM(BM$37:BM$48)+SUM(BO$37:BO$48)</f>
        <v>269098.30472105462</v>
      </c>
      <c r="L133" s="124">
        <f>SUM(BQ$37:BQ$48)+SUM(BS$37:BS$48)+SUM(BU$37:BU$48)+SUM(BW$37:BW$48)</f>
        <v>223736.66804786617</v>
      </c>
      <c r="M133" s="124">
        <f>SUM(BY$37:BY$48)+SUM(CA$37:CA$48)+SUM(CC$37:CC$48)+SUM(CE$37:CE$48)</f>
        <v>276771.63827014173</v>
      </c>
      <c r="N133" s="124">
        <f>SUM(CG$37:CG$48)+SUM(CI$37:CI$48)+SUM(CK$37:CK$48)+SUM(CM$37:CM$48)</f>
        <v>239632.26438214417</v>
      </c>
      <c r="O133" s="124">
        <f>SUM(CO$37:CO$48)+SUM(CQ$37:CQ$48)+SUM(CS$37:CS$48)+SUM(CU$37:CU$48)</f>
        <v>247874.45422876984</v>
      </c>
    </row>
    <row r="134" spans="2:15" x14ac:dyDescent="0.2">
      <c r="C134" s="123" t="s">
        <v>129</v>
      </c>
      <c r="D134" s="124">
        <f>SUM(E$49:E$70)+SUM(G$49:G$70)+SUM(I$49:I$70)+SUM(K$49:K$70)</f>
        <v>978498.60168988118</v>
      </c>
      <c r="E134" s="124">
        <f>SUM(M$49:M$70)+SUM(O$49:O$70)+SUM(Q$49:Q$70)+SUM(S$49:S$70)</f>
        <v>1155832.8000000003</v>
      </c>
      <c r="F134" s="124">
        <f>SUM(U$49:U$70)+SUM(W$49:W$70)+SUM(Y$49:Y$70)+SUM(AA$49:AA$70)</f>
        <v>1013906.4000000001</v>
      </c>
      <c r="G134" s="124">
        <f>SUM(AC$49:AC$70)+SUM(AE$49:AE$70)+SUM(AG$49:AG$70)+SUM(AI$49:AI$70)</f>
        <v>859567.20000000007</v>
      </c>
      <c r="H134" s="124">
        <f>SUM(AK$49:AK$70)+SUM(AM$49:AM$70)+SUM(AO$49:AO$70)+SUM(AQ$49:AQ$70)</f>
        <v>726760.49080328154</v>
      </c>
      <c r="I134" s="124">
        <f>SUM(AS$49:AS$70)+SUM(AU$49:AU$70)+SUM(AW$49:AW$70)+SUM(AY$49:AY$70)</f>
        <v>320191.54542304145</v>
      </c>
      <c r="J134" s="124">
        <f>SUM(BA$49:BA$70)+SUM(BC$49:BC$70)+SUM(BE$49:BE$70)+SUM(BG$49:BG$70)</f>
        <v>353592.83160617558</v>
      </c>
      <c r="K134" s="124">
        <f>SUM(BI$49:BI$70)+SUM(BK$49:BK$70)+SUM(BM$49:BM$70)+SUM(BO$49:BO$70)</f>
        <v>433006.1984013741</v>
      </c>
      <c r="L134" s="124">
        <f>SUM(BQ$49:BQ$70)+SUM(BS$49:BS$70)+SUM(BU$49:BU$70)+SUM(BW$49:BW$70)</f>
        <v>398475.16716715612</v>
      </c>
      <c r="M134" s="124">
        <f>SUM(BY$49:BY$70)+SUM(CA$49:CA$70)+SUM(CC$49:CC$70)+SUM(CE$49:CE$70)</f>
        <v>406787.27651553607</v>
      </c>
      <c r="N134" s="124">
        <f>SUM(CG$49:CG$70)+SUM(CI$49:CI$70)+SUM(CK$49:CK$70)+SUM(CM$49:CM$70)</f>
        <v>341891.20452704316</v>
      </c>
      <c r="O134" s="124">
        <f>SUM(CO$49:CO$70)+SUM(CQ$49:CQ$70)+SUM(CS$49:CS$70)+SUM(CU$49:CU$70)</f>
        <v>340324.99608954985</v>
      </c>
    </row>
    <row r="135" spans="2:15" x14ac:dyDescent="0.2">
      <c r="C135" s="123" t="s">
        <v>130</v>
      </c>
      <c r="D135" s="124">
        <f>SUM(E$71:E$86)+SUM(G$71:G$86)+SUM(I$71:I$86)+SUM(K$71:K$86)</f>
        <v>342999.22327457042</v>
      </c>
      <c r="E135" s="124">
        <f>SUM(M$71:M$86)+SUM(O$71:O$86)+SUM(Q$71:Q$86)+SUM(S$71:S$86)</f>
        <v>427692</v>
      </c>
      <c r="F135" s="124">
        <f>SUM(U$71:U$86)+SUM(W$71:W$86)+SUM(Y$71:Y$86)+SUM(AA$71:AA$86)</f>
        <v>417704.39999999997</v>
      </c>
      <c r="G135" s="124">
        <f>SUM(AC$71:AC$86)+SUM(AE$71:AE$86)+SUM(AG$71:AG$86)+SUM(AI$71:AI$86)</f>
        <v>392278.8</v>
      </c>
      <c r="H135" s="124">
        <f>SUM(AK$71:AK$86)+SUM(AM$71:AM$86)+SUM(AO$71:AO$86)+SUM(AQ$71:AQ$86)</f>
        <v>482215.19999999995</v>
      </c>
      <c r="I135" s="124">
        <f>SUM(AS$71:AS$86)+SUM(AU$71:AU$86)+SUM(AW$71:AW$86)+SUM(AY$71:AY$86)</f>
        <v>426744</v>
      </c>
      <c r="J135" s="124">
        <f>SUM(BA$71:BA$86)+SUM(BC$71:BC$86)+SUM(BE$71:BE$86)+SUM(BG$71:BG$86)</f>
        <v>415779.6</v>
      </c>
      <c r="K135" s="124">
        <f>SUM(BI$71:BI$86)+SUM(BK$71:BK$86)+SUM(BM$71:BM$86)+SUM(BO$71:BO$86)</f>
        <v>527192.39999999991</v>
      </c>
      <c r="L135" s="124">
        <f>SUM(BQ$71:BQ$86)+SUM(BS$71:BS$86)+SUM(BU$71:BU$86)+SUM(BW$71:BW$86)</f>
        <v>445715.99999999994</v>
      </c>
      <c r="M135" s="124">
        <f>SUM(BY$71:BY$86)+SUM(CA$71:CA$86)+SUM(CC$71:CC$86)+SUM(CE$71:CE$86)</f>
        <v>434593.19999999995</v>
      </c>
      <c r="N135" s="124">
        <f>SUM(CG$71:CG$86)+SUM(CI$71:CI$86)+SUM(CK$71:CK$86)+SUM(CM$71:CM$86)</f>
        <v>431144.39999999997</v>
      </c>
      <c r="O135" s="124">
        <f>SUM(CO$71:CO$86)+SUM(CQ$71:CQ$86)+SUM(CS$71:CS$86)+SUM(CU$71:CU$86)</f>
        <v>486814.79999999993</v>
      </c>
    </row>
    <row r="136" spans="2:15" x14ac:dyDescent="0.2">
      <c r="C136" s="123" t="s">
        <v>131</v>
      </c>
      <c r="D136" s="124">
        <f>SUM(E$87:E$94)+SUM(G$87:G$94)+SUM(I$87:I$94)+SUM(K$87:K$94)</f>
        <v>425964.8197267357</v>
      </c>
      <c r="E136" s="124">
        <f>SUM(M$87:M$94)+SUM(O$87:O$94)+SUM(Q$87:Q$94)+SUM(S$87:S$94)</f>
        <v>525841.19999999995</v>
      </c>
      <c r="F136" s="124">
        <f>SUM(U$87:U$94)+SUM(W$87:W$94)+SUM(Y$87:Y$94)+SUM(AA$87:AA$94)</f>
        <v>622000.79999999993</v>
      </c>
      <c r="G136" s="124">
        <f>SUM(AC$87:AC$94)+SUM(AE$87:AE$94)+SUM(AG$87:AG$94)+SUM(AI$87:AI$94)</f>
        <v>615416.39999999991</v>
      </c>
      <c r="H136" s="124">
        <f>SUM(AK$87:AK$94)+SUM(AM$87:AM$94)+SUM(AO$87:AO$94)+SUM(AQ$87:AQ$94)</f>
        <v>588866.4</v>
      </c>
      <c r="I136" s="124">
        <f>SUM(AS$87:AS$94)+SUM(AU$87:AU$94)+SUM(AW$87:AW$94)+SUM(AY$87:AY$94)</f>
        <v>509256</v>
      </c>
      <c r="J136" s="124">
        <f>SUM(BA$87:BA$94)+SUM(BC$87:BC$94)+SUM(BE$87:BE$94)+SUM(BG$87:BG$94)</f>
        <v>663447.59999999986</v>
      </c>
      <c r="K136" s="124">
        <f>SUM(BI$87:BI$94)+SUM(BK$87:BK$94)+SUM(BM$87:BM$94)+SUM(BO$87:BO$94)</f>
        <v>581053.19999999995</v>
      </c>
      <c r="L136" s="124">
        <f>SUM(BQ$87:BQ$94)+SUM(BS$87:BS$94)+SUM(BU$87:BU$94)+SUM(BW$87:BW$94)</f>
        <v>534193.19999999995</v>
      </c>
      <c r="M136" s="124">
        <f>SUM(BY$87:BY$94)+SUM(CA$87:CA$94)+SUM(CC$87:CC$94)+SUM(CE$87:CE$94)</f>
        <v>581107.19999999995</v>
      </c>
      <c r="N136" s="124">
        <f>SUM(CG$87:CG$94)+SUM(CI$87:CI$94)+SUM(CK$87:CK$94)+SUM(CM$87:CM$94)</f>
        <v>665314.80000000005</v>
      </c>
      <c r="O136" s="124">
        <f>SUM(CO$87:CO$94)+SUM(CQ$87:CQ$94)+SUM(CS$87:CS$94)+SUM(CU$87:CU$94)</f>
        <v>695415.6</v>
      </c>
    </row>
    <row r="137" spans="2:15" x14ac:dyDescent="0.2">
      <c r="C137" s="123" t="s">
        <v>132</v>
      </c>
      <c r="D137" s="124">
        <f>SUM(E$95:E$105)+SUM(G$95:G$105)+SUM(I$95:I$105)+SUM(K$95:K$105)</f>
        <v>1466299.4426524329</v>
      </c>
      <c r="E137" s="124">
        <f>SUM(M$95:M$105)+SUM(O$95:O$105)+SUM(Q$95:Q$105)+SUM(S$95:S$105)</f>
        <v>2327164.7999999998</v>
      </c>
      <c r="F137" s="124">
        <f>SUM(U$95:U$105)+SUM(W$95:W$105)+SUM(Y$95:Y$105)+SUM(AA$95:AA$105)</f>
        <v>1162180.8</v>
      </c>
      <c r="G137" s="124">
        <f>SUM(AC$95:AC$105)+SUM(AE$95:AE$105)+SUM(AG$95:AG$105)+SUM(AI$95:AI$105)</f>
        <v>1720849.1999999997</v>
      </c>
      <c r="H137" s="124">
        <f>SUM(AK$95:AK$105)+SUM(AM$95:AM$105)+SUM(AO$95:AO$105)+SUM(AQ$95:AQ$105)</f>
        <v>1706731.2</v>
      </c>
      <c r="I137" s="124">
        <f>SUM(AS$95:AS$105)+SUM(AU$95:AU$105)+SUM(AW$95:AW$105)+SUM(AY$95:AY$105)</f>
        <v>1373281.1999999997</v>
      </c>
      <c r="J137" s="124">
        <f>SUM(BA$95:BA$105)+SUM(BC$95:BC$105)+SUM(BE$95:BE$105)+SUM(BG$95:BG$105)</f>
        <v>1475094</v>
      </c>
      <c r="K137" s="124">
        <f>SUM(BI$95:BI$105)+SUM(BK$95:BK$105)+SUM(BM$95:BM$105)+SUM(BO$95:BO$105)</f>
        <v>1781086.8</v>
      </c>
      <c r="L137" s="124">
        <f>SUM(BQ$95:BQ$105)+SUM(BS$95:BS$105)+SUM(BU$95:BU$105)+SUM(BW$95:BW$105)</f>
        <v>1708738.8</v>
      </c>
      <c r="M137" s="124">
        <f>SUM(BY$95:BY$105)+SUM(CA$95:CA$105)+SUM(CC$95:CC$105)+SUM(CE$95:CE$105)</f>
        <v>1547841.6</v>
      </c>
      <c r="N137" s="124">
        <f>SUM(CG$95:CG$105)+SUM(CI$95:CI$105)+SUM(CK$95:CK$105)+SUM(CM$95:CM$105)</f>
        <v>1729708.7999999998</v>
      </c>
      <c r="O137" s="124">
        <f>SUM(CO$95:CO$105)+SUM(CQ$95:CQ$105)+SUM(CS$95:CS$105)+SUM(CU$95:CU$105)</f>
        <v>1533874.8</v>
      </c>
    </row>
    <row r="138" spans="2:15" x14ac:dyDescent="0.2">
      <c r="C138" s="123" t="s">
        <v>278</v>
      </c>
      <c r="D138">
        <f t="shared" ref="D138:O138" si="2">SUM(D$131:D$137)</f>
        <v>5991443.4068628941</v>
      </c>
      <c r="E138">
        <f t="shared" si="2"/>
        <v>7082556</v>
      </c>
      <c r="F138">
        <f t="shared" si="2"/>
        <v>5816565.6000000006</v>
      </c>
      <c r="G138">
        <f t="shared" si="2"/>
        <v>6304039.1999999993</v>
      </c>
      <c r="H138">
        <f t="shared" si="2"/>
        <v>5607718.7446133522</v>
      </c>
      <c r="I138">
        <f t="shared" si="2"/>
        <v>3406817.5984602305</v>
      </c>
      <c r="J138">
        <f t="shared" si="2"/>
        <v>3659752.2304649968</v>
      </c>
      <c r="K138">
        <f t="shared" si="2"/>
        <v>4082272.6552465362</v>
      </c>
      <c r="L138">
        <f t="shared" si="2"/>
        <v>3825958.0673800521</v>
      </c>
      <c r="M138">
        <f t="shared" si="2"/>
        <v>3745447.9546772321</v>
      </c>
      <c r="N138">
        <f t="shared" si="2"/>
        <v>3946575.3749141335</v>
      </c>
      <c r="O138">
        <f t="shared" si="2"/>
        <v>3835030.1727338629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sheetData>
    <row r="1" spans="1:99" x14ac:dyDescent="0.2">
      <c r="A1" s="120"/>
    </row>
    <row r="2" spans="1:99" x14ac:dyDescent="0.2">
      <c r="B2" s="1" t="s">
        <v>272</v>
      </c>
    </row>
    <row r="3" spans="1:99" x14ac:dyDescent="0.2">
      <c r="B3" s="121" t="s">
        <v>273</v>
      </c>
    </row>
    <row r="4" spans="1:99" x14ac:dyDescent="0.2">
      <c r="A4" s="120"/>
      <c r="B4" s="120"/>
      <c r="C4" s="119" t="s">
        <v>274</v>
      </c>
      <c r="D4" s="119" t="s">
        <v>92</v>
      </c>
      <c r="E4" s="120"/>
      <c r="F4" s="120"/>
      <c r="G4" s="120"/>
      <c r="H4" s="120"/>
      <c r="I4" s="120"/>
      <c r="J4" s="120"/>
      <c r="K4" s="120"/>
      <c r="L4" s="119" t="s">
        <v>93</v>
      </c>
      <c r="M4" s="120"/>
      <c r="N4" s="120"/>
      <c r="O4" s="120"/>
      <c r="P4" s="120"/>
      <c r="Q4" s="120"/>
      <c r="R4" s="120"/>
      <c r="S4" s="120"/>
      <c r="T4" s="119" t="s">
        <v>94</v>
      </c>
      <c r="U4" s="120"/>
      <c r="V4" s="120"/>
      <c r="W4" s="120"/>
      <c r="X4" s="120"/>
      <c r="Y4" s="120"/>
      <c r="Z4" s="120"/>
      <c r="AA4" s="120"/>
      <c r="AB4" s="119" t="s">
        <v>95</v>
      </c>
      <c r="AC4" s="120"/>
      <c r="AD4" s="120"/>
      <c r="AE4" s="120"/>
      <c r="AF4" s="120"/>
      <c r="AG4" s="120"/>
      <c r="AH4" s="120"/>
      <c r="AI4" s="120"/>
      <c r="AJ4" s="119" t="s">
        <v>96</v>
      </c>
      <c r="AK4" s="120"/>
      <c r="AL4" s="120"/>
      <c r="AM4" s="120"/>
      <c r="AN4" s="120"/>
      <c r="AO4" s="120"/>
      <c r="AP4" s="120"/>
      <c r="AQ4" s="120"/>
      <c r="AR4" s="119" t="s">
        <v>97</v>
      </c>
      <c r="AS4" s="120"/>
      <c r="AT4" s="120"/>
      <c r="AU4" s="120"/>
      <c r="AV4" s="120"/>
      <c r="AW4" s="120"/>
      <c r="AX4" s="120"/>
      <c r="AY4" s="120"/>
      <c r="AZ4" s="119" t="s">
        <v>98</v>
      </c>
      <c r="BA4" s="120"/>
      <c r="BB4" s="120"/>
      <c r="BC4" s="120"/>
      <c r="BD4" s="120"/>
      <c r="BE4" s="120"/>
      <c r="BF4" s="120"/>
      <c r="BG4" s="120"/>
      <c r="BH4" s="119" t="s">
        <v>99</v>
      </c>
      <c r="BI4" s="120"/>
      <c r="BJ4" s="120"/>
      <c r="BK4" s="120"/>
      <c r="BL4" s="120"/>
      <c r="BM4" s="120"/>
      <c r="BN4" s="120"/>
      <c r="BO4" s="120"/>
      <c r="BP4" s="119" t="s">
        <v>100</v>
      </c>
      <c r="BQ4" s="120"/>
      <c r="BR4" s="120"/>
      <c r="BS4" s="120"/>
      <c r="BT4" s="120"/>
      <c r="BU4" s="120"/>
      <c r="BV4" s="120"/>
      <c r="BW4" s="120"/>
      <c r="BX4" s="119" t="s">
        <v>101</v>
      </c>
      <c r="BY4" s="120"/>
      <c r="BZ4" s="120"/>
      <c r="CA4" s="120"/>
      <c r="CB4" s="120"/>
      <c r="CC4" s="120"/>
      <c r="CD4" s="120"/>
      <c r="CE4" s="120"/>
      <c r="CF4" s="119" t="s">
        <v>102</v>
      </c>
      <c r="CG4" s="120"/>
      <c r="CH4" s="120"/>
      <c r="CI4" s="120"/>
      <c r="CJ4" s="120"/>
      <c r="CK4" s="120"/>
      <c r="CL4" s="120"/>
      <c r="CM4" s="120"/>
      <c r="CN4" s="119" t="s">
        <v>103</v>
      </c>
      <c r="CO4" s="120"/>
      <c r="CP4" s="120"/>
      <c r="CQ4" s="120"/>
      <c r="CR4" s="120"/>
      <c r="CS4" s="120"/>
      <c r="CT4" s="120"/>
      <c r="CU4" s="120"/>
    </row>
    <row r="5" spans="1:99" x14ac:dyDescent="0.2">
      <c r="B5" s="119" t="s">
        <v>167</v>
      </c>
      <c r="C5" s="119" t="s">
        <v>275</v>
      </c>
      <c r="D5" s="119">
        <v>1</v>
      </c>
      <c r="E5" s="119"/>
      <c r="F5" s="119">
        <v>2</v>
      </c>
      <c r="G5" s="119"/>
      <c r="H5" s="119">
        <v>3</v>
      </c>
      <c r="I5" s="119"/>
      <c r="J5" s="119">
        <v>4</v>
      </c>
      <c r="K5" s="119"/>
      <c r="L5" s="119">
        <v>1</v>
      </c>
      <c r="M5" s="119"/>
      <c r="N5" s="119">
        <v>2</v>
      </c>
      <c r="O5" s="119"/>
      <c r="P5" s="119">
        <v>3</v>
      </c>
      <c r="Q5" s="119"/>
      <c r="R5" s="119">
        <v>4</v>
      </c>
      <c r="S5" s="119"/>
      <c r="T5" s="119">
        <v>1</v>
      </c>
      <c r="U5" s="119"/>
      <c r="V5" s="119">
        <v>2</v>
      </c>
      <c r="W5" s="119"/>
      <c r="X5" s="119">
        <v>3</v>
      </c>
      <c r="Y5" s="119"/>
      <c r="Z5" s="119">
        <v>4</v>
      </c>
      <c r="AA5" s="119"/>
      <c r="AB5" s="119">
        <v>1</v>
      </c>
      <c r="AC5" s="119"/>
      <c r="AD5" s="119">
        <v>2</v>
      </c>
      <c r="AE5" s="119"/>
      <c r="AF5" s="119">
        <v>3</v>
      </c>
      <c r="AG5" s="119"/>
      <c r="AH5" s="119">
        <v>4</v>
      </c>
      <c r="AI5" s="119"/>
      <c r="AJ5" s="119">
        <v>1</v>
      </c>
      <c r="AK5" s="119"/>
      <c r="AL5" s="119">
        <v>2</v>
      </c>
      <c r="AM5" s="119"/>
      <c r="AN5" s="119">
        <v>3</v>
      </c>
      <c r="AO5" s="119"/>
      <c r="AP5" s="119">
        <v>4</v>
      </c>
      <c r="AQ5" s="119"/>
      <c r="AR5" s="119">
        <v>1</v>
      </c>
      <c r="AS5" s="119"/>
      <c r="AT5" s="119">
        <v>2</v>
      </c>
      <c r="AU5" s="119"/>
      <c r="AV5" s="119">
        <v>3</v>
      </c>
      <c r="AW5" s="119"/>
      <c r="AX5" s="119">
        <v>4</v>
      </c>
      <c r="AY5" s="119"/>
      <c r="AZ5" s="119">
        <v>1</v>
      </c>
      <c r="BA5" s="119"/>
      <c r="BB5" s="119">
        <v>2</v>
      </c>
      <c r="BC5" s="119"/>
      <c r="BD5" s="119">
        <v>3</v>
      </c>
      <c r="BE5" s="119"/>
      <c r="BF5" s="119">
        <v>4</v>
      </c>
      <c r="BG5" s="119"/>
      <c r="BH5" s="119">
        <v>1</v>
      </c>
      <c r="BI5" s="119"/>
      <c r="BJ5" s="119">
        <v>2</v>
      </c>
      <c r="BK5" s="119"/>
      <c r="BL5" s="119">
        <v>3</v>
      </c>
      <c r="BM5" s="119"/>
      <c r="BN5" s="119">
        <v>4</v>
      </c>
      <c r="BO5" s="119"/>
      <c r="BP5" s="119">
        <v>1</v>
      </c>
      <c r="BQ5" s="119"/>
      <c r="BR5" s="119">
        <v>2</v>
      </c>
      <c r="BS5" s="119"/>
      <c r="BT5" s="119">
        <v>3</v>
      </c>
      <c r="BU5" s="119"/>
      <c r="BV5" s="119">
        <v>4</v>
      </c>
      <c r="BW5" s="119"/>
      <c r="BX5" s="119">
        <v>1</v>
      </c>
      <c r="BY5" s="119"/>
      <c r="BZ5" s="119">
        <v>2</v>
      </c>
      <c r="CA5" s="119"/>
      <c r="CB5" s="119">
        <v>3</v>
      </c>
      <c r="CC5" s="119"/>
      <c r="CD5" s="119">
        <v>4</v>
      </c>
      <c r="CE5" s="119"/>
      <c r="CF5" s="119">
        <v>1</v>
      </c>
      <c r="CG5" s="119"/>
      <c r="CH5" s="119">
        <v>2</v>
      </c>
      <c r="CI5" s="119"/>
      <c r="CJ5" s="119">
        <v>3</v>
      </c>
      <c r="CK5" s="119"/>
      <c r="CL5" s="119">
        <v>4</v>
      </c>
      <c r="CM5" s="119"/>
      <c r="CN5" s="119">
        <v>1</v>
      </c>
      <c r="CO5" s="119"/>
      <c r="CP5" s="119">
        <v>2</v>
      </c>
      <c r="CQ5" s="119"/>
      <c r="CR5" s="119">
        <v>3</v>
      </c>
      <c r="CS5" s="119"/>
      <c r="CT5" s="119">
        <v>4</v>
      </c>
      <c r="CU5" s="119"/>
    </row>
    <row r="6" spans="1:99" x14ac:dyDescent="0.2">
      <c r="B6" s="119" t="s">
        <v>126</v>
      </c>
      <c r="C6" s="119" t="s">
        <v>172</v>
      </c>
      <c r="D6">
        <v>15</v>
      </c>
      <c r="E6">
        <v>8676</v>
      </c>
      <c r="F6">
        <v>16.151974556952915</v>
      </c>
      <c r="G6">
        <v>9342.3020837415661</v>
      </c>
      <c r="H6">
        <v>22.750951489162226</v>
      </c>
      <c r="I6">
        <v>13159.150341331431</v>
      </c>
      <c r="J6">
        <v>12.339318707682796</v>
      </c>
      <c r="K6">
        <v>7137.0619405237294</v>
      </c>
      <c r="L6">
        <v>10.902980029437337</v>
      </c>
      <c r="M6">
        <v>6306.2836490265554</v>
      </c>
      <c r="N6">
        <v>6.7431098174544823</v>
      </c>
      <c r="O6">
        <v>3900.2147184156725</v>
      </c>
      <c r="P6">
        <v>10.730227281586762</v>
      </c>
      <c r="Q6">
        <v>6206.363459669783</v>
      </c>
      <c r="R6">
        <v>10.959575650964188</v>
      </c>
      <c r="S6">
        <v>6339.0185565176862</v>
      </c>
      <c r="T6">
        <v>9.9622629579046009</v>
      </c>
      <c r="U6">
        <v>5762.1728948520213</v>
      </c>
      <c r="V6">
        <v>8.901937067685445</v>
      </c>
      <c r="W6">
        <v>5148.8803999492611</v>
      </c>
      <c r="X6">
        <v>9.2835720030799145</v>
      </c>
      <c r="Y6">
        <v>5369.6180465814223</v>
      </c>
      <c r="Z6">
        <v>12.349508070777498</v>
      </c>
      <c r="AA6">
        <v>7142.9554681377049</v>
      </c>
      <c r="AB6">
        <v>8.9285100141561475</v>
      </c>
      <c r="AC6">
        <v>5164.2501921879157</v>
      </c>
      <c r="AD6">
        <v>10.709645004192414</v>
      </c>
      <c r="AE6">
        <v>6194.4586704248914</v>
      </c>
      <c r="AF6">
        <v>10.347419173162585</v>
      </c>
      <c r="AG6">
        <v>5984.9472497572388</v>
      </c>
      <c r="AH6">
        <v>9.3011401374965441</v>
      </c>
      <c r="AI6">
        <v>5379.7794555280007</v>
      </c>
      <c r="AJ6">
        <v>11.48396488731777</v>
      </c>
      <c r="AK6">
        <v>6642.3252908245977</v>
      </c>
      <c r="AL6">
        <v>10.670415535312587</v>
      </c>
      <c r="AM6">
        <v>6171.7683456248005</v>
      </c>
      <c r="AN6">
        <v>14.421138049650423</v>
      </c>
      <c r="AO6">
        <v>8341.1862479178053</v>
      </c>
      <c r="AP6">
        <v>12.442771555728008</v>
      </c>
      <c r="AQ6">
        <v>7196.8990678330792</v>
      </c>
      <c r="AR6">
        <v>15.170164943747979</v>
      </c>
      <c r="AS6">
        <v>8774.4234034638303</v>
      </c>
      <c r="AT6">
        <v>10.487555591663078</v>
      </c>
      <c r="AU6">
        <v>6066.0021542179238</v>
      </c>
      <c r="AV6">
        <v>12.424365088929594</v>
      </c>
      <c r="AW6">
        <v>7186.2527674368766</v>
      </c>
      <c r="AX6">
        <v>14.553770937504527</v>
      </c>
      <c r="AY6">
        <v>8417.9011102526183</v>
      </c>
      <c r="AZ6">
        <v>8.6529918652140108</v>
      </c>
      <c r="BA6">
        <v>5004.890494839784</v>
      </c>
      <c r="BB6">
        <v>9.0024103980204959</v>
      </c>
      <c r="BC6">
        <v>5206.994174215055</v>
      </c>
      <c r="BD6">
        <v>8.3229241175438187</v>
      </c>
      <c r="BE6">
        <v>4813.9793095873447</v>
      </c>
      <c r="BF6">
        <v>13.067697909068343</v>
      </c>
      <c r="BG6">
        <v>7558.3564706051293</v>
      </c>
      <c r="BH6">
        <v>15.005271846533327</v>
      </c>
      <c r="BI6">
        <v>8679.0492360348762</v>
      </c>
      <c r="BJ6">
        <v>13.17850888006053</v>
      </c>
      <c r="BK6">
        <v>7622.44953622701</v>
      </c>
      <c r="BL6">
        <v>8.2625714219400823</v>
      </c>
      <c r="BM6">
        <v>4779.0713104501438</v>
      </c>
      <c r="BN6">
        <v>11.755221699860606</v>
      </c>
      <c r="BO6">
        <v>6799.2202311993742</v>
      </c>
      <c r="BP6">
        <v>11.461653975431107</v>
      </c>
      <c r="BQ6">
        <v>6629.4206593893514</v>
      </c>
      <c r="BR6">
        <v>10.237227627838264</v>
      </c>
      <c r="BS6">
        <v>5921.212459941652</v>
      </c>
      <c r="BT6">
        <v>8.9359195660351158</v>
      </c>
      <c r="BU6">
        <v>5168.5358769947106</v>
      </c>
      <c r="BV6">
        <v>14.967727379861433</v>
      </c>
      <c r="BW6">
        <v>8657.3335165118533</v>
      </c>
      <c r="BX6">
        <v>15.088387101073966</v>
      </c>
      <c r="BY6">
        <v>8727.1230992611818</v>
      </c>
      <c r="BZ6">
        <v>8.3562636862151631</v>
      </c>
      <c r="CA6">
        <v>4833.2629161068498</v>
      </c>
      <c r="CB6">
        <v>17.788747649274569</v>
      </c>
      <c r="CC6">
        <v>10289.01164034041</v>
      </c>
      <c r="CD6">
        <v>10.313968464628655</v>
      </c>
      <c r="CE6">
        <v>5965.5993599412141</v>
      </c>
      <c r="CF6">
        <v>8.5074799760634559</v>
      </c>
      <c r="CG6">
        <v>4920.7264181551027</v>
      </c>
      <c r="CH6">
        <v>9.7814055490712377</v>
      </c>
      <c r="CI6">
        <v>5657.5649695828033</v>
      </c>
      <c r="CJ6">
        <v>15.958350596948298</v>
      </c>
      <c r="CK6">
        <v>9230.3099852748946</v>
      </c>
      <c r="CL6">
        <v>13.837601819092535</v>
      </c>
      <c r="CM6">
        <v>8003.6688921631221</v>
      </c>
      <c r="CN6">
        <v>12.925540493147052</v>
      </c>
      <c r="CO6">
        <v>7476.1326212362546</v>
      </c>
      <c r="CP6">
        <v>8.9211127399107824</v>
      </c>
      <c r="CQ6">
        <v>5159.9716087643965</v>
      </c>
      <c r="CR6">
        <v>13.186116920245304</v>
      </c>
      <c r="CS6">
        <v>7626.8500266698838</v>
      </c>
      <c r="CT6">
        <v>10.822881382291254</v>
      </c>
      <c r="CU6">
        <v>6259.9545915172612</v>
      </c>
    </row>
    <row r="7" spans="1:99" x14ac:dyDescent="0.2">
      <c r="C7" s="119" t="s">
        <v>173</v>
      </c>
      <c r="D7">
        <v>13</v>
      </c>
      <c r="E7">
        <v>10249.199999999999</v>
      </c>
      <c r="F7">
        <v>13.1329777373338</v>
      </c>
      <c r="G7">
        <v>10354.039648113967</v>
      </c>
      <c r="H7">
        <v>24.568269876038833</v>
      </c>
      <c r="I7">
        <v>19369.623970269015</v>
      </c>
      <c r="J7">
        <v>12.832891455990108</v>
      </c>
      <c r="K7">
        <v>10117.451623902602</v>
      </c>
      <c r="L7">
        <v>11.629845364733159</v>
      </c>
      <c r="M7">
        <v>9168.9700855556221</v>
      </c>
      <c r="N7">
        <v>7.70641121994798</v>
      </c>
      <c r="O7">
        <v>6075.734605806987</v>
      </c>
      <c r="P7">
        <v>11.17732008498621</v>
      </c>
      <c r="Q7">
        <v>8812.1991550031271</v>
      </c>
      <c r="R7">
        <v>11.416224636421029</v>
      </c>
      <c r="S7">
        <v>9000.5515033543397</v>
      </c>
      <c r="T7">
        <v>8.5390825353468003</v>
      </c>
      <c r="U7">
        <v>6732.2126708674168</v>
      </c>
      <c r="V7">
        <v>8.3084745965064162</v>
      </c>
      <c r="W7">
        <v>6550.4013718856586</v>
      </c>
      <c r="X7">
        <v>9.8637952532724089</v>
      </c>
      <c r="Y7">
        <v>7776.6161776799672</v>
      </c>
      <c r="Z7">
        <v>12.843488393608597</v>
      </c>
      <c r="AA7">
        <v>10125.806249521018</v>
      </c>
      <c r="AB7">
        <v>8.9285100141561475</v>
      </c>
      <c r="AC7">
        <v>7039.2372951607067</v>
      </c>
      <c r="AD7">
        <v>11.219628099630148</v>
      </c>
      <c r="AE7">
        <v>8845.554793748408</v>
      </c>
      <c r="AF7">
        <v>9.7007054748399248</v>
      </c>
      <c r="AG7">
        <v>7648.0361963637961</v>
      </c>
      <c r="AH7">
        <v>9.3011401374965441</v>
      </c>
      <c r="AI7">
        <v>7333.018884402275</v>
      </c>
      <c r="AJ7">
        <v>12.527961695255748</v>
      </c>
      <c r="AK7">
        <v>9877.0450005396306</v>
      </c>
      <c r="AL7">
        <v>12.004217477226662</v>
      </c>
      <c r="AM7">
        <v>9464.1250590455002</v>
      </c>
      <c r="AN7">
        <v>15.489370497772677</v>
      </c>
      <c r="AO7">
        <v>12211.819700443979</v>
      </c>
      <c r="AP7">
        <v>12.442771555728008</v>
      </c>
      <c r="AQ7">
        <v>9809.8810945359619</v>
      </c>
      <c r="AR7">
        <v>13.147476284581582</v>
      </c>
      <c r="AS7">
        <v>10365.470302764119</v>
      </c>
      <c r="AT7">
        <v>10.487555591663078</v>
      </c>
      <c r="AU7">
        <v>8268.3888284671702</v>
      </c>
      <c r="AV7">
        <v>10.123556739127817</v>
      </c>
      <c r="AW7">
        <v>7981.4121331283714</v>
      </c>
      <c r="AX7">
        <v>15.055625107763303</v>
      </c>
      <c r="AY7">
        <v>11869.854834960588</v>
      </c>
      <c r="AZ7">
        <v>9.2298579895616122</v>
      </c>
      <c r="BA7">
        <v>7276.8200389703752</v>
      </c>
      <c r="BB7">
        <v>10.35277195772357</v>
      </c>
      <c r="BC7">
        <v>8162.1254114692629</v>
      </c>
      <c r="BD7">
        <v>7.2825586028508411</v>
      </c>
      <c r="BE7">
        <v>5741.5692024876025</v>
      </c>
      <c r="BF7">
        <v>13.067697909068343</v>
      </c>
      <c r="BG7">
        <v>10302.573031509481</v>
      </c>
      <c r="BH7">
        <v>15.505447574751104</v>
      </c>
      <c r="BI7">
        <v>12224.49486793377</v>
      </c>
      <c r="BJ7">
        <v>10.825203722906865</v>
      </c>
      <c r="BK7">
        <v>8534.5906151397721</v>
      </c>
      <c r="BL7">
        <v>8.2625714219400823</v>
      </c>
      <c r="BM7">
        <v>6514.2113090575604</v>
      </c>
      <c r="BN7">
        <v>11.755221699860606</v>
      </c>
      <c r="BO7">
        <v>9267.8167881701011</v>
      </c>
      <c r="BP7">
        <v>10.579988285013329</v>
      </c>
      <c r="BQ7">
        <v>8341.2627639045077</v>
      </c>
      <c r="BR7">
        <v>9.347033921069718</v>
      </c>
      <c r="BS7">
        <v>7369.201543371365</v>
      </c>
      <c r="BT7">
        <v>8.439479590144277</v>
      </c>
      <c r="BU7">
        <v>6653.6857088697479</v>
      </c>
      <c r="BV7">
        <v>16.464500117847578</v>
      </c>
      <c r="BW7">
        <v>12980.611892911031</v>
      </c>
      <c r="BX7">
        <v>14.644611009865908</v>
      </c>
      <c r="BY7">
        <v>11545.811320178282</v>
      </c>
      <c r="BZ7">
        <v>8.8478086089337022</v>
      </c>
      <c r="CA7">
        <v>6975.6123072833307</v>
      </c>
      <c r="CB7">
        <v>15.755747917928906</v>
      </c>
      <c r="CC7">
        <v>12421.831658495148</v>
      </c>
      <c r="CD7">
        <v>10.805109820087161</v>
      </c>
      <c r="CE7">
        <v>8518.748582156717</v>
      </c>
      <c r="CF7">
        <v>8.955242080066796</v>
      </c>
      <c r="CG7">
        <v>7060.3128559246616</v>
      </c>
      <c r="CH7">
        <v>9.7814055490712377</v>
      </c>
      <c r="CI7">
        <v>7711.6601348877639</v>
      </c>
      <c r="CJ7">
        <v>12.766680477558641</v>
      </c>
      <c r="CK7">
        <v>10065.250888507231</v>
      </c>
      <c r="CL7">
        <v>12.773170909931572</v>
      </c>
      <c r="CM7">
        <v>10070.367945390051</v>
      </c>
      <c r="CN7">
        <v>12.925540493147052</v>
      </c>
      <c r="CO7">
        <v>10190.496124797135</v>
      </c>
      <c r="CP7">
        <v>7.9298779910318071</v>
      </c>
      <c r="CQ7">
        <v>6251.9158081294763</v>
      </c>
      <c r="CR7">
        <v>13.625654150920148</v>
      </c>
      <c r="CS7">
        <v>10742.465732585444</v>
      </c>
      <c r="CT7">
        <v>11.314830536031764</v>
      </c>
      <c r="CU7">
        <v>8920.6123946074422</v>
      </c>
    </row>
    <row r="8" spans="1:99" x14ac:dyDescent="0.2">
      <c r="C8" s="119" t="s">
        <v>174</v>
      </c>
      <c r="D8">
        <v>13</v>
      </c>
      <c r="E8">
        <v>4024.7999999999997</v>
      </c>
      <c r="F8">
        <v>16.151974556952915</v>
      </c>
      <c r="G8">
        <v>5000.6513228326221</v>
      </c>
      <c r="H8">
        <v>25.481853591363514</v>
      </c>
      <c r="I8">
        <v>7889.1818718861432</v>
      </c>
      <c r="J8">
        <v>13.32646420429742</v>
      </c>
      <c r="K8">
        <v>4125.8733176504802</v>
      </c>
      <c r="L8">
        <v>11.629845364733159</v>
      </c>
      <c r="M8">
        <v>3600.6001249213855</v>
      </c>
      <c r="N8">
        <v>8.1880619211947288</v>
      </c>
      <c r="O8">
        <v>2535.0239708018876</v>
      </c>
      <c r="P8">
        <v>12.965691298584003</v>
      </c>
      <c r="Q8">
        <v>4014.1780260416072</v>
      </c>
      <c r="R8">
        <v>12.786171592791554</v>
      </c>
      <c r="S8">
        <v>3958.5987251282645</v>
      </c>
      <c r="T8">
        <v>9.9622629579046009</v>
      </c>
      <c r="U8">
        <v>3084.316611767264</v>
      </c>
      <c r="V8">
        <v>8.3084745965064162</v>
      </c>
      <c r="W8">
        <v>2572.3037350783861</v>
      </c>
      <c r="X8">
        <v>10.444018503464903</v>
      </c>
      <c r="Y8">
        <v>3233.4681286727337</v>
      </c>
      <c r="Z8">
        <v>11.855527747946397</v>
      </c>
      <c r="AA8">
        <v>3670.471390764204</v>
      </c>
      <c r="AB8">
        <v>9.4865418900409075</v>
      </c>
      <c r="AC8">
        <v>2937.0333691566648</v>
      </c>
      <c r="AD8">
        <v>10.709645004192414</v>
      </c>
      <c r="AE8">
        <v>3315.7060932979707</v>
      </c>
      <c r="AF8">
        <v>10.994132871485247</v>
      </c>
      <c r="AG8">
        <v>3403.7835370118323</v>
      </c>
      <c r="AH8">
        <v>9.3011401374965441</v>
      </c>
      <c r="AI8">
        <v>2879.6329865689299</v>
      </c>
      <c r="AJ8">
        <v>12.005963291286758</v>
      </c>
      <c r="AK8">
        <v>3717.0462349823797</v>
      </c>
      <c r="AL8">
        <v>12.004217477226662</v>
      </c>
      <c r="AM8">
        <v>3716.5057309493741</v>
      </c>
      <c r="AN8">
        <v>16.023486721833802</v>
      </c>
      <c r="AO8">
        <v>4960.8714890797446</v>
      </c>
      <c r="AP8">
        <v>12.921339692486779</v>
      </c>
      <c r="AQ8">
        <v>4000.4467687939064</v>
      </c>
      <c r="AR8">
        <v>13.65314844937318</v>
      </c>
      <c r="AS8">
        <v>4227.0147599259362</v>
      </c>
      <c r="AT8">
        <v>11.326560038996124</v>
      </c>
      <c r="AU8">
        <v>3506.7029880731998</v>
      </c>
      <c r="AV8">
        <v>12.424365088929594</v>
      </c>
      <c r="AW8">
        <v>3846.5834315326019</v>
      </c>
      <c r="AX8">
        <v>16.059333448280857</v>
      </c>
      <c r="AY8">
        <v>4971.9696355877522</v>
      </c>
      <c r="AZ8">
        <v>9.2298579895616122</v>
      </c>
      <c r="BA8">
        <v>2857.5640335682747</v>
      </c>
      <c r="BB8">
        <v>9.902651437822545</v>
      </c>
      <c r="BC8">
        <v>3065.8608851498598</v>
      </c>
      <c r="BD8">
        <v>7.2825586028508411</v>
      </c>
      <c r="BE8">
        <v>2254.6801434426202</v>
      </c>
      <c r="BF8">
        <v>13.55168672051532</v>
      </c>
      <c r="BG8">
        <v>4195.6022086715429</v>
      </c>
      <c r="BH8">
        <v>14.505096118315549</v>
      </c>
      <c r="BI8">
        <v>4490.7777582304934</v>
      </c>
      <c r="BJ8">
        <v>11.76652578576833</v>
      </c>
      <c r="BK8">
        <v>3642.9163832738745</v>
      </c>
      <c r="BL8">
        <v>9.364247611532095</v>
      </c>
      <c r="BM8">
        <v>2899.1710605303365</v>
      </c>
      <c r="BN8">
        <v>12.190600281336925</v>
      </c>
      <c r="BO8">
        <v>3774.2098471019117</v>
      </c>
      <c r="BP8">
        <v>11.461653975431107</v>
      </c>
      <c r="BQ8">
        <v>3548.5280707934703</v>
      </c>
      <c r="BR8">
        <v>11.572518187991079</v>
      </c>
      <c r="BS8">
        <v>3582.8516310020377</v>
      </c>
      <c r="BT8">
        <v>8.9359195660351158</v>
      </c>
      <c r="BU8">
        <v>2766.5606976444715</v>
      </c>
      <c r="BV8">
        <v>14.468803133866054</v>
      </c>
      <c r="BW8">
        <v>4479.5414502449294</v>
      </c>
      <c r="BX8">
        <v>13.757058827449793</v>
      </c>
      <c r="BY8">
        <v>4259.1854129784551</v>
      </c>
      <c r="BZ8">
        <v>8.3562636862151631</v>
      </c>
      <c r="CA8">
        <v>2587.0992372522142</v>
      </c>
      <c r="CB8">
        <v>18.296997582110986</v>
      </c>
      <c r="CC8">
        <v>5664.7504514215607</v>
      </c>
      <c r="CD8">
        <v>10.313968464628655</v>
      </c>
      <c r="CE8">
        <v>3193.2046366490313</v>
      </c>
      <c r="CF8">
        <v>9.4030041840701344</v>
      </c>
      <c r="CG8">
        <v>2911.1700953881132</v>
      </c>
      <c r="CH8">
        <v>8.7517839123268963</v>
      </c>
      <c r="CI8">
        <v>2709.552299256407</v>
      </c>
      <c r="CJ8">
        <v>16.414303471146823</v>
      </c>
      <c r="CK8">
        <v>5081.8683546670563</v>
      </c>
      <c r="CL8">
        <v>14.9020327282535</v>
      </c>
      <c r="CM8">
        <v>4613.669332667283</v>
      </c>
      <c r="CN8">
        <v>13.733386773968741</v>
      </c>
      <c r="CO8">
        <v>4251.8565452207222</v>
      </c>
      <c r="CP8">
        <v>9.9123474887897594</v>
      </c>
      <c r="CQ8">
        <v>3068.8627825293092</v>
      </c>
      <c r="CR8">
        <v>15.38380307361952</v>
      </c>
      <c r="CS8">
        <v>4762.8254315926024</v>
      </c>
      <c r="CT8">
        <v>11.806779689772275</v>
      </c>
      <c r="CU8">
        <v>3655.3789919534961</v>
      </c>
    </row>
    <row r="9" spans="1:99" x14ac:dyDescent="0.2">
      <c r="C9" s="119" t="s">
        <v>175</v>
      </c>
      <c r="D9">
        <v>15</v>
      </c>
      <c r="E9">
        <v>10530</v>
      </c>
      <c r="F9">
        <v>14.170971376572028</v>
      </c>
      <c r="G9">
        <v>9948.0219063535642</v>
      </c>
      <c r="H9">
        <v>25.476929069477134</v>
      </c>
      <c r="I9">
        <v>17884.804206772948</v>
      </c>
      <c r="J9">
        <v>12.339318707682796</v>
      </c>
      <c r="K9">
        <v>8662.2017327933227</v>
      </c>
      <c r="L9">
        <v>11.629845364733159</v>
      </c>
      <c r="M9">
        <v>8164.1514460426779</v>
      </c>
      <c r="N9">
        <v>7.70641121994798</v>
      </c>
      <c r="O9">
        <v>5409.9006764034821</v>
      </c>
      <c r="P9">
        <v>11.624412888385658</v>
      </c>
      <c r="Q9">
        <v>8160.3378476467315</v>
      </c>
      <c r="R9">
        <v>10.502926665507347</v>
      </c>
      <c r="S9">
        <v>7373.0545191861574</v>
      </c>
      <c r="T9">
        <v>8.5390825353468003</v>
      </c>
      <c r="U9">
        <v>5994.4359398134538</v>
      </c>
      <c r="V9">
        <v>7.7150121253273856</v>
      </c>
      <c r="W9">
        <v>5415.9385119798244</v>
      </c>
      <c r="X9">
        <v>9.8637952532724089</v>
      </c>
      <c r="Y9">
        <v>6924.3842677972307</v>
      </c>
      <c r="Z9">
        <v>12.349508070777498</v>
      </c>
      <c r="AA9">
        <v>8669.3546656858034</v>
      </c>
      <c r="AB9">
        <v>8.3704781382713893</v>
      </c>
      <c r="AC9">
        <v>5876.0756530665149</v>
      </c>
      <c r="AD9">
        <v>11.219628099630148</v>
      </c>
      <c r="AE9">
        <v>7876.178925940364</v>
      </c>
      <c r="AF9">
        <v>10.347419173162585</v>
      </c>
      <c r="AG9">
        <v>7263.8882595601344</v>
      </c>
      <c r="AH9">
        <v>8.3220727546021713</v>
      </c>
      <c r="AI9">
        <v>5842.0950737307239</v>
      </c>
      <c r="AJ9">
        <v>10.961966483348778</v>
      </c>
      <c r="AK9">
        <v>7695.3004713108421</v>
      </c>
      <c r="AL9">
        <v>10.00351456435555</v>
      </c>
      <c r="AM9">
        <v>7022.4672241775961</v>
      </c>
      <c r="AN9">
        <v>14.955254273711549</v>
      </c>
      <c r="AO9">
        <v>10498.588500145508</v>
      </c>
      <c r="AP9">
        <v>11.964203418969239</v>
      </c>
      <c r="AQ9">
        <v>8398.8708001164068</v>
      </c>
      <c r="AR9">
        <v>13.65314844937318</v>
      </c>
      <c r="AS9">
        <v>9584.5102114599722</v>
      </c>
      <c r="AT9">
        <v>10.907057815329601</v>
      </c>
      <c r="AU9">
        <v>7656.7545863613805</v>
      </c>
      <c r="AV9">
        <v>11.504041749008884</v>
      </c>
      <c r="AW9">
        <v>8075.8373078042368</v>
      </c>
      <c r="AX9">
        <v>14.553770937504527</v>
      </c>
      <c r="AY9">
        <v>10216.747198128178</v>
      </c>
      <c r="AZ9">
        <v>8.0761257408664093</v>
      </c>
      <c r="BA9">
        <v>5669.4402700882192</v>
      </c>
      <c r="BB9">
        <v>9.0024103980204959</v>
      </c>
      <c r="BC9">
        <v>6319.6920994103884</v>
      </c>
      <c r="BD9">
        <v>8.3229241175438187</v>
      </c>
      <c r="BE9">
        <v>5842.6927305157606</v>
      </c>
      <c r="BF9">
        <v>11.615731474727415</v>
      </c>
      <c r="BG9">
        <v>8154.2434952586455</v>
      </c>
      <c r="BH9">
        <v>13.504744661879993</v>
      </c>
      <c r="BI9">
        <v>9480.3307526397548</v>
      </c>
      <c r="BJ9">
        <v>11.295864754337599</v>
      </c>
      <c r="BK9">
        <v>7929.6970575449941</v>
      </c>
      <c r="BL9">
        <v>9.364247611532095</v>
      </c>
      <c r="BM9">
        <v>6573.7018232955306</v>
      </c>
      <c r="BN9">
        <v>13.061357444289561</v>
      </c>
      <c r="BO9">
        <v>9169.0729258912725</v>
      </c>
      <c r="BP9">
        <v>9.2574897493866626</v>
      </c>
      <c r="BQ9">
        <v>6498.757804069437</v>
      </c>
      <c r="BR9">
        <v>10.237227627838264</v>
      </c>
      <c r="BS9">
        <v>7186.5337947424614</v>
      </c>
      <c r="BT9">
        <v>7.9430396142534363</v>
      </c>
      <c r="BU9">
        <v>5576.0138092059124</v>
      </c>
      <c r="BV9">
        <v>13.47095464187529</v>
      </c>
      <c r="BW9">
        <v>9456.6101585964534</v>
      </c>
      <c r="BX9">
        <v>12.425730553825618</v>
      </c>
      <c r="BY9">
        <v>8722.862848785584</v>
      </c>
      <c r="BZ9">
        <v>7.8647187634966231</v>
      </c>
      <c r="CA9">
        <v>5521.0325719746297</v>
      </c>
      <c r="CB9">
        <v>16.772247783601738</v>
      </c>
      <c r="CC9">
        <v>11774.117944088421</v>
      </c>
      <c r="CD9">
        <v>11.29625117554567</v>
      </c>
      <c r="CE9">
        <v>7929.9683252330606</v>
      </c>
      <c r="CF9">
        <v>8.5074799760634559</v>
      </c>
      <c r="CG9">
        <v>5972.2509431965464</v>
      </c>
      <c r="CH9">
        <v>8.2369730939547257</v>
      </c>
      <c r="CI9">
        <v>5782.3551119562171</v>
      </c>
      <c r="CJ9">
        <v>14.134539100154207</v>
      </c>
      <c r="CK9">
        <v>9922.4464483082538</v>
      </c>
      <c r="CL9">
        <v>12.773170909931572</v>
      </c>
      <c r="CM9">
        <v>8966.765978771964</v>
      </c>
      <c r="CN9">
        <v>12.925540493147052</v>
      </c>
      <c r="CO9">
        <v>9073.7294261892312</v>
      </c>
      <c r="CP9">
        <v>8.4254953654712956</v>
      </c>
      <c r="CQ9">
        <v>5914.6977465608497</v>
      </c>
      <c r="CR9">
        <v>13.625654150920148</v>
      </c>
      <c r="CS9">
        <v>9565.2092139459437</v>
      </c>
      <c r="CT9">
        <v>11.314830536031764</v>
      </c>
      <c r="CU9">
        <v>7943.0110362942978</v>
      </c>
    </row>
    <row r="10" spans="1:99" x14ac:dyDescent="0.2">
      <c r="C10" s="119" t="s">
        <v>176</v>
      </c>
      <c r="D10">
        <v>14</v>
      </c>
      <c r="E10">
        <v>7627.1999999999989</v>
      </c>
      <c r="F10">
        <v>15.151974556952913</v>
      </c>
      <c r="G10">
        <v>8254.7957386279468</v>
      </c>
      <c r="H10">
        <v>21.842292295723926</v>
      </c>
      <c r="I10">
        <v>11899.680842710393</v>
      </c>
      <c r="J10">
        <v>13.32646420429742</v>
      </c>
      <c r="K10">
        <v>7260.2576985012338</v>
      </c>
      <c r="L10">
        <v>10.902980029437337</v>
      </c>
      <c r="M10">
        <v>5939.943520037461</v>
      </c>
      <c r="N10">
        <v>6.7431098174544823</v>
      </c>
      <c r="O10">
        <v>3673.6462285492016</v>
      </c>
      <c r="P10">
        <v>12.965691298584003</v>
      </c>
      <c r="Q10">
        <v>7063.7086194685644</v>
      </c>
      <c r="R10">
        <v>12.329522607334711</v>
      </c>
      <c r="S10">
        <v>6717.12391647595</v>
      </c>
      <c r="T10">
        <v>8.5390825353468003</v>
      </c>
      <c r="U10">
        <v>4652.0921652569368</v>
      </c>
      <c r="V10">
        <v>7.7150121253273856</v>
      </c>
      <c r="W10">
        <v>4203.1386058783592</v>
      </c>
      <c r="X10">
        <v>9.8637952532724089</v>
      </c>
      <c r="Y10">
        <v>5373.7956539828083</v>
      </c>
      <c r="Z10">
        <v>12.843488393608597</v>
      </c>
      <c r="AA10">
        <v>6997.1324768379627</v>
      </c>
      <c r="AB10">
        <v>8.3704781382713893</v>
      </c>
      <c r="AC10">
        <v>4560.2364897302523</v>
      </c>
      <c r="AD10">
        <v>9.6896788133169451</v>
      </c>
      <c r="AE10">
        <v>5278.9370174950709</v>
      </c>
      <c r="AF10">
        <v>9.7007054748399248</v>
      </c>
      <c r="AG10">
        <v>5284.944342692791</v>
      </c>
      <c r="AH10">
        <v>8.3220727546021713</v>
      </c>
      <c r="AI10">
        <v>4533.8652367072627</v>
      </c>
      <c r="AJ10">
        <v>11.48396488731777</v>
      </c>
      <c r="AK10">
        <v>6256.4640706107202</v>
      </c>
      <c r="AL10">
        <v>11.337316506269625</v>
      </c>
      <c r="AM10">
        <v>6176.5700326156912</v>
      </c>
      <c r="AN10">
        <v>15.489370497772677</v>
      </c>
      <c r="AO10">
        <v>8438.6090471865537</v>
      </c>
      <c r="AP10">
        <v>14.357044102763087</v>
      </c>
      <c r="AQ10">
        <v>7821.7176271853295</v>
      </c>
      <c r="AR10">
        <v>13.147476284581582</v>
      </c>
      <c r="AS10">
        <v>7162.7450798400459</v>
      </c>
      <c r="AT10">
        <v>12.165564486329171</v>
      </c>
      <c r="AU10">
        <v>6627.7995321521312</v>
      </c>
      <c r="AV10">
        <v>11.964203418969239</v>
      </c>
      <c r="AW10">
        <v>6518.0980226544407</v>
      </c>
      <c r="AX10">
        <v>16.059333448280857</v>
      </c>
      <c r="AY10">
        <v>8749.1248626234101</v>
      </c>
      <c r="AZ10">
        <v>9.8067241139092136</v>
      </c>
      <c r="BA10">
        <v>5342.703297257739</v>
      </c>
      <c r="BB10">
        <v>9.902651437822545</v>
      </c>
      <c r="BC10">
        <v>5394.964503325722</v>
      </c>
      <c r="BD10">
        <v>7.2825586028508411</v>
      </c>
      <c r="BE10">
        <v>3967.537926833138</v>
      </c>
      <c r="BF10">
        <v>11.131742663280441</v>
      </c>
      <c r="BG10">
        <v>6064.5734029551841</v>
      </c>
      <c r="BH10">
        <v>15.505447574751104</v>
      </c>
      <c r="BI10">
        <v>8447.3678387243999</v>
      </c>
      <c r="BJ10">
        <v>11.295864754337599</v>
      </c>
      <c r="BK10">
        <v>6153.9871181631233</v>
      </c>
      <c r="BL10">
        <v>9.9150857063280977</v>
      </c>
      <c r="BM10">
        <v>5401.7386928075475</v>
      </c>
      <c r="BN10">
        <v>12.190600281336925</v>
      </c>
      <c r="BO10">
        <v>6641.439033272356</v>
      </c>
      <c r="BP10">
        <v>11.020821130222219</v>
      </c>
      <c r="BQ10">
        <v>6004.1433517450641</v>
      </c>
      <c r="BR10">
        <v>10.237227627838264</v>
      </c>
      <c r="BS10">
        <v>5577.2416116462855</v>
      </c>
      <c r="BT10">
        <v>7.9430396142534363</v>
      </c>
      <c r="BU10">
        <v>4327.367981845272</v>
      </c>
      <c r="BV10">
        <v>14.967727379861433</v>
      </c>
      <c r="BW10">
        <v>8154.4178765485076</v>
      </c>
      <c r="BX10">
        <v>12.425730553825618</v>
      </c>
      <c r="BY10">
        <v>6769.5380057241964</v>
      </c>
      <c r="BZ10">
        <v>8.8478086089337022</v>
      </c>
      <c r="CA10">
        <v>4820.2861301470803</v>
      </c>
      <c r="CB10">
        <v>15.247497985092487</v>
      </c>
      <c r="CC10">
        <v>8306.8369022783863</v>
      </c>
      <c r="CD10">
        <v>9.8228271091701469</v>
      </c>
      <c r="CE10">
        <v>5351.4762090758959</v>
      </c>
      <c r="CF10">
        <v>8.955242080066796</v>
      </c>
      <c r="CG10">
        <v>4878.8158852203896</v>
      </c>
      <c r="CH10">
        <v>9.7814055490712377</v>
      </c>
      <c r="CI10">
        <v>5328.9097431340097</v>
      </c>
      <c r="CJ10">
        <v>14.59049197435273</v>
      </c>
      <c r="CK10">
        <v>7948.9000276273664</v>
      </c>
      <c r="CL10">
        <v>14.9020327282535</v>
      </c>
      <c r="CM10">
        <v>8118.6274303525061</v>
      </c>
      <c r="CN10">
        <v>11.30984793150367</v>
      </c>
      <c r="CO10">
        <v>6161.6051530831992</v>
      </c>
      <c r="CP10">
        <v>9.4167301143502709</v>
      </c>
      <c r="CQ10">
        <v>5130.2345662980269</v>
      </c>
      <c r="CR10">
        <v>12.307042458895618</v>
      </c>
      <c r="CS10">
        <v>6704.8767316063322</v>
      </c>
      <c r="CT10">
        <v>9.838983074810228</v>
      </c>
      <c r="CU10">
        <v>5360.2779791566118</v>
      </c>
    </row>
    <row r="11" spans="1:99" x14ac:dyDescent="0.2">
      <c r="C11" s="119" t="s">
        <v>177</v>
      </c>
      <c r="D11">
        <v>13</v>
      </c>
      <c r="E11">
        <v>6926.4</v>
      </c>
      <c r="F11">
        <v>14.151974556952913</v>
      </c>
      <c r="G11">
        <v>7540.1720439445116</v>
      </c>
      <c r="H11">
        <v>20.938557624172006</v>
      </c>
      <c r="I11">
        <v>11156.063502158844</v>
      </c>
      <c r="J11">
        <v>11.352173211068173</v>
      </c>
      <c r="K11">
        <v>6048.4378868571221</v>
      </c>
      <c r="L11">
        <v>10.902980029437337</v>
      </c>
      <c r="M11">
        <v>5809.1077596842124</v>
      </c>
      <c r="N11">
        <v>6.7431098174544823</v>
      </c>
      <c r="O11">
        <v>3592.7289107397478</v>
      </c>
      <c r="P11">
        <v>11.17732008498621</v>
      </c>
      <c r="Q11">
        <v>5955.2761412806522</v>
      </c>
      <c r="R11">
        <v>12.786171592791554</v>
      </c>
      <c r="S11">
        <v>6812.4722246393394</v>
      </c>
      <c r="T11">
        <v>8.5390825353468003</v>
      </c>
      <c r="U11">
        <v>4549.6231748327746</v>
      </c>
      <c r="V11">
        <v>8.901937067685445</v>
      </c>
      <c r="W11">
        <v>4742.9520696628051</v>
      </c>
      <c r="X11">
        <v>9.8637952532724089</v>
      </c>
      <c r="Y11">
        <v>5255.4301109435391</v>
      </c>
      <c r="Z11">
        <v>13.337468716439696</v>
      </c>
      <c r="AA11">
        <v>7106.2033321190693</v>
      </c>
      <c r="AB11">
        <v>9.4865418900409075</v>
      </c>
      <c r="AC11">
        <v>5054.4295190137955</v>
      </c>
      <c r="AD11">
        <v>10.199661908754679</v>
      </c>
      <c r="AE11">
        <v>5434.379864984493</v>
      </c>
      <c r="AF11">
        <v>9.0539917765172611</v>
      </c>
      <c r="AG11">
        <v>4823.9668185283963</v>
      </c>
      <c r="AH11">
        <v>9.3011401374965441</v>
      </c>
      <c r="AI11">
        <v>4955.6474652581583</v>
      </c>
      <c r="AJ11">
        <v>13.049960099224737</v>
      </c>
      <c r="AK11">
        <v>6953.0187408669399</v>
      </c>
      <c r="AL11">
        <v>10.670415535312587</v>
      </c>
      <c r="AM11">
        <v>5685.1973972145461</v>
      </c>
      <c r="AN11">
        <v>16.023486721833802</v>
      </c>
      <c r="AO11">
        <v>8537.313725393049</v>
      </c>
      <c r="AP11">
        <v>14.357044102763087</v>
      </c>
      <c r="AQ11">
        <v>7649.4330979521719</v>
      </c>
      <c r="AR11">
        <v>12.641804119789981</v>
      </c>
      <c r="AS11">
        <v>6735.553235024101</v>
      </c>
      <c r="AT11">
        <v>12.585066709995694</v>
      </c>
      <c r="AU11">
        <v>6705.3235430857048</v>
      </c>
      <c r="AV11">
        <v>12.424365088929594</v>
      </c>
      <c r="AW11">
        <v>6619.7017193816873</v>
      </c>
      <c r="AX11">
        <v>16.059333448280857</v>
      </c>
      <c r="AY11">
        <v>8556.41286124404</v>
      </c>
      <c r="AZ11">
        <v>9.8067241139092136</v>
      </c>
      <c r="BA11">
        <v>5225.022607890829</v>
      </c>
      <c r="BB11">
        <v>9.0024103980204959</v>
      </c>
      <c r="BC11">
        <v>4796.4842600653201</v>
      </c>
      <c r="BD11">
        <v>7.802741360197329</v>
      </c>
      <c r="BE11">
        <v>4157.3005967131367</v>
      </c>
      <c r="BF11">
        <v>12.099720286174392</v>
      </c>
      <c r="BG11">
        <v>6446.7309684737156</v>
      </c>
      <c r="BH11">
        <v>14.004920390097771</v>
      </c>
      <c r="BI11">
        <v>7461.8215838440919</v>
      </c>
      <c r="BJ11">
        <v>11.295864754337599</v>
      </c>
      <c r="BK11">
        <v>6018.4367411110716</v>
      </c>
      <c r="BL11">
        <v>9.9150857063280977</v>
      </c>
      <c r="BM11">
        <v>5282.7576643316097</v>
      </c>
      <c r="BN11">
        <v>11.755221699860606</v>
      </c>
      <c r="BO11">
        <v>6263.1821216857297</v>
      </c>
      <c r="BP11">
        <v>9.2574897493866626</v>
      </c>
      <c r="BQ11">
        <v>4932.3905384732134</v>
      </c>
      <c r="BR11">
        <v>11.127421334606806</v>
      </c>
      <c r="BS11">
        <v>5928.6900870785057</v>
      </c>
      <c r="BT11">
        <v>8.439479590144277</v>
      </c>
      <c r="BU11">
        <v>4496.5547256288701</v>
      </c>
      <c r="BV11">
        <v>16.464500117847578</v>
      </c>
      <c r="BW11">
        <v>8772.2856627891888</v>
      </c>
      <c r="BX11">
        <v>14.644611009865908</v>
      </c>
      <c r="BY11">
        <v>7802.648746056555</v>
      </c>
      <c r="BZ11">
        <v>9.3393535316522414</v>
      </c>
      <c r="CA11">
        <v>4976.0075616643135</v>
      </c>
      <c r="CB11">
        <v>17.280497716438152</v>
      </c>
      <c r="CC11">
        <v>9207.0491833182459</v>
      </c>
      <c r="CD11">
        <v>11.29625117554567</v>
      </c>
      <c r="CE11">
        <v>6018.642626330733</v>
      </c>
      <c r="CF11">
        <v>8.5074799760634559</v>
      </c>
      <c r="CG11">
        <v>4532.7853312466086</v>
      </c>
      <c r="CH11">
        <v>9.7814055490712377</v>
      </c>
      <c r="CI11">
        <v>5211.532876545155</v>
      </c>
      <c r="CJ11">
        <v>14.59049197435273</v>
      </c>
      <c r="CK11">
        <v>7773.8141239351344</v>
      </c>
      <c r="CL11">
        <v>14.369817273673018</v>
      </c>
      <c r="CM11">
        <v>7656.238643412983</v>
      </c>
      <c r="CN11">
        <v>11.30984793150367</v>
      </c>
      <c r="CO11">
        <v>6025.8869779051547</v>
      </c>
      <c r="CP11">
        <v>8.4254953654712956</v>
      </c>
      <c r="CQ11">
        <v>4489.1039307231058</v>
      </c>
      <c r="CR11">
        <v>14.065191381594989</v>
      </c>
      <c r="CS11">
        <v>7493.9339681138099</v>
      </c>
      <c r="CT11">
        <v>10.822881382291254</v>
      </c>
      <c r="CU11">
        <v>5766.4312004847798</v>
      </c>
    </row>
    <row r="12" spans="1:99" x14ac:dyDescent="0.2">
      <c r="C12" s="119" t="s">
        <v>178</v>
      </c>
      <c r="D12">
        <v>13</v>
      </c>
      <c r="E12">
        <v>7316.4</v>
      </c>
      <c r="F12">
        <v>16.151974556952915</v>
      </c>
      <c r="G12">
        <v>9090.3312806530994</v>
      </c>
      <c r="H12">
        <v>21.84721681761031</v>
      </c>
      <c r="I12">
        <v>12295.613624951082</v>
      </c>
      <c r="J12">
        <v>12.339318707682796</v>
      </c>
      <c r="K12">
        <v>6944.5685686838769</v>
      </c>
      <c r="L12">
        <v>10.902980029437337</v>
      </c>
      <c r="M12">
        <v>6136.1971605673334</v>
      </c>
      <c r="N12">
        <v>7.70641121994798</v>
      </c>
      <c r="O12">
        <v>4337.168234586723</v>
      </c>
      <c r="P12">
        <v>12.518598495184555</v>
      </c>
      <c r="Q12">
        <v>7045.4672330898675</v>
      </c>
      <c r="R12">
        <v>12.329522607334711</v>
      </c>
      <c r="S12">
        <v>6939.0553234079753</v>
      </c>
      <c r="T12">
        <v>9.0134760095327344</v>
      </c>
      <c r="U12">
        <v>5072.7842981650228</v>
      </c>
      <c r="V12">
        <v>8.3084745965064162</v>
      </c>
      <c r="W12">
        <v>4676.009502913811</v>
      </c>
      <c r="X12">
        <v>11.024241753657398</v>
      </c>
      <c r="Y12">
        <v>6204.443258958383</v>
      </c>
      <c r="Z12">
        <v>11.361547425115297</v>
      </c>
      <c r="AA12">
        <v>6394.2788908548891</v>
      </c>
      <c r="AB12">
        <v>7.8124462623866293</v>
      </c>
      <c r="AC12">
        <v>4396.8447564711951</v>
      </c>
      <c r="AD12">
        <v>11.219628099630148</v>
      </c>
      <c r="AE12">
        <v>6314.406694471847</v>
      </c>
      <c r="AF12">
        <v>10.994132871485247</v>
      </c>
      <c r="AG12">
        <v>6187.4979800718966</v>
      </c>
      <c r="AH12">
        <v>9.3011401374965441</v>
      </c>
      <c r="AI12">
        <v>5234.6816693830542</v>
      </c>
      <c r="AJ12">
        <v>10.961966483348778</v>
      </c>
      <c r="AK12">
        <v>6169.3947368286917</v>
      </c>
      <c r="AL12">
        <v>10.00351456435555</v>
      </c>
      <c r="AM12">
        <v>5629.9779968193034</v>
      </c>
      <c r="AN12">
        <v>14.955254273711549</v>
      </c>
      <c r="AO12">
        <v>8416.8171052448597</v>
      </c>
      <c r="AP12">
        <v>14.835612239521856</v>
      </c>
      <c r="AQ12">
        <v>8349.4825684029001</v>
      </c>
      <c r="AR12">
        <v>14.15882061416478</v>
      </c>
      <c r="AS12">
        <v>7968.5842416519372</v>
      </c>
      <c r="AT12">
        <v>12.165564486329171</v>
      </c>
      <c r="AU12">
        <v>6846.7796929060569</v>
      </c>
      <c r="AV12">
        <v>11.964203418969239</v>
      </c>
      <c r="AW12">
        <v>6733.453684195887</v>
      </c>
      <c r="AX12">
        <v>16.059333448280857</v>
      </c>
      <c r="AY12">
        <v>9038.1928646924662</v>
      </c>
      <c r="AZ12">
        <v>9.8067241139092136</v>
      </c>
      <c r="BA12">
        <v>5519.2243313081053</v>
      </c>
      <c r="BB12">
        <v>9.0024103980204959</v>
      </c>
      <c r="BC12">
        <v>5066.5565720059349</v>
      </c>
      <c r="BD12">
        <v>8.3229241175438187</v>
      </c>
      <c r="BE12">
        <v>4684.1416933536611</v>
      </c>
      <c r="BF12">
        <v>12.099720286174392</v>
      </c>
      <c r="BG12">
        <v>6809.7225770589475</v>
      </c>
      <c r="BH12">
        <v>13.504744661879993</v>
      </c>
      <c r="BI12">
        <v>7600.4702957060599</v>
      </c>
      <c r="BJ12">
        <v>11.76652578576833</v>
      </c>
      <c r="BK12">
        <v>6622.2007122304158</v>
      </c>
      <c r="BL12">
        <v>8.2625714219400823</v>
      </c>
      <c r="BM12">
        <v>4650.1751962678782</v>
      </c>
      <c r="BN12">
        <v>11.755221699860606</v>
      </c>
      <c r="BO12">
        <v>6615.8387726815481</v>
      </c>
      <c r="BP12">
        <v>11.461653975431107</v>
      </c>
      <c r="BQ12">
        <v>6450.6188573726267</v>
      </c>
      <c r="BR12">
        <v>9.7921307744539909</v>
      </c>
      <c r="BS12">
        <v>5511.0111998627053</v>
      </c>
      <c r="BT12">
        <v>9.9287995178167954</v>
      </c>
      <c r="BU12">
        <v>5587.928368627292</v>
      </c>
      <c r="BV12">
        <v>13.969878887870671</v>
      </c>
      <c r="BW12">
        <v>7862.2478380936127</v>
      </c>
      <c r="BX12">
        <v>12.869506645033677</v>
      </c>
      <c r="BY12">
        <v>7242.9583398249533</v>
      </c>
      <c r="BZ12">
        <v>9.8308984543707805</v>
      </c>
      <c r="CA12">
        <v>5532.8296501198747</v>
      </c>
      <c r="CB12">
        <v>14.739248052256071</v>
      </c>
      <c r="CC12">
        <v>8295.2488038097163</v>
      </c>
      <c r="CD12">
        <v>9.8228271091701469</v>
      </c>
      <c r="CE12">
        <v>5528.2870970409585</v>
      </c>
      <c r="CF12">
        <v>8.955242080066796</v>
      </c>
      <c r="CG12">
        <v>5040.0102426615922</v>
      </c>
      <c r="CH12">
        <v>9.7814055490712377</v>
      </c>
      <c r="CI12">
        <v>5504.9750430172926</v>
      </c>
      <c r="CJ12">
        <v>13.222633351757162</v>
      </c>
      <c r="CK12">
        <v>7441.6980503689301</v>
      </c>
      <c r="CL12">
        <v>13.837601819092535</v>
      </c>
      <c r="CM12">
        <v>7787.8023037852781</v>
      </c>
      <c r="CN12">
        <v>12.925540493147052</v>
      </c>
      <c r="CO12">
        <v>7274.4941895431602</v>
      </c>
      <c r="CP12">
        <v>8.9211127399107824</v>
      </c>
      <c r="CQ12">
        <v>5020.8022500217876</v>
      </c>
      <c r="CR12">
        <v>12.746579689570462</v>
      </c>
      <c r="CS12">
        <v>7173.7750492902551</v>
      </c>
      <c r="CT12">
        <v>10.822881382291254</v>
      </c>
      <c r="CU12">
        <v>6091.1176419535168</v>
      </c>
    </row>
    <row r="13" spans="1:99" x14ac:dyDescent="0.2">
      <c r="C13" s="119" t="s">
        <v>179</v>
      </c>
      <c r="D13">
        <v>16</v>
      </c>
      <c r="E13">
        <v>1363.2</v>
      </c>
      <c r="F13">
        <v>17.151974556952915</v>
      </c>
      <c r="G13">
        <v>1461.3482322523885</v>
      </c>
      <c r="H13">
        <v>23.659610682600526</v>
      </c>
      <c r="I13">
        <v>2015.7988301575649</v>
      </c>
      <c r="J13">
        <v>14.313609700912044</v>
      </c>
      <c r="K13">
        <v>1219.5195465177062</v>
      </c>
      <c r="L13">
        <v>11.629845364733159</v>
      </c>
      <c r="M13">
        <v>990.86282507526516</v>
      </c>
      <c r="N13">
        <v>7.2247605187012311</v>
      </c>
      <c r="O13">
        <v>615.54959619334488</v>
      </c>
      <c r="P13">
        <v>12.518598495184555</v>
      </c>
      <c r="Q13">
        <v>1066.5845917897241</v>
      </c>
      <c r="R13">
        <v>12.329522607334711</v>
      </c>
      <c r="S13">
        <v>1050.4753261449175</v>
      </c>
      <c r="T13">
        <v>9.9622629579046009</v>
      </c>
      <c r="U13">
        <v>848.78480401347201</v>
      </c>
      <c r="V13">
        <v>8.901937067685445</v>
      </c>
      <c r="W13">
        <v>758.44503816679992</v>
      </c>
      <c r="X13">
        <v>11.604465003849894</v>
      </c>
      <c r="Y13">
        <v>988.70041832801098</v>
      </c>
      <c r="Z13">
        <v>12.349508070777498</v>
      </c>
      <c r="AA13">
        <v>1052.1780876302428</v>
      </c>
      <c r="AB13">
        <v>9.4865418900409075</v>
      </c>
      <c r="AC13">
        <v>808.25336903148536</v>
      </c>
      <c r="AD13">
        <v>10.709645004192414</v>
      </c>
      <c r="AE13">
        <v>912.46175435719363</v>
      </c>
      <c r="AF13">
        <v>10.994132871485247</v>
      </c>
      <c r="AG13">
        <v>936.70012065054311</v>
      </c>
      <c r="AH13">
        <v>8.3220727546021713</v>
      </c>
      <c r="AI13">
        <v>709.04059869210505</v>
      </c>
      <c r="AJ13">
        <v>12.527961695255748</v>
      </c>
      <c r="AK13">
        <v>1067.3823364357897</v>
      </c>
      <c r="AL13">
        <v>10.670415535312587</v>
      </c>
      <c r="AM13">
        <v>909.11940360863252</v>
      </c>
      <c r="AN13">
        <v>16.557602945894928</v>
      </c>
      <c r="AO13">
        <v>1410.7077709902478</v>
      </c>
      <c r="AP13">
        <v>13.878475966004316</v>
      </c>
      <c r="AQ13">
        <v>1182.4461523035677</v>
      </c>
      <c r="AR13">
        <v>13.65314844937318</v>
      </c>
      <c r="AS13">
        <v>1163.248247886595</v>
      </c>
      <c r="AT13">
        <v>11.746062262662647</v>
      </c>
      <c r="AU13">
        <v>1000.7645047788576</v>
      </c>
      <c r="AV13">
        <v>12.424365088929594</v>
      </c>
      <c r="AW13">
        <v>1058.5559055768015</v>
      </c>
      <c r="AX13">
        <v>14.051916767245752</v>
      </c>
      <c r="AY13">
        <v>1197.2233085693381</v>
      </c>
      <c r="AZ13">
        <v>9.8067241139092136</v>
      </c>
      <c r="BA13">
        <v>835.53289450506497</v>
      </c>
      <c r="BB13">
        <v>10.802892477624594</v>
      </c>
      <c r="BC13">
        <v>920.4064390936154</v>
      </c>
      <c r="BD13">
        <v>9.3632896322367962</v>
      </c>
      <c r="BE13">
        <v>797.75227666657509</v>
      </c>
      <c r="BF13">
        <v>14.035675531962294</v>
      </c>
      <c r="BG13">
        <v>1195.8395553231876</v>
      </c>
      <c r="BH13">
        <v>15.005271846533327</v>
      </c>
      <c r="BI13">
        <v>1278.4491613246396</v>
      </c>
      <c r="BJ13">
        <v>12.237186817199065</v>
      </c>
      <c r="BK13">
        <v>1042.6083168253604</v>
      </c>
      <c r="BL13">
        <v>8.8134095167360886</v>
      </c>
      <c r="BM13">
        <v>750.90249082591481</v>
      </c>
      <c r="BN13">
        <v>14.36749318871852</v>
      </c>
      <c r="BO13">
        <v>1224.1104196788178</v>
      </c>
      <c r="BP13">
        <v>10.139155439804441</v>
      </c>
      <c r="BQ13">
        <v>863.85604347133835</v>
      </c>
      <c r="BR13">
        <v>10.682324481222535</v>
      </c>
      <c r="BS13">
        <v>910.13404580016004</v>
      </c>
      <c r="BT13">
        <v>9.4323595419259565</v>
      </c>
      <c r="BU13">
        <v>803.63703297209156</v>
      </c>
      <c r="BV13">
        <v>14.967727379861433</v>
      </c>
      <c r="BW13">
        <v>1275.250372764194</v>
      </c>
      <c r="BX13">
        <v>15.975939283490082</v>
      </c>
      <c r="BY13">
        <v>1361.1500269533549</v>
      </c>
      <c r="BZ13">
        <v>9.8308984543707805</v>
      </c>
      <c r="CA13">
        <v>837.59254831239048</v>
      </c>
      <c r="CB13">
        <v>18.805247514947403</v>
      </c>
      <c r="CC13">
        <v>1602.2070882735188</v>
      </c>
      <c r="CD13">
        <v>11.29625117554567</v>
      </c>
      <c r="CE13">
        <v>962.44060015649109</v>
      </c>
      <c r="CF13">
        <v>8.955242080066796</v>
      </c>
      <c r="CG13">
        <v>762.98662522169104</v>
      </c>
      <c r="CH13">
        <v>9.266594730699067</v>
      </c>
      <c r="CI13">
        <v>789.51387105556057</v>
      </c>
      <c r="CJ13">
        <v>14.59049197435273</v>
      </c>
      <c r="CK13">
        <v>1243.1099162148525</v>
      </c>
      <c r="CL13">
        <v>15.966463637414465</v>
      </c>
      <c r="CM13">
        <v>1360.3427019077126</v>
      </c>
      <c r="CN13">
        <v>12.521617352736206</v>
      </c>
      <c r="CO13">
        <v>1066.8417984531247</v>
      </c>
      <c r="CP13">
        <v>8.9211127399107824</v>
      </c>
      <c r="CQ13">
        <v>760.0788054403987</v>
      </c>
      <c r="CR13">
        <v>14.944265842944677</v>
      </c>
      <c r="CS13">
        <v>1273.2514498188866</v>
      </c>
      <c r="CT13">
        <v>12.790677997253299</v>
      </c>
      <c r="CU13">
        <v>1089.7657653659812</v>
      </c>
    </row>
    <row r="14" spans="1:99" x14ac:dyDescent="0.2">
      <c r="C14" s="119" t="s">
        <v>180</v>
      </c>
      <c r="D14">
        <v>13</v>
      </c>
      <c r="E14">
        <v>6349.2</v>
      </c>
      <c r="F14">
        <v>16.1329777373338</v>
      </c>
      <c r="G14">
        <v>7879.3463269138274</v>
      </c>
      <c r="H14">
        <v>25.476929069477134</v>
      </c>
      <c r="I14">
        <v>12442.932157532632</v>
      </c>
      <c r="J14">
        <v>13.32646420429742</v>
      </c>
      <c r="K14">
        <v>6508.6451173788591</v>
      </c>
      <c r="L14">
        <v>10.902980029437337</v>
      </c>
      <c r="M14">
        <v>5325.0154463771951</v>
      </c>
      <c r="N14">
        <v>7.70641121994798</v>
      </c>
      <c r="O14">
        <v>3763.8112398225931</v>
      </c>
      <c r="P14">
        <v>11.624412888385658</v>
      </c>
      <c r="Q14">
        <v>5677.3632546875551</v>
      </c>
      <c r="R14">
        <v>11.416224636421029</v>
      </c>
      <c r="S14">
        <v>5575.6841124280309</v>
      </c>
      <c r="T14">
        <v>9.9622629579046009</v>
      </c>
      <c r="U14">
        <v>4865.5692286406065</v>
      </c>
      <c r="V14">
        <v>8.3084745965064162</v>
      </c>
      <c r="W14">
        <v>4057.8589929337336</v>
      </c>
      <c r="X14">
        <v>9.2835720030799145</v>
      </c>
      <c r="Y14">
        <v>4534.0965663042298</v>
      </c>
      <c r="Z14">
        <v>11.855527747946397</v>
      </c>
      <c r="AA14">
        <v>5790.2397520970198</v>
      </c>
      <c r="AB14">
        <v>8.9285100141561475</v>
      </c>
      <c r="AC14">
        <v>4360.6842909138622</v>
      </c>
      <c r="AD14">
        <v>10.199661908754679</v>
      </c>
      <c r="AE14">
        <v>4981.5148762357849</v>
      </c>
      <c r="AF14">
        <v>10.994132871485247</v>
      </c>
      <c r="AG14">
        <v>5369.5344944333947</v>
      </c>
      <c r="AH14">
        <v>8.3220727546021713</v>
      </c>
      <c r="AI14">
        <v>4064.5003333477002</v>
      </c>
      <c r="AJ14">
        <v>12.005963291286758</v>
      </c>
      <c r="AK14">
        <v>5863.7124714644524</v>
      </c>
      <c r="AL14">
        <v>11.337316506269625</v>
      </c>
      <c r="AM14">
        <v>5537.1453816620842</v>
      </c>
      <c r="AN14">
        <v>14.955254273711549</v>
      </c>
      <c r="AO14">
        <v>7304.1461872807204</v>
      </c>
      <c r="AP14">
        <v>12.921339692486779</v>
      </c>
      <c r="AQ14">
        <v>6310.7823058105423</v>
      </c>
      <c r="AR14">
        <v>12.641804119789981</v>
      </c>
      <c r="AS14">
        <v>6174.2571321054265</v>
      </c>
      <c r="AT14">
        <v>12.165564486329171</v>
      </c>
      <c r="AU14">
        <v>5941.6616951231663</v>
      </c>
      <c r="AV14">
        <v>12.424365088929594</v>
      </c>
      <c r="AW14">
        <v>6068.0599094332138</v>
      </c>
      <c r="AX14">
        <v>15.055625107763303</v>
      </c>
      <c r="AY14">
        <v>7353.1673026315966</v>
      </c>
      <c r="AZ14">
        <v>9.2298579895616122</v>
      </c>
      <c r="BA14">
        <v>4507.8626421018907</v>
      </c>
      <c r="BB14">
        <v>9.4525309179215213</v>
      </c>
      <c r="BC14">
        <v>4616.6161003128709</v>
      </c>
      <c r="BD14">
        <v>7.802741360197329</v>
      </c>
      <c r="BE14">
        <v>3810.8588803203752</v>
      </c>
      <c r="BF14">
        <v>12.099720286174392</v>
      </c>
      <c r="BG14">
        <v>5909.5033877675733</v>
      </c>
      <c r="BH14">
        <v>14.004920390097771</v>
      </c>
      <c r="BI14">
        <v>6840.0031185237513</v>
      </c>
      <c r="BJ14">
        <v>13.649169911491263</v>
      </c>
      <c r="BK14">
        <v>6666.2545847723331</v>
      </c>
      <c r="BL14">
        <v>9.9150857063280977</v>
      </c>
      <c r="BM14">
        <v>4842.5278589706431</v>
      </c>
      <c r="BN14">
        <v>13.061357444289561</v>
      </c>
      <c r="BO14">
        <v>6379.1669757910213</v>
      </c>
      <c r="BP14">
        <v>10.579988285013329</v>
      </c>
      <c r="BQ14">
        <v>5167.2662784005097</v>
      </c>
      <c r="BR14">
        <v>9.7921307744539909</v>
      </c>
      <c r="BS14">
        <v>4782.476670243329</v>
      </c>
      <c r="BT14">
        <v>8.9359195660351158</v>
      </c>
      <c r="BU14">
        <v>4364.3031160515502</v>
      </c>
      <c r="BV14">
        <v>14.967727379861433</v>
      </c>
      <c r="BW14">
        <v>7310.2380523243237</v>
      </c>
      <c r="BX14">
        <v>13.757058827449793</v>
      </c>
      <c r="BY14">
        <v>6718.9475313264784</v>
      </c>
      <c r="BZ14">
        <v>7.8647187634966231</v>
      </c>
      <c r="CA14">
        <v>3841.1286440917506</v>
      </c>
      <c r="CB14">
        <v>15.247497985092487</v>
      </c>
      <c r="CC14">
        <v>7446.8780159191701</v>
      </c>
      <c r="CD14">
        <v>11.787392531004176</v>
      </c>
      <c r="CE14">
        <v>5756.9625121424397</v>
      </c>
      <c r="CF14">
        <v>9.4030041840701344</v>
      </c>
      <c r="CG14">
        <v>4592.4272434998538</v>
      </c>
      <c r="CH14">
        <v>9.7814055490712377</v>
      </c>
      <c r="CI14">
        <v>4777.2384701663923</v>
      </c>
      <c r="CJ14">
        <v>14.59049197435273</v>
      </c>
      <c r="CK14">
        <v>7125.9962802738728</v>
      </c>
      <c r="CL14">
        <v>13.305386364512055</v>
      </c>
      <c r="CM14">
        <v>6498.3507004276871</v>
      </c>
      <c r="CN14">
        <v>11.713771071914515</v>
      </c>
      <c r="CO14">
        <v>5721.0057915230491</v>
      </c>
      <c r="CP14">
        <v>7.9298779910318071</v>
      </c>
      <c r="CQ14">
        <v>3872.9524108199344</v>
      </c>
      <c r="CR14">
        <v>14.504728612269833</v>
      </c>
      <c r="CS14">
        <v>7084.1094542325864</v>
      </c>
      <c r="CT14">
        <v>11.314830536031764</v>
      </c>
      <c r="CU14">
        <v>5526.1632337979127</v>
      </c>
    </row>
    <row r="15" spans="1:99" x14ac:dyDescent="0.2">
      <c r="C15" s="119" t="s">
        <v>181</v>
      </c>
      <c r="D15">
        <v>13</v>
      </c>
      <c r="E15">
        <v>9921.5999999999985</v>
      </c>
      <c r="F15">
        <v>16.1329777373338</v>
      </c>
      <c r="G15">
        <v>12312.688609133154</v>
      </c>
      <c r="H15">
        <v>23.659610682600526</v>
      </c>
      <c r="I15">
        <v>18057.014872960721</v>
      </c>
      <c r="J15">
        <v>11.352173211068173</v>
      </c>
      <c r="K15">
        <v>8663.9785946872289</v>
      </c>
      <c r="L15">
        <v>11.629845364733159</v>
      </c>
      <c r="M15">
        <v>8875.8979823643458</v>
      </c>
      <c r="N15">
        <v>7.2247605187012311</v>
      </c>
      <c r="O15">
        <v>5513.9372278727787</v>
      </c>
      <c r="P15">
        <v>12.518598495184555</v>
      </c>
      <c r="Q15">
        <v>9554.1943715248526</v>
      </c>
      <c r="R15">
        <v>10.959575650964188</v>
      </c>
      <c r="S15">
        <v>8364.3481368158682</v>
      </c>
      <c r="T15">
        <v>8.5390825353468003</v>
      </c>
      <c r="U15">
        <v>6517.0277909766774</v>
      </c>
      <c r="V15">
        <v>8.3084745965064162</v>
      </c>
      <c r="W15">
        <v>6341.0278120536959</v>
      </c>
      <c r="X15">
        <v>10.444018503464903</v>
      </c>
      <c r="Y15">
        <v>7970.8749218444136</v>
      </c>
      <c r="Z15">
        <v>11.855527747946397</v>
      </c>
      <c r="AA15">
        <v>9048.1387772326889</v>
      </c>
      <c r="AB15">
        <v>8.3704781382713893</v>
      </c>
      <c r="AC15">
        <v>6388.348915128724</v>
      </c>
      <c r="AD15">
        <v>9.6896788133169451</v>
      </c>
      <c r="AE15">
        <v>7395.1628703234919</v>
      </c>
      <c r="AF15">
        <v>10.347419173162585</v>
      </c>
      <c r="AG15">
        <v>7897.150312957684</v>
      </c>
      <c r="AH15">
        <v>8.3220727546021713</v>
      </c>
      <c r="AI15">
        <v>6351.4059263123763</v>
      </c>
      <c r="AJ15">
        <v>12.527961695255748</v>
      </c>
      <c r="AK15">
        <v>9561.3403658191855</v>
      </c>
      <c r="AL15">
        <v>11.337316506269625</v>
      </c>
      <c r="AM15">
        <v>8652.6399575849773</v>
      </c>
      <c r="AN15">
        <v>14.421138049650423</v>
      </c>
      <c r="AO15">
        <v>11006.212559493202</v>
      </c>
      <c r="AP15">
        <v>12.442771555728008</v>
      </c>
      <c r="AQ15">
        <v>9496.3232513316143</v>
      </c>
      <c r="AR15">
        <v>12.641804119789981</v>
      </c>
      <c r="AS15">
        <v>9648.2249042237127</v>
      </c>
      <c r="AT15">
        <v>11.326560038996124</v>
      </c>
      <c r="AU15">
        <v>8644.4306217618414</v>
      </c>
      <c r="AV15">
        <v>11.964203418969239</v>
      </c>
      <c r="AW15">
        <v>9131.0800493573224</v>
      </c>
      <c r="AX15">
        <v>15.557479278022081</v>
      </c>
      <c r="AY15">
        <v>11873.46818498645</v>
      </c>
      <c r="AZ15">
        <v>9.2298579895616122</v>
      </c>
      <c r="BA15">
        <v>7044.2276176334217</v>
      </c>
      <c r="BB15">
        <v>10.35277195772357</v>
      </c>
      <c r="BC15">
        <v>7901.2355581346283</v>
      </c>
      <c r="BD15">
        <v>7.2825586028508411</v>
      </c>
      <c r="BE15">
        <v>5558.0487256957613</v>
      </c>
      <c r="BF15">
        <v>13.067697909068343</v>
      </c>
      <c r="BG15">
        <v>9973.2670442009585</v>
      </c>
      <c r="BH15">
        <v>15.505447574751104</v>
      </c>
      <c r="BI15">
        <v>11833.757589050041</v>
      </c>
      <c r="BJ15">
        <v>10.825203722906865</v>
      </c>
      <c r="BK15">
        <v>8261.7954813225188</v>
      </c>
      <c r="BL15">
        <v>9.364247611532095</v>
      </c>
      <c r="BM15">
        <v>7146.7937771212946</v>
      </c>
      <c r="BN15">
        <v>11.755221699860606</v>
      </c>
      <c r="BO15">
        <v>8971.5852013336134</v>
      </c>
      <c r="BP15">
        <v>10.579988285013329</v>
      </c>
      <c r="BQ15">
        <v>8074.6470591221714</v>
      </c>
      <c r="BR15">
        <v>10.237227627838264</v>
      </c>
      <c r="BS15">
        <v>7813.0521255661624</v>
      </c>
      <c r="BT15">
        <v>8.9359195660351158</v>
      </c>
      <c r="BU15">
        <v>6819.893812798</v>
      </c>
      <c r="BV15">
        <v>14.967727379861433</v>
      </c>
      <c r="BW15">
        <v>11423.369536310245</v>
      </c>
      <c r="BX15">
        <v>13.313282736241735</v>
      </c>
      <c r="BY15">
        <v>10160.697384299692</v>
      </c>
      <c r="BZ15">
        <v>8.8478086089337022</v>
      </c>
      <c r="CA15">
        <v>6752.6475303382012</v>
      </c>
      <c r="CB15">
        <v>17.280497716438152</v>
      </c>
      <c r="CC15">
        <v>13188.475857185596</v>
      </c>
      <c r="CD15">
        <v>10.313968464628655</v>
      </c>
      <c r="CE15">
        <v>7871.6207322045884</v>
      </c>
      <c r="CF15">
        <v>8.5074799760634559</v>
      </c>
      <c r="CG15">
        <v>6492.9087177316287</v>
      </c>
      <c r="CH15">
        <v>9.266594730699067</v>
      </c>
      <c r="CI15">
        <v>7072.2650984695274</v>
      </c>
      <c r="CJ15">
        <v>13.678586225955685</v>
      </c>
      <c r="CK15">
        <v>10439.497007649377</v>
      </c>
      <c r="CL15">
        <v>14.9020327282535</v>
      </c>
      <c r="CM15">
        <v>11373.231378203071</v>
      </c>
      <c r="CN15">
        <v>12.117694212325359</v>
      </c>
      <c r="CO15">
        <v>9248.224222846713</v>
      </c>
      <c r="CP15">
        <v>7.9298779910318071</v>
      </c>
      <c r="CQ15">
        <v>6052.0828827554751</v>
      </c>
      <c r="CR15">
        <v>14.504728612269833</v>
      </c>
      <c r="CS15">
        <v>11070.008876884336</v>
      </c>
      <c r="CT15">
        <v>10.822881382291254</v>
      </c>
      <c r="CU15">
        <v>8260.0230709646839</v>
      </c>
    </row>
    <row r="16" spans="1:99" x14ac:dyDescent="0.2">
      <c r="C16" s="119" t="s">
        <v>182</v>
      </c>
      <c r="D16">
        <v>15</v>
      </c>
      <c r="E16">
        <v>5112</v>
      </c>
      <c r="F16">
        <v>17.151974556952915</v>
      </c>
      <c r="G16">
        <v>5845.3929290095539</v>
      </c>
      <c r="H16">
        <v>26.385588262915434</v>
      </c>
      <c r="I16">
        <v>8992.20848000158</v>
      </c>
      <c r="J16">
        <v>11.845745959375485</v>
      </c>
      <c r="K16">
        <v>4037.0302229551653</v>
      </c>
      <c r="L16">
        <v>12.356710700028984</v>
      </c>
      <c r="M16">
        <v>4211.1670065698781</v>
      </c>
      <c r="N16">
        <v>8.1880619211947288</v>
      </c>
      <c r="O16">
        <v>2790.4915027431634</v>
      </c>
      <c r="P16">
        <v>11.17732008498621</v>
      </c>
      <c r="Q16">
        <v>3809.2306849633005</v>
      </c>
      <c r="R16">
        <v>10.959575650964188</v>
      </c>
      <c r="S16">
        <v>3735.0233818485954</v>
      </c>
      <c r="T16">
        <v>9.4878694837186668</v>
      </c>
      <c r="U16">
        <v>3233.465920051322</v>
      </c>
      <c r="V16">
        <v>8.3084745965064162</v>
      </c>
      <c r="W16">
        <v>2831.5281424893869</v>
      </c>
      <c r="X16">
        <v>11.024241753657398</v>
      </c>
      <c r="Y16">
        <v>3757.0615896464415</v>
      </c>
      <c r="Z16">
        <v>12.843488393608597</v>
      </c>
      <c r="AA16">
        <v>4377.0608445418102</v>
      </c>
      <c r="AB16">
        <v>8.9285100141561475</v>
      </c>
      <c r="AC16">
        <v>3042.8362128244153</v>
      </c>
      <c r="AD16">
        <v>10.709645004192414</v>
      </c>
      <c r="AE16">
        <v>3649.8470174287745</v>
      </c>
      <c r="AF16">
        <v>10.347419173162585</v>
      </c>
      <c r="AG16">
        <v>3526.4004542138091</v>
      </c>
      <c r="AH16">
        <v>9.7906738289437314</v>
      </c>
      <c r="AI16">
        <v>3336.6616409040239</v>
      </c>
      <c r="AJ16">
        <v>12.527961695255748</v>
      </c>
      <c r="AK16">
        <v>4269.529345743159</v>
      </c>
      <c r="AL16">
        <v>11.337316506269625</v>
      </c>
      <c r="AM16">
        <v>3863.7574653366883</v>
      </c>
      <c r="AN16">
        <v>15.489370497772677</v>
      </c>
      <c r="AO16">
        <v>5278.7774656409283</v>
      </c>
      <c r="AP16">
        <v>15.314180376280627</v>
      </c>
      <c r="AQ16">
        <v>5219.0726722364379</v>
      </c>
      <c r="AR16">
        <v>12.641804119789981</v>
      </c>
      <c r="AS16">
        <v>4308.3268440244256</v>
      </c>
      <c r="AT16">
        <v>11.326560038996124</v>
      </c>
      <c r="AU16">
        <v>3860.0916612898791</v>
      </c>
      <c r="AV16">
        <v>11.964203418969239</v>
      </c>
      <c r="AW16">
        <v>4077.400525184717</v>
      </c>
      <c r="AX16">
        <v>15.055625107763303</v>
      </c>
      <c r="AY16">
        <v>5130.9570367257338</v>
      </c>
      <c r="AZ16">
        <v>10.383590238256813</v>
      </c>
      <c r="BA16">
        <v>3538.7275531979221</v>
      </c>
      <c r="BB16">
        <v>9.902651437822545</v>
      </c>
      <c r="BC16">
        <v>3374.8236100099234</v>
      </c>
      <c r="BD16">
        <v>7.802741360197329</v>
      </c>
      <c r="BE16">
        <v>2659.1742555552496</v>
      </c>
      <c r="BF16">
        <v>13.067697909068343</v>
      </c>
      <c r="BG16">
        <v>4453.4714474104912</v>
      </c>
      <c r="BH16">
        <v>16.505799031186658</v>
      </c>
      <c r="BI16">
        <v>5625.1763098284137</v>
      </c>
      <c r="BJ16">
        <v>13.17850888006053</v>
      </c>
      <c r="BK16">
        <v>4491.2358263246288</v>
      </c>
      <c r="BL16">
        <v>9.364247611532095</v>
      </c>
      <c r="BM16">
        <v>3191.3355860101383</v>
      </c>
      <c r="BN16">
        <v>12.190600281336925</v>
      </c>
      <c r="BO16">
        <v>4154.5565758796247</v>
      </c>
      <c r="BP16">
        <v>9.6983225945955507</v>
      </c>
      <c r="BQ16">
        <v>3305.1883402381636</v>
      </c>
      <c r="BR16">
        <v>10.682324481222535</v>
      </c>
      <c r="BS16">
        <v>3640.5361832006402</v>
      </c>
      <c r="BT16">
        <v>9.4323595419259565</v>
      </c>
      <c r="BU16">
        <v>3214.5481318883662</v>
      </c>
      <c r="BV16">
        <v>14.468803133866054</v>
      </c>
      <c r="BW16">
        <v>4930.9681080215514</v>
      </c>
      <c r="BX16">
        <v>15.088387101073966</v>
      </c>
      <c r="BY16">
        <v>5142.1223240460076</v>
      </c>
      <c r="BZ16">
        <v>9.3393535316522414</v>
      </c>
      <c r="CA16">
        <v>3182.8516835870842</v>
      </c>
      <c r="CB16">
        <v>16.772247783601738</v>
      </c>
      <c r="CC16">
        <v>5715.9820446514723</v>
      </c>
      <c r="CD16">
        <v>10.313968464628655</v>
      </c>
      <c r="CE16">
        <v>3515.0004527454457</v>
      </c>
      <c r="CF16">
        <v>8.5074799760634559</v>
      </c>
      <c r="CG16">
        <v>2899.3491758424257</v>
      </c>
      <c r="CH16">
        <v>10.296216367443407</v>
      </c>
      <c r="CI16">
        <v>3508.9505380247133</v>
      </c>
      <c r="CJ16">
        <v>14.134539100154207</v>
      </c>
      <c r="CK16">
        <v>4817.0509253325536</v>
      </c>
      <c r="CL16">
        <v>14.369817273673018</v>
      </c>
      <c r="CM16">
        <v>4897.2337268677647</v>
      </c>
      <c r="CN16">
        <v>12.521617352736206</v>
      </c>
      <c r="CO16">
        <v>4267.367193812499</v>
      </c>
      <c r="CP16">
        <v>9.9123474887897594</v>
      </c>
      <c r="CQ16">
        <v>3378.1280241795503</v>
      </c>
      <c r="CR16">
        <v>15.38380307361952</v>
      </c>
      <c r="CS16">
        <v>5242.8000874895324</v>
      </c>
      <c r="CT16">
        <v>10.822881382291254</v>
      </c>
      <c r="CU16">
        <v>3688.4379750848593</v>
      </c>
    </row>
    <row r="17" spans="2:99" x14ac:dyDescent="0.2">
      <c r="C17" s="119" t="s">
        <v>183</v>
      </c>
      <c r="D17">
        <v>13</v>
      </c>
      <c r="E17">
        <v>5491.2</v>
      </c>
      <c r="F17">
        <v>14.151974556952913</v>
      </c>
      <c r="G17">
        <v>5977.7940528569106</v>
      </c>
      <c r="H17">
        <v>26.390512784801821</v>
      </c>
      <c r="I17">
        <v>11147.352600300288</v>
      </c>
      <c r="J17">
        <v>12.832891455990108</v>
      </c>
      <c r="K17">
        <v>5420.6133510102209</v>
      </c>
      <c r="L17">
        <v>12.356710700028984</v>
      </c>
      <c r="M17">
        <v>5219.474599692242</v>
      </c>
      <c r="N17">
        <v>7.70641121994798</v>
      </c>
      <c r="O17">
        <v>3255.1880993060267</v>
      </c>
      <c r="P17">
        <v>12.071505691785106</v>
      </c>
      <c r="Q17">
        <v>5099.0040042100281</v>
      </c>
      <c r="R17">
        <v>11.87287362187787</v>
      </c>
      <c r="S17">
        <v>5015.1018178812119</v>
      </c>
      <c r="T17">
        <v>9.0134760095327344</v>
      </c>
      <c r="U17">
        <v>3807.2922664266266</v>
      </c>
      <c r="V17">
        <v>8.901937067685445</v>
      </c>
      <c r="W17">
        <v>3760.1782173903316</v>
      </c>
      <c r="X17">
        <v>9.8637952532724089</v>
      </c>
      <c r="Y17">
        <v>4166.4671149822652</v>
      </c>
      <c r="Z17">
        <v>11.855527747946397</v>
      </c>
      <c r="AA17">
        <v>5007.7749207325578</v>
      </c>
      <c r="AB17">
        <v>8.3704781382713893</v>
      </c>
      <c r="AC17">
        <v>3535.6899656058345</v>
      </c>
      <c r="AD17">
        <v>10.709645004192414</v>
      </c>
      <c r="AE17">
        <v>4523.7540497708751</v>
      </c>
      <c r="AF17">
        <v>9.0539917765172611</v>
      </c>
      <c r="AG17">
        <v>3824.406126400891</v>
      </c>
      <c r="AH17">
        <v>8.8116064460493586</v>
      </c>
      <c r="AI17">
        <v>3722.0225628112489</v>
      </c>
      <c r="AJ17">
        <v>11.48396488731777</v>
      </c>
      <c r="AK17">
        <v>4850.8267684030261</v>
      </c>
      <c r="AL17">
        <v>10.670415535312587</v>
      </c>
      <c r="AM17">
        <v>4507.1835221160363</v>
      </c>
      <c r="AN17">
        <v>16.023486721833802</v>
      </c>
      <c r="AO17">
        <v>6768.3207913025972</v>
      </c>
      <c r="AP17">
        <v>12.921339692486779</v>
      </c>
      <c r="AQ17">
        <v>5457.9738861064152</v>
      </c>
      <c r="AR17">
        <v>14.15882061416478</v>
      </c>
      <c r="AS17">
        <v>5980.6858274232027</v>
      </c>
      <c r="AT17">
        <v>12.165564486329171</v>
      </c>
      <c r="AU17">
        <v>5138.7344390254411</v>
      </c>
      <c r="AV17">
        <v>12.424365088929594</v>
      </c>
      <c r="AW17">
        <v>5248.0518135638604</v>
      </c>
      <c r="AX17">
        <v>14.051916767245752</v>
      </c>
      <c r="AY17">
        <v>5935.5296424846056</v>
      </c>
      <c r="AZ17">
        <v>9.2298579895616122</v>
      </c>
      <c r="BA17">
        <v>3898.6920147908249</v>
      </c>
      <c r="BB17">
        <v>9.4525309179215213</v>
      </c>
      <c r="BC17">
        <v>3992.7490597300502</v>
      </c>
      <c r="BD17">
        <v>7.802741360197329</v>
      </c>
      <c r="BE17">
        <v>3295.8779505473517</v>
      </c>
      <c r="BF17">
        <v>11.615731474727415</v>
      </c>
      <c r="BG17">
        <v>4906.4849749248597</v>
      </c>
      <c r="BH17">
        <v>16.505799031186658</v>
      </c>
      <c r="BI17">
        <v>6972.049510773244</v>
      </c>
      <c r="BJ17">
        <v>12.707847848629799</v>
      </c>
      <c r="BK17">
        <v>5367.7949312612263</v>
      </c>
      <c r="BL17">
        <v>9.9150857063280977</v>
      </c>
      <c r="BM17">
        <v>4188.1322023529883</v>
      </c>
      <c r="BN17">
        <v>12.625978862813243</v>
      </c>
      <c r="BO17">
        <v>5333.2134716523133</v>
      </c>
      <c r="BP17">
        <v>11.461653975431107</v>
      </c>
      <c r="BQ17">
        <v>4841.4026392220994</v>
      </c>
      <c r="BR17">
        <v>10.682324481222535</v>
      </c>
      <c r="BS17">
        <v>4512.213860868399</v>
      </c>
      <c r="BT17">
        <v>8.439479590144277</v>
      </c>
      <c r="BU17">
        <v>3564.8361788769425</v>
      </c>
      <c r="BV17">
        <v>16.963424363842957</v>
      </c>
      <c r="BW17">
        <v>7165.3504512872651</v>
      </c>
      <c r="BX17">
        <v>14.200834918657851</v>
      </c>
      <c r="BY17">
        <v>5998.4326696410753</v>
      </c>
      <c r="BZ17">
        <v>9.3393535316522414</v>
      </c>
      <c r="CA17">
        <v>3944.9429317699064</v>
      </c>
      <c r="CB17">
        <v>17.280497716438152</v>
      </c>
      <c r="CC17">
        <v>7299.282235423475</v>
      </c>
      <c r="CD17">
        <v>10.805109820087161</v>
      </c>
      <c r="CE17">
        <v>4564.0783880048166</v>
      </c>
      <c r="CF17">
        <v>8.0597178720601157</v>
      </c>
      <c r="CG17">
        <v>3404.4248291581926</v>
      </c>
      <c r="CH17">
        <v>9.266594730699067</v>
      </c>
      <c r="CI17">
        <v>3914.2096142472856</v>
      </c>
      <c r="CJ17">
        <v>15.046444848551253</v>
      </c>
      <c r="CK17">
        <v>6355.6183040280494</v>
      </c>
      <c r="CL17">
        <v>15.434248182833983</v>
      </c>
      <c r="CM17">
        <v>6519.4264324290743</v>
      </c>
      <c r="CN17">
        <v>12.925540493147052</v>
      </c>
      <c r="CO17">
        <v>5459.7483043053144</v>
      </c>
      <c r="CP17">
        <v>8.4254953654712956</v>
      </c>
      <c r="CQ17">
        <v>3558.9292423750749</v>
      </c>
      <c r="CR17">
        <v>14.504728612269833</v>
      </c>
      <c r="CS17">
        <v>6126.7973658227775</v>
      </c>
      <c r="CT17">
        <v>10.822881382291254</v>
      </c>
      <c r="CU17">
        <v>4571.5850958798255</v>
      </c>
    </row>
    <row r="18" spans="2:99" x14ac:dyDescent="0.2">
      <c r="C18" s="119" t="s">
        <v>184</v>
      </c>
      <c r="D18">
        <v>13</v>
      </c>
      <c r="E18">
        <v>8486.4</v>
      </c>
      <c r="F18">
        <v>16.151974556952915</v>
      </c>
      <c r="G18">
        <v>10544.008990778862</v>
      </c>
      <c r="H18">
        <v>21.84721681761031</v>
      </c>
      <c r="I18">
        <v>14261.86313853601</v>
      </c>
      <c r="J18">
        <v>11.352173211068173</v>
      </c>
      <c r="K18">
        <v>7410.6986721853027</v>
      </c>
      <c r="L18">
        <v>12.356710700028984</v>
      </c>
      <c r="M18">
        <v>8066.46074497892</v>
      </c>
      <c r="N18">
        <v>7.70641121994798</v>
      </c>
      <c r="O18">
        <v>5030.7452443820412</v>
      </c>
      <c r="P18">
        <v>11.624412888385658</v>
      </c>
      <c r="Q18">
        <v>7588.4167335381571</v>
      </c>
      <c r="R18">
        <v>11.416224636421029</v>
      </c>
      <c r="S18">
        <v>7452.5114426556474</v>
      </c>
      <c r="T18">
        <v>9.9622629579046009</v>
      </c>
      <c r="U18">
        <v>6503.3652589201229</v>
      </c>
      <c r="V18">
        <v>8.901937067685445</v>
      </c>
      <c r="W18">
        <v>5811.1845177850582</v>
      </c>
      <c r="X18">
        <v>11.024241753657398</v>
      </c>
      <c r="Y18">
        <v>7196.6250167875487</v>
      </c>
      <c r="Z18">
        <v>12.843488393608597</v>
      </c>
      <c r="AA18">
        <v>8384.229223347691</v>
      </c>
      <c r="AB18">
        <v>8.9285100141561475</v>
      </c>
      <c r="AC18">
        <v>5828.5313372411329</v>
      </c>
      <c r="AD18">
        <v>10.199661908754679</v>
      </c>
      <c r="AE18">
        <v>6658.3392940350541</v>
      </c>
      <c r="AF18">
        <v>9.7007054748399248</v>
      </c>
      <c r="AG18">
        <v>6332.6205339755024</v>
      </c>
      <c r="AH18">
        <v>8.3220727546021713</v>
      </c>
      <c r="AI18">
        <v>5432.6490942042974</v>
      </c>
      <c r="AJ18">
        <v>11.48396488731777</v>
      </c>
      <c r="AK18">
        <v>7496.7322784410399</v>
      </c>
      <c r="AL18">
        <v>10.670415535312587</v>
      </c>
      <c r="AM18">
        <v>6965.6472614520562</v>
      </c>
      <c r="AN18">
        <v>13.887021825589295</v>
      </c>
      <c r="AO18">
        <v>9065.4478477446919</v>
      </c>
      <c r="AP18">
        <v>13.878475966004316</v>
      </c>
      <c r="AQ18">
        <v>9059.8691106076167</v>
      </c>
      <c r="AR18">
        <v>13.65314844937318</v>
      </c>
      <c r="AS18">
        <v>8912.7753077508114</v>
      </c>
      <c r="AT18">
        <v>11.326560038996124</v>
      </c>
      <c r="AU18">
        <v>7393.9783934566694</v>
      </c>
      <c r="AV18">
        <v>10.583718409088172</v>
      </c>
      <c r="AW18">
        <v>6909.0513774527581</v>
      </c>
      <c r="AX18">
        <v>15.557479278022081</v>
      </c>
      <c r="AY18">
        <v>10155.922472692813</v>
      </c>
      <c r="AZ18">
        <v>8.6529918652140108</v>
      </c>
      <c r="BA18">
        <v>5648.673089611706</v>
      </c>
      <c r="BB18">
        <v>9.902651437822545</v>
      </c>
      <c r="BC18">
        <v>6464.4508586105567</v>
      </c>
      <c r="BD18">
        <v>7.802741360197329</v>
      </c>
      <c r="BE18">
        <v>5093.6295599368159</v>
      </c>
      <c r="BF18">
        <v>12.099720286174392</v>
      </c>
      <c r="BG18">
        <v>7898.6974028146424</v>
      </c>
      <c r="BH18">
        <v>15.505447574751104</v>
      </c>
      <c r="BI18">
        <v>10121.956176797519</v>
      </c>
      <c r="BJ18">
        <v>13.17850888006053</v>
      </c>
      <c r="BK18">
        <v>8602.930596903514</v>
      </c>
      <c r="BL18">
        <v>8.8134095167360886</v>
      </c>
      <c r="BM18">
        <v>5753.3937325253182</v>
      </c>
      <c r="BN18">
        <v>13.496736025765882</v>
      </c>
      <c r="BO18">
        <v>8810.669277619967</v>
      </c>
      <c r="BP18">
        <v>10.579988285013329</v>
      </c>
      <c r="BQ18">
        <v>6906.6163524567</v>
      </c>
      <c r="BR18">
        <v>10.682324481222535</v>
      </c>
      <c r="BS18">
        <v>6973.4214213420701</v>
      </c>
      <c r="BT18">
        <v>9.4323595419259565</v>
      </c>
      <c r="BU18">
        <v>6157.4443089692641</v>
      </c>
      <c r="BV18">
        <v>13.969878887870671</v>
      </c>
      <c r="BW18">
        <v>9119.5369380019729</v>
      </c>
      <c r="BX18">
        <v>14.644611009865908</v>
      </c>
      <c r="BY18">
        <v>9560.0020672404644</v>
      </c>
      <c r="BZ18">
        <v>9.3393535316522414</v>
      </c>
      <c r="CA18">
        <v>6096.7299854625826</v>
      </c>
      <c r="CB18">
        <v>16.772247783601738</v>
      </c>
      <c r="CC18">
        <v>10948.923353135215</v>
      </c>
      <c r="CD18">
        <v>9.8228271091701469</v>
      </c>
      <c r="CE18">
        <v>6412.3415368662718</v>
      </c>
      <c r="CF18">
        <v>8.955242080066796</v>
      </c>
      <c r="CG18">
        <v>5845.9820298676041</v>
      </c>
      <c r="CH18">
        <v>9.266594730699067</v>
      </c>
      <c r="CI18">
        <v>6049.2330402003508</v>
      </c>
      <c r="CJ18">
        <v>14.59049197435273</v>
      </c>
      <c r="CK18">
        <v>9524.673160857461</v>
      </c>
      <c r="CL18">
        <v>14.9020327282535</v>
      </c>
      <c r="CM18">
        <v>9728.0469650038849</v>
      </c>
      <c r="CN18">
        <v>12.925540493147052</v>
      </c>
      <c r="CO18">
        <v>8437.7928339263945</v>
      </c>
      <c r="CP18">
        <v>8.4254953654712956</v>
      </c>
      <c r="CQ18">
        <v>5500.1633745796616</v>
      </c>
      <c r="CR18">
        <v>13.186116920245304</v>
      </c>
      <c r="CS18">
        <v>8607.8971255361339</v>
      </c>
      <c r="CT18">
        <v>10.330932228550742</v>
      </c>
      <c r="CU18">
        <v>6744.0325587979241</v>
      </c>
    </row>
    <row r="19" spans="2:99" x14ac:dyDescent="0.2">
      <c r="C19" s="119" t="s">
        <v>185</v>
      </c>
      <c r="D19">
        <v>13</v>
      </c>
      <c r="E19">
        <v>4290</v>
      </c>
      <c r="F19">
        <v>16.151974556952915</v>
      </c>
      <c r="G19">
        <v>5330.1516037944621</v>
      </c>
      <c r="H19">
        <v>22.750951489162226</v>
      </c>
      <c r="I19">
        <v>7507.8139914235344</v>
      </c>
      <c r="J19">
        <v>11.352173211068173</v>
      </c>
      <c r="K19">
        <v>3746.2171596524972</v>
      </c>
      <c r="L19">
        <v>12.356710700028984</v>
      </c>
      <c r="M19">
        <v>4077.7145310095648</v>
      </c>
      <c r="N19">
        <v>8.1880619211947288</v>
      </c>
      <c r="O19">
        <v>2702.0604339942606</v>
      </c>
      <c r="P19">
        <v>12.518598495184555</v>
      </c>
      <c r="Q19">
        <v>4131.1375034109033</v>
      </c>
      <c r="R19">
        <v>11.87287362187787</v>
      </c>
      <c r="S19">
        <v>3918.0482952196971</v>
      </c>
      <c r="T19">
        <v>9.4878694837186668</v>
      </c>
      <c r="U19">
        <v>3130.9969296271602</v>
      </c>
      <c r="V19">
        <v>8.3084745965064162</v>
      </c>
      <c r="W19">
        <v>2741.7966168471175</v>
      </c>
      <c r="X19">
        <v>9.8637952532724089</v>
      </c>
      <c r="Y19">
        <v>3255.052433579895</v>
      </c>
      <c r="Z19">
        <v>13.337468716439696</v>
      </c>
      <c r="AA19">
        <v>4401.3646764250998</v>
      </c>
      <c r="AB19">
        <v>10.044573765925668</v>
      </c>
      <c r="AC19">
        <v>3314.7093427554701</v>
      </c>
      <c r="AD19">
        <v>11.729611195067882</v>
      </c>
      <c r="AE19">
        <v>3870.7716943724013</v>
      </c>
      <c r="AF19">
        <v>10.994132871485247</v>
      </c>
      <c r="AG19">
        <v>3628.0638475901314</v>
      </c>
      <c r="AH19">
        <v>9.3011401374965441</v>
      </c>
      <c r="AI19">
        <v>3069.3762453738595</v>
      </c>
      <c r="AJ19">
        <v>11.48396488731777</v>
      </c>
      <c r="AK19">
        <v>3789.708412814864</v>
      </c>
      <c r="AL19">
        <v>12.004217477226662</v>
      </c>
      <c r="AM19">
        <v>3961.3917674847985</v>
      </c>
      <c r="AN19">
        <v>14.421138049650423</v>
      </c>
      <c r="AO19">
        <v>4758.9755563846393</v>
      </c>
      <c r="AP19">
        <v>13.878475966004316</v>
      </c>
      <c r="AQ19">
        <v>4579.8970687814244</v>
      </c>
      <c r="AR19">
        <v>14.664492778956378</v>
      </c>
      <c r="AS19">
        <v>4839.2826170556045</v>
      </c>
      <c r="AT19">
        <v>10.907057815329601</v>
      </c>
      <c r="AU19">
        <v>3599.3290790587685</v>
      </c>
      <c r="AV19">
        <v>12.884526758889949</v>
      </c>
      <c r="AW19">
        <v>4251.8938304336834</v>
      </c>
      <c r="AX19">
        <v>16.561187618539634</v>
      </c>
      <c r="AY19">
        <v>5465.1919141180788</v>
      </c>
      <c r="AZ19">
        <v>10.383590238256813</v>
      </c>
      <c r="BA19">
        <v>3426.5847786247482</v>
      </c>
      <c r="BB19">
        <v>10.35277195772357</v>
      </c>
      <c r="BC19">
        <v>3416.4147460487784</v>
      </c>
      <c r="BD19">
        <v>7.802741360197329</v>
      </c>
      <c r="BE19">
        <v>2574.9046488651184</v>
      </c>
      <c r="BF19">
        <v>11.615731474727415</v>
      </c>
      <c r="BG19">
        <v>3833.1913866600471</v>
      </c>
      <c r="BH19">
        <v>15.005271846533327</v>
      </c>
      <c r="BI19">
        <v>4951.7397093559985</v>
      </c>
      <c r="BJ19">
        <v>12.237186817199065</v>
      </c>
      <c r="BK19">
        <v>4038.2716496756916</v>
      </c>
      <c r="BL19">
        <v>9.9150857063280977</v>
      </c>
      <c r="BM19">
        <v>3271.9782830882723</v>
      </c>
      <c r="BN19">
        <v>13.061357444289561</v>
      </c>
      <c r="BO19">
        <v>4310.2479566155553</v>
      </c>
      <c r="BP19">
        <v>11.461653975431107</v>
      </c>
      <c r="BQ19">
        <v>3782.3458118922654</v>
      </c>
      <c r="BR19">
        <v>9.7921307744539909</v>
      </c>
      <c r="BS19">
        <v>3231.403155569817</v>
      </c>
      <c r="BT19">
        <v>9.4323595419259565</v>
      </c>
      <c r="BU19">
        <v>3112.6786488355656</v>
      </c>
      <c r="BV19">
        <v>15.965575871852195</v>
      </c>
      <c r="BW19">
        <v>5268.6400377112241</v>
      </c>
      <c r="BX19">
        <v>15.088387101073966</v>
      </c>
      <c r="BY19">
        <v>4979.1677433544091</v>
      </c>
      <c r="BZ19">
        <v>8.8478086089337022</v>
      </c>
      <c r="CA19">
        <v>2919.7768409481218</v>
      </c>
      <c r="CB19">
        <v>16.263997850765321</v>
      </c>
      <c r="CC19">
        <v>5367.1192907525556</v>
      </c>
      <c r="CD19">
        <v>10.313968464628655</v>
      </c>
      <c r="CE19">
        <v>3403.609593327456</v>
      </c>
      <c r="CF19">
        <v>8.5074799760634559</v>
      </c>
      <c r="CG19">
        <v>2807.4683921009405</v>
      </c>
      <c r="CH19">
        <v>9.7814055490712377</v>
      </c>
      <c r="CI19">
        <v>3227.8638311935083</v>
      </c>
      <c r="CJ19">
        <v>14.134539100154207</v>
      </c>
      <c r="CK19">
        <v>4664.3979030508881</v>
      </c>
      <c r="CL19">
        <v>15.434248182833983</v>
      </c>
      <c r="CM19">
        <v>5093.3019003352147</v>
      </c>
      <c r="CN19">
        <v>13.733386773968741</v>
      </c>
      <c r="CO19">
        <v>4532.0176354096848</v>
      </c>
      <c r="CP19">
        <v>9.9123474887897594</v>
      </c>
      <c r="CQ19">
        <v>3271.0746713006206</v>
      </c>
      <c r="CR19">
        <v>14.944265842944677</v>
      </c>
      <c r="CS19">
        <v>4931.6077281717435</v>
      </c>
      <c r="CT19">
        <v>11.806779689772275</v>
      </c>
      <c r="CU19">
        <v>3896.2372976248507</v>
      </c>
    </row>
    <row r="20" spans="2:99" x14ac:dyDescent="0.2">
      <c r="B20" s="119" t="s">
        <v>127</v>
      </c>
      <c r="C20" s="119" t="s">
        <v>186</v>
      </c>
      <c r="D20">
        <v>16</v>
      </c>
      <c r="E20">
        <v>4588.8</v>
      </c>
      <c r="F20">
        <v>17.322945933524942</v>
      </c>
      <c r="G20">
        <v>4968.2208937349533</v>
      </c>
      <c r="H20">
        <v>16.42480878829879</v>
      </c>
      <c r="I20">
        <v>4710.6351604840929</v>
      </c>
      <c r="J20">
        <v>6.416445727995054</v>
      </c>
      <c r="K20">
        <v>1840.2366347889815</v>
      </c>
      <c r="L20">
        <v>7.9955186882540481</v>
      </c>
      <c r="M20">
        <v>2293.1147597912609</v>
      </c>
      <c r="N20">
        <v>7.2247605187012311</v>
      </c>
      <c r="O20">
        <v>2072.0613167635133</v>
      </c>
      <c r="P20">
        <v>9.3889488713884166</v>
      </c>
      <c r="Q20">
        <v>2692.7505363141981</v>
      </c>
      <c r="R20">
        <v>5.9364368109389352</v>
      </c>
      <c r="S20">
        <v>1702.5700773772867</v>
      </c>
      <c r="T20">
        <v>9.0134760095327344</v>
      </c>
      <c r="U20">
        <v>2585.0649195339884</v>
      </c>
      <c r="V20">
        <v>7.7150121253273856</v>
      </c>
      <c r="W20">
        <v>2212.6654775438942</v>
      </c>
      <c r="X20">
        <v>8.1231255026949256</v>
      </c>
      <c r="Y20">
        <v>2329.7123941729046</v>
      </c>
      <c r="Z20">
        <v>5.4337835511420991</v>
      </c>
      <c r="AA20">
        <v>1558.409122467554</v>
      </c>
      <c r="AB20">
        <v>8.3704781382713893</v>
      </c>
      <c r="AC20">
        <v>2400.6531300562347</v>
      </c>
      <c r="AD20">
        <v>7.6497464315660091</v>
      </c>
      <c r="AE20">
        <v>2193.9472765731316</v>
      </c>
      <c r="AF20">
        <v>7.7605643798719388</v>
      </c>
      <c r="AG20">
        <v>2225.7298641472721</v>
      </c>
      <c r="AH20">
        <v>10.280207520390917</v>
      </c>
      <c r="AI20">
        <v>2948.3635168481151</v>
      </c>
      <c r="AJ20">
        <v>7.8299760595348422</v>
      </c>
      <c r="AK20">
        <v>2245.637133874593</v>
      </c>
      <c r="AL20">
        <v>8.002811651484441</v>
      </c>
      <c r="AM20">
        <v>2295.2063816457376</v>
      </c>
      <c r="AN20">
        <v>7.4776271368557747</v>
      </c>
      <c r="AO20">
        <v>2144.5834628502362</v>
      </c>
      <c r="AP20">
        <v>8.6142264616578519</v>
      </c>
      <c r="AQ20">
        <v>2470.5601492034721</v>
      </c>
      <c r="AR20">
        <v>8.5964268014571878</v>
      </c>
      <c r="AS20">
        <v>2465.4552066579217</v>
      </c>
      <c r="AT20">
        <v>7.9705422496639384</v>
      </c>
      <c r="AU20">
        <v>2285.9515172036176</v>
      </c>
      <c r="AV20">
        <v>9.2032333992071074</v>
      </c>
      <c r="AW20">
        <v>2639.4873388925985</v>
      </c>
      <c r="AX20">
        <v>7.0259583836228758</v>
      </c>
      <c r="AY20">
        <v>2015.044864423041</v>
      </c>
      <c r="AZ20">
        <v>8.0761257408664093</v>
      </c>
      <c r="BA20">
        <v>2316.2328624804863</v>
      </c>
      <c r="BB20">
        <v>8.1021693582184469</v>
      </c>
      <c r="BC20">
        <v>2323.7021719370505</v>
      </c>
      <c r="BD20">
        <v>9.8834723895832841</v>
      </c>
      <c r="BE20">
        <v>2834.5798813324859</v>
      </c>
      <c r="BF20">
        <v>9.1957874174925376</v>
      </c>
      <c r="BG20">
        <v>2637.35183133686</v>
      </c>
      <c r="BH20">
        <v>6.5022844668311084</v>
      </c>
      <c r="BI20">
        <v>1864.855185087162</v>
      </c>
      <c r="BJ20">
        <v>8.4718985657531984</v>
      </c>
      <c r="BK20">
        <v>2429.7405086580175</v>
      </c>
      <c r="BL20">
        <v>11.01676189592011</v>
      </c>
      <c r="BM20">
        <v>3159.6073117498877</v>
      </c>
      <c r="BN20">
        <v>7.8368144665737374</v>
      </c>
      <c r="BO20">
        <v>2247.598389013348</v>
      </c>
      <c r="BP20">
        <v>7.4941583685511084</v>
      </c>
      <c r="BQ20">
        <v>2149.3246201004581</v>
      </c>
      <c r="BR20">
        <v>9.7921307744539909</v>
      </c>
      <c r="BS20">
        <v>2808.3831061134047</v>
      </c>
      <c r="BT20">
        <v>9.4323595419259565</v>
      </c>
      <c r="BU20">
        <v>2705.2007166243643</v>
      </c>
      <c r="BV20">
        <v>5.9870909519445732</v>
      </c>
      <c r="BW20">
        <v>1717.0976850177037</v>
      </c>
      <c r="BX20">
        <v>7.1004174593289253</v>
      </c>
      <c r="BY20">
        <v>2036.3997273355358</v>
      </c>
      <c r="BZ20">
        <v>9.3393535316522414</v>
      </c>
      <c r="CA20">
        <v>2678.5265928778631</v>
      </c>
      <c r="CB20">
        <v>6.6072491268734108</v>
      </c>
      <c r="CC20">
        <v>1894.9590495872942</v>
      </c>
      <c r="CD20">
        <v>8.3494030427946253</v>
      </c>
      <c r="CE20">
        <v>2394.6087926734986</v>
      </c>
      <c r="CF20">
        <v>10.746290496080155</v>
      </c>
      <c r="CG20">
        <v>3082.0361142757883</v>
      </c>
      <c r="CH20">
        <v>7.722162275582555</v>
      </c>
      <c r="CI20">
        <v>2214.7161406370769</v>
      </c>
      <c r="CJ20">
        <v>6.8392931129778427</v>
      </c>
      <c r="CK20">
        <v>1961.5092648020454</v>
      </c>
      <c r="CL20">
        <v>9.0476627278681967</v>
      </c>
      <c r="CM20">
        <v>2594.8696703525989</v>
      </c>
      <c r="CN20">
        <v>7.6745396678060613</v>
      </c>
      <c r="CO20">
        <v>2201.0579767267786</v>
      </c>
      <c r="CP20">
        <v>9.4167301143502709</v>
      </c>
      <c r="CQ20">
        <v>2700.7181967956576</v>
      </c>
      <c r="CR20">
        <v>5.7139839987729655</v>
      </c>
      <c r="CS20">
        <v>1638.7706108480866</v>
      </c>
      <c r="CT20">
        <v>6.3953389986266496</v>
      </c>
      <c r="CU20">
        <v>1834.1832248061232</v>
      </c>
    </row>
    <row r="21" spans="2:99" x14ac:dyDescent="0.2">
      <c r="C21" s="119" t="s">
        <v>187</v>
      </c>
      <c r="D21">
        <v>15</v>
      </c>
      <c r="E21">
        <v>936</v>
      </c>
      <c r="F21">
        <v>19.284952294286711</v>
      </c>
      <c r="G21">
        <v>1203.3810231634907</v>
      </c>
      <c r="H21">
        <v>17.33346798173709</v>
      </c>
      <c r="I21">
        <v>1081.6084020603944</v>
      </c>
      <c r="J21">
        <v>5.9228729796877424</v>
      </c>
      <c r="K21">
        <v>369.58727393251513</v>
      </c>
      <c r="L21">
        <v>7.9955186882540481</v>
      </c>
      <c r="M21">
        <v>498.92036614705262</v>
      </c>
      <c r="N21">
        <v>7.2247605187012311</v>
      </c>
      <c r="O21">
        <v>450.8250563669568</v>
      </c>
      <c r="P21">
        <v>7.6005776577906223</v>
      </c>
      <c r="Q21">
        <v>474.27604584613482</v>
      </c>
      <c r="R21">
        <v>5.9364368109389352</v>
      </c>
      <c r="S21">
        <v>370.43365700258954</v>
      </c>
      <c r="T21">
        <v>9.0134760095327344</v>
      </c>
      <c r="U21">
        <v>562.44090299484265</v>
      </c>
      <c r="V21">
        <v>7.7150121253273856</v>
      </c>
      <c r="W21">
        <v>481.41675662042883</v>
      </c>
      <c r="X21">
        <v>8.1231255026949256</v>
      </c>
      <c r="Y21">
        <v>506.88303136816336</v>
      </c>
      <c r="Z21">
        <v>5.9277638739731984</v>
      </c>
      <c r="AA21">
        <v>369.89246573592754</v>
      </c>
      <c r="AB21">
        <v>7.8124462623866293</v>
      </c>
      <c r="AC21">
        <v>487.49664677292566</v>
      </c>
      <c r="AD21">
        <v>8.6697126224414784</v>
      </c>
      <c r="AE21">
        <v>540.99006764034823</v>
      </c>
      <c r="AF21">
        <v>7.1138506815492768</v>
      </c>
      <c r="AG21">
        <v>443.90428252867486</v>
      </c>
      <c r="AH21">
        <v>8.8116064460493586</v>
      </c>
      <c r="AI21">
        <v>549.84424223347992</v>
      </c>
      <c r="AJ21">
        <v>8.8739728674728209</v>
      </c>
      <c r="AK21">
        <v>553.73590693030405</v>
      </c>
      <c r="AL21">
        <v>7.3359106805274035</v>
      </c>
      <c r="AM21">
        <v>457.76082646490994</v>
      </c>
      <c r="AN21">
        <v>6.9435109127946477</v>
      </c>
      <c r="AO21">
        <v>433.27508095838601</v>
      </c>
      <c r="AP21">
        <v>8.1356583248990813</v>
      </c>
      <c r="AQ21">
        <v>507.66507947370263</v>
      </c>
      <c r="AR21">
        <v>9.1020989662487874</v>
      </c>
      <c r="AS21">
        <v>567.97097549392436</v>
      </c>
      <c r="AT21">
        <v>7.9705422496639384</v>
      </c>
      <c r="AU21">
        <v>497.36183637902974</v>
      </c>
      <c r="AV21">
        <v>9.6633950691674624</v>
      </c>
      <c r="AW21">
        <v>602.99585231604965</v>
      </c>
      <c r="AX21">
        <v>6.5241042133640983</v>
      </c>
      <c r="AY21">
        <v>407.10410291391975</v>
      </c>
      <c r="AZ21">
        <v>8.6529918652140108</v>
      </c>
      <c r="BA21">
        <v>539.94669238935421</v>
      </c>
      <c r="BB21">
        <v>9.0024103980204959</v>
      </c>
      <c r="BC21">
        <v>561.75040883647898</v>
      </c>
      <c r="BD21">
        <v>9.8834723895832841</v>
      </c>
      <c r="BE21">
        <v>616.72867710999697</v>
      </c>
      <c r="BF21">
        <v>8.7117986060455621</v>
      </c>
      <c r="BG21">
        <v>543.61623301724308</v>
      </c>
      <c r="BH21">
        <v>6.5022844668311084</v>
      </c>
      <c r="BI21">
        <v>405.74255073026114</v>
      </c>
      <c r="BJ21">
        <v>9.4132206286146651</v>
      </c>
      <c r="BK21">
        <v>587.3849672255551</v>
      </c>
      <c r="BL21">
        <v>11.01676189592011</v>
      </c>
      <c r="BM21">
        <v>687.44594230541486</v>
      </c>
      <c r="BN21">
        <v>8.2721930480500561</v>
      </c>
      <c r="BO21">
        <v>516.1848461983235</v>
      </c>
      <c r="BP21">
        <v>8.3758240589688846</v>
      </c>
      <c r="BQ21">
        <v>522.65142127965839</v>
      </c>
      <c r="BR21">
        <v>10.682324481222535</v>
      </c>
      <c r="BS21">
        <v>666.57704762828621</v>
      </c>
      <c r="BT21">
        <v>10.425239493707636</v>
      </c>
      <c r="BU21">
        <v>650.53494440735642</v>
      </c>
      <c r="BV21">
        <v>6.4860151979399543</v>
      </c>
      <c r="BW21">
        <v>404.72734835145314</v>
      </c>
      <c r="BX21">
        <v>6.6566413681208676</v>
      </c>
      <c r="BY21">
        <v>415.37442137074214</v>
      </c>
      <c r="BZ21">
        <v>10.322443377089318</v>
      </c>
      <c r="CA21">
        <v>644.12046673037344</v>
      </c>
      <c r="CB21">
        <v>7.115499059709828</v>
      </c>
      <c r="CC21">
        <v>444.00714132589326</v>
      </c>
      <c r="CD21">
        <v>7.8582616873361175</v>
      </c>
      <c r="CE21">
        <v>490.3555292897737</v>
      </c>
      <c r="CF21">
        <v>10.298528392076815</v>
      </c>
      <c r="CG21">
        <v>642.62817166559319</v>
      </c>
      <c r="CH21">
        <v>6.6925406388382145</v>
      </c>
      <c r="CI21">
        <v>417.61453586350456</v>
      </c>
      <c r="CJ21">
        <v>6.3833402387793203</v>
      </c>
      <c r="CK21">
        <v>398.3204308998296</v>
      </c>
      <c r="CL21">
        <v>9.5798781824486792</v>
      </c>
      <c r="CM21">
        <v>597.7843985847976</v>
      </c>
      <c r="CN21">
        <v>8.8863090890385976</v>
      </c>
      <c r="CO21">
        <v>554.50568715600843</v>
      </c>
      <c r="CP21">
        <v>10.407964863229246</v>
      </c>
      <c r="CQ21">
        <v>649.45700746550494</v>
      </c>
      <c r="CR21">
        <v>6.1535212294478088</v>
      </c>
      <c r="CS21">
        <v>383.97972471754326</v>
      </c>
      <c r="CT21">
        <v>7.3792373061076724</v>
      </c>
      <c r="CU21">
        <v>460.46440790111876</v>
      </c>
    </row>
    <row r="22" spans="2:99" x14ac:dyDescent="0.2">
      <c r="C22" s="119" t="s">
        <v>188</v>
      </c>
      <c r="D22">
        <v>14</v>
      </c>
      <c r="E22">
        <v>2620.7999999999997</v>
      </c>
      <c r="F22">
        <v>17.303949113905826</v>
      </c>
      <c r="G22">
        <v>3239.2992741231706</v>
      </c>
      <c r="H22">
        <v>17.338392503623474</v>
      </c>
      <c r="I22">
        <v>3245.747076678314</v>
      </c>
      <c r="J22">
        <v>5.9228729796877424</v>
      </c>
      <c r="K22">
        <v>1108.7618217975453</v>
      </c>
      <c r="L22">
        <v>8.7223840235498695</v>
      </c>
      <c r="M22">
        <v>1632.8302892085355</v>
      </c>
      <c r="N22">
        <v>7.70641121994798</v>
      </c>
      <c r="O22">
        <v>1442.6401803742617</v>
      </c>
      <c r="P22">
        <v>8.0476704611900711</v>
      </c>
      <c r="Q22">
        <v>1506.5239103347812</v>
      </c>
      <c r="R22">
        <v>5.4797878254820942</v>
      </c>
      <c r="S22">
        <v>1025.816280930248</v>
      </c>
      <c r="T22">
        <v>10.436656432090533</v>
      </c>
      <c r="U22">
        <v>1953.7420840873476</v>
      </c>
      <c r="V22">
        <v>7.1215496541483558</v>
      </c>
      <c r="W22">
        <v>1333.1540952565722</v>
      </c>
      <c r="X22">
        <v>6.9626790023099359</v>
      </c>
      <c r="Y22">
        <v>1303.41350923242</v>
      </c>
      <c r="Z22">
        <v>5.4337835511420991</v>
      </c>
      <c r="AA22">
        <v>1017.2042807738009</v>
      </c>
      <c r="AB22">
        <v>8.3704781382713893</v>
      </c>
      <c r="AC22">
        <v>1566.9535074844039</v>
      </c>
      <c r="AD22">
        <v>8.6697126224414784</v>
      </c>
      <c r="AE22">
        <v>1622.9702029210446</v>
      </c>
      <c r="AF22">
        <v>7.7605643798719388</v>
      </c>
      <c r="AG22">
        <v>1452.7776519120268</v>
      </c>
      <c r="AH22">
        <v>10.280207520390917</v>
      </c>
      <c r="AI22">
        <v>1924.4548478171796</v>
      </c>
      <c r="AJ22">
        <v>7.8299760595348422</v>
      </c>
      <c r="AK22">
        <v>1465.7715183449225</v>
      </c>
      <c r="AL22">
        <v>6.6690097095703678</v>
      </c>
      <c r="AM22">
        <v>1248.4386176315727</v>
      </c>
      <c r="AN22">
        <v>7.4776271368557747</v>
      </c>
      <c r="AO22">
        <v>1399.8118000194008</v>
      </c>
      <c r="AP22">
        <v>8.1356583248990813</v>
      </c>
      <c r="AQ22">
        <v>1522.9952384211078</v>
      </c>
      <c r="AR22">
        <v>8.5964268014571878</v>
      </c>
      <c r="AS22">
        <v>1609.2510972327855</v>
      </c>
      <c r="AT22">
        <v>7.5510400259974153</v>
      </c>
      <c r="AU22">
        <v>1413.5546928667161</v>
      </c>
      <c r="AV22">
        <v>10.123556739127817</v>
      </c>
      <c r="AW22">
        <v>1895.1298215647273</v>
      </c>
      <c r="AX22">
        <v>6.0222500431053216</v>
      </c>
      <c r="AY22">
        <v>1127.3652080693162</v>
      </c>
      <c r="AZ22">
        <v>9.2298579895616122</v>
      </c>
      <c r="BA22">
        <v>1727.8294156459338</v>
      </c>
      <c r="BB22">
        <v>9.4525309179215213</v>
      </c>
      <c r="BC22">
        <v>1769.5137878349087</v>
      </c>
      <c r="BD22">
        <v>10.403655146929774</v>
      </c>
      <c r="BE22">
        <v>1947.5642435052534</v>
      </c>
      <c r="BF22">
        <v>7.7438209831516112</v>
      </c>
      <c r="BG22">
        <v>1449.6432880459815</v>
      </c>
      <c r="BH22">
        <v>7.5026359232666637</v>
      </c>
      <c r="BI22">
        <v>1404.4934448355193</v>
      </c>
      <c r="BJ22">
        <v>8.9425595971839318</v>
      </c>
      <c r="BK22">
        <v>1674.0471565928319</v>
      </c>
      <c r="BL22">
        <v>10.465923801124104</v>
      </c>
      <c r="BM22">
        <v>1959.2209355704322</v>
      </c>
      <c r="BN22">
        <v>7.8368144665737374</v>
      </c>
      <c r="BO22">
        <v>1467.0516681426036</v>
      </c>
      <c r="BP22">
        <v>7.0533255233422194</v>
      </c>
      <c r="BQ22">
        <v>1320.3825379696634</v>
      </c>
      <c r="BR22">
        <v>9.347033921069718</v>
      </c>
      <c r="BS22">
        <v>1749.764750024251</v>
      </c>
      <c r="BT22">
        <v>8.9359195660351158</v>
      </c>
      <c r="BU22">
        <v>1672.8041427617736</v>
      </c>
      <c r="BV22">
        <v>6.4860151979399543</v>
      </c>
      <c r="BW22">
        <v>1214.1820450543594</v>
      </c>
      <c r="BX22">
        <v>6.212865276912809</v>
      </c>
      <c r="BY22">
        <v>1163.0483798380778</v>
      </c>
      <c r="BZ22">
        <v>8.3562636862151631</v>
      </c>
      <c r="CA22">
        <v>1564.2925620594785</v>
      </c>
      <c r="CB22">
        <v>5.5907492612005782</v>
      </c>
      <c r="CC22">
        <v>1046.5882616967481</v>
      </c>
      <c r="CD22">
        <v>7.8582616873361175</v>
      </c>
      <c r="CE22">
        <v>1471.0665878693212</v>
      </c>
      <c r="CF22">
        <v>9.8507662880734763</v>
      </c>
      <c r="CG22">
        <v>1844.0634491273547</v>
      </c>
      <c r="CH22">
        <v>6.6925406388382145</v>
      </c>
      <c r="CI22">
        <v>1252.8436075905138</v>
      </c>
      <c r="CJ22">
        <v>6.8392931129778427</v>
      </c>
      <c r="CK22">
        <v>1280.315670749452</v>
      </c>
      <c r="CL22">
        <v>8.5154472732877142</v>
      </c>
      <c r="CM22">
        <v>1594.09172955946</v>
      </c>
      <c r="CN22">
        <v>8.0784628082169068</v>
      </c>
      <c r="CO22">
        <v>1512.288237698205</v>
      </c>
      <c r="CP22">
        <v>10.407964863229246</v>
      </c>
      <c r="CQ22">
        <v>1948.3710223965147</v>
      </c>
      <c r="CR22">
        <v>6.1535212294478088</v>
      </c>
      <c r="CS22">
        <v>1151.9391741526297</v>
      </c>
      <c r="CT22">
        <v>7.3792373061076724</v>
      </c>
      <c r="CU22">
        <v>1381.3932237033562</v>
      </c>
    </row>
    <row r="23" spans="2:99" x14ac:dyDescent="0.2">
      <c r="C23" s="119" t="s">
        <v>189</v>
      </c>
      <c r="D23">
        <v>16</v>
      </c>
      <c r="E23">
        <v>4704</v>
      </c>
      <c r="F23">
        <v>16.284952294286711</v>
      </c>
      <c r="G23">
        <v>4787.7759745202929</v>
      </c>
      <c r="H23">
        <v>17.328543459850707</v>
      </c>
      <c r="I23">
        <v>5094.5917771961076</v>
      </c>
      <c r="J23">
        <v>6.9100184763023655</v>
      </c>
      <c r="K23">
        <v>2031.5454320328954</v>
      </c>
      <c r="L23">
        <v>7.9955186882540481</v>
      </c>
      <c r="M23">
        <v>2350.68249434669</v>
      </c>
      <c r="N23">
        <v>7.70641121994798</v>
      </c>
      <c r="O23">
        <v>2265.684898664706</v>
      </c>
      <c r="P23">
        <v>8.0476704611900711</v>
      </c>
      <c r="Q23">
        <v>2366.0151155898811</v>
      </c>
      <c r="R23">
        <v>5.9364368109389352</v>
      </c>
      <c r="S23">
        <v>1745.312422416047</v>
      </c>
      <c r="T23">
        <v>9.0134760095327344</v>
      </c>
      <c r="U23">
        <v>2649.961946802624</v>
      </c>
      <c r="V23">
        <v>7.7150121253273856</v>
      </c>
      <c r="W23">
        <v>2268.2135648462513</v>
      </c>
      <c r="X23">
        <v>7.5429022525024294</v>
      </c>
      <c r="Y23">
        <v>2217.613262235714</v>
      </c>
      <c r="Z23">
        <v>5.4337835511420991</v>
      </c>
      <c r="AA23">
        <v>1597.5323640357772</v>
      </c>
      <c r="AB23">
        <v>8.9285100141561475</v>
      </c>
      <c r="AC23">
        <v>2624.9819441619074</v>
      </c>
      <c r="AD23">
        <v>8.1597295270037442</v>
      </c>
      <c r="AE23">
        <v>2398.9604809391008</v>
      </c>
      <c r="AF23">
        <v>7.1138506815492768</v>
      </c>
      <c r="AG23">
        <v>2091.4721003754876</v>
      </c>
      <c r="AH23">
        <v>8.8116064460493586</v>
      </c>
      <c r="AI23">
        <v>2590.6122951385114</v>
      </c>
      <c r="AJ23">
        <v>8.8739728674728209</v>
      </c>
      <c r="AK23">
        <v>2608.9480230370095</v>
      </c>
      <c r="AL23">
        <v>6.6690097095703678</v>
      </c>
      <c r="AM23">
        <v>1960.6888546136881</v>
      </c>
      <c r="AN23">
        <v>8.0117433609169009</v>
      </c>
      <c r="AO23">
        <v>2355.4525481095689</v>
      </c>
      <c r="AP23">
        <v>8.6142264616578519</v>
      </c>
      <c r="AQ23">
        <v>2532.5825797274083</v>
      </c>
      <c r="AR23">
        <v>7.5850824718739895</v>
      </c>
      <c r="AS23">
        <v>2230.0142467309529</v>
      </c>
      <c r="AT23">
        <v>7.1315378023308922</v>
      </c>
      <c r="AU23">
        <v>2096.6721138852822</v>
      </c>
      <c r="AV23">
        <v>8.2829100592863973</v>
      </c>
      <c r="AW23">
        <v>2435.175557430201</v>
      </c>
      <c r="AX23">
        <v>6.5241042133640983</v>
      </c>
      <c r="AY23">
        <v>1918.0866387290448</v>
      </c>
      <c r="AZ23">
        <v>7.4992596165188088</v>
      </c>
      <c r="BA23">
        <v>2204.7823272565297</v>
      </c>
      <c r="BB23">
        <v>9.0024103980204959</v>
      </c>
      <c r="BC23">
        <v>2646.7086570180259</v>
      </c>
      <c r="BD23">
        <v>9.8834723895832841</v>
      </c>
      <c r="BE23">
        <v>2905.7408825374855</v>
      </c>
      <c r="BF23">
        <v>8.2278097945985866</v>
      </c>
      <c r="BG23">
        <v>2418.9760796119845</v>
      </c>
      <c r="BH23">
        <v>6.0021087386133312</v>
      </c>
      <c r="BI23">
        <v>1764.6199691523193</v>
      </c>
      <c r="BJ23">
        <v>8.4718985657531984</v>
      </c>
      <c r="BK23">
        <v>2490.7381783314404</v>
      </c>
      <c r="BL23">
        <v>11.567599990716115</v>
      </c>
      <c r="BM23">
        <v>3400.8743972705379</v>
      </c>
      <c r="BN23">
        <v>7.4014358850974187</v>
      </c>
      <c r="BO23">
        <v>2176.0221502186409</v>
      </c>
      <c r="BP23">
        <v>8.3758240589688846</v>
      </c>
      <c r="BQ23">
        <v>2462.4922733368521</v>
      </c>
      <c r="BR23">
        <v>10.682324481222535</v>
      </c>
      <c r="BS23">
        <v>3140.6033974794254</v>
      </c>
      <c r="BT23">
        <v>10.425239493707636</v>
      </c>
      <c r="BU23">
        <v>3065.0204111500452</v>
      </c>
      <c r="BV23">
        <v>6.4860151979399543</v>
      </c>
      <c r="BW23">
        <v>1906.8884681943466</v>
      </c>
      <c r="BX23">
        <v>6.6566413681208676</v>
      </c>
      <c r="BY23">
        <v>1957.052562227535</v>
      </c>
      <c r="BZ23">
        <v>9.8308984543707805</v>
      </c>
      <c r="CA23">
        <v>2890.2841455850094</v>
      </c>
      <c r="CB23">
        <v>5.5907492612005782</v>
      </c>
      <c r="CC23">
        <v>1643.68028279297</v>
      </c>
      <c r="CD23">
        <v>8.8405443982531313</v>
      </c>
      <c r="CE23">
        <v>2599.1200530864207</v>
      </c>
      <c r="CF23">
        <v>10.298528392076815</v>
      </c>
      <c r="CG23">
        <v>3027.7673472705837</v>
      </c>
      <c r="CH23">
        <v>6.6925406388382145</v>
      </c>
      <c r="CI23">
        <v>1967.6069478184349</v>
      </c>
      <c r="CJ23">
        <v>5.9273873645807971</v>
      </c>
      <c r="CK23">
        <v>1742.6518851867543</v>
      </c>
      <c r="CL23">
        <v>7.9832318187072326</v>
      </c>
      <c r="CM23">
        <v>2347.0701546999262</v>
      </c>
      <c r="CN23">
        <v>8.0784628082169068</v>
      </c>
      <c r="CO23">
        <v>2375.0680656157706</v>
      </c>
      <c r="CP23">
        <v>10.407964863229246</v>
      </c>
      <c r="CQ23">
        <v>3059.9416697893985</v>
      </c>
      <c r="CR23">
        <v>5.2744467680981213</v>
      </c>
      <c r="CS23">
        <v>1550.6873498208477</v>
      </c>
      <c r="CT23">
        <v>7.3792373061076724</v>
      </c>
      <c r="CU23">
        <v>2169.4957679956556</v>
      </c>
    </row>
    <row r="24" spans="2:99" x14ac:dyDescent="0.2">
      <c r="C24" s="119" t="s">
        <v>190</v>
      </c>
      <c r="D24">
        <v>16</v>
      </c>
      <c r="E24">
        <v>5875.2</v>
      </c>
      <c r="F24">
        <v>18.322945933524942</v>
      </c>
      <c r="G24">
        <v>6728.1857467903583</v>
      </c>
      <c r="H24">
        <v>18.251976218948158</v>
      </c>
      <c r="I24">
        <v>6702.1256675977638</v>
      </c>
      <c r="J24">
        <v>5.9228729796877424</v>
      </c>
      <c r="K24">
        <v>2174.8789581413389</v>
      </c>
      <c r="L24">
        <v>7.9955186882540481</v>
      </c>
      <c r="M24">
        <v>2935.9544623268862</v>
      </c>
      <c r="N24">
        <v>8.1880619211947288</v>
      </c>
      <c r="O24">
        <v>3006.6563374627044</v>
      </c>
      <c r="P24">
        <v>8.494763264589519</v>
      </c>
      <c r="Q24">
        <v>3119.2770707572713</v>
      </c>
      <c r="R24">
        <v>5.9364368109389352</v>
      </c>
      <c r="S24">
        <v>2179.8595969767771</v>
      </c>
      <c r="T24">
        <v>9.0134760095327344</v>
      </c>
      <c r="U24">
        <v>3309.7483907004198</v>
      </c>
      <c r="V24">
        <v>7.7150121253273856</v>
      </c>
      <c r="W24">
        <v>2832.9524524202161</v>
      </c>
      <c r="X24">
        <v>7.5429022525024294</v>
      </c>
      <c r="Y24">
        <v>2769.7537071188922</v>
      </c>
      <c r="Z24">
        <v>4.9398032283109989</v>
      </c>
      <c r="AA24">
        <v>1813.8957454357987</v>
      </c>
      <c r="AB24">
        <v>9.4865418900409075</v>
      </c>
      <c r="AC24">
        <v>3483.458182023021</v>
      </c>
      <c r="AD24">
        <v>7.1397633361282757</v>
      </c>
      <c r="AE24">
        <v>2621.7210970263027</v>
      </c>
      <c r="AF24">
        <v>7.1138506815492768</v>
      </c>
      <c r="AG24">
        <v>2612.2059702648944</v>
      </c>
      <c r="AH24">
        <v>9.7906738289437314</v>
      </c>
      <c r="AI24">
        <v>3595.1354299881382</v>
      </c>
      <c r="AJ24">
        <v>7.3079776555658524</v>
      </c>
      <c r="AK24">
        <v>2683.4893951237809</v>
      </c>
      <c r="AL24">
        <v>6.6690097095703678</v>
      </c>
      <c r="AM24">
        <v>2448.8603653542391</v>
      </c>
      <c r="AN24">
        <v>7.4776271368557747</v>
      </c>
      <c r="AO24">
        <v>2745.7846846534403</v>
      </c>
      <c r="AP24">
        <v>8.1356583248990813</v>
      </c>
      <c r="AQ24">
        <v>2987.4137369029427</v>
      </c>
      <c r="AR24">
        <v>8.0907546366655883</v>
      </c>
      <c r="AS24">
        <v>2970.9251025836038</v>
      </c>
      <c r="AT24">
        <v>7.9705422496639384</v>
      </c>
      <c r="AU24">
        <v>2926.7831140765979</v>
      </c>
      <c r="AV24">
        <v>9.2032333992071074</v>
      </c>
      <c r="AW24">
        <v>3379.4273041888496</v>
      </c>
      <c r="AX24">
        <v>6.0222500431053216</v>
      </c>
      <c r="AY24">
        <v>2211.370215828274</v>
      </c>
      <c r="AZ24">
        <v>7.4992596165188088</v>
      </c>
      <c r="BA24">
        <v>2753.7281311857064</v>
      </c>
      <c r="BB24">
        <v>8.1021693582184469</v>
      </c>
      <c r="BC24">
        <v>2975.1165883378135</v>
      </c>
      <c r="BD24">
        <v>10.923837904276263</v>
      </c>
      <c r="BE24">
        <v>4011.2332784502437</v>
      </c>
      <c r="BF24">
        <v>8.7117986060455621</v>
      </c>
      <c r="BG24">
        <v>3198.9724481399303</v>
      </c>
      <c r="BH24">
        <v>6.5022844668311084</v>
      </c>
      <c r="BI24">
        <v>2387.6388562203829</v>
      </c>
      <c r="BJ24">
        <v>8.4718985657531984</v>
      </c>
      <c r="BK24">
        <v>3110.8811533445742</v>
      </c>
      <c r="BL24">
        <v>10.465923801124104</v>
      </c>
      <c r="BM24">
        <v>3843.0872197727708</v>
      </c>
      <c r="BN24">
        <v>7.8368144665737374</v>
      </c>
      <c r="BO24">
        <v>2877.6782721258764</v>
      </c>
      <c r="BP24">
        <v>7.9349912137599956</v>
      </c>
      <c r="BQ24">
        <v>2913.7287736926701</v>
      </c>
      <c r="BR24">
        <v>9.7921307744539909</v>
      </c>
      <c r="BS24">
        <v>3595.6704203795052</v>
      </c>
      <c r="BT24">
        <v>9.9287995178167954</v>
      </c>
      <c r="BU24">
        <v>3645.8551829423272</v>
      </c>
      <c r="BV24">
        <v>6.4860151979399543</v>
      </c>
      <c r="BW24">
        <v>2381.6647806835513</v>
      </c>
      <c r="BX24">
        <v>6.212865276912809</v>
      </c>
      <c r="BY24">
        <v>2281.3641296823835</v>
      </c>
      <c r="BZ24">
        <v>9.8308984543707805</v>
      </c>
      <c r="CA24">
        <v>3609.9059124449504</v>
      </c>
      <c r="CB24">
        <v>6.6072491268734108</v>
      </c>
      <c r="CC24">
        <v>2426.1818793879165</v>
      </c>
      <c r="CD24">
        <v>8.8405443982531313</v>
      </c>
      <c r="CE24">
        <v>3246.2479030385498</v>
      </c>
      <c r="CF24">
        <v>10.298528392076815</v>
      </c>
      <c r="CG24">
        <v>3781.6196255706063</v>
      </c>
      <c r="CH24">
        <v>6.6925406388382145</v>
      </c>
      <c r="CI24">
        <v>2457.5009225813924</v>
      </c>
      <c r="CJ24">
        <v>5.9273873645807971</v>
      </c>
      <c r="CK24">
        <v>2176.5366402740688</v>
      </c>
      <c r="CL24">
        <v>8.5154472732877142</v>
      </c>
      <c r="CM24">
        <v>3126.8722387512485</v>
      </c>
      <c r="CN24">
        <v>7.6745396678060613</v>
      </c>
      <c r="CO24">
        <v>2818.0909660183856</v>
      </c>
      <c r="CP24">
        <v>9.4167301143502709</v>
      </c>
      <c r="CQ24">
        <v>3457.8232979894192</v>
      </c>
      <c r="CR24">
        <v>5.2744467680981213</v>
      </c>
      <c r="CS24">
        <v>1936.77685324563</v>
      </c>
      <c r="CT24">
        <v>7.8711864598481833</v>
      </c>
      <c r="CU24">
        <v>2890.2996680562528</v>
      </c>
    </row>
    <row r="25" spans="2:99" x14ac:dyDescent="0.2">
      <c r="C25" s="119" t="s">
        <v>191</v>
      </c>
      <c r="D25">
        <v>14</v>
      </c>
      <c r="E25">
        <v>7425.5999999999995</v>
      </c>
      <c r="F25">
        <v>18.303949113905826</v>
      </c>
      <c r="G25">
        <v>9708.4146100156504</v>
      </c>
      <c r="H25">
        <v>18.23720265328901</v>
      </c>
      <c r="I25">
        <v>9673.0122873044911</v>
      </c>
      <c r="J25">
        <v>6.416445727995054</v>
      </c>
      <c r="K25">
        <v>3403.2828141285763</v>
      </c>
      <c r="L25">
        <v>7.9955186882540481</v>
      </c>
      <c r="M25">
        <v>4240.8231122499474</v>
      </c>
      <c r="N25">
        <v>8.1880619211947288</v>
      </c>
      <c r="O25">
        <v>4342.9480430016838</v>
      </c>
      <c r="P25">
        <v>7.6005776577906223</v>
      </c>
      <c r="Q25">
        <v>4031.3463896921457</v>
      </c>
      <c r="R25">
        <v>5.9364368109389352</v>
      </c>
      <c r="S25">
        <v>3148.6860845220112</v>
      </c>
      <c r="T25">
        <v>8.5390825353468003</v>
      </c>
      <c r="U25">
        <v>4529.1293767479428</v>
      </c>
      <c r="V25">
        <v>7.7150121253273856</v>
      </c>
      <c r="W25">
        <v>4092.042431273645</v>
      </c>
      <c r="X25">
        <v>6.9626790023099359</v>
      </c>
      <c r="Y25">
        <v>3693.00494282519</v>
      </c>
      <c r="Z25">
        <v>4.4458229054798988</v>
      </c>
      <c r="AA25">
        <v>2358.0644690665381</v>
      </c>
      <c r="AB25">
        <v>7.8124462623866293</v>
      </c>
      <c r="AC25">
        <v>4143.721497569868</v>
      </c>
      <c r="AD25">
        <v>7.1397633361282757</v>
      </c>
      <c r="AE25">
        <v>3786.9304734824373</v>
      </c>
      <c r="AF25">
        <v>7.7605643798719388</v>
      </c>
      <c r="AG25">
        <v>4116.2033470840761</v>
      </c>
      <c r="AH25">
        <v>9.7906738289437314</v>
      </c>
      <c r="AI25">
        <v>5192.9733988717553</v>
      </c>
      <c r="AJ25">
        <v>7.3079776555658524</v>
      </c>
      <c r="AK25">
        <v>3876.1513485121282</v>
      </c>
      <c r="AL25">
        <v>7.3359106805274035</v>
      </c>
      <c r="AM25">
        <v>3890.9670249517349</v>
      </c>
      <c r="AN25">
        <v>7.4776271368557747</v>
      </c>
      <c r="AO25">
        <v>3966.1334333883028</v>
      </c>
      <c r="AP25">
        <v>7.6570901881403133</v>
      </c>
      <c r="AQ25">
        <v>4061.320635789622</v>
      </c>
      <c r="AR25">
        <v>7.0794103070823899</v>
      </c>
      <c r="AS25">
        <v>3754.9192268764996</v>
      </c>
      <c r="AT25">
        <v>7.5510400259974153</v>
      </c>
      <c r="AU25">
        <v>4005.071629789029</v>
      </c>
      <c r="AV25">
        <v>9.2032333992071074</v>
      </c>
      <c r="AW25">
        <v>4881.3949949394491</v>
      </c>
      <c r="AX25">
        <v>6.0222500431053216</v>
      </c>
      <c r="AY25">
        <v>3194.2014228630624</v>
      </c>
      <c r="AZ25">
        <v>7.4992596165188088</v>
      </c>
      <c r="BA25">
        <v>3977.6073006015758</v>
      </c>
      <c r="BB25">
        <v>8.5522898781194723</v>
      </c>
      <c r="BC25">
        <v>4536.1345513545675</v>
      </c>
      <c r="BD25">
        <v>10.403655146929774</v>
      </c>
      <c r="BE25">
        <v>5518.0986899315521</v>
      </c>
      <c r="BF25">
        <v>8.2278097945985866</v>
      </c>
      <c r="BG25">
        <v>4364.0303150550899</v>
      </c>
      <c r="BH25">
        <v>6.0021087386133312</v>
      </c>
      <c r="BI25">
        <v>3183.5184749605105</v>
      </c>
      <c r="BJ25">
        <v>8.9425595971839318</v>
      </c>
      <c r="BK25">
        <v>4743.1336103463573</v>
      </c>
      <c r="BL25">
        <v>10.465923801124104</v>
      </c>
      <c r="BM25">
        <v>5551.1259841162246</v>
      </c>
      <c r="BN25">
        <v>7.4014358850974187</v>
      </c>
      <c r="BO25">
        <v>3925.7215934556707</v>
      </c>
      <c r="BP25">
        <v>7.0533255233422194</v>
      </c>
      <c r="BQ25">
        <v>3741.0838575807129</v>
      </c>
      <c r="BR25">
        <v>8.901937067685445</v>
      </c>
      <c r="BS25">
        <v>4721.5874207003599</v>
      </c>
      <c r="BT25">
        <v>10.425239493707636</v>
      </c>
      <c r="BU25">
        <v>5529.5470274625295</v>
      </c>
      <c r="BV25">
        <v>5.9870909519445732</v>
      </c>
      <c r="BW25">
        <v>3175.5530409114017</v>
      </c>
      <c r="BX25">
        <v>7.1004174593289253</v>
      </c>
      <c r="BY25">
        <v>3766.0614204280619</v>
      </c>
      <c r="BZ25">
        <v>9.3393535316522414</v>
      </c>
      <c r="CA25">
        <v>4953.593113188349</v>
      </c>
      <c r="CB25">
        <v>6.0989991940369954</v>
      </c>
      <c r="CC25">
        <v>3234.909172517222</v>
      </c>
      <c r="CD25">
        <v>7.3671203318776106</v>
      </c>
      <c r="CE25">
        <v>3907.5206240278844</v>
      </c>
      <c r="CF25">
        <v>10.298528392076815</v>
      </c>
      <c r="CG25">
        <v>5462.3394591575425</v>
      </c>
      <c r="CH25">
        <v>6.1777298204660447</v>
      </c>
      <c r="CI25">
        <v>3276.66789677519</v>
      </c>
      <c r="CJ25">
        <v>5.4714344903822738</v>
      </c>
      <c r="CK25">
        <v>2902.0488536987577</v>
      </c>
      <c r="CL25">
        <v>9.5798781824486792</v>
      </c>
      <c r="CM25">
        <v>5081.1673879707796</v>
      </c>
      <c r="CN25">
        <v>7.2706165273952159</v>
      </c>
      <c r="CO25">
        <v>3856.3350061304222</v>
      </c>
      <c r="CP25">
        <v>10.407964863229246</v>
      </c>
      <c r="CQ25">
        <v>5520.3845634567915</v>
      </c>
      <c r="CR25">
        <v>5.7139839987729655</v>
      </c>
      <c r="CS25">
        <v>3030.6971129491808</v>
      </c>
      <c r="CT25">
        <v>6.3953389986266496</v>
      </c>
      <c r="CU25">
        <v>3392.0878048715749</v>
      </c>
    </row>
    <row r="26" spans="2:99" x14ac:dyDescent="0.2">
      <c r="C26" s="119" t="s">
        <v>192</v>
      </c>
      <c r="D26">
        <v>15</v>
      </c>
      <c r="E26">
        <v>7290</v>
      </c>
      <c r="F26">
        <v>16.303949113905826</v>
      </c>
      <c r="G26">
        <v>7923.7192693582319</v>
      </c>
      <c r="H26">
        <v>18.242127175175394</v>
      </c>
      <c r="I26">
        <v>8865.6738071352411</v>
      </c>
      <c r="J26">
        <v>5.9228729796877424</v>
      </c>
      <c r="K26">
        <v>2878.5162681282427</v>
      </c>
      <c r="L26">
        <v>7.9955186882540481</v>
      </c>
      <c r="M26">
        <v>3885.8220824914674</v>
      </c>
      <c r="N26">
        <v>8.1880619211947288</v>
      </c>
      <c r="O26">
        <v>3979.3980937006381</v>
      </c>
      <c r="P26">
        <v>8.0476704611900711</v>
      </c>
      <c r="Q26">
        <v>3911.1678441383747</v>
      </c>
      <c r="R26">
        <v>5.4797878254820942</v>
      </c>
      <c r="S26">
        <v>2663.1768831842978</v>
      </c>
      <c r="T26">
        <v>8.5390825353468003</v>
      </c>
      <c r="U26">
        <v>4149.994112178545</v>
      </c>
      <c r="V26">
        <v>7.1215496541483558</v>
      </c>
      <c r="W26">
        <v>3461.0731319161009</v>
      </c>
      <c r="X26">
        <v>6.9626790023099359</v>
      </c>
      <c r="Y26">
        <v>3383.8619951226287</v>
      </c>
      <c r="Z26">
        <v>4.4458229054798988</v>
      </c>
      <c r="AA26">
        <v>2160.6699320632306</v>
      </c>
      <c r="AB26">
        <v>8.3704781382713893</v>
      </c>
      <c r="AC26">
        <v>4068.0523751998953</v>
      </c>
      <c r="AD26">
        <v>7.6497464315660091</v>
      </c>
      <c r="AE26">
        <v>3717.7767657410805</v>
      </c>
      <c r="AF26">
        <v>7.7605643798719388</v>
      </c>
      <c r="AG26">
        <v>3771.6342886177622</v>
      </c>
      <c r="AH26">
        <v>8.8116064460493586</v>
      </c>
      <c r="AI26">
        <v>4282.4407327799881</v>
      </c>
      <c r="AJ26">
        <v>7.8299760595348422</v>
      </c>
      <c r="AK26">
        <v>3805.3683649339332</v>
      </c>
      <c r="AL26">
        <v>7.3359106805274035</v>
      </c>
      <c r="AM26">
        <v>3565.2525907363179</v>
      </c>
      <c r="AN26">
        <v>7.4776271368557747</v>
      </c>
      <c r="AO26">
        <v>3634.1267885119064</v>
      </c>
      <c r="AP26">
        <v>8.6142264616578519</v>
      </c>
      <c r="AQ26">
        <v>4186.5140603657164</v>
      </c>
      <c r="AR26">
        <v>7.5850824718739895</v>
      </c>
      <c r="AS26">
        <v>3686.3500813307587</v>
      </c>
      <c r="AT26">
        <v>7.5510400259974153</v>
      </c>
      <c r="AU26">
        <v>3669.8054526347437</v>
      </c>
      <c r="AV26">
        <v>8.7430717292467506</v>
      </c>
      <c r="AW26">
        <v>4249.1328604139208</v>
      </c>
      <c r="AX26">
        <v>6.0222500431053216</v>
      </c>
      <c r="AY26">
        <v>2926.8135209491861</v>
      </c>
      <c r="AZ26">
        <v>8.0761257408664093</v>
      </c>
      <c r="BA26">
        <v>3924.9971100610751</v>
      </c>
      <c r="BB26">
        <v>9.4525309179215213</v>
      </c>
      <c r="BC26">
        <v>4593.9300261098597</v>
      </c>
      <c r="BD26">
        <v>9.3632896322367962</v>
      </c>
      <c r="BE26">
        <v>4550.5587612670834</v>
      </c>
      <c r="BF26">
        <v>7.7438209831516112</v>
      </c>
      <c r="BG26">
        <v>3763.4969978116828</v>
      </c>
      <c r="BH26">
        <v>7.0024601950488856</v>
      </c>
      <c r="BI26">
        <v>3403.1956547937584</v>
      </c>
      <c r="BJ26">
        <v>8.0012375343224651</v>
      </c>
      <c r="BK26">
        <v>3888.6014416807179</v>
      </c>
      <c r="BL26">
        <v>10.465923801124104</v>
      </c>
      <c r="BM26">
        <v>5086.4389673463147</v>
      </c>
      <c r="BN26">
        <v>7.8368144665737374</v>
      </c>
      <c r="BO26">
        <v>3808.6918307548362</v>
      </c>
      <c r="BP26">
        <v>7.0533255233422194</v>
      </c>
      <c r="BQ26">
        <v>3427.9162043443184</v>
      </c>
      <c r="BR26">
        <v>9.347033921069718</v>
      </c>
      <c r="BS26">
        <v>4542.6584856398831</v>
      </c>
      <c r="BT26">
        <v>9.4323595419259565</v>
      </c>
      <c r="BU26">
        <v>4584.1267373760147</v>
      </c>
      <c r="BV26">
        <v>5.4881667059491921</v>
      </c>
      <c r="BW26">
        <v>2667.2490190913072</v>
      </c>
      <c r="BX26">
        <v>6.212865276912809</v>
      </c>
      <c r="BY26">
        <v>3019.4525245796253</v>
      </c>
      <c r="BZ26">
        <v>9.3393535316522414</v>
      </c>
      <c r="CA26">
        <v>4538.9258163829891</v>
      </c>
      <c r="CB26">
        <v>6.0989991940369954</v>
      </c>
      <c r="CC26">
        <v>2964.1136083019796</v>
      </c>
      <c r="CD26">
        <v>7.8582616873361175</v>
      </c>
      <c r="CE26">
        <v>3819.1151800453531</v>
      </c>
      <c r="CF26">
        <v>9.4030041840701344</v>
      </c>
      <c r="CG26">
        <v>4569.8600334580851</v>
      </c>
      <c r="CH26">
        <v>7.2073514572103852</v>
      </c>
      <c r="CI26">
        <v>3502.7728082042472</v>
      </c>
      <c r="CJ26">
        <v>6.3833402387793203</v>
      </c>
      <c r="CK26">
        <v>3102.3033560467497</v>
      </c>
      <c r="CL26">
        <v>7.9832318187072326</v>
      </c>
      <c r="CM26">
        <v>3879.8506638917152</v>
      </c>
      <c r="CN26">
        <v>8.4823859486277531</v>
      </c>
      <c r="CO26">
        <v>4122.4395710330882</v>
      </c>
      <c r="CP26">
        <v>10.407964863229246</v>
      </c>
      <c r="CQ26">
        <v>5058.2709235294133</v>
      </c>
      <c r="CR26">
        <v>5.2744467680981213</v>
      </c>
      <c r="CS26">
        <v>2563.3811292956871</v>
      </c>
      <c r="CT26">
        <v>6.8872881523671605</v>
      </c>
      <c r="CU26">
        <v>3347.22204205044</v>
      </c>
    </row>
    <row r="27" spans="2:99" x14ac:dyDescent="0.2">
      <c r="C27" s="119" t="s">
        <v>193</v>
      </c>
      <c r="D27">
        <v>14</v>
      </c>
      <c r="E27">
        <v>5980.8</v>
      </c>
      <c r="F27">
        <v>16.303949113905826</v>
      </c>
      <c r="G27">
        <v>6965.0470614605692</v>
      </c>
      <c r="H27">
        <v>15.525998638633252</v>
      </c>
      <c r="I27">
        <v>6632.7066184241248</v>
      </c>
      <c r="J27">
        <v>6.416445727995054</v>
      </c>
      <c r="K27">
        <v>2741.105614999487</v>
      </c>
      <c r="L27">
        <v>7.2686533529582258</v>
      </c>
      <c r="M27">
        <v>3105.1687123837542</v>
      </c>
      <c r="N27">
        <v>6.7431098174544823</v>
      </c>
      <c r="O27">
        <v>2880.6565140165549</v>
      </c>
      <c r="P27">
        <v>8.494763264589519</v>
      </c>
      <c r="Q27">
        <v>3628.9628666326425</v>
      </c>
      <c r="R27">
        <v>5.9364368109389352</v>
      </c>
      <c r="S27">
        <v>2536.0458056331131</v>
      </c>
      <c r="T27">
        <v>9.0134760095327344</v>
      </c>
      <c r="U27">
        <v>3850.5569512723841</v>
      </c>
      <c r="V27">
        <v>7.7150121253273856</v>
      </c>
      <c r="W27">
        <v>3295.8531799398588</v>
      </c>
      <c r="X27">
        <v>7.5429022525024294</v>
      </c>
      <c r="Y27">
        <v>3222.3278422690378</v>
      </c>
      <c r="Z27">
        <v>5.4337835511420991</v>
      </c>
      <c r="AA27">
        <v>2321.3123330479048</v>
      </c>
      <c r="AB27">
        <v>8.9285100141561475</v>
      </c>
      <c r="AC27">
        <v>3814.259478047506</v>
      </c>
      <c r="AD27">
        <v>7.6497464315660091</v>
      </c>
      <c r="AE27">
        <v>3267.9716755649988</v>
      </c>
      <c r="AF27">
        <v>7.1138506815492768</v>
      </c>
      <c r="AG27">
        <v>3039.0370111578509</v>
      </c>
      <c r="AH27">
        <v>8.8116064460493586</v>
      </c>
      <c r="AI27">
        <v>3764.3182737522857</v>
      </c>
      <c r="AJ27">
        <v>7.3079776555658524</v>
      </c>
      <c r="AK27">
        <v>3121.9680544577323</v>
      </c>
      <c r="AL27">
        <v>6.6690097095703678</v>
      </c>
      <c r="AM27">
        <v>2849.0009479284608</v>
      </c>
      <c r="AN27">
        <v>6.9435109127946477</v>
      </c>
      <c r="AO27">
        <v>2966.2678619458734</v>
      </c>
      <c r="AP27">
        <v>7.1785220513815435</v>
      </c>
      <c r="AQ27">
        <v>3066.6646203501955</v>
      </c>
      <c r="AR27">
        <v>8.5964268014571878</v>
      </c>
      <c r="AS27">
        <v>3672.3935295825104</v>
      </c>
      <c r="AT27">
        <v>7.5510400259974153</v>
      </c>
      <c r="AU27">
        <v>3225.8042991060956</v>
      </c>
      <c r="AV27">
        <v>8.2829100592863973</v>
      </c>
      <c r="AW27">
        <v>3538.4591773271491</v>
      </c>
      <c r="AX27">
        <v>6.0222500431053216</v>
      </c>
      <c r="AY27">
        <v>2572.7052184145932</v>
      </c>
      <c r="AZ27">
        <v>7.4992596165188088</v>
      </c>
      <c r="BA27">
        <v>3203.6837081768349</v>
      </c>
      <c r="BB27">
        <v>7.6520488383174214</v>
      </c>
      <c r="BC27">
        <v>3268.9552637292022</v>
      </c>
      <c r="BD27">
        <v>9.8834723895832841</v>
      </c>
      <c r="BE27">
        <v>4222.2194048299789</v>
      </c>
      <c r="BF27">
        <v>7.7438209831516112</v>
      </c>
      <c r="BG27">
        <v>3308.1603240023683</v>
      </c>
      <c r="BH27">
        <v>7.0024601950488856</v>
      </c>
      <c r="BI27">
        <v>2991.4509953248839</v>
      </c>
      <c r="BJ27">
        <v>9.4132206286146651</v>
      </c>
      <c r="BK27">
        <v>4021.3278525441847</v>
      </c>
      <c r="BL27">
        <v>11.01676189592011</v>
      </c>
      <c r="BM27">
        <v>4706.3606819370707</v>
      </c>
      <c r="BN27">
        <v>8.2721930480500561</v>
      </c>
      <c r="BO27">
        <v>3533.8808701269841</v>
      </c>
      <c r="BP27">
        <v>7.4941583685511084</v>
      </c>
      <c r="BQ27">
        <v>3201.5044550450334</v>
      </c>
      <c r="BR27">
        <v>10.682324481222535</v>
      </c>
      <c r="BS27">
        <v>4563.4890183782672</v>
      </c>
      <c r="BT27">
        <v>10.425239493707636</v>
      </c>
      <c r="BU27">
        <v>4453.6623117119016</v>
      </c>
      <c r="BV27">
        <v>5.4881667059491921</v>
      </c>
      <c r="BW27">
        <v>2344.5448167814948</v>
      </c>
      <c r="BX27">
        <v>6.6566413681208676</v>
      </c>
      <c r="BY27">
        <v>2843.7171924612344</v>
      </c>
      <c r="BZ27">
        <v>9.8308984543707805</v>
      </c>
      <c r="CA27">
        <v>4199.7598197071975</v>
      </c>
      <c r="CB27">
        <v>6.0989991940369954</v>
      </c>
      <c r="CC27">
        <v>2605.4924556926044</v>
      </c>
      <c r="CD27">
        <v>7.8582616873361175</v>
      </c>
      <c r="CE27">
        <v>3357.0493928299893</v>
      </c>
      <c r="CF27">
        <v>8.955242080066796</v>
      </c>
      <c r="CG27">
        <v>3825.6794166045352</v>
      </c>
      <c r="CH27">
        <v>6.6925406388382145</v>
      </c>
      <c r="CI27">
        <v>2859.0533609116851</v>
      </c>
      <c r="CJ27">
        <v>6.3833402387793203</v>
      </c>
      <c r="CK27">
        <v>2726.9629500065257</v>
      </c>
      <c r="CL27">
        <v>9.5798781824486792</v>
      </c>
      <c r="CM27">
        <v>4092.5239595420758</v>
      </c>
      <c r="CN27">
        <v>8.4823859486277531</v>
      </c>
      <c r="CO27">
        <v>3623.6752772537761</v>
      </c>
      <c r="CP27">
        <v>10.407964863229246</v>
      </c>
      <c r="CQ27">
        <v>4446.2825895715341</v>
      </c>
      <c r="CR27">
        <v>5.2744467680981213</v>
      </c>
      <c r="CS27">
        <v>2253.2436593315174</v>
      </c>
      <c r="CT27">
        <v>6.8872881523671605</v>
      </c>
      <c r="CU27">
        <v>2942.2494986912511</v>
      </c>
    </row>
    <row r="28" spans="2:99" x14ac:dyDescent="0.2">
      <c r="C28" s="119" t="s">
        <v>194</v>
      </c>
      <c r="D28">
        <v>14</v>
      </c>
      <c r="E28">
        <v>10332</v>
      </c>
      <c r="F28">
        <v>18.284952294286711</v>
      </c>
      <c r="G28">
        <v>13494.294793183593</v>
      </c>
      <c r="H28">
        <v>18.23720265328901</v>
      </c>
      <c r="I28">
        <v>13459.055558127289</v>
      </c>
      <c r="J28">
        <v>5.4293002313804308</v>
      </c>
      <c r="K28">
        <v>4006.8235707587578</v>
      </c>
      <c r="L28">
        <v>7.9955186882540481</v>
      </c>
      <c r="M28">
        <v>5900.6927919314876</v>
      </c>
      <c r="N28">
        <v>7.2247605187012311</v>
      </c>
      <c r="O28">
        <v>5331.8732628015086</v>
      </c>
      <c r="P28">
        <v>8.0476704611900711</v>
      </c>
      <c r="Q28">
        <v>5939.1808003582728</v>
      </c>
      <c r="R28">
        <v>5.9364368109389352</v>
      </c>
      <c r="S28">
        <v>4381.090366472934</v>
      </c>
      <c r="T28">
        <v>9.0134760095327344</v>
      </c>
      <c r="U28">
        <v>6651.9452950351579</v>
      </c>
      <c r="V28">
        <v>7.1215496541483558</v>
      </c>
      <c r="W28">
        <v>5255.7036447614864</v>
      </c>
      <c r="X28">
        <v>6.3824557521174405</v>
      </c>
      <c r="Y28">
        <v>4710.2523450626713</v>
      </c>
      <c r="Z28">
        <v>4.9398032283109989</v>
      </c>
      <c r="AA28">
        <v>3645.5747824935174</v>
      </c>
      <c r="AB28">
        <v>8.9285100141561475</v>
      </c>
      <c r="AC28">
        <v>6589.2403904472367</v>
      </c>
      <c r="AD28">
        <v>7.6497464315660091</v>
      </c>
      <c r="AE28">
        <v>5645.5128664957147</v>
      </c>
      <c r="AF28">
        <v>7.1138506815492768</v>
      </c>
      <c r="AG28">
        <v>5250.0218029833659</v>
      </c>
      <c r="AH28">
        <v>8.8116064460493586</v>
      </c>
      <c r="AI28">
        <v>6502.9655571844269</v>
      </c>
      <c r="AJ28">
        <v>7.8299760595348422</v>
      </c>
      <c r="AK28">
        <v>5778.5223319367133</v>
      </c>
      <c r="AL28">
        <v>6.6690097095703678</v>
      </c>
      <c r="AM28">
        <v>4921.7291656629313</v>
      </c>
      <c r="AN28">
        <v>6.9435109127946477</v>
      </c>
      <c r="AO28">
        <v>5124.3110536424501</v>
      </c>
      <c r="AP28">
        <v>7.1785220513815435</v>
      </c>
      <c r="AQ28">
        <v>5297.7492739195795</v>
      </c>
      <c r="AR28">
        <v>8.0907546366655883</v>
      </c>
      <c r="AS28">
        <v>5970.9769218592037</v>
      </c>
      <c r="AT28">
        <v>6.71203557866437</v>
      </c>
      <c r="AU28">
        <v>4953.4822570543047</v>
      </c>
      <c r="AV28">
        <v>8.7430717292467506</v>
      </c>
      <c r="AW28">
        <v>6452.3869361841016</v>
      </c>
      <c r="AX28">
        <v>6.0222500431053216</v>
      </c>
      <c r="AY28">
        <v>4444.4205318117274</v>
      </c>
      <c r="AZ28">
        <v>8.0761257408664093</v>
      </c>
      <c r="BA28">
        <v>5960.1807967594104</v>
      </c>
      <c r="BB28">
        <v>8.1021693582184469</v>
      </c>
      <c r="BC28">
        <v>5979.4009863652136</v>
      </c>
      <c r="BD28">
        <v>8.8431068748903066</v>
      </c>
      <c r="BE28">
        <v>6526.2128736690465</v>
      </c>
      <c r="BF28">
        <v>7.7438209831516112</v>
      </c>
      <c r="BG28">
        <v>5714.9398855658892</v>
      </c>
      <c r="BH28">
        <v>7.0024601950488856</v>
      </c>
      <c r="BI28">
        <v>5167.8156239460777</v>
      </c>
      <c r="BJ28">
        <v>8.4718985657531984</v>
      </c>
      <c r="BK28">
        <v>6252.2611415258607</v>
      </c>
      <c r="BL28">
        <v>11.01676189592011</v>
      </c>
      <c r="BM28">
        <v>8130.3702791890419</v>
      </c>
      <c r="BN28">
        <v>7.8368144665737374</v>
      </c>
      <c r="BO28">
        <v>5783.5690763314178</v>
      </c>
      <c r="BP28">
        <v>7.0533255233422194</v>
      </c>
      <c r="BQ28">
        <v>5205.354236226558</v>
      </c>
      <c r="BR28">
        <v>8.4568402143011738</v>
      </c>
      <c r="BS28">
        <v>6241.1480781542659</v>
      </c>
      <c r="BT28">
        <v>8.9359195660351158</v>
      </c>
      <c r="BU28">
        <v>6594.7086397339153</v>
      </c>
      <c r="BV28">
        <v>5.9870909519445732</v>
      </c>
      <c r="BW28">
        <v>4418.4731225350952</v>
      </c>
      <c r="BX28">
        <v>6.6566413681208676</v>
      </c>
      <c r="BY28">
        <v>4912.6013296731999</v>
      </c>
      <c r="BZ28">
        <v>8.3562636862151631</v>
      </c>
      <c r="CA28">
        <v>6166.9226004267903</v>
      </c>
      <c r="CB28">
        <v>5.5907492612005782</v>
      </c>
      <c r="CC28">
        <v>4125.9729547660263</v>
      </c>
      <c r="CD28">
        <v>7.3671203318776106</v>
      </c>
      <c r="CE28">
        <v>5436.9348049256769</v>
      </c>
      <c r="CF28">
        <v>9.8507662880734763</v>
      </c>
      <c r="CG28">
        <v>7269.8655205982259</v>
      </c>
      <c r="CH28">
        <v>6.6925406388382145</v>
      </c>
      <c r="CI28">
        <v>4939.0949914626026</v>
      </c>
      <c r="CJ28">
        <v>5.4714344903822738</v>
      </c>
      <c r="CK28">
        <v>4037.918653902118</v>
      </c>
      <c r="CL28">
        <v>9.0476627278681967</v>
      </c>
      <c r="CM28">
        <v>6677.1750931667293</v>
      </c>
      <c r="CN28">
        <v>6.8666933869843705</v>
      </c>
      <c r="CO28">
        <v>5067.6197195944651</v>
      </c>
      <c r="CP28">
        <v>9.4167301143502709</v>
      </c>
      <c r="CQ28">
        <v>6949.5468243904998</v>
      </c>
      <c r="CR28">
        <v>5.2744467680981213</v>
      </c>
      <c r="CS28">
        <v>3892.5417148564134</v>
      </c>
      <c r="CT28">
        <v>6.8872881523671605</v>
      </c>
      <c r="CU28">
        <v>5082.8186564469643</v>
      </c>
    </row>
    <row r="29" spans="2:99" x14ac:dyDescent="0.2">
      <c r="C29" s="119" t="s">
        <v>195</v>
      </c>
      <c r="D29">
        <v>15</v>
      </c>
      <c r="E29">
        <v>5076</v>
      </c>
      <c r="F29">
        <v>18.303949113905826</v>
      </c>
      <c r="G29">
        <v>6194.0563801457311</v>
      </c>
      <c r="H29">
        <v>16.42480878829879</v>
      </c>
      <c r="I29">
        <v>5558.1552939603107</v>
      </c>
      <c r="J29">
        <v>5.9228729796877424</v>
      </c>
      <c r="K29">
        <v>2004.3002163263318</v>
      </c>
      <c r="L29">
        <v>7.9955186882540481</v>
      </c>
      <c r="M29">
        <v>2705.6835241051699</v>
      </c>
      <c r="N29">
        <v>7.2247605187012311</v>
      </c>
      <c r="O29">
        <v>2444.8589595284966</v>
      </c>
      <c r="P29">
        <v>8.0476704611900711</v>
      </c>
      <c r="Q29">
        <v>2723.3316840667198</v>
      </c>
      <c r="R29">
        <v>5.9364368109389352</v>
      </c>
      <c r="S29">
        <v>2008.8902168217355</v>
      </c>
      <c r="T29">
        <v>9.0134760095327344</v>
      </c>
      <c r="U29">
        <v>3050.1602816258769</v>
      </c>
      <c r="V29">
        <v>6.5280871829693261</v>
      </c>
      <c r="W29">
        <v>2209.1047027168197</v>
      </c>
      <c r="X29">
        <v>7.5429022525024294</v>
      </c>
      <c r="Y29">
        <v>2552.5181222468218</v>
      </c>
      <c r="Z29">
        <v>4.9398032283109989</v>
      </c>
      <c r="AA29">
        <v>1671.6294124604419</v>
      </c>
      <c r="AB29">
        <v>7.8124462623866293</v>
      </c>
      <c r="AC29">
        <v>2643.7318151916352</v>
      </c>
      <c r="AD29">
        <v>8.1597295270037442</v>
      </c>
      <c r="AE29">
        <v>2761.2524719380667</v>
      </c>
      <c r="AF29">
        <v>7.7605643798719388</v>
      </c>
      <c r="AG29">
        <v>2626.1749861486637</v>
      </c>
      <c r="AH29">
        <v>10.280207520390917</v>
      </c>
      <c r="AI29">
        <v>3478.8222249002861</v>
      </c>
      <c r="AJ29">
        <v>7.3079776555658524</v>
      </c>
      <c r="AK29">
        <v>2473.0196386434841</v>
      </c>
      <c r="AL29">
        <v>6.6690097095703678</v>
      </c>
      <c r="AM29">
        <v>2256.7928857186125</v>
      </c>
      <c r="AN29">
        <v>6.4093946887335207</v>
      </c>
      <c r="AO29">
        <v>2168.9391626674233</v>
      </c>
      <c r="AP29">
        <v>7.1785220513815435</v>
      </c>
      <c r="AQ29">
        <v>2429.2118621875143</v>
      </c>
      <c r="AR29">
        <v>8.5964268014571878</v>
      </c>
      <c r="AS29">
        <v>2909.030829613112</v>
      </c>
      <c r="AT29">
        <v>6.71203557866437</v>
      </c>
      <c r="AU29">
        <v>2271.3528398200228</v>
      </c>
      <c r="AV29">
        <v>10.123556739127817</v>
      </c>
      <c r="AW29">
        <v>3425.8116005208531</v>
      </c>
      <c r="AX29">
        <v>5.520395872846545</v>
      </c>
      <c r="AY29">
        <v>1868.1019633712706</v>
      </c>
      <c r="AZ29">
        <v>8.6529918652140108</v>
      </c>
      <c r="BA29">
        <v>2928.1724471884208</v>
      </c>
      <c r="BB29">
        <v>8.1021693582184469</v>
      </c>
      <c r="BC29">
        <v>2741.7741108211221</v>
      </c>
      <c r="BD29">
        <v>9.3632896322367962</v>
      </c>
      <c r="BE29">
        <v>3168.5372115489317</v>
      </c>
      <c r="BF29">
        <v>8.7117986060455621</v>
      </c>
      <c r="BG29">
        <v>2948.0726482858181</v>
      </c>
      <c r="BH29">
        <v>6.5022844668311084</v>
      </c>
      <c r="BI29">
        <v>2200.3730635756469</v>
      </c>
      <c r="BJ29">
        <v>8.0012375343224651</v>
      </c>
      <c r="BK29">
        <v>2707.6187816147221</v>
      </c>
      <c r="BL29">
        <v>11.01676189592011</v>
      </c>
      <c r="BM29">
        <v>3728.0722255793653</v>
      </c>
      <c r="BN29">
        <v>8.2721930480500561</v>
      </c>
      <c r="BO29">
        <v>2799.3101274601386</v>
      </c>
      <c r="BP29">
        <v>7.0533255233422194</v>
      </c>
      <c r="BQ29">
        <v>2386.8453570990068</v>
      </c>
      <c r="BR29">
        <v>10.237227627838264</v>
      </c>
      <c r="BS29">
        <v>3464.2778292604685</v>
      </c>
      <c r="BT29">
        <v>10.425239493707636</v>
      </c>
      <c r="BU29">
        <v>3527.9010446706639</v>
      </c>
      <c r="BV29">
        <v>6.4860151979399543</v>
      </c>
      <c r="BW29">
        <v>2194.8675429828804</v>
      </c>
      <c r="BX29">
        <v>6.6566413681208676</v>
      </c>
      <c r="BY29">
        <v>2252.6074389721016</v>
      </c>
      <c r="BZ29">
        <v>9.8308984543707805</v>
      </c>
      <c r="CA29">
        <v>3326.7760369590719</v>
      </c>
      <c r="CB29">
        <v>6.6072491268734108</v>
      </c>
      <c r="CC29">
        <v>2235.8931045339623</v>
      </c>
      <c r="CD29">
        <v>7.8582616873361175</v>
      </c>
      <c r="CE29">
        <v>2659.2357549945418</v>
      </c>
      <c r="CF29">
        <v>9.4030041840701344</v>
      </c>
      <c r="CG29">
        <v>3181.9766158893331</v>
      </c>
      <c r="CH29">
        <v>7.2073514572103852</v>
      </c>
      <c r="CI29">
        <v>2438.9677331199941</v>
      </c>
      <c r="CJ29">
        <v>6.3833402387793203</v>
      </c>
      <c r="CK29">
        <v>2160.1223368029218</v>
      </c>
      <c r="CL29">
        <v>9.5798781824486792</v>
      </c>
      <c r="CM29">
        <v>3241.8307769406329</v>
      </c>
      <c r="CN29">
        <v>8.4823859486277531</v>
      </c>
      <c r="CO29">
        <v>2870.4394050156316</v>
      </c>
      <c r="CP29">
        <v>10.407964863229246</v>
      </c>
      <c r="CQ29">
        <v>3522.0553097167767</v>
      </c>
      <c r="CR29">
        <v>4.834909537423278</v>
      </c>
      <c r="CS29">
        <v>1636.1333874640372</v>
      </c>
      <c r="CT29">
        <v>7.3792373061076724</v>
      </c>
      <c r="CU29">
        <v>2497.1339043868361</v>
      </c>
    </row>
    <row r="30" spans="2:99" x14ac:dyDescent="0.2">
      <c r="C30" s="119" t="s">
        <v>196</v>
      </c>
      <c r="D30">
        <v>15</v>
      </c>
      <c r="E30">
        <v>2088</v>
      </c>
      <c r="F30">
        <v>18.303949113905826</v>
      </c>
      <c r="G30">
        <v>2547.9097166556908</v>
      </c>
      <c r="H30">
        <v>16.429733310185171</v>
      </c>
      <c r="I30">
        <v>2287.0188767777754</v>
      </c>
      <c r="J30">
        <v>6.416445727995054</v>
      </c>
      <c r="K30">
        <v>893.16924533691144</v>
      </c>
      <c r="L30">
        <v>8.7223840235498695</v>
      </c>
      <c r="M30">
        <v>1214.1558560781418</v>
      </c>
      <c r="N30">
        <v>7.2247605187012311</v>
      </c>
      <c r="O30">
        <v>1005.6866642032113</v>
      </c>
      <c r="P30">
        <v>8.9418560679889669</v>
      </c>
      <c r="Q30">
        <v>1244.706364664064</v>
      </c>
      <c r="R30">
        <v>5.9364368109389352</v>
      </c>
      <c r="S30">
        <v>826.35200408269975</v>
      </c>
      <c r="T30">
        <v>10.436656432090533</v>
      </c>
      <c r="U30">
        <v>1452.7825753470022</v>
      </c>
      <c r="V30">
        <v>7.7150121253273856</v>
      </c>
      <c r="W30">
        <v>1073.9296878455721</v>
      </c>
      <c r="X30">
        <v>8.1231255026949256</v>
      </c>
      <c r="Y30">
        <v>1130.7390699751336</v>
      </c>
      <c r="Z30">
        <v>5.9277638739731984</v>
      </c>
      <c r="AA30">
        <v>825.14473125706911</v>
      </c>
      <c r="AB30">
        <v>8.9285100141561475</v>
      </c>
      <c r="AC30">
        <v>1242.8485939705356</v>
      </c>
      <c r="AD30">
        <v>7.6497464315660091</v>
      </c>
      <c r="AE30">
        <v>1064.8447032739884</v>
      </c>
      <c r="AF30">
        <v>7.1138506815492768</v>
      </c>
      <c r="AG30">
        <v>990.24801487165928</v>
      </c>
      <c r="AH30">
        <v>9.7906738289437314</v>
      </c>
      <c r="AI30">
        <v>1362.8617969889674</v>
      </c>
      <c r="AJ30">
        <v>8.3519744635038311</v>
      </c>
      <c r="AK30">
        <v>1162.5948453197332</v>
      </c>
      <c r="AL30">
        <v>6.6690097095703678</v>
      </c>
      <c r="AM30">
        <v>928.32615157219516</v>
      </c>
      <c r="AN30">
        <v>8.0117433609169009</v>
      </c>
      <c r="AO30">
        <v>1115.2346758396325</v>
      </c>
      <c r="AP30">
        <v>7.6570901881403133</v>
      </c>
      <c r="AQ30">
        <v>1065.8669541891315</v>
      </c>
      <c r="AR30">
        <v>8.5964268014571878</v>
      </c>
      <c r="AS30">
        <v>1196.6226107628404</v>
      </c>
      <c r="AT30">
        <v>7.1315378023308922</v>
      </c>
      <c r="AU30">
        <v>992.71006208446011</v>
      </c>
      <c r="AV30">
        <v>8.7430717292467506</v>
      </c>
      <c r="AW30">
        <v>1217.0355847111475</v>
      </c>
      <c r="AX30">
        <v>7.0259583836228758</v>
      </c>
      <c r="AY30">
        <v>978.01340700030426</v>
      </c>
      <c r="AZ30">
        <v>8.0761257408664093</v>
      </c>
      <c r="BA30">
        <v>1124.196703128604</v>
      </c>
      <c r="BB30">
        <v>8.5522898781194723</v>
      </c>
      <c r="BC30">
        <v>1190.4787510342305</v>
      </c>
      <c r="BD30">
        <v>11.44402066162275</v>
      </c>
      <c r="BE30">
        <v>1593.0076760978866</v>
      </c>
      <c r="BF30">
        <v>7.7438209831516112</v>
      </c>
      <c r="BG30">
        <v>1077.9398808547041</v>
      </c>
      <c r="BH30">
        <v>7.0024601950488856</v>
      </c>
      <c r="BI30">
        <v>974.74245915080485</v>
      </c>
      <c r="BJ30">
        <v>9.4132206286146651</v>
      </c>
      <c r="BK30">
        <v>1310.3203115031613</v>
      </c>
      <c r="BL30">
        <v>11.567599990716115</v>
      </c>
      <c r="BM30">
        <v>1610.2099187076831</v>
      </c>
      <c r="BN30">
        <v>8.2721930480500561</v>
      </c>
      <c r="BO30">
        <v>1151.4892722885677</v>
      </c>
      <c r="BP30">
        <v>7.9349912137599956</v>
      </c>
      <c r="BQ30">
        <v>1104.5507769553913</v>
      </c>
      <c r="BR30">
        <v>10.682324481222535</v>
      </c>
      <c r="BS30">
        <v>1486.9795677861769</v>
      </c>
      <c r="BT30">
        <v>10.425239493707636</v>
      </c>
      <c r="BU30">
        <v>1451.1933375241028</v>
      </c>
      <c r="BV30">
        <v>6.4860151979399543</v>
      </c>
      <c r="BW30">
        <v>902.8533155532416</v>
      </c>
      <c r="BX30">
        <v>6.6566413681208676</v>
      </c>
      <c r="BY30">
        <v>926.60447844242469</v>
      </c>
      <c r="BZ30">
        <v>8.3562636862151631</v>
      </c>
      <c r="CA30">
        <v>1163.1919051211505</v>
      </c>
      <c r="CB30">
        <v>6.0989991940369954</v>
      </c>
      <c r="CC30">
        <v>848.9806878099497</v>
      </c>
      <c r="CD30">
        <v>8.8405443982531313</v>
      </c>
      <c r="CE30">
        <v>1230.6037802368357</v>
      </c>
      <c r="CF30">
        <v>10.298528392076815</v>
      </c>
      <c r="CG30">
        <v>1433.5551521770924</v>
      </c>
      <c r="CH30">
        <v>6.6925406388382145</v>
      </c>
      <c r="CI30">
        <v>931.60165692627936</v>
      </c>
      <c r="CJ30">
        <v>6.3833402387793203</v>
      </c>
      <c r="CK30">
        <v>888.56096123808129</v>
      </c>
      <c r="CL30">
        <v>9.5798781824486792</v>
      </c>
      <c r="CM30">
        <v>1333.5190429968561</v>
      </c>
      <c r="CN30">
        <v>8.4823859486277531</v>
      </c>
      <c r="CO30">
        <v>1180.7481240489831</v>
      </c>
      <c r="CP30">
        <v>10.407964863229246</v>
      </c>
      <c r="CQ30">
        <v>1448.788708961511</v>
      </c>
      <c r="CR30">
        <v>5.7139839987729655</v>
      </c>
      <c r="CS30">
        <v>795.38657262919673</v>
      </c>
      <c r="CT30">
        <v>7.3792373061076724</v>
      </c>
      <c r="CU30">
        <v>1027.1898330101878</v>
      </c>
    </row>
    <row r="31" spans="2:99" x14ac:dyDescent="0.2">
      <c r="C31" s="119" t="s">
        <v>197</v>
      </c>
      <c r="D31">
        <v>17</v>
      </c>
      <c r="E31">
        <v>5793.6</v>
      </c>
      <c r="F31">
        <v>18.322945933524942</v>
      </c>
      <c r="G31">
        <v>6244.4599741453003</v>
      </c>
      <c r="H31">
        <v>18.242127175175394</v>
      </c>
      <c r="I31">
        <v>6216.9169412997744</v>
      </c>
      <c r="J31">
        <v>6.416445727995054</v>
      </c>
      <c r="K31">
        <v>2186.7247041007145</v>
      </c>
      <c r="L31">
        <v>7.2686533529582258</v>
      </c>
      <c r="M31">
        <v>2477.1570626881635</v>
      </c>
      <c r="N31">
        <v>8.1880619211947288</v>
      </c>
      <c r="O31">
        <v>2790.4915027431634</v>
      </c>
      <c r="P31">
        <v>8.9418560679889669</v>
      </c>
      <c r="Q31">
        <v>3047.3845479706401</v>
      </c>
      <c r="R31">
        <v>5.4797878254820942</v>
      </c>
      <c r="S31">
        <v>1867.5116909242977</v>
      </c>
      <c r="T31">
        <v>9.4878694837186668</v>
      </c>
      <c r="U31">
        <v>3233.465920051322</v>
      </c>
      <c r="V31">
        <v>6.5280871829693261</v>
      </c>
      <c r="W31">
        <v>2224.7721119559465</v>
      </c>
      <c r="X31">
        <v>8.1231255026949256</v>
      </c>
      <c r="Y31">
        <v>2768.3611713184309</v>
      </c>
      <c r="Z31">
        <v>5.4337835511420991</v>
      </c>
      <c r="AA31">
        <v>1851.8334342292274</v>
      </c>
      <c r="AB31">
        <v>8.3704781382713893</v>
      </c>
      <c r="AC31">
        <v>2852.6589495228895</v>
      </c>
      <c r="AD31">
        <v>7.6497464315660091</v>
      </c>
      <c r="AE31">
        <v>2607.0335838776959</v>
      </c>
      <c r="AF31">
        <v>7.1138506815492768</v>
      </c>
      <c r="AG31">
        <v>2424.4003122719937</v>
      </c>
      <c r="AH31">
        <v>10.280207520390917</v>
      </c>
      <c r="AI31">
        <v>3503.4947229492245</v>
      </c>
      <c r="AJ31">
        <v>7.3079776555658524</v>
      </c>
      <c r="AK31">
        <v>2490.5587850168426</v>
      </c>
      <c r="AL31">
        <v>7.3359106805274035</v>
      </c>
      <c r="AM31">
        <v>2500.0783599237393</v>
      </c>
      <c r="AN31">
        <v>6.9435109127946477</v>
      </c>
      <c r="AO31">
        <v>2366.3485190804158</v>
      </c>
      <c r="AP31">
        <v>7.1785220513815435</v>
      </c>
      <c r="AQ31">
        <v>2446.4403151108299</v>
      </c>
      <c r="AR31">
        <v>8.0907546366655883</v>
      </c>
      <c r="AS31">
        <v>2757.3291801756327</v>
      </c>
      <c r="AT31">
        <v>7.5510400259974153</v>
      </c>
      <c r="AU31">
        <v>2573.3944408599191</v>
      </c>
      <c r="AV31">
        <v>8.7430717292467506</v>
      </c>
      <c r="AW31">
        <v>2979.6388453272925</v>
      </c>
      <c r="AX31">
        <v>5.520395872846545</v>
      </c>
      <c r="AY31">
        <v>1881.3509134661026</v>
      </c>
      <c r="AZ31">
        <v>7.4992596165188088</v>
      </c>
      <c r="BA31">
        <v>2555.74767730961</v>
      </c>
      <c r="BB31">
        <v>8.1021693582184469</v>
      </c>
      <c r="BC31">
        <v>2761.219317280847</v>
      </c>
      <c r="BD31">
        <v>10.403655146929774</v>
      </c>
      <c r="BE31">
        <v>3545.5656740736672</v>
      </c>
      <c r="BF31">
        <v>9.1957874174925376</v>
      </c>
      <c r="BG31">
        <v>3133.9243518814569</v>
      </c>
      <c r="BH31">
        <v>6.5022844668311084</v>
      </c>
      <c r="BI31">
        <v>2215.9785462960417</v>
      </c>
      <c r="BJ31">
        <v>8.9425595971839318</v>
      </c>
      <c r="BK31">
        <v>3047.624310720284</v>
      </c>
      <c r="BL31">
        <v>9.9150857063280977</v>
      </c>
      <c r="BM31">
        <v>3379.061208716616</v>
      </c>
      <c r="BN31">
        <v>7.4014358850974187</v>
      </c>
      <c r="BO31">
        <v>2522.4093496412002</v>
      </c>
      <c r="BP31">
        <v>7.4941583685511084</v>
      </c>
      <c r="BQ31">
        <v>2554.0091720022178</v>
      </c>
      <c r="BR31">
        <v>9.7921307744539909</v>
      </c>
      <c r="BS31">
        <v>3337.1581679339201</v>
      </c>
      <c r="BT31">
        <v>8.9359195660351158</v>
      </c>
      <c r="BU31">
        <v>3045.3613881047677</v>
      </c>
      <c r="BV31">
        <v>5.9870909519445732</v>
      </c>
      <c r="BW31">
        <v>2040.4005964227106</v>
      </c>
      <c r="BX31">
        <v>6.212865276912809</v>
      </c>
      <c r="BY31">
        <v>2117.3444863718855</v>
      </c>
      <c r="BZ31">
        <v>8.3562636862151631</v>
      </c>
      <c r="CA31">
        <v>2847.8146642621277</v>
      </c>
      <c r="CB31">
        <v>5.5907492612005782</v>
      </c>
      <c r="CC31">
        <v>1905.3273482171571</v>
      </c>
      <c r="CD31">
        <v>7.3671203318776106</v>
      </c>
      <c r="CE31">
        <v>2510.7146091038899</v>
      </c>
      <c r="CF31">
        <v>9.4030041840701344</v>
      </c>
      <c r="CG31">
        <v>3204.5438259311018</v>
      </c>
      <c r="CH31">
        <v>7.2073514572103852</v>
      </c>
      <c r="CI31">
        <v>2456.2653766172994</v>
      </c>
      <c r="CJ31">
        <v>6.3833402387793203</v>
      </c>
      <c r="CK31">
        <v>2175.4423533759923</v>
      </c>
      <c r="CL31">
        <v>9.5798781824486792</v>
      </c>
      <c r="CM31">
        <v>3264.8224845785098</v>
      </c>
      <c r="CN31">
        <v>7.2706165273952159</v>
      </c>
      <c r="CO31">
        <v>2477.8261125362897</v>
      </c>
      <c r="CP31">
        <v>9.4167301143502709</v>
      </c>
      <c r="CQ31">
        <v>3209.2216229705723</v>
      </c>
      <c r="CR31">
        <v>5.2744467680981213</v>
      </c>
      <c r="CS31">
        <v>1797.5314585678398</v>
      </c>
      <c r="CT31">
        <v>7.3792373061076724</v>
      </c>
      <c r="CU31">
        <v>2514.8440739214948</v>
      </c>
    </row>
    <row r="32" spans="2:99" x14ac:dyDescent="0.2">
      <c r="C32" s="119" t="s">
        <v>198</v>
      </c>
      <c r="D32">
        <v>16</v>
      </c>
      <c r="E32">
        <v>13440</v>
      </c>
      <c r="F32">
        <v>15.303949113905826</v>
      </c>
      <c r="G32">
        <v>12855.317255680895</v>
      </c>
      <c r="H32">
        <v>15.511225072974105</v>
      </c>
      <c r="I32">
        <v>13029.429061298248</v>
      </c>
      <c r="J32">
        <v>6.416445727995054</v>
      </c>
      <c r="K32">
        <v>5389.8144115158457</v>
      </c>
      <c r="L32">
        <v>7.2686533529582258</v>
      </c>
      <c r="M32">
        <v>6105.6688164849093</v>
      </c>
      <c r="N32">
        <v>6.7431098174544823</v>
      </c>
      <c r="O32">
        <v>5664.2122466617648</v>
      </c>
      <c r="P32">
        <v>7.6005776577906223</v>
      </c>
      <c r="Q32">
        <v>6384.4852325441225</v>
      </c>
      <c r="R32">
        <v>5.4797878254820942</v>
      </c>
      <c r="S32">
        <v>4603.0217734049593</v>
      </c>
      <c r="T32">
        <v>9.0134760095327344</v>
      </c>
      <c r="U32">
        <v>7571.3198480074971</v>
      </c>
      <c r="V32">
        <v>6.5280871829693261</v>
      </c>
      <c r="W32">
        <v>5483.5932336942342</v>
      </c>
      <c r="X32">
        <v>7.5429022525024294</v>
      </c>
      <c r="Y32">
        <v>6336.037892102041</v>
      </c>
      <c r="Z32">
        <v>5.4337835511420991</v>
      </c>
      <c r="AA32">
        <v>4564.3781829593636</v>
      </c>
      <c r="AB32">
        <v>8.9285100141561475</v>
      </c>
      <c r="AC32">
        <v>7499.9484118911641</v>
      </c>
      <c r="AD32">
        <v>7.1397633361282757</v>
      </c>
      <c r="AE32">
        <v>5997.4012023477517</v>
      </c>
      <c r="AF32">
        <v>6.4671369832266157</v>
      </c>
      <c r="AG32">
        <v>5432.3950659103575</v>
      </c>
      <c r="AH32">
        <v>9.3011401374965441</v>
      </c>
      <c r="AI32">
        <v>7812.9577154970966</v>
      </c>
      <c r="AJ32">
        <v>7.8299760595348422</v>
      </c>
      <c r="AK32">
        <v>6577.1798900092672</v>
      </c>
      <c r="AL32">
        <v>6.6690097095703678</v>
      </c>
      <c r="AM32">
        <v>5601.9681560391091</v>
      </c>
      <c r="AN32">
        <v>6.4093946887335207</v>
      </c>
      <c r="AO32">
        <v>5383.891538536157</v>
      </c>
      <c r="AP32">
        <v>7.1785220513815435</v>
      </c>
      <c r="AQ32">
        <v>6029.958523160497</v>
      </c>
      <c r="AR32">
        <v>7.5850824718739895</v>
      </c>
      <c r="AS32">
        <v>6371.4692763741514</v>
      </c>
      <c r="AT32">
        <v>6.71203557866437</v>
      </c>
      <c r="AU32">
        <v>5638.1098860780712</v>
      </c>
      <c r="AV32">
        <v>8.2829100592863973</v>
      </c>
      <c r="AW32">
        <v>6957.644449800574</v>
      </c>
      <c r="AX32">
        <v>6.0222500431053216</v>
      </c>
      <c r="AY32">
        <v>5058.6900362084698</v>
      </c>
      <c r="AZ32">
        <v>7.4992596165188088</v>
      </c>
      <c r="BA32">
        <v>6299.3780778757991</v>
      </c>
      <c r="BB32">
        <v>7.6520488383174214</v>
      </c>
      <c r="BC32">
        <v>6427.7210241866342</v>
      </c>
      <c r="BD32">
        <v>10.403655146929774</v>
      </c>
      <c r="BE32">
        <v>8739.0703234210105</v>
      </c>
      <c r="BF32">
        <v>7.2598321717046348</v>
      </c>
      <c r="BG32">
        <v>6098.2590242318929</v>
      </c>
      <c r="BH32">
        <v>6.0021087386133312</v>
      </c>
      <c r="BI32">
        <v>5041.771340435198</v>
      </c>
      <c r="BJ32">
        <v>8.0012375343224651</v>
      </c>
      <c r="BK32">
        <v>6721.0395288308709</v>
      </c>
      <c r="BL32">
        <v>10.465923801124104</v>
      </c>
      <c r="BM32">
        <v>8791.3759929442476</v>
      </c>
      <c r="BN32">
        <v>6.9660573036211</v>
      </c>
      <c r="BO32">
        <v>5851.4881350417236</v>
      </c>
      <c r="BP32">
        <v>7.4941583685511084</v>
      </c>
      <c r="BQ32">
        <v>6295.0930295829312</v>
      </c>
      <c r="BR32">
        <v>9.347033921069718</v>
      </c>
      <c r="BS32">
        <v>7851.5084936985631</v>
      </c>
      <c r="BT32">
        <v>9.9287995178167954</v>
      </c>
      <c r="BU32">
        <v>8340.1915949661088</v>
      </c>
      <c r="BV32">
        <v>5.9870909519445732</v>
      </c>
      <c r="BW32">
        <v>5029.1563996334417</v>
      </c>
      <c r="BX32">
        <v>5.7690891857047513</v>
      </c>
      <c r="BY32">
        <v>4846.0349159919915</v>
      </c>
      <c r="BZ32">
        <v>8.3562636862151631</v>
      </c>
      <c r="CA32">
        <v>7019.2614964207369</v>
      </c>
      <c r="CB32">
        <v>5.5907492612005782</v>
      </c>
      <c r="CC32">
        <v>4696.2293794084853</v>
      </c>
      <c r="CD32">
        <v>7.8582616873361175</v>
      </c>
      <c r="CE32">
        <v>6600.9398173623385</v>
      </c>
      <c r="CF32">
        <v>10.298528392076815</v>
      </c>
      <c r="CG32">
        <v>8650.7638493445247</v>
      </c>
      <c r="CH32">
        <v>6.1777298204660447</v>
      </c>
      <c r="CI32">
        <v>5189.2930491914776</v>
      </c>
      <c r="CJ32">
        <v>5.4714344903822738</v>
      </c>
      <c r="CK32">
        <v>4596.0049719211102</v>
      </c>
      <c r="CL32">
        <v>9.0476627278681967</v>
      </c>
      <c r="CM32">
        <v>7600.0366914092856</v>
      </c>
      <c r="CN32">
        <v>7.2706165273952159</v>
      </c>
      <c r="CO32">
        <v>6107.3178830119814</v>
      </c>
      <c r="CP32">
        <v>8.9211127399107824</v>
      </c>
      <c r="CQ32">
        <v>7493.7347015250571</v>
      </c>
      <c r="CR32">
        <v>4.834909537423278</v>
      </c>
      <c r="CS32">
        <v>4061.3240114355535</v>
      </c>
      <c r="CT32">
        <v>7.3792373061076724</v>
      </c>
      <c r="CU32">
        <v>6198.5593371304449</v>
      </c>
    </row>
    <row r="33" spans="2:99" x14ac:dyDescent="0.2">
      <c r="C33" s="119" t="s">
        <v>199</v>
      </c>
      <c r="D33">
        <v>17</v>
      </c>
      <c r="E33">
        <v>8058</v>
      </c>
      <c r="F33">
        <v>18.322945933524942</v>
      </c>
      <c r="G33">
        <v>8685.0763724908229</v>
      </c>
      <c r="H33">
        <v>18.247051697061774</v>
      </c>
      <c r="I33">
        <v>8649.1025044072812</v>
      </c>
      <c r="J33">
        <v>6.9100184763023655</v>
      </c>
      <c r="K33">
        <v>3275.3487577673213</v>
      </c>
      <c r="L33">
        <v>8.7223840235498695</v>
      </c>
      <c r="M33">
        <v>4134.4100271626385</v>
      </c>
      <c r="N33">
        <v>7.70641121994798</v>
      </c>
      <c r="O33">
        <v>3652.8389182553424</v>
      </c>
      <c r="P33">
        <v>7.6005776577906223</v>
      </c>
      <c r="Q33">
        <v>3602.673809792755</v>
      </c>
      <c r="R33">
        <v>5.0231388400252532</v>
      </c>
      <c r="S33">
        <v>2380.9678101719701</v>
      </c>
      <c r="T33">
        <v>9.4878694837186668</v>
      </c>
      <c r="U33">
        <v>4497.2501352826484</v>
      </c>
      <c r="V33">
        <v>7.1215496541483558</v>
      </c>
      <c r="W33">
        <v>3375.6145360663209</v>
      </c>
      <c r="X33">
        <v>6.9626790023099359</v>
      </c>
      <c r="Y33">
        <v>3300.3098470949094</v>
      </c>
      <c r="Z33">
        <v>4.9398032283109989</v>
      </c>
      <c r="AA33">
        <v>2341.4667302194134</v>
      </c>
      <c r="AB33">
        <v>7.8124462623866293</v>
      </c>
      <c r="AC33">
        <v>3703.0995283712623</v>
      </c>
      <c r="AD33">
        <v>7.1397633361282757</v>
      </c>
      <c r="AE33">
        <v>3384.2478213248028</v>
      </c>
      <c r="AF33">
        <v>7.1138506815492768</v>
      </c>
      <c r="AG33">
        <v>3371.965223054357</v>
      </c>
      <c r="AH33">
        <v>10.280207520390917</v>
      </c>
      <c r="AI33">
        <v>4872.8183646652942</v>
      </c>
      <c r="AJ33">
        <v>8.3519744635038311</v>
      </c>
      <c r="AK33">
        <v>3958.8358957008159</v>
      </c>
      <c r="AL33">
        <v>6.6690097095703678</v>
      </c>
      <c r="AM33">
        <v>3161.1106023363545</v>
      </c>
      <c r="AN33">
        <v>7.4776271368557747</v>
      </c>
      <c r="AO33">
        <v>3544.395262869637</v>
      </c>
      <c r="AP33">
        <v>7.1785220513815435</v>
      </c>
      <c r="AQ33">
        <v>3402.6194523548515</v>
      </c>
      <c r="AR33">
        <v>8.0907546366655883</v>
      </c>
      <c r="AS33">
        <v>3835.017697779489</v>
      </c>
      <c r="AT33">
        <v>7.5510400259974153</v>
      </c>
      <c r="AU33">
        <v>3579.1929723227749</v>
      </c>
      <c r="AV33">
        <v>8.2829100592863973</v>
      </c>
      <c r="AW33">
        <v>3926.0993681017521</v>
      </c>
      <c r="AX33">
        <v>6.0222500431053216</v>
      </c>
      <c r="AY33">
        <v>2854.5465204319225</v>
      </c>
      <c r="AZ33">
        <v>8.0761257408664093</v>
      </c>
      <c r="BA33">
        <v>3828.0836011706779</v>
      </c>
      <c r="BB33">
        <v>8.1021693582184469</v>
      </c>
      <c r="BC33">
        <v>3840.4282757955439</v>
      </c>
      <c r="BD33">
        <v>10.923837904276263</v>
      </c>
      <c r="BE33">
        <v>5177.8991666269485</v>
      </c>
      <c r="BF33">
        <v>9.1957874174925376</v>
      </c>
      <c r="BG33">
        <v>4358.8032358914625</v>
      </c>
      <c r="BH33">
        <v>7.5026359232666637</v>
      </c>
      <c r="BI33">
        <v>3556.2494276283987</v>
      </c>
      <c r="BJ33">
        <v>8.0012375343224651</v>
      </c>
      <c r="BK33">
        <v>3792.5865912688487</v>
      </c>
      <c r="BL33">
        <v>10.465923801124104</v>
      </c>
      <c r="BM33">
        <v>4960.847881732825</v>
      </c>
      <c r="BN33">
        <v>7.8368144665737374</v>
      </c>
      <c r="BO33">
        <v>3714.6500571559513</v>
      </c>
      <c r="BP33">
        <v>7.4941583685511084</v>
      </c>
      <c r="BQ33">
        <v>3552.2310666932253</v>
      </c>
      <c r="BR33">
        <v>10.237227627838264</v>
      </c>
      <c r="BS33">
        <v>4852.4458955953369</v>
      </c>
      <c r="BT33">
        <v>10.425239493707636</v>
      </c>
      <c r="BU33">
        <v>4941.5635200174193</v>
      </c>
      <c r="BV33">
        <v>5.4881667059491921</v>
      </c>
      <c r="BW33">
        <v>2601.3910186199168</v>
      </c>
      <c r="BX33">
        <v>6.212865276912809</v>
      </c>
      <c r="BY33">
        <v>2944.8981412566714</v>
      </c>
      <c r="BZ33">
        <v>8.8478086089337022</v>
      </c>
      <c r="CA33">
        <v>4193.8612806345745</v>
      </c>
      <c r="CB33">
        <v>6.0989991940369954</v>
      </c>
      <c r="CC33">
        <v>2890.9256179735357</v>
      </c>
      <c r="CD33">
        <v>6.8759789764191028</v>
      </c>
      <c r="CE33">
        <v>3259.2140348226549</v>
      </c>
      <c r="CF33">
        <v>9.4030041840701344</v>
      </c>
      <c r="CG33">
        <v>4457.0239832492434</v>
      </c>
      <c r="CH33">
        <v>6.1777298204660447</v>
      </c>
      <c r="CI33">
        <v>2928.2439349009051</v>
      </c>
      <c r="CJ33">
        <v>6.3833402387793203</v>
      </c>
      <c r="CK33">
        <v>3025.7032731813979</v>
      </c>
      <c r="CL33">
        <v>9.5798781824486792</v>
      </c>
      <c r="CM33">
        <v>4540.8622584806735</v>
      </c>
      <c r="CN33">
        <v>8.4823859486277531</v>
      </c>
      <c r="CO33">
        <v>4020.6509396495549</v>
      </c>
      <c r="CP33">
        <v>9.4167301143502709</v>
      </c>
      <c r="CQ33">
        <v>4463.5300742020281</v>
      </c>
      <c r="CR33">
        <v>4.834909537423278</v>
      </c>
      <c r="CS33">
        <v>2291.7471207386338</v>
      </c>
      <c r="CT33">
        <v>6.8872881523671605</v>
      </c>
      <c r="CU33">
        <v>3264.574584222034</v>
      </c>
    </row>
    <row r="34" spans="2:99" x14ac:dyDescent="0.2">
      <c r="C34" s="119" t="s">
        <v>200</v>
      </c>
      <c r="D34">
        <v>16</v>
      </c>
      <c r="E34">
        <v>8774.4</v>
      </c>
      <c r="F34">
        <v>17.265955474667599</v>
      </c>
      <c r="G34">
        <v>9468.649982307712</v>
      </c>
      <c r="H34">
        <v>18.242127175175394</v>
      </c>
      <c r="I34">
        <v>10003.982542866186</v>
      </c>
      <c r="J34">
        <v>5.9228729796877424</v>
      </c>
      <c r="K34">
        <v>3248.1035420607577</v>
      </c>
      <c r="L34">
        <v>7.9955186882540481</v>
      </c>
      <c r="M34">
        <v>4384.7424486385198</v>
      </c>
      <c r="N34">
        <v>7.70641121994798</v>
      </c>
      <c r="O34">
        <v>4226.1959130194718</v>
      </c>
      <c r="P34">
        <v>8.9418560679889669</v>
      </c>
      <c r="Q34">
        <v>4903.7138676851491</v>
      </c>
      <c r="R34">
        <v>5.0231388400252532</v>
      </c>
      <c r="S34">
        <v>2754.6893398698489</v>
      </c>
      <c r="T34">
        <v>9.0134760095327344</v>
      </c>
      <c r="U34">
        <v>4942.9902436277516</v>
      </c>
      <c r="V34">
        <v>6.5280871829693261</v>
      </c>
      <c r="W34">
        <v>3580.0030111403785</v>
      </c>
      <c r="X34">
        <v>7.5429022525024294</v>
      </c>
      <c r="Y34">
        <v>4136.5275952723323</v>
      </c>
      <c r="Z34">
        <v>4.9398032283109989</v>
      </c>
      <c r="AA34">
        <v>2708.9880904057518</v>
      </c>
      <c r="AB34">
        <v>8.3704781382713893</v>
      </c>
      <c r="AC34">
        <v>4590.3702110280301</v>
      </c>
      <c r="AD34">
        <v>7.6497464315660091</v>
      </c>
      <c r="AE34">
        <v>4195.1209430707995</v>
      </c>
      <c r="AF34">
        <v>7.1138506815492768</v>
      </c>
      <c r="AG34">
        <v>3901.2357137616232</v>
      </c>
      <c r="AH34">
        <v>8.8116064460493586</v>
      </c>
      <c r="AI34">
        <v>4832.2849750134683</v>
      </c>
      <c r="AJ34">
        <v>8.3519744635038311</v>
      </c>
      <c r="AK34">
        <v>4580.2227957855011</v>
      </c>
      <c r="AL34">
        <v>6.6690097095703678</v>
      </c>
      <c r="AM34">
        <v>3657.2849247283893</v>
      </c>
      <c r="AN34">
        <v>7.4776271368557747</v>
      </c>
      <c r="AO34">
        <v>4100.7307218517071</v>
      </c>
      <c r="AP34">
        <v>8.1356583248990813</v>
      </c>
      <c r="AQ34">
        <v>4461.595025374656</v>
      </c>
      <c r="AR34">
        <v>7.5850824718739895</v>
      </c>
      <c r="AS34">
        <v>4159.6592275756957</v>
      </c>
      <c r="AT34">
        <v>6.2925333549978468</v>
      </c>
      <c r="AU34">
        <v>3450.8252918808189</v>
      </c>
      <c r="AV34">
        <v>8.7430717292467506</v>
      </c>
      <c r="AW34">
        <v>4794.7005363189182</v>
      </c>
      <c r="AX34">
        <v>6.0222500431053216</v>
      </c>
      <c r="AY34">
        <v>3302.6019236389584</v>
      </c>
      <c r="AZ34">
        <v>8.0761257408664093</v>
      </c>
      <c r="BA34">
        <v>4428.9473562911389</v>
      </c>
      <c r="BB34">
        <v>8.1021693582184469</v>
      </c>
      <c r="BC34">
        <v>4443.2296760469962</v>
      </c>
      <c r="BD34">
        <v>9.3632896322367962</v>
      </c>
      <c r="BE34">
        <v>5134.8280343186589</v>
      </c>
      <c r="BF34">
        <v>8.7117986060455621</v>
      </c>
      <c r="BG34">
        <v>4777.550355555386</v>
      </c>
      <c r="BH34">
        <v>7.0024601950488856</v>
      </c>
      <c r="BI34">
        <v>3840.1491709648085</v>
      </c>
      <c r="BJ34">
        <v>8.4718985657531984</v>
      </c>
      <c r="BK34">
        <v>4645.9891734590537</v>
      </c>
      <c r="BL34">
        <v>10.465923801124104</v>
      </c>
      <c r="BM34">
        <v>5739.5126125364586</v>
      </c>
      <c r="BN34">
        <v>6.9660573036211</v>
      </c>
      <c r="BO34">
        <v>3820.1858253058112</v>
      </c>
      <c r="BP34">
        <v>7.0533255233422194</v>
      </c>
      <c r="BQ34">
        <v>3868.0437170008731</v>
      </c>
      <c r="BR34">
        <v>8.901937067685445</v>
      </c>
      <c r="BS34">
        <v>4881.8222879186978</v>
      </c>
      <c r="BT34">
        <v>8.9359195660351158</v>
      </c>
      <c r="BU34">
        <v>4900.4582900136575</v>
      </c>
      <c r="BV34">
        <v>6.4860151979399543</v>
      </c>
      <c r="BW34">
        <v>3556.9307345502707</v>
      </c>
      <c r="BX34">
        <v>6.6566413681208676</v>
      </c>
      <c r="BY34">
        <v>3650.5021262774835</v>
      </c>
      <c r="BZ34">
        <v>9.8308984543707805</v>
      </c>
      <c r="CA34">
        <v>5391.2647123769357</v>
      </c>
      <c r="CB34">
        <v>5.5907492612005782</v>
      </c>
      <c r="CC34">
        <v>3065.9668948423969</v>
      </c>
      <c r="CD34">
        <v>8.3494030427946253</v>
      </c>
      <c r="CE34">
        <v>4578.812628668572</v>
      </c>
      <c r="CF34">
        <v>9.4030041840701344</v>
      </c>
      <c r="CG34">
        <v>5156.6074945440614</v>
      </c>
      <c r="CH34">
        <v>7.2073514572103852</v>
      </c>
      <c r="CI34">
        <v>3952.5115391341751</v>
      </c>
      <c r="CJ34">
        <v>5.9273873645807971</v>
      </c>
      <c r="CK34">
        <v>3250.5792307361089</v>
      </c>
      <c r="CL34">
        <v>8.5154472732877142</v>
      </c>
      <c r="CM34">
        <v>4669.8712846709823</v>
      </c>
      <c r="CN34">
        <v>8.0784628082169068</v>
      </c>
      <c r="CO34">
        <v>4430.2290040261514</v>
      </c>
      <c r="CP34">
        <v>10.407964863229246</v>
      </c>
      <c r="CQ34">
        <v>5707.7279309949181</v>
      </c>
      <c r="CR34">
        <v>5.7139839987729655</v>
      </c>
      <c r="CS34">
        <v>3133.5488249270943</v>
      </c>
      <c r="CT34">
        <v>6.8872881523671605</v>
      </c>
      <c r="CU34">
        <v>3776.9888227581505</v>
      </c>
    </row>
    <row r="35" spans="2:99" x14ac:dyDescent="0.2">
      <c r="C35" s="119" t="s">
        <v>201</v>
      </c>
      <c r="D35">
        <v>14</v>
      </c>
      <c r="E35">
        <v>7039.1999999999989</v>
      </c>
      <c r="F35">
        <v>16.284952294286711</v>
      </c>
      <c r="G35">
        <v>8188.0740135673568</v>
      </c>
      <c r="H35">
        <v>15.516149594860488</v>
      </c>
      <c r="I35">
        <v>7801.5200162958517</v>
      </c>
      <c r="J35">
        <v>5.9228729796877424</v>
      </c>
      <c r="K35">
        <v>2978.0205341869964</v>
      </c>
      <c r="L35">
        <v>7.9955186882540481</v>
      </c>
      <c r="M35">
        <v>4020.1467964541343</v>
      </c>
      <c r="N35">
        <v>7.70641121994798</v>
      </c>
      <c r="O35">
        <v>3874.7835613898437</v>
      </c>
      <c r="P35">
        <v>7.6005776577906223</v>
      </c>
      <c r="Q35">
        <v>3821.5704463371239</v>
      </c>
      <c r="R35">
        <v>5.9364368109389352</v>
      </c>
      <c r="S35">
        <v>2984.8404285400961</v>
      </c>
      <c r="T35">
        <v>8.5390825353468003</v>
      </c>
      <c r="U35">
        <v>4293.4506987723707</v>
      </c>
      <c r="V35">
        <v>6.5280871829693261</v>
      </c>
      <c r="W35">
        <v>3282.3222355969765</v>
      </c>
      <c r="X35">
        <v>7.5429022525024294</v>
      </c>
      <c r="Y35">
        <v>3792.5712525582207</v>
      </c>
      <c r="Z35">
        <v>5.4337835511420991</v>
      </c>
      <c r="AA35">
        <v>2732.106369514247</v>
      </c>
      <c r="AB35">
        <v>7.8124462623866293</v>
      </c>
      <c r="AC35">
        <v>3928.0979807279964</v>
      </c>
      <c r="AD35">
        <v>7.6497464315660091</v>
      </c>
      <c r="AE35">
        <v>3846.2925057913885</v>
      </c>
      <c r="AF35">
        <v>6.4671369832266157</v>
      </c>
      <c r="AG35">
        <v>3251.6764751663418</v>
      </c>
      <c r="AH35">
        <v>8.8116064460493586</v>
      </c>
      <c r="AI35">
        <v>4430.475721073617</v>
      </c>
      <c r="AJ35">
        <v>7.3079776555658524</v>
      </c>
      <c r="AK35">
        <v>3674.4511652185097</v>
      </c>
      <c r="AL35">
        <v>7.3359106805274035</v>
      </c>
      <c r="AM35">
        <v>3688.4958901691775</v>
      </c>
      <c r="AN35">
        <v>6.9435109127946477</v>
      </c>
      <c r="AO35">
        <v>3491.1972869531483</v>
      </c>
      <c r="AP35">
        <v>7.1785220513815435</v>
      </c>
      <c r="AQ35">
        <v>3609.3608874346392</v>
      </c>
      <c r="AR35">
        <v>7.5850824718739895</v>
      </c>
      <c r="AS35">
        <v>3813.779466858241</v>
      </c>
      <c r="AT35">
        <v>6.2925333549978468</v>
      </c>
      <c r="AU35">
        <v>3163.8857708929168</v>
      </c>
      <c r="AV35">
        <v>9.6633950691674624</v>
      </c>
      <c r="AW35">
        <v>4858.7550407773988</v>
      </c>
      <c r="AX35">
        <v>6.0222500431053216</v>
      </c>
      <c r="AY35">
        <v>3027.9873216733549</v>
      </c>
      <c r="AZ35">
        <v>7.4992596165188088</v>
      </c>
      <c r="BA35">
        <v>3770.6277351856561</v>
      </c>
      <c r="BB35">
        <v>9.0024103980204959</v>
      </c>
      <c r="BC35">
        <v>4526.4119481247044</v>
      </c>
      <c r="BD35">
        <v>9.8834723895832841</v>
      </c>
      <c r="BE35">
        <v>4969.4099174824742</v>
      </c>
      <c r="BF35">
        <v>7.7438209831516112</v>
      </c>
      <c r="BG35">
        <v>3893.5931903286291</v>
      </c>
      <c r="BH35">
        <v>6.5022844668311084</v>
      </c>
      <c r="BI35">
        <v>3269.3486299226806</v>
      </c>
      <c r="BJ35">
        <v>9.4132206286146651</v>
      </c>
      <c r="BK35">
        <v>4732.9673320674528</v>
      </c>
      <c r="BL35">
        <v>9.364247611532095</v>
      </c>
      <c r="BM35">
        <v>4708.3436990783366</v>
      </c>
      <c r="BN35">
        <v>7.4014358850974187</v>
      </c>
      <c r="BO35">
        <v>3721.4419630269813</v>
      </c>
      <c r="BP35">
        <v>7.9349912137599956</v>
      </c>
      <c r="BQ35">
        <v>3989.7135822785249</v>
      </c>
      <c r="BR35">
        <v>9.347033921069718</v>
      </c>
      <c r="BS35">
        <v>4699.6886555138535</v>
      </c>
      <c r="BT35">
        <v>8.9359195660351158</v>
      </c>
      <c r="BU35">
        <v>4492.9803578024557</v>
      </c>
      <c r="BV35">
        <v>5.4881667059491921</v>
      </c>
      <c r="BW35">
        <v>2759.4502197512534</v>
      </c>
      <c r="BX35">
        <v>6.212865276912809</v>
      </c>
      <c r="BY35">
        <v>3123.8286612317597</v>
      </c>
      <c r="BZ35">
        <v>8.3562636862151631</v>
      </c>
      <c r="CA35">
        <v>4201.5293814289835</v>
      </c>
      <c r="CB35">
        <v>6.6072491268734108</v>
      </c>
      <c r="CC35">
        <v>3322.1248609919503</v>
      </c>
      <c r="CD35">
        <v>7.8582616873361175</v>
      </c>
      <c r="CE35">
        <v>3951.1339763925989</v>
      </c>
      <c r="CF35">
        <v>8.955242080066796</v>
      </c>
      <c r="CG35">
        <v>4502.695717857584</v>
      </c>
      <c r="CH35">
        <v>6.6925406388382145</v>
      </c>
      <c r="CI35">
        <v>3365.0094332078534</v>
      </c>
      <c r="CJ35">
        <v>5.9273873645807971</v>
      </c>
      <c r="CK35">
        <v>2980.2903669112243</v>
      </c>
      <c r="CL35">
        <v>7.9832318187072326</v>
      </c>
      <c r="CM35">
        <v>4013.9689584459957</v>
      </c>
      <c r="CN35">
        <v>6.8666933869843705</v>
      </c>
      <c r="CO35">
        <v>3452.5734349757408</v>
      </c>
      <c r="CP35">
        <v>8.9211127399107824</v>
      </c>
      <c r="CQ35">
        <v>4485.5354856271406</v>
      </c>
      <c r="CR35">
        <v>5.7139839987729655</v>
      </c>
      <c r="CS35">
        <v>2872.9911545830464</v>
      </c>
      <c r="CT35">
        <v>6.8872881523671605</v>
      </c>
      <c r="CU35">
        <v>3462.9284830102074</v>
      </c>
    </row>
    <row r="36" spans="2:99" x14ac:dyDescent="0.2">
      <c r="C36" s="119" t="s">
        <v>202</v>
      </c>
      <c r="D36">
        <v>16</v>
      </c>
      <c r="E36">
        <v>12172.8</v>
      </c>
      <c r="F36">
        <v>15.265955474667599</v>
      </c>
      <c r="G36">
        <v>11614.338925127109</v>
      </c>
      <c r="H36">
        <v>15.511225072974105</v>
      </c>
      <c r="I36">
        <v>11800.940035518697</v>
      </c>
      <c r="J36">
        <v>5.4293002313804308</v>
      </c>
      <c r="K36">
        <v>4130.6116160342317</v>
      </c>
      <c r="L36">
        <v>7.2686533529582258</v>
      </c>
      <c r="M36">
        <v>5529.9914709306177</v>
      </c>
      <c r="N36">
        <v>7.70641121994798</v>
      </c>
      <c r="O36">
        <v>5863.0376561364228</v>
      </c>
      <c r="P36">
        <v>8.0476704611900711</v>
      </c>
      <c r="Q36">
        <v>6122.6676868734057</v>
      </c>
      <c r="R36">
        <v>5.4797878254820942</v>
      </c>
      <c r="S36">
        <v>4169.0225776267771</v>
      </c>
      <c r="T36">
        <v>9.0134760095327344</v>
      </c>
      <c r="U36">
        <v>6857.4525480525035</v>
      </c>
      <c r="V36">
        <v>6.5280871829693261</v>
      </c>
      <c r="W36">
        <v>4966.5687288030631</v>
      </c>
      <c r="X36">
        <v>6.3824557521174405</v>
      </c>
      <c r="Y36">
        <v>4855.7723362109482</v>
      </c>
      <c r="Z36">
        <v>4.9398032283109989</v>
      </c>
      <c r="AA36">
        <v>3758.202296099008</v>
      </c>
      <c r="AB36">
        <v>8.9285100141561475</v>
      </c>
      <c r="AC36">
        <v>6792.8104187699964</v>
      </c>
      <c r="AD36">
        <v>7.1397633361282757</v>
      </c>
      <c r="AE36">
        <v>5431.9319461263922</v>
      </c>
      <c r="AF36">
        <v>7.7605643798719388</v>
      </c>
      <c r="AG36">
        <v>5904.2373802065704</v>
      </c>
      <c r="AH36">
        <v>9.7906738289437314</v>
      </c>
      <c r="AI36">
        <v>7448.7446490603907</v>
      </c>
      <c r="AJ36">
        <v>7.3079776555658524</v>
      </c>
      <c r="AK36">
        <v>5559.9094003545006</v>
      </c>
      <c r="AL36">
        <v>6.6690097095703678</v>
      </c>
      <c r="AM36">
        <v>5073.7825870411352</v>
      </c>
      <c r="AN36">
        <v>6.4093946887335207</v>
      </c>
      <c r="AO36">
        <v>4876.2674791884619</v>
      </c>
      <c r="AP36">
        <v>7.1785220513815435</v>
      </c>
      <c r="AQ36">
        <v>5461.419576691078</v>
      </c>
      <c r="AR36">
        <v>7.5850824718739895</v>
      </c>
      <c r="AS36">
        <v>5770.7307446017312</v>
      </c>
      <c r="AT36">
        <v>6.71203557866437</v>
      </c>
      <c r="AU36">
        <v>5106.5166682478521</v>
      </c>
      <c r="AV36">
        <v>9.6633950691674624</v>
      </c>
      <c r="AW36">
        <v>7351.9109686226047</v>
      </c>
      <c r="AX36">
        <v>6.0222500431053216</v>
      </c>
      <c r="AY36">
        <v>4581.7278327945287</v>
      </c>
      <c r="AZ36">
        <v>7.4992596165188088</v>
      </c>
      <c r="BA36">
        <v>5705.4367162475091</v>
      </c>
      <c r="BB36">
        <v>7.6520488383174214</v>
      </c>
      <c r="BC36">
        <v>5821.6787561918936</v>
      </c>
      <c r="BD36">
        <v>9.8834723895832841</v>
      </c>
      <c r="BE36">
        <v>7519.3457939949622</v>
      </c>
      <c r="BF36">
        <v>7.7438209831516112</v>
      </c>
      <c r="BG36">
        <v>5891.4990039817458</v>
      </c>
      <c r="BH36">
        <v>6.5022844668311084</v>
      </c>
      <c r="BI36">
        <v>4946.9380223651069</v>
      </c>
      <c r="BJ36">
        <v>8.0012375343224651</v>
      </c>
      <c r="BK36">
        <v>6087.3415161125313</v>
      </c>
      <c r="BL36">
        <v>10.465923801124104</v>
      </c>
      <c r="BM36">
        <v>7962.4748278952175</v>
      </c>
      <c r="BN36">
        <v>7.4014358850974187</v>
      </c>
      <c r="BO36">
        <v>5631.0124213821155</v>
      </c>
      <c r="BP36">
        <v>6.6124926781333304</v>
      </c>
      <c r="BQ36">
        <v>5030.7844295238374</v>
      </c>
      <c r="BR36">
        <v>10.237227627838264</v>
      </c>
      <c r="BS36">
        <v>7788.4827792593505</v>
      </c>
      <c r="BT36">
        <v>8.439479590144277</v>
      </c>
      <c r="BU36">
        <v>6420.7560721817654</v>
      </c>
      <c r="BV36">
        <v>5.9870909519445732</v>
      </c>
      <c r="BW36">
        <v>4554.9787962394312</v>
      </c>
      <c r="BX36">
        <v>6.212865276912809</v>
      </c>
      <c r="BY36">
        <v>4726.7479026752644</v>
      </c>
      <c r="BZ36">
        <v>7.8647187634966231</v>
      </c>
      <c r="CA36">
        <v>5983.4780352682301</v>
      </c>
      <c r="CB36">
        <v>5.5907492612005782</v>
      </c>
      <c r="CC36">
        <v>4253.4420379213998</v>
      </c>
      <c r="CD36">
        <v>8.3494030427946253</v>
      </c>
      <c r="CE36">
        <v>6352.2258349581507</v>
      </c>
      <c r="CF36">
        <v>9.4030041840701344</v>
      </c>
      <c r="CG36">
        <v>7153.805583240558</v>
      </c>
      <c r="CH36">
        <v>6.1777298204660447</v>
      </c>
      <c r="CI36">
        <v>4700.0168474105667</v>
      </c>
      <c r="CJ36">
        <v>6.3833402387793203</v>
      </c>
      <c r="CK36">
        <v>4856.4452536633062</v>
      </c>
      <c r="CL36">
        <v>9.0476627278681967</v>
      </c>
      <c r="CM36">
        <v>6883.4618033621236</v>
      </c>
      <c r="CN36">
        <v>8.0784628082169068</v>
      </c>
      <c r="CO36">
        <v>6146.0945044914224</v>
      </c>
      <c r="CP36">
        <v>9.4167301143502709</v>
      </c>
      <c r="CQ36">
        <v>7164.2482709976857</v>
      </c>
      <c r="CR36">
        <v>5.2744467680981213</v>
      </c>
      <c r="CS36">
        <v>4012.7991011690506</v>
      </c>
      <c r="CT36">
        <v>7.3792373061076724</v>
      </c>
      <c r="CU36">
        <v>5614.1237424867168</v>
      </c>
    </row>
    <row r="37" spans="2:99" x14ac:dyDescent="0.2">
      <c r="B37" s="119" t="s">
        <v>128</v>
      </c>
      <c r="C37" s="119" t="s">
        <v>203</v>
      </c>
      <c r="D37">
        <v>24</v>
      </c>
      <c r="E37">
        <v>20649.599999999999</v>
      </c>
      <c r="F37">
        <v>27.379936392382284</v>
      </c>
      <c r="G37">
        <v>23557.697272005717</v>
      </c>
      <c r="H37">
        <v>27.353341718990325</v>
      </c>
      <c r="I37">
        <v>23534.815215019276</v>
      </c>
      <c r="J37">
        <v>16.781473442448601</v>
      </c>
      <c r="K37">
        <v>14438.779749882775</v>
      </c>
      <c r="L37">
        <v>15.264172041212273</v>
      </c>
      <c r="M37">
        <v>13133.293624259039</v>
      </c>
      <c r="N37">
        <v>17.821075946129703</v>
      </c>
      <c r="O37">
        <v>15333.253744049996</v>
      </c>
      <c r="P37">
        <v>16.542433725779588</v>
      </c>
      <c r="Q37">
        <v>14233.109977660757</v>
      </c>
      <c r="R37">
        <v>15.5260655055326</v>
      </c>
      <c r="S37">
        <v>13358.626760960249</v>
      </c>
      <c r="T37">
        <v>12.334230328834266</v>
      </c>
      <c r="U37">
        <v>10612.371774929003</v>
      </c>
      <c r="V37">
        <v>16.023486721833802</v>
      </c>
      <c r="W37">
        <v>13786.607975465802</v>
      </c>
      <c r="X37">
        <v>11.604465003849894</v>
      </c>
      <c r="Y37">
        <v>9984.481689312448</v>
      </c>
      <c r="Z37">
        <v>17.783291621919595</v>
      </c>
      <c r="AA37">
        <v>15300.74411149962</v>
      </c>
      <c r="AB37">
        <v>17.298988152427537</v>
      </c>
      <c r="AC37">
        <v>14884.049406348653</v>
      </c>
      <c r="AD37">
        <v>14.789509767694286</v>
      </c>
      <c r="AE37">
        <v>12724.894204124163</v>
      </c>
      <c r="AF37">
        <v>15.521128759743878</v>
      </c>
      <c r="AG37">
        <v>13354.379184883632</v>
      </c>
      <c r="AH37">
        <v>14.686010743415595</v>
      </c>
      <c r="AI37">
        <v>12635.843643634778</v>
      </c>
      <c r="AJ37">
        <v>19.313940946852608</v>
      </c>
      <c r="AK37">
        <v>16617.714790671984</v>
      </c>
      <c r="AL37">
        <v>15.338722332011844</v>
      </c>
      <c r="AM37">
        <v>13197.436694462991</v>
      </c>
      <c r="AN37">
        <v>13.887021825589295</v>
      </c>
      <c r="AO37">
        <v>11948.39357873703</v>
      </c>
      <c r="AP37">
        <v>9.5713627351753914</v>
      </c>
      <c r="AQ37">
        <v>8235.2004973449057</v>
      </c>
      <c r="AR37">
        <v>10.619115460623584</v>
      </c>
      <c r="AS37">
        <v>9136.6869423205317</v>
      </c>
      <c r="AT37">
        <v>15.521582275661354</v>
      </c>
      <c r="AU37">
        <v>13354.769389979028</v>
      </c>
      <c r="AV37">
        <v>11.043880079048529</v>
      </c>
      <c r="AW37">
        <v>9502.154420013354</v>
      </c>
      <c r="AX37">
        <v>12.044500086210643</v>
      </c>
      <c r="AY37">
        <v>10363.087874175637</v>
      </c>
      <c r="AZ37">
        <v>16.152251481732819</v>
      </c>
      <c r="BA37">
        <v>13897.397174882917</v>
      </c>
      <c r="BB37">
        <v>18.905061835843043</v>
      </c>
      <c r="BC37">
        <v>16265.915203559354</v>
      </c>
      <c r="BD37">
        <v>11.44402066162275</v>
      </c>
      <c r="BE37">
        <v>9846.4353772602135</v>
      </c>
      <c r="BF37">
        <v>15.003653154856247</v>
      </c>
      <c r="BG37">
        <v>12909.143174438315</v>
      </c>
      <c r="BH37">
        <v>13.504744661879993</v>
      </c>
      <c r="BI37">
        <v>11619.482307081546</v>
      </c>
      <c r="BJ37">
        <v>14.59049197435273</v>
      </c>
      <c r="BK37">
        <v>12553.659294733088</v>
      </c>
      <c r="BL37">
        <v>11.567599990716115</v>
      </c>
      <c r="BM37">
        <v>9952.7630320121443</v>
      </c>
      <c r="BN37">
        <v>15.238250351671155</v>
      </c>
      <c r="BO37">
        <v>13110.990602577862</v>
      </c>
      <c r="BP37">
        <v>17.633313808355549</v>
      </c>
      <c r="BQ37">
        <v>15171.703200709115</v>
      </c>
      <c r="BR37">
        <v>13.352905601528169</v>
      </c>
      <c r="BS37">
        <v>11488.839979554836</v>
      </c>
      <c r="BT37">
        <v>16.878959180288554</v>
      </c>
      <c r="BU37">
        <v>14522.656478720271</v>
      </c>
      <c r="BV37">
        <v>12.473106149884527</v>
      </c>
      <c r="BW37">
        <v>10731.860531360648</v>
      </c>
      <c r="BX37">
        <v>15.088387101073966</v>
      </c>
      <c r="BY37">
        <v>12982.048261764041</v>
      </c>
      <c r="BZ37">
        <v>19.661796908741561</v>
      </c>
      <c r="CA37">
        <v>16917.010060281238</v>
      </c>
      <c r="CB37">
        <v>11.181498522401156</v>
      </c>
      <c r="CC37">
        <v>9620.5613286739554</v>
      </c>
      <c r="CD37">
        <v>17.681088796506263</v>
      </c>
      <c r="CE37">
        <v>15212.808800513987</v>
      </c>
      <c r="CF37">
        <v>14.328387328106874</v>
      </c>
      <c r="CG37">
        <v>12328.144457103155</v>
      </c>
      <c r="CH37">
        <v>20.592432734886813</v>
      </c>
      <c r="CI37">
        <v>17717.729125096615</v>
      </c>
      <c r="CJ37">
        <v>16.414303471146823</v>
      </c>
      <c r="CK37">
        <v>14122.866706574727</v>
      </c>
      <c r="CL37">
        <v>11.176524546190125</v>
      </c>
      <c r="CM37">
        <v>9616.281719541983</v>
      </c>
      <c r="CN37">
        <v>15.753002476022969</v>
      </c>
      <c r="CO37">
        <v>13553.883330370161</v>
      </c>
      <c r="CP37">
        <v>17.842225479821565</v>
      </c>
      <c r="CQ37">
        <v>15351.450802838473</v>
      </c>
      <c r="CR37">
        <v>12.307042458895618</v>
      </c>
      <c r="CS37">
        <v>10588.979331633789</v>
      </c>
      <c r="CT37">
        <v>12.790677997253299</v>
      </c>
      <c r="CU37">
        <v>11005.099348836738</v>
      </c>
    </row>
    <row r="38" spans="2:99" x14ac:dyDescent="0.2">
      <c r="C38" s="119" t="s">
        <v>204</v>
      </c>
      <c r="D38">
        <v>23</v>
      </c>
      <c r="E38">
        <v>28566</v>
      </c>
      <c r="F38">
        <v>25.379936392382284</v>
      </c>
      <c r="G38">
        <v>31521.880999338795</v>
      </c>
      <c r="H38">
        <v>26.449607047438402</v>
      </c>
      <c r="I38">
        <v>32850.411952918497</v>
      </c>
      <c r="J38">
        <v>16.287900694141289</v>
      </c>
      <c r="K38">
        <v>20229.572662123483</v>
      </c>
      <c r="L38">
        <v>12.356710700028984</v>
      </c>
      <c r="M38">
        <v>15347.034689435997</v>
      </c>
      <c r="N38">
        <v>17.339425244882957</v>
      </c>
      <c r="O38">
        <v>21535.566154144632</v>
      </c>
      <c r="P38">
        <v>15.201155315581245</v>
      </c>
      <c r="Q38">
        <v>18879.834901951905</v>
      </c>
      <c r="R38">
        <v>15.5260655055326</v>
      </c>
      <c r="S38">
        <v>19283.373357871489</v>
      </c>
      <c r="T38">
        <v>11.3854433804624</v>
      </c>
      <c r="U38">
        <v>14140.720678534301</v>
      </c>
      <c r="V38">
        <v>15.430024250654771</v>
      </c>
      <c r="W38">
        <v>19164.090119313227</v>
      </c>
      <c r="X38">
        <v>11.604465003849894</v>
      </c>
      <c r="Y38">
        <v>14412.745534781568</v>
      </c>
      <c r="Z38">
        <v>15.807370330595194</v>
      </c>
      <c r="AA38">
        <v>19632.753950599232</v>
      </c>
      <c r="AB38">
        <v>17.857020028312295</v>
      </c>
      <c r="AC38">
        <v>22178.418875163872</v>
      </c>
      <c r="AD38">
        <v>13.259560481381083</v>
      </c>
      <c r="AE38">
        <v>16468.374117875304</v>
      </c>
      <c r="AF38">
        <v>15.521128759743878</v>
      </c>
      <c r="AG38">
        <v>19277.241919601896</v>
      </c>
      <c r="AH38">
        <v>13.217409669074037</v>
      </c>
      <c r="AI38">
        <v>16416.022808989954</v>
      </c>
      <c r="AJ38">
        <v>16.181950523038672</v>
      </c>
      <c r="AK38">
        <v>20097.982549614033</v>
      </c>
      <c r="AL38">
        <v>14.671821361054807</v>
      </c>
      <c r="AM38">
        <v>18222.40213043007</v>
      </c>
      <c r="AN38">
        <v>12.284673153405915</v>
      </c>
      <c r="AO38">
        <v>15257.564056530147</v>
      </c>
      <c r="AP38">
        <v>10.04993087193416</v>
      </c>
      <c r="AQ38">
        <v>12482.014142942227</v>
      </c>
      <c r="AR38">
        <v>10.619115460623584</v>
      </c>
      <c r="AS38">
        <v>13188.941402094491</v>
      </c>
      <c r="AT38">
        <v>15.102080051994831</v>
      </c>
      <c r="AU38">
        <v>18756.783424577581</v>
      </c>
      <c r="AV38">
        <v>9.6633950691674624</v>
      </c>
      <c r="AW38">
        <v>12001.936675905989</v>
      </c>
      <c r="AX38">
        <v>11.04079174569309</v>
      </c>
      <c r="AY38">
        <v>13712.663348150818</v>
      </c>
      <c r="AZ38">
        <v>16.152251481732819</v>
      </c>
      <c r="BA38">
        <v>20061.09634031216</v>
      </c>
      <c r="BB38">
        <v>16.204338716436894</v>
      </c>
      <c r="BC38">
        <v>20125.788685814623</v>
      </c>
      <c r="BD38">
        <v>11.44402066162275</v>
      </c>
      <c r="BE38">
        <v>14213.473661735456</v>
      </c>
      <c r="BF38">
        <v>14.035675531962294</v>
      </c>
      <c r="BG38">
        <v>17432.309010697169</v>
      </c>
      <c r="BH38">
        <v>11.504041749008884</v>
      </c>
      <c r="BI38">
        <v>14288.019852269033</v>
      </c>
      <c r="BJ38">
        <v>16.00247506864493</v>
      </c>
      <c r="BK38">
        <v>19875.074035257003</v>
      </c>
      <c r="BL38">
        <v>12.669276180308128</v>
      </c>
      <c r="BM38">
        <v>15735.241015942695</v>
      </c>
      <c r="BN38">
        <v>14.36749318871852</v>
      </c>
      <c r="BO38">
        <v>17844.426540388402</v>
      </c>
      <c r="BP38">
        <v>17.192480963146657</v>
      </c>
      <c r="BQ38">
        <v>21353.061356228147</v>
      </c>
      <c r="BR38">
        <v>12.017615041375352</v>
      </c>
      <c r="BS38">
        <v>14925.877881388187</v>
      </c>
      <c r="BT38">
        <v>15.389639252616034</v>
      </c>
      <c r="BU38">
        <v>19113.931951749113</v>
      </c>
      <c r="BV38">
        <v>13.47095464187529</v>
      </c>
      <c r="BW38">
        <v>16730.92566520911</v>
      </c>
      <c r="BX38">
        <v>13.313282736241735</v>
      </c>
      <c r="BY38">
        <v>16535.097158412234</v>
      </c>
      <c r="BZ38">
        <v>16.712527372430326</v>
      </c>
      <c r="CA38">
        <v>20756.958996558464</v>
      </c>
      <c r="CB38">
        <v>10.164998656728326</v>
      </c>
      <c r="CC38">
        <v>12624.92833165658</v>
      </c>
      <c r="CD38">
        <v>18.663371507423278</v>
      </c>
      <c r="CE38">
        <v>23179.907412219713</v>
      </c>
      <c r="CF38">
        <v>14.328387328106874</v>
      </c>
      <c r="CG38">
        <v>17795.857061508737</v>
      </c>
      <c r="CH38">
        <v>19.048000279770303</v>
      </c>
      <c r="CI38">
        <v>23657.616347474715</v>
      </c>
      <c r="CJ38">
        <v>15.502397722749775</v>
      </c>
      <c r="CK38">
        <v>19253.977971655222</v>
      </c>
      <c r="CL38">
        <v>12.773170909931572</v>
      </c>
      <c r="CM38">
        <v>15864.278270135013</v>
      </c>
      <c r="CN38">
        <v>14.137309914379587</v>
      </c>
      <c r="CO38">
        <v>17558.538913659446</v>
      </c>
      <c r="CP38">
        <v>18.833460228700542</v>
      </c>
      <c r="CQ38">
        <v>23391.157604046071</v>
      </c>
      <c r="CR38">
        <v>11.867505228220773</v>
      </c>
      <c r="CS38">
        <v>14739.4414934502</v>
      </c>
      <c r="CT38">
        <v>13.282627150993809</v>
      </c>
      <c r="CU38">
        <v>16497.02292153431</v>
      </c>
    </row>
    <row r="39" spans="2:99" x14ac:dyDescent="0.2">
      <c r="C39" s="119" t="s">
        <v>205</v>
      </c>
      <c r="D39">
        <v>23</v>
      </c>
      <c r="E39">
        <v>32733.600000000002</v>
      </c>
      <c r="F39">
        <v>22.379936392382284</v>
      </c>
      <c r="G39">
        <v>31851.125473638469</v>
      </c>
      <c r="H39">
        <v>24.627364138675421</v>
      </c>
      <c r="I39">
        <v>35049.664642162861</v>
      </c>
      <c r="J39">
        <v>15.300755197526668</v>
      </c>
      <c r="K39">
        <v>21776.034797119955</v>
      </c>
      <c r="L39">
        <v>14.537306705916452</v>
      </c>
      <c r="M39">
        <v>20689.494903860294</v>
      </c>
      <c r="N39">
        <v>15.41282243989596</v>
      </c>
      <c r="O39">
        <v>21935.528896459931</v>
      </c>
      <c r="P39">
        <v>16.095340922380142</v>
      </c>
      <c r="Q39">
        <v>22906.889200731421</v>
      </c>
      <c r="R39">
        <v>15.982714490989441</v>
      </c>
      <c r="S39">
        <v>22746.599263576172</v>
      </c>
      <c r="T39">
        <v>11.859836854648334</v>
      </c>
      <c r="U39">
        <v>16878.91981153551</v>
      </c>
      <c r="V39">
        <v>13.649636837117683</v>
      </c>
      <c r="W39">
        <v>19426.163146585888</v>
      </c>
      <c r="X39">
        <v>11.024241753657398</v>
      </c>
      <c r="Y39">
        <v>15689.700863805208</v>
      </c>
      <c r="Z39">
        <v>14.819409684932996</v>
      </c>
      <c r="AA39">
        <v>21090.983863596641</v>
      </c>
      <c r="AB39">
        <v>16.182924400658017</v>
      </c>
      <c r="AC39">
        <v>23031.53800701649</v>
      </c>
      <c r="AD39">
        <v>13.769543576818817</v>
      </c>
      <c r="AE39">
        <v>19596.814418528542</v>
      </c>
      <c r="AF39">
        <v>14.227701363098554</v>
      </c>
      <c r="AG39">
        <v>20248.864579961861</v>
      </c>
      <c r="AH39">
        <v>13.217409669074037</v>
      </c>
      <c r="AI39">
        <v>18811.017441026172</v>
      </c>
      <c r="AJ39">
        <v>15.137953715100696</v>
      </c>
      <c r="AK39">
        <v>21544.335727331312</v>
      </c>
      <c r="AL39">
        <v>12.004217477226662</v>
      </c>
      <c r="AM39">
        <v>17084.402313588987</v>
      </c>
      <c r="AN39">
        <v>11.216440705283661</v>
      </c>
      <c r="AO39">
        <v>15963.238411759707</v>
      </c>
      <c r="AP39">
        <v>9.5713627351753914</v>
      </c>
      <c r="AQ39">
        <v>13621.963444701618</v>
      </c>
      <c r="AR39">
        <v>10.619115460623584</v>
      </c>
      <c r="AS39">
        <v>15113.125123559486</v>
      </c>
      <c r="AT39">
        <v>14.682577828328307</v>
      </c>
      <c r="AU39">
        <v>20896.24476527685</v>
      </c>
      <c r="AV39">
        <v>11.043880079048529</v>
      </c>
      <c r="AW39">
        <v>15717.650128501868</v>
      </c>
      <c r="AX39">
        <v>11.04079174569309</v>
      </c>
      <c r="AY39">
        <v>15713.254812470406</v>
      </c>
      <c r="AZ39">
        <v>13.844786984342418</v>
      </c>
      <c r="BA39">
        <v>19703.900836116129</v>
      </c>
      <c r="BB39">
        <v>17.554700276139968</v>
      </c>
      <c r="BC39">
        <v>24983.849433002404</v>
      </c>
      <c r="BD39">
        <v>9.8834723895832841</v>
      </c>
      <c r="BE39">
        <v>14066.15790485493</v>
      </c>
      <c r="BF39">
        <v>15.487641966303222</v>
      </c>
      <c r="BG39">
        <v>22042.012046442745</v>
      </c>
      <c r="BH39">
        <v>10.503690292573328</v>
      </c>
      <c r="BI39">
        <v>14948.85202439036</v>
      </c>
      <c r="BJ39">
        <v>14.59049197435273</v>
      </c>
      <c r="BK39">
        <v>20765.188177898806</v>
      </c>
      <c r="BL39">
        <v>10.465923801124104</v>
      </c>
      <c r="BM39">
        <v>14895.102753759826</v>
      </c>
      <c r="BN39">
        <v>12.190600281336925</v>
      </c>
      <c r="BO39">
        <v>17349.662320398711</v>
      </c>
      <c r="BP39">
        <v>16.310815272728881</v>
      </c>
      <c r="BQ39">
        <v>23213.552296147744</v>
      </c>
      <c r="BR39">
        <v>10.682324481222535</v>
      </c>
      <c r="BS39">
        <v>15203.084201675912</v>
      </c>
      <c r="BT39">
        <v>13.900319324943515</v>
      </c>
      <c r="BU39">
        <v>19782.934463259611</v>
      </c>
      <c r="BV39">
        <v>12.972030395879909</v>
      </c>
      <c r="BW39">
        <v>18461.793659416286</v>
      </c>
      <c r="BX39">
        <v>12.425730553825618</v>
      </c>
      <c r="BY39">
        <v>17684.299724204619</v>
      </c>
      <c r="BZ39">
        <v>16.712527372430326</v>
      </c>
      <c r="CA39">
        <v>23785.26895644284</v>
      </c>
      <c r="CB39">
        <v>10.673248589564741</v>
      </c>
      <c r="CC39">
        <v>15190.16739266854</v>
      </c>
      <c r="CD39">
        <v>15.716523374672235</v>
      </c>
      <c r="CE39">
        <v>22367.756066833525</v>
      </c>
      <c r="CF39">
        <v>12.985101016096854</v>
      </c>
      <c r="CG39">
        <v>18480.395766109043</v>
      </c>
      <c r="CH39">
        <v>21.107243553258982</v>
      </c>
      <c r="CI39">
        <v>30039.829024998184</v>
      </c>
      <c r="CJ39">
        <v>15.958350596948298</v>
      </c>
      <c r="CK39">
        <v>22711.924569576819</v>
      </c>
      <c r="CL39">
        <v>11.176524546190125</v>
      </c>
      <c r="CM39">
        <v>15906.429734137786</v>
      </c>
      <c r="CN39">
        <v>12.925540493147052</v>
      </c>
      <c r="CO39">
        <v>18395.629229846883</v>
      </c>
      <c r="CP39">
        <v>16.355373356503105</v>
      </c>
      <c r="CQ39">
        <v>23276.967360975221</v>
      </c>
      <c r="CR39">
        <v>12.746579689570462</v>
      </c>
      <c r="CS39">
        <v>18140.93221419668</v>
      </c>
      <c r="CT39">
        <v>12.790677997253299</v>
      </c>
      <c r="CU39">
        <v>18203.692925690895</v>
      </c>
    </row>
    <row r="40" spans="2:99" x14ac:dyDescent="0.2">
      <c r="C40" s="119" t="s">
        <v>206</v>
      </c>
      <c r="D40">
        <v>25</v>
      </c>
      <c r="E40">
        <v>18120</v>
      </c>
      <c r="F40">
        <v>24.398933212001399</v>
      </c>
      <c r="G40">
        <v>17684.346792058612</v>
      </c>
      <c r="H40">
        <v>31.891713164295453</v>
      </c>
      <c r="I40">
        <v>23115.113701481343</v>
      </c>
      <c r="J40">
        <v>16.781473442448601</v>
      </c>
      <c r="K40">
        <v>12163.211951086745</v>
      </c>
      <c r="L40">
        <v>15.264172041212273</v>
      </c>
      <c r="M40">
        <v>11063.471895470655</v>
      </c>
      <c r="N40">
        <v>18.302726647376453</v>
      </c>
      <c r="O40">
        <v>13265.816274018453</v>
      </c>
      <c r="P40">
        <v>15.201155315581245</v>
      </c>
      <c r="Q40">
        <v>11017.797372733285</v>
      </c>
      <c r="R40">
        <v>15.982714490989441</v>
      </c>
      <c r="S40">
        <v>11584.271463069146</v>
      </c>
      <c r="T40">
        <v>13.283017277206135</v>
      </c>
      <c r="U40">
        <v>9627.5309225190049</v>
      </c>
      <c r="V40">
        <v>14.243099308296712</v>
      </c>
      <c r="W40">
        <v>10323.398378653455</v>
      </c>
      <c r="X40">
        <v>11.024241753657398</v>
      </c>
      <c r="Y40">
        <v>7990.3704230508811</v>
      </c>
      <c r="Z40">
        <v>17.289311299088496</v>
      </c>
      <c r="AA40">
        <v>12531.292829579341</v>
      </c>
      <c r="AB40">
        <v>17.298988152427537</v>
      </c>
      <c r="AC40">
        <v>12538.306612879478</v>
      </c>
      <c r="AD40">
        <v>14.279526672256551</v>
      </c>
      <c r="AE40">
        <v>10349.800932051548</v>
      </c>
      <c r="AF40">
        <v>15.521128759743878</v>
      </c>
      <c r="AG40">
        <v>11249.714125062363</v>
      </c>
      <c r="AH40">
        <v>14.686010743415595</v>
      </c>
      <c r="AI40">
        <v>10644.420586827622</v>
      </c>
      <c r="AJ40">
        <v>18.269944138914632</v>
      </c>
      <c r="AK40">
        <v>13242.055511885324</v>
      </c>
      <c r="AL40">
        <v>15.338722332011844</v>
      </c>
      <c r="AM40">
        <v>11117.505946242185</v>
      </c>
      <c r="AN40">
        <v>14.421138049650423</v>
      </c>
      <c r="AO40">
        <v>10452.440858386626</v>
      </c>
      <c r="AP40">
        <v>9.5713627351753914</v>
      </c>
      <c r="AQ40">
        <v>6937.3237104551235</v>
      </c>
      <c r="AR40">
        <v>10.619115460623584</v>
      </c>
      <c r="AS40">
        <v>7696.7348858599735</v>
      </c>
      <c r="AT40">
        <v>16.360586722994402</v>
      </c>
      <c r="AU40">
        <v>11858.153256826341</v>
      </c>
      <c r="AV40">
        <v>10.123556739127817</v>
      </c>
      <c r="AW40">
        <v>7337.5539245198415</v>
      </c>
      <c r="AX40">
        <v>11.04079174569309</v>
      </c>
      <c r="AY40">
        <v>8002.3658572783515</v>
      </c>
      <c r="AZ40">
        <v>14.998519233037618</v>
      </c>
      <c r="BA40">
        <v>10870.926740105664</v>
      </c>
      <c r="BB40">
        <v>16.654459236337917</v>
      </c>
      <c r="BC40">
        <v>12071.152054497721</v>
      </c>
      <c r="BD40">
        <v>12.484386176315729</v>
      </c>
      <c r="BE40">
        <v>9048.6831005936401</v>
      </c>
      <c r="BF40">
        <v>15.971630777750196</v>
      </c>
      <c r="BG40">
        <v>11576.237987713341</v>
      </c>
      <c r="BH40">
        <v>13.004568933662217</v>
      </c>
      <c r="BI40">
        <v>9425.7115631183733</v>
      </c>
      <c r="BJ40">
        <v>16.00247506864493</v>
      </c>
      <c r="BK40">
        <v>11598.593929753844</v>
      </c>
      <c r="BL40">
        <v>13.22011427510413</v>
      </c>
      <c r="BM40">
        <v>9581.9388265954731</v>
      </c>
      <c r="BN40">
        <v>15.673628933147475</v>
      </c>
      <c r="BO40">
        <v>11360.246250745289</v>
      </c>
      <c r="BP40">
        <v>16.310815272728881</v>
      </c>
      <c r="BQ40">
        <v>11822.078909673892</v>
      </c>
      <c r="BR40">
        <v>12.907808748143896</v>
      </c>
      <c r="BS40">
        <v>9355.5797806546962</v>
      </c>
      <c r="BT40">
        <v>15.886079228506873</v>
      </c>
      <c r="BU40">
        <v>11514.23022482178</v>
      </c>
      <c r="BV40">
        <v>13.47095464187529</v>
      </c>
      <c r="BW40">
        <v>9763.747924431209</v>
      </c>
      <c r="BX40">
        <v>15.088387101073966</v>
      </c>
      <c r="BY40">
        <v>10936.062970858409</v>
      </c>
      <c r="BZ40">
        <v>18.187162140585944</v>
      </c>
      <c r="CA40">
        <v>13182.055119496692</v>
      </c>
      <c r="CB40">
        <v>11.181498522401156</v>
      </c>
      <c r="CC40">
        <v>8104.3501290363574</v>
      </c>
      <c r="CD40">
        <v>18.172230151964772</v>
      </c>
      <c r="CE40">
        <v>13171.232414144066</v>
      </c>
      <c r="CF40">
        <v>13.432863120100194</v>
      </c>
      <c r="CG40">
        <v>9736.1391894486205</v>
      </c>
      <c r="CH40">
        <v>19.562811098142475</v>
      </c>
      <c r="CI40">
        <v>14179.125483933665</v>
      </c>
      <c r="CJ40">
        <v>17.782162093742389</v>
      </c>
      <c r="CK40">
        <v>12888.511085544484</v>
      </c>
      <c r="CL40">
        <v>12.24095545535109</v>
      </c>
      <c r="CM40">
        <v>8872.2445140384698</v>
      </c>
      <c r="CN40">
        <v>14.137309914379587</v>
      </c>
      <c r="CO40">
        <v>10246.722225942323</v>
      </c>
      <c r="CP40">
        <v>18.337842854261051</v>
      </c>
      <c r="CQ40">
        <v>13291.268500768409</v>
      </c>
      <c r="CR40">
        <v>14.504728612269833</v>
      </c>
      <c r="CS40">
        <v>10513.027298173174</v>
      </c>
      <c r="CT40">
        <v>13.774576304734321</v>
      </c>
      <c r="CU40">
        <v>9983.8129056714351</v>
      </c>
    </row>
    <row r="41" spans="2:99" x14ac:dyDescent="0.2">
      <c r="C41" s="119" t="s">
        <v>207</v>
      </c>
      <c r="D41">
        <v>30</v>
      </c>
      <c r="E41">
        <v>19800</v>
      </c>
      <c r="F41">
        <v>23.398933212001399</v>
      </c>
      <c r="G41">
        <v>15443.295919920924</v>
      </c>
      <c r="H41">
        <v>30.084243821191613</v>
      </c>
      <c r="I41">
        <v>19855.600921986465</v>
      </c>
      <c r="J41">
        <v>17.768618939063227</v>
      </c>
      <c r="K41">
        <v>11727.288499781729</v>
      </c>
      <c r="L41">
        <v>15.264172041212273</v>
      </c>
      <c r="M41">
        <v>10074.3535472001</v>
      </c>
      <c r="N41">
        <v>20.229329452363444</v>
      </c>
      <c r="O41">
        <v>13351.357438559873</v>
      </c>
      <c r="P41">
        <v>17.436619332578488</v>
      </c>
      <c r="Q41">
        <v>11508.168759501801</v>
      </c>
      <c r="R41">
        <v>15.069416520075759</v>
      </c>
      <c r="S41">
        <v>9945.8149032500005</v>
      </c>
      <c r="T41">
        <v>12.8086238030202</v>
      </c>
      <c r="U41">
        <v>8453.6917099933326</v>
      </c>
      <c r="V41">
        <v>15.430024250654771</v>
      </c>
      <c r="W41">
        <v>10183.816005432149</v>
      </c>
      <c r="X41">
        <v>12.764911504234881</v>
      </c>
      <c r="Y41">
        <v>8424.8415927950209</v>
      </c>
      <c r="Z41">
        <v>15.807370330595194</v>
      </c>
      <c r="AA41">
        <v>10432.864418192828</v>
      </c>
      <c r="AB41">
        <v>17.857020028312295</v>
      </c>
      <c r="AC41">
        <v>11785.633218686115</v>
      </c>
      <c r="AD41">
        <v>13.769543576818817</v>
      </c>
      <c r="AE41">
        <v>9087.8987607004201</v>
      </c>
      <c r="AF41">
        <v>17.461269854711862</v>
      </c>
      <c r="AG41">
        <v>11524.43810410983</v>
      </c>
      <c r="AH41">
        <v>14.19647705196841</v>
      </c>
      <c r="AI41">
        <v>9369.67485429915</v>
      </c>
      <c r="AJ41">
        <v>17.747945734945642</v>
      </c>
      <c r="AK41">
        <v>11713.644185064124</v>
      </c>
      <c r="AL41">
        <v>15.338722332011844</v>
      </c>
      <c r="AM41">
        <v>10123.556739127818</v>
      </c>
      <c r="AN41">
        <v>13.352905601528169</v>
      </c>
      <c r="AO41">
        <v>8812.9176970085919</v>
      </c>
      <c r="AP41">
        <v>9.0927945984166207</v>
      </c>
      <c r="AQ41">
        <v>6001.2444349549696</v>
      </c>
      <c r="AR41">
        <v>13.147476284581582</v>
      </c>
      <c r="AS41">
        <v>8677.3343478238439</v>
      </c>
      <c r="AT41">
        <v>16.780088946660925</v>
      </c>
      <c r="AU41">
        <v>11074.85870479621</v>
      </c>
      <c r="AV41">
        <v>11.504041749008884</v>
      </c>
      <c r="AW41">
        <v>7592.6675543458632</v>
      </c>
      <c r="AX41">
        <v>11.04079174569309</v>
      </c>
      <c r="AY41">
        <v>7286.922552157439</v>
      </c>
      <c r="AZ41">
        <v>16.152251481732819</v>
      </c>
      <c r="BA41">
        <v>10660.485977943661</v>
      </c>
      <c r="BB41">
        <v>18.004820796040992</v>
      </c>
      <c r="BC41">
        <v>11883.181725387054</v>
      </c>
      <c r="BD41">
        <v>10.923837904276263</v>
      </c>
      <c r="BE41">
        <v>7209.7330168223343</v>
      </c>
      <c r="BF41">
        <v>14.51966434340927</v>
      </c>
      <c r="BG41">
        <v>9582.9784666501182</v>
      </c>
      <c r="BH41">
        <v>12.504393205444439</v>
      </c>
      <c r="BI41">
        <v>8252.8995155933299</v>
      </c>
      <c r="BJ41">
        <v>16.943797131506397</v>
      </c>
      <c r="BK41">
        <v>11182.906106794222</v>
      </c>
      <c r="BL41">
        <v>11.567599990716115</v>
      </c>
      <c r="BM41">
        <v>7634.615993872636</v>
      </c>
      <c r="BN41">
        <v>15.673628933147475</v>
      </c>
      <c r="BO41">
        <v>10344.595095877334</v>
      </c>
      <c r="BP41">
        <v>15.429149582311103</v>
      </c>
      <c r="BQ41">
        <v>10183.238724325329</v>
      </c>
      <c r="BR41">
        <v>12.017615041375352</v>
      </c>
      <c r="BS41">
        <v>7931.6259273077321</v>
      </c>
      <c r="BT41">
        <v>16.878959180288554</v>
      </c>
      <c r="BU41">
        <v>11140.113058990446</v>
      </c>
      <c r="BV41">
        <v>15.466651625856814</v>
      </c>
      <c r="BW41">
        <v>10207.990073065497</v>
      </c>
      <c r="BX41">
        <v>14.200834918657851</v>
      </c>
      <c r="BY41">
        <v>9372.5510463141818</v>
      </c>
      <c r="BZ41">
        <v>18.678707063304483</v>
      </c>
      <c r="CA41">
        <v>12327.946661780959</v>
      </c>
      <c r="CB41">
        <v>10.164998656728326</v>
      </c>
      <c r="CC41">
        <v>6708.8991134406951</v>
      </c>
      <c r="CD41">
        <v>21.119078284715815</v>
      </c>
      <c r="CE41">
        <v>13938.591667912438</v>
      </c>
      <c r="CF41">
        <v>13.432863120100194</v>
      </c>
      <c r="CG41">
        <v>8865.6896592661287</v>
      </c>
      <c r="CH41">
        <v>20.077621916514644</v>
      </c>
      <c r="CI41">
        <v>13251.230464899665</v>
      </c>
      <c r="CJ41">
        <v>17.32620921954387</v>
      </c>
      <c r="CK41">
        <v>11435.298084898954</v>
      </c>
      <c r="CL41">
        <v>11.708740000770607</v>
      </c>
      <c r="CM41">
        <v>7727.7684005086012</v>
      </c>
      <c r="CN41">
        <v>15.753002476022969</v>
      </c>
      <c r="CO41">
        <v>10396.981634175159</v>
      </c>
      <c r="CP41">
        <v>17.842225479821565</v>
      </c>
      <c r="CQ41">
        <v>11775.868816682232</v>
      </c>
      <c r="CR41">
        <v>14.504728612269833</v>
      </c>
      <c r="CS41">
        <v>9573.1208840980908</v>
      </c>
      <c r="CT41">
        <v>13.774576304734321</v>
      </c>
      <c r="CU41">
        <v>9091.2203611246514</v>
      </c>
    </row>
    <row r="42" spans="2:99" x14ac:dyDescent="0.2">
      <c r="C42" s="119" t="s">
        <v>208</v>
      </c>
      <c r="D42">
        <v>27</v>
      </c>
      <c r="E42">
        <v>22842</v>
      </c>
      <c r="F42">
        <v>25.436926851239626</v>
      </c>
      <c r="G42">
        <v>21519.640116148723</v>
      </c>
      <c r="H42">
        <v>26.444682525552022</v>
      </c>
      <c r="I42">
        <v>22372.201416617012</v>
      </c>
      <c r="J42">
        <v>17.768618939063227</v>
      </c>
      <c r="K42">
        <v>15032.251622447489</v>
      </c>
      <c r="L42">
        <v>14.537306705916452</v>
      </c>
      <c r="M42">
        <v>12298.561473205318</v>
      </c>
      <c r="N42">
        <v>16.376123842389458</v>
      </c>
      <c r="O42">
        <v>13854.20077066148</v>
      </c>
      <c r="P42">
        <v>17.436619332578488</v>
      </c>
      <c r="Q42">
        <v>14751.379955361401</v>
      </c>
      <c r="R42">
        <v>15.5260655055326</v>
      </c>
      <c r="S42">
        <v>13135.051417680579</v>
      </c>
      <c r="T42">
        <v>13.757410751392069</v>
      </c>
      <c r="U42">
        <v>11638.76949567769</v>
      </c>
      <c r="V42">
        <v>14.243099308296712</v>
      </c>
      <c r="W42">
        <v>12049.662014819018</v>
      </c>
      <c r="X42">
        <v>11.604465003849894</v>
      </c>
      <c r="Y42">
        <v>9817.3773932570111</v>
      </c>
      <c r="Z42">
        <v>16.301350653426297</v>
      </c>
      <c r="AA42">
        <v>13790.942652798647</v>
      </c>
      <c r="AB42">
        <v>17.298988152427537</v>
      </c>
      <c r="AC42">
        <v>14634.943976953697</v>
      </c>
      <c r="AD42">
        <v>14.789509767694286</v>
      </c>
      <c r="AE42">
        <v>12511.925263469366</v>
      </c>
      <c r="AF42">
        <v>16.167842458066541</v>
      </c>
      <c r="AG42">
        <v>13677.994719524295</v>
      </c>
      <c r="AH42">
        <v>14.686010743415595</v>
      </c>
      <c r="AI42">
        <v>12424.365088929593</v>
      </c>
      <c r="AJ42">
        <v>17.225947330976652</v>
      </c>
      <c r="AK42">
        <v>14573.151442006247</v>
      </c>
      <c r="AL42">
        <v>13.338019419140736</v>
      </c>
      <c r="AM42">
        <v>11283.964428593063</v>
      </c>
      <c r="AN42">
        <v>12.818789377467041</v>
      </c>
      <c r="AO42">
        <v>10844.695813337117</v>
      </c>
      <c r="AP42">
        <v>10.04993087193416</v>
      </c>
      <c r="AQ42">
        <v>8502.241517656299</v>
      </c>
      <c r="AR42">
        <v>12.136131954998383</v>
      </c>
      <c r="AS42">
        <v>10267.167633928631</v>
      </c>
      <c r="AT42">
        <v>15.941084499327877</v>
      </c>
      <c r="AU42">
        <v>13486.157486431384</v>
      </c>
      <c r="AV42">
        <v>11.504041749008884</v>
      </c>
      <c r="AW42">
        <v>9732.4193196615161</v>
      </c>
      <c r="AX42">
        <v>12.546354256469421</v>
      </c>
      <c r="AY42">
        <v>10614.215700973131</v>
      </c>
      <c r="AZ42">
        <v>16.152251481732819</v>
      </c>
      <c r="BA42">
        <v>13664.804753545965</v>
      </c>
      <c r="BB42">
        <v>16.654459236337917</v>
      </c>
      <c r="BC42">
        <v>14089.672513941878</v>
      </c>
      <c r="BD42">
        <v>12.484386176315729</v>
      </c>
      <c r="BE42">
        <v>10561.790705163106</v>
      </c>
      <c r="BF42">
        <v>16.939608400644151</v>
      </c>
      <c r="BG42">
        <v>14330.908706944951</v>
      </c>
      <c r="BH42">
        <v>12.004217477226662</v>
      </c>
      <c r="BI42">
        <v>10155.567985733756</v>
      </c>
      <c r="BJ42">
        <v>14.59049197435273</v>
      </c>
      <c r="BK42">
        <v>12343.556210302409</v>
      </c>
      <c r="BL42">
        <v>12.669276180308128</v>
      </c>
      <c r="BM42">
        <v>10718.207648540676</v>
      </c>
      <c r="BN42">
        <v>13.061357444289561</v>
      </c>
      <c r="BO42">
        <v>11049.908397868969</v>
      </c>
      <c r="BP42">
        <v>17.192480963146657</v>
      </c>
      <c r="BQ42">
        <v>14544.838894822073</v>
      </c>
      <c r="BR42">
        <v>11.127421334606806</v>
      </c>
      <c r="BS42">
        <v>9413.7984490773579</v>
      </c>
      <c r="BT42">
        <v>17.375399156179395</v>
      </c>
      <c r="BU42">
        <v>14699.587686127768</v>
      </c>
      <c r="BV42">
        <v>12.473106149884527</v>
      </c>
      <c r="BW42">
        <v>10552.247802802311</v>
      </c>
      <c r="BX42">
        <v>13.313282736241735</v>
      </c>
      <c r="BY42">
        <v>11263.037194860508</v>
      </c>
      <c r="BZ42">
        <v>19.170251986023018</v>
      </c>
      <c r="CA42">
        <v>16218.033180175473</v>
      </c>
      <c r="CB42">
        <v>10.164998656728326</v>
      </c>
      <c r="CC42">
        <v>8599.5888635921638</v>
      </c>
      <c r="CD42">
        <v>19.154512862881788</v>
      </c>
      <c r="CE42">
        <v>16204.717881997993</v>
      </c>
      <c r="CF42">
        <v>13.880625224103532</v>
      </c>
      <c r="CG42">
        <v>11743.008939591589</v>
      </c>
      <c r="CH42">
        <v>19.048000279770303</v>
      </c>
      <c r="CI42">
        <v>16114.608236685677</v>
      </c>
      <c r="CJ42">
        <v>18.238114967940913</v>
      </c>
      <c r="CK42">
        <v>15429.445262878013</v>
      </c>
      <c r="CL42">
        <v>12.773170909931572</v>
      </c>
      <c r="CM42">
        <v>10806.102589802111</v>
      </c>
      <c r="CN42">
        <v>14.945156195201278</v>
      </c>
      <c r="CO42">
        <v>12643.602141140282</v>
      </c>
      <c r="CP42">
        <v>19.329077603140032</v>
      </c>
      <c r="CQ42">
        <v>16352.399652256467</v>
      </c>
      <c r="CR42">
        <v>14.065191381594989</v>
      </c>
      <c r="CS42">
        <v>11899.151908829361</v>
      </c>
      <c r="CT42">
        <v>13.282627150993809</v>
      </c>
      <c r="CU42">
        <v>11237.102569740762</v>
      </c>
    </row>
    <row r="43" spans="2:99" x14ac:dyDescent="0.2">
      <c r="C43" s="119" t="s">
        <v>209</v>
      </c>
      <c r="D43">
        <v>27</v>
      </c>
      <c r="E43">
        <v>27604.799999999999</v>
      </c>
      <c r="F43">
        <v>26.398933212001399</v>
      </c>
      <c r="G43">
        <v>26990.269315950231</v>
      </c>
      <c r="H43">
        <v>27.363190762763089</v>
      </c>
      <c r="I43">
        <v>27976.12623584898</v>
      </c>
      <c r="J43">
        <v>18.75576443567785</v>
      </c>
      <c r="K43">
        <v>19175.893559037035</v>
      </c>
      <c r="L43">
        <v>13.810441370620628</v>
      </c>
      <c r="M43">
        <v>14119.79525732253</v>
      </c>
      <c r="N43">
        <v>16.376123842389458</v>
      </c>
      <c r="O43">
        <v>16742.949016458981</v>
      </c>
      <c r="P43">
        <v>16.989526529179038</v>
      </c>
      <c r="Q43">
        <v>17370.091923432647</v>
      </c>
      <c r="R43">
        <v>14.612767534618918</v>
      </c>
      <c r="S43">
        <v>14940.093527394381</v>
      </c>
      <c r="T43">
        <v>11.859836854648334</v>
      </c>
      <c r="U43">
        <v>12125.497200192456</v>
      </c>
      <c r="V43">
        <v>14.836561779475742</v>
      </c>
      <c r="W43">
        <v>15168.900763335998</v>
      </c>
      <c r="X43">
        <v>9.8637952532724089</v>
      </c>
      <c r="Y43">
        <v>10084.74426694571</v>
      </c>
      <c r="Z43">
        <v>16.301350653426297</v>
      </c>
      <c r="AA43">
        <v>16666.500908063044</v>
      </c>
      <c r="AB43">
        <v>18.973083780081815</v>
      </c>
      <c r="AC43">
        <v>19398.080856755649</v>
      </c>
      <c r="AD43">
        <v>14.279526672256551</v>
      </c>
      <c r="AE43">
        <v>14599.388069715098</v>
      </c>
      <c r="AF43">
        <v>16.814556156389202</v>
      </c>
      <c r="AG43">
        <v>17191.20221429232</v>
      </c>
      <c r="AH43">
        <v>15.175544434862783</v>
      </c>
      <c r="AI43">
        <v>15515.476630203708</v>
      </c>
      <c r="AJ43">
        <v>18.269944138914632</v>
      </c>
      <c r="AK43">
        <v>18679.190887626319</v>
      </c>
      <c r="AL43">
        <v>14.671821361054807</v>
      </c>
      <c r="AM43">
        <v>15000.470159542434</v>
      </c>
      <c r="AN43">
        <v>13.352905601528169</v>
      </c>
      <c r="AO43">
        <v>13652.010687002399</v>
      </c>
      <c r="AP43">
        <v>9.0927945984166207</v>
      </c>
      <c r="AQ43">
        <v>9296.4731974211536</v>
      </c>
      <c r="AR43">
        <v>12.136131954998383</v>
      </c>
      <c r="AS43">
        <v>12407.981310790346</v>
      </c>
      <c r="AT43">
        <v>15.102080051994831</v>
      </c>
      <c r="AU43">
        <v>15440.366645159515</v>
      </c>
      <c r="AV43">
        <v>10.123556739127817</v>
      </c>
      <c r="AW43">
        <v>10350.32441008428</v>
      </c>
      <c r="AX43">
        <v>11.542645915951866</v>
      </c>
      <c r="AY43">
        <v>11801.201184469188</v>
      </c>
      <c r="AZ43">
        <v>14.998519233037618</v>
      </c>
      <c r="BA43">
        <v>15334.486063857659</v>
      </c>
      <c r="BB43">
        <v>17.554700276139968</v>
      </c>
      <c r="BC43">
        <v>17947.925562325505</v>
      </c>
      <c r="BD43">
        <v>10.923837904276263</v>
      </c>
      <c r="BE43">
        <v>11168.531873332051</v>
      </c>
      <c r="BF43">
        <v>14.035675531962294</v>
      </c>
      <c r="BG43">
        <v>14350.074663878249</v>
      </c>
      <c r="BH43">
        <v>11.003866020791108</v>
      </c>
      <c r="BI43">
        <v>11250.352619656829</v>
      </c>
      <c r="BJ43">
        <v>16.00247506864493</v>
      </c>
      <c r="BK43">
        <v>16360.930510182576</v>
      </c>
      <c r="BL43">
        <v>12.669276180308128</v>
      </c>
      <c r="BM43">
        <v>12953.067966747029</v>
      </c>
      <c r="BN43">
        <v>13.061357444289561</v>
      </c>
      <c r="BO43">
        <v>13353.931851041647</v>
      </c>
      <c r="BP43">
        <v>15.869982427519991</v>
      </c>
      <c r="BQ43">
        <v>16225.470033896439</v>
      </c>
      <c r="BR43">
        <v>11.572518187991079</v>
      </c>
      <c r="BS43">
        <v>11831.74259540208</v>
      </c>
      <c r="BT43">
        <v>15.886079228506873</v>
      </c>
      <c r="BU43">
        <v>16241.927403225427</v>
      </c>
      <c r="BV43">
        <v>12.473106149884527</v>
      </c>
      <c r="BW43">
        <v>12752.503727641941</v>
      </c>
      <c r="BX43">
        <v>12.425730553825618</v>
      </c>
      <c r="BY43">
        <v>12704.066918231312</v>
      </c>
      <c r="BZ43">
        <v>18.187162140585944</v>
      </c>
      <c r="CA43">
        <v>18594.554572535068</v>
      </c>
      <c r="CB43">
        <v>11.181498522401156</v>
      </c>
      <c r="CC43">
        <v>11431.964089302943</v>
      </c>
      <c r="CD43">
        <v>18.172230151964772</v>
      </c>
      <c r="CE43">
        <v>18579.288107368782</v>
      </c>
      <c r="CF43">
        <v>13.880625224103532</v>
      </c>
      <c r="CG43">
        <v>14191.551229123452</v>
      </c>
      <c r="CH43">
        <v>20.592432734886813</v>
      </c>
      <c r="CI43">
        <v>21053.703228148279</v>
      </c>
      <c r="CJ43">
        <v>15.502397722749775</v>
      </c>
      <c r="CK43">
        <v>15849.65143173937</v>
      </c>
      <c r="CL43">
        <v>11.708740000770607</v>
      </c>
      <c r="CM43">
        <v>11971.015776787868</v>
      </c>
      <c r="CN43">
        <v>14.137309914379587</v>
      </c>
      <c r="CO43">
        <v>14453.985656461689</v>
      </c>
      <c r="CP43">
        <v>19.329077603140032</v>
      </c>
      <c r="CQ43">
        <v>19762.048941450368</v>
      </c>
      <c r="CR43">
        <v>12.307042458895618</v>
      </c>
      <c r="CS43">
        <v>12582.720209974879</v>
      </c>
      <c r="CT43">
        <v>12.790677997253299</v>
      </c>
      <c r="CU43">
        <v>13077.189184391773</v>
      </c>
    </row>
    <row r="44" spans="2:99" x14ac:dyDescent="0.2">
      <c r="C44" s="119" t="s">
        <v>210</v>
      </c>
      <c r="D44">
        <v>28</v>
      </c>
      <c r="E44">
        <v>28627.200000000001</v>
      </c>
      <c r="F44">
        <v>26.436926851239626</v>
      </c>
      <c r="G44">
        <v>27029.114012707392</v>
      </c>
      <c r="H44">
        <v>29.175584627753313</v>
      </c>
      <c r="I44">
        <v>29829.117723414987</v>
      </c>
      <c r="J44">
        <v>17.768618939063227</v>
      </c>
      <c r="K44">
        <v>18166.636003298245</v>
      </c>
      <c r="L44">
        <v>13.083576035324807</v>
      </c>
      <c r="M44">
        <v>13376.648138516082</v>
      </c>
      <c r="N44">
        <v>17.821075946129703</v>
      </c>
      <c r="O44">
        <v>18220.268047323007</v>
      </c>
      <c r="P44">
        <v>16.542433725779588</v>
      </c>
      <c r="Q44">
        <v>16912.984241237049</v>
      </c>
      <c r="R44">
        <v>14.612767534618918</v>
      </c>
      <c r="S44">
        <v>14940.093527394381</v>
      </c>
      <c r="T44">
        <v>11.3854433804624</v>
      </c>
      <c r="U44">
        <v>11640.477312184757</v>
      </c>
      <c r="V44">
        <v>15.430024250654771</v>
      </c>
      <c r="W44">
        <v>15775.656793869437</v>
      </c>
      <c r="X44">
        <v>11.604465003849894</v>
      </c>
      <c r="Y44">
        <v>11864.405019936132</v>
      </c>
      <c r="Z44">
        <v>17.289311299088496</v>
      </c>
      <c r="AA44">
        <v>17676.591872188077</v>
      </c>
      <c r="AB44">
        <v>16.740956276542779</v>
      </c>
      <c r="AC44">
        <v>17115.953697137338</v>
      </c>
      <c r="AD44">
        <v>14.279526672256551</v>
      </c>
      <c r="AE44">
        <v>14599.388069715098</v>
      </c>
      <c r="AF44">
        <v>15.521128759743878</v>
      </c>
      <c r="AG44">
        <v>15868.80204396214</v>
      </c>
      <c r="AH44">
        <v>15.175544434862783</v>
      </c>
      <c r="AI44">
        <v>15515.476630203708</v>
      </c>
      <c r="AJ44">
        <v>16.181950523038672</v>
      </c>
      <c r="AK44">
        <v>16544.426214754738</v>
      </c>
      <c r="AL44">
        <v>13.338019419140736</v>
      </c>
      <c r="AM44">
        <v>13636.791054129488</v>
      </c>
      <c r="AN44">
        <v>14.421138049650423</v>
      </c>
      <c r="AO44">
        <v>14744.171541962593</v>
      </c>
      <c r="AP44">
        <v>8.6142264616578519</v>
      </c>
      <c r="AQ44">
        <v>8807.1851343989874</v>
      </c>
      <c r="AR44">
        <v>11.124787625415184</v>
      </c>
      <c r="AS44">
        <v>11373.982868224484</v>
      </c>
      <c r="AT44">
        <v>14.682577828328307</v>
      </c>
      <c r="AU44">
        <v>15011.467571682861</v>
      </c>
      <c r="AV44">
        <v>10.583718409088172</v>
      </c>
      <c r="AW44">
        <v>10820.793701451747</v>
      </c>
      <c r="AX44">
        <v>10.538937575434312</v>
      </c>
      <c r="AY44">
        <v>10775.009777124042</v>
      </c>
      <c r="AZ44">
        <v>17.305983730428022</v>
      </c>
      <c r="BA44">
        <v>17693.63776598961</v>
      </c>
      <c r="BB44">
        <v>18.004820796040992</v>
      </c>
      <c r="BC44">
        <v>18408.12878187231</v>
      </c>
      <c r="BD44">
        <v>12.484386176315729</v>
      </c>
      <c r="BE44">
        <v>12764.036426665201</v>
      </c>
      <c r="BF44">
        <v>14.51966434340927</v>
      </c>
      <c r="BG44">
        <v>14844.904824701636</v>
      </c>
      <c r="BH44">
        <v>11.504041749008884</v>
      </c>
      <c r="BI44">
        <v>11761.732284186683</v>
      </c>
      <c r="BJ44">
        <v>13.649169911491263</v>
      </c>
      <c r="BK44">
        <v>13954.911317508668</v>
      </c>
      <c r="BL44">
        <v>11.567599990716115</v>
      </c>
      <c r="BM44">
        <v>11826.714230508156</v>
      </c>
      <c r="BN44">
        <v>14.802871770194837</v>
      </c>
      <c r="BO44">
        <v>15134.456097847202</v>
      </c>
      <c r="BP44">
        <v>15.869982427519991</v>
      </c>
      <c r="BQ44">
        <v>16225.470033896439</v>
      </c>
      <c r="BR44">
        <v>12.462711894759623</v>
      </c>
      <c r="BS44">
        <v>12741.876641202238</v>
      </c>
      <c r="BT44">
        <v>14.893199276725193</v>
      </c>
      <c r="BU44">
        <v>15226.806940523837</v>
      </c>
      <c r="BV44">
        <v>12.972030395879909</v>
      </c>
      <c r="BW44">
        <v>13262.603876747618</v>
      </c>
      <c r="BX44">
        <v>13.757058827449793</v>
      </c>
      <c r="BY44">
        <v>14065.216945184668</v>
      </c>
      <c r="BZ44">
        <v>18.678707063304483</v>
      </c>
      <c r="CA44">
        <v>19097.110101522503</v>
      </c>
      <c r="CB44">
        <v>10.673248589564741</v>
      </c>
      <c r="CC44">
        <v>10912.329357970992</v>
      </c>
      <c r="CD44">
        <v>18.663371507423278</v>
      </c>
      <c r="CE44">
        <v>19081.43102918956</v>
      </c>
      <c r="CF44">
        <v>14.776149432110213</v>
      </c>
      <c r="CG44">
        <v>15107.135179389481</v>
      </c>
      <c r="CH44">
        <v>19.048000279770303</v>
      </c>
      <c r="CI44">
        <v>19474.675486037158</v>
      </c>
      <c r="CJ44">
        <v>16.870256345345346</v>
      </c>
      <c r="CK44">
        <v>17248.150087481081</v>
      </c>
      <c r="CL44">
        <v>11.176524546190125</v>
      </c>
      <c r="CM44">
        <v>11426.878696024783</v>
      </c>
      <c r="CN44">
        <v>14.541233054790432</v>
      </c>
      <c r="CO44">
        <v>14866.956675217738</v>
      </c>
      <c r="CP44">
        <v>19.329077603140032</v>
      </c>
      <c r="CQ44">
        <v>19762.048941450368</v>
      </c>
      <c r="CR44">
        <v>13.625654150920148</v>
      </c>
      <c r="CS44">
        <v>13930.868803900759</v>
      </c>
      <c r="CT44">
        <v>13.774576304734321</v>
      </c>
      <c r="CU44">
        <v>14083.126813960369</v>
      </c>
    </row>
    <row r="45" spans="2:99" x14ac:dyDescent="0.2">
      <c r="C45" s="119" t="s">
        <v>211</v>
      </c>
      <c r="D45">
        <v>27</v>
      </c>
      <c r="E45">
        <v>33728.400000000001</v>
      </c>
      <c r="F45">
        <v>25.360939572763169</v>
      </c>
      <c r="G45">
        <v>31680.885714295753</v>
      </c>
      <c r="H45">
        <v>26.449607047438402</v>
      </c>
      <c r="I45">
        <v>33040.849123660053</v>
      </c>
      <c r="J45">
        <v>15.794327945833979</v>
      </c>
      <c r="K45">
        <v>19730.274469935808</v>
      </c>
      <c r="L45">
        <v>14.537306705916452</v>
      </c>
      <c r="M45">
        <v>18160.003537030832</v>
      </c>
      <c r="N45">
        <v>15.89447314114271</v>
      </c>
      <c r="O45">
        <v>19855.375847915475</v>
      </c>
      <c r="P45">
        <v>16.989526529179038</v>
      </c>
      <c r="Q45">
        <v>21223.316540250456</v>
      </c>
      <c r="R45">
        <v>14.612767534618918</v>
      </c>
      <c r="S45">
        <v>18254.269204245953</v>
      </c>
      <c r="T45">
        <v>12.8086238030202</v>
      </c>
      <c r="U45">
        <v>16000.532854732835</v>
      </c>
      <c r="V45">
        <v>15.430024250654771</v>
      </c>
      <c r="W45">
        <v>19275.186293917941</v>
      </c>
      <c r="X45">
        <v>11.604465003849894</v>
      </c>
      <c r="Y45">
        <v>14496.297682809289</v>
      </c>
      <c r="Z45">
        <v>14.819409684932996</v>
      </c>
      <c r="AA45">
        <v>18512.4065784183</v>
      </c>
      <c r="AB45">
        <v>15.0668606488885</v>
      </c>
      <c r="AC45">
        <v>18821.522322591514</v>
      </c>
      <c r="AD45">
        <v>14.789509767694286</v>
      </c>
      <c r="AE45">
        <v>18475.055601803702</v>
      </c>
      <c r="AF45">
        <v>16.167842458066541</v>
      </c>
      <c r="AG45">
        <v>20196.868798616724</v>
      </c>
      <c r="AH45">
        <v>13.706943360521223</v>
      </c>
      <c r="AI45">
        <v>17122.713645963111</v>
      </c>
      <c r="AJ45">
        <v>17.225947330976652</v>
      </c>
      <c r="AK45">
        <v>21518.653405856036</v>
      </c>
      <c r="AL45">
        <v>14.004920390097771</v>
      </c>
      <c r="AM45">
        <v>17494.946551310135</v>
      </c>
      <c r="AN45">
        <v>12.284673153405915</v>
      </c>
      <c r="AO45">
        <v>15346.01370323467</v>
      </c>
      <c r="AP45">
        <v>10.04993087193416</v>
      </c>
      <c r="AQ45">
        <v>12554.373645220154</v>
      </c>
      <c r="AR45">
        <v>11.124787625415184</v>
      </c>
      <c r="AS45">
        <v>13897.084701668648</v>
      </c>
      <c r="AT45">
        <v>14.682577828328307</v>
      </c>
      <c r="AU45">
        <v>18341.476223147722</v>
      </c>
      <c r="AV45">
        <v>10.583718409088172</v>
      </c>
      <c r="AW45">
        <v>13221.181036632945</v>
      </c>
      <c r="AX45">
        <v>11.542645915951866</v>
      </c>
      <c r="AY45">
        <v>14419.073278207072</v>
      </c>
      <c r="AZ45">
        <v>15.575385357385221</v>
      </c>
      <c r="BA45">
        <v>19456.771388445617</v>
      </c>
      <c r="BB45">
        <v>17.104579756238945</v>
      </c>
      <c r="BC45">
        <v>21367.041031493689</v>
      </c>
      <c r="BD45">
        <v>11.44402066162275</v>
      </c>
      <c r="BE45">
        <v>14295.87061049914</v>
      </c>
      <c r="BF45">
        <v>14.51966434340927</v>
      </c>
      <c r="BG45">
        <v>18137.964697786862</v>
      </c>
      <c r="BH45">
        <v>12.504393205444439</v>
      </c>
      <c r="BI45">
        <v>15620.487992241193</v>
      </c>
      <c r="BJ45">
        <v>13.17850888006053</v>
      </c>
      <c r="BK45">
        <v>16462.593292971615</v>
      </c>
      <c r="BL45">
        <v>11.567599990716115</v>
      </c>
      <c r="BM45">
        <v>14450.24590840257</v>
      </c>
      <c r="BN45">
        <v>13.061357444289561</v>
      </c>
      <c r="BO45">
        <v>16316.24771940652</v>
      </c>
      <c r="BP45">
        <v>15.429149582311103</v>
      </c>
      <c r="BQ45">
        <v>19274.093658223032</v>
      </c>
      <c r="BR45">
        <v>12.017615041375352</v>
      </c>
      <c r="BS45">
        <v>15012.40470968609</v>
      </c>
      <c r="BT45">
        <v>13.900319324943515</v>
      </c>
      <c r="BU45">
        <v>17364.278900719441</v>
      </c>
      <c r="BV45">
        <v>12.473106149884527</v>
      </c>
      <c r="BW45">
        <v>15581.404202435753</v>
      </c>
      <c r="BX45">
        <v>12.425730553825618</v>
      </c>
      <c r="BY45">
        <v>15522.222607838963</v>
      </c>
      <c r="BZ45">
        <v>18.678707063304483</v>
      </c>
      <c r="CA45">
        <v>23333.440863479962</v>
      </c>
      <c r="CB45">
        <v>11.181498522401156</v>
      </c>
      <c r="CC45">
        <v>13967.927954183526</v>
      </c>
      <c r="CD45">
        <v>18.172230151964772</v>
      </c>
      <c r="CE45">
        <v>22700.749905834393</v>
      </c>
      <c r="CF45">
        <v>13.432863120100194</v>
      </c>
      <c r="CG45">
        <v>16780.332609629164</v>
      </c>
      <c r="CH45">
        <v>21.622054371631155</v>
      </c>
      <c r="CI45">
        <v>27010.27032104164</v>
      </c>
      <c r="CJ45">
        <v>15.046444848551253</v>
      </c>
      <c r="CK45">
        <v>18796.018904810226</v>
      </c>
      <c r="CL45">
        <v>11.708740000770607</v>
      </c>
      <c r="CM45">
        <v>14626.558008962644</v>
      </c>
      <c r="CN45">
        <v>14.945156195201278</v>
      </c>
      <c r="CO45">
        <v>18669.489119045436</v>
      </c>
      <c r="CP45">
        <v>16.850990730942591</v>
      </c>
      <c r="CQ45">
        <v>21050.257621093486</v>
      </c>
      <c r="CR45">
        <v>13.186116920245304</v>
      </c>
      <c r="CS45">
        <v>16472.097256770434</v>
      </c>
      <c r="CT45">
        <v>14.758474612215345</v>
      </c>
      <c r="CU45">
        <v>18436.286485579411</v>
      </c>
    </row>
    <row r="46" spans="2:99" x14ac:dyDescent="0.2">
      <c r="C46" s="119" t="s">
        <v>212</v>
      </c>
      <c r="D46">
        <v>25</v>
      </c>
      <c r="E46">
        <v>30300</v>
      </c>
      <c r="F46">
        <v>26.417930031620511</v>
      </c>
      <c r="G46">
        <v>32018.531198324061</v>
      </c>
      <c r="H46">
        <v>30.084243821191613</v>
      </c>
      <c r="I46">
        <v>36462.103511284236</v>
      </c>
      <c r="J46">
        <v>18.75576443567785</v>
      </c>
      <c r="K46">
        <v>22731.986496041554</v>
      </c>
      <c r="L46">
        <v>13.083576035324807</v>
      </c>
      <c r="M46">
        <v>15857.294154813666</v>
      </c>
      <c r="N46">
        <v>16.376123842389458</v>
      </c>
      <c r="O46">
        <v>19847.862096976023</v>
      </c>
      <c r="P46">
        <v>15.201155315581245</v>
      </c>
      <c r="Q46">
        <v>18423.800242484467</v>
      </c>
      <c r="R46">
        <v>15.5260655055326</v>
      </c>
      <c r="S46">
        <v>18817.591392705512</v>
      </c>
      <c r="T46">
        <v>13.283017277206135</v>
      </c>
      <c r="U46">
        <v>16099.016939973835</v>
      </c>
      <c r="V46">
        <v>13.649636837117683</v>
      </c>
      <c r="W46">
        <v>16543.359846586631</v>
      </c>
      <c r="X46">
        <v>11.024241753657398</v>
      </c>
      <c r="Y46">
        <v>13361.381005432766</v>
      </c>
      <c r="Z46">
        <v>17.289311299088496</v>
      </c>
      <c r="AA46">
        <v>20954.645294495258</v>
      </c>
      <c r="AB46">
        <v>18.415051904197057</v>
      </c>
      <c r="AC46">
        <v>22319.042907886833</v>
      </c>
      <c r="AD46">
        <v>13.769543576818817</v>
      </c>
      <c r="AE46">
        <v>16688.686815104407</v>
      </c>
      <c r="AF46">
        <v>15.521128759743878</v>
      </c>
      <c r="AG46">
        <v>18811.608056809579</v>
      </c>
      <c r="AH46">
        <v>15.175544434862783</v>
      </c>
      <c r="AI46">
        <v>18392.759855053693</v>
      </c>
      <c r="AJ46">
        <v>15.659952119069684</v>
      </c>
      <c r="AK46">
        <v>18979.861968312456</v>
      </c>
      <c r="AL46">
        <v>12.671118448183698</v>
      </c>
      <c r="AM46">
        <v>15357.395559198641</v>
      </c>
      <c r="AN46">
        <v>13.352905601528169</v>
      </c>
      <c r="AO46">
        <v>16183.721589052142</v>
      </c>
      <c r="AP46">
        <v>9.5713627351753914</v>
      </c>
      <c r="AQ46">
        <v>11600.491635032575</v>
      </c>
      <c r="AR46">
        <v>10.619115460623584</v>
      </c>
      <c r="AS46">
        <v>12870.367938275784</v>
      </c>
      <c r="AT46">
        <v>13.004568933662217</v>
      </c>
      <c r="AU46">
        <v>15761.537547598607</v>
      </c>
      <c r="AV46">
        <v>9.6633950691674624</v>
      </c>
      <c r="AW46">
        <v>11712.034823830965</v>
      </c>
      <c r="AX46">
        <v>10.037083405175537</v>
      </c>
      <c r="AY46">
        <v>12164.945087072751</v>
      </c>
      <c r="AZ46">
        <v>16.729117606080422</v>
      </c>
      <c r="BA46">
        <v>20275.69053856947</v>
      </c>
      <c r="BB46">
        <v>17.554700276139968</v>
      </c>
      <c r="BC46">
        <v>21276.29673468164</v>
      </c>
      <c r="BD46">
        <v>11.44402066162275</v>
      </c>
      <c r="BE46">
        <v>13870.153041886773</v>
      </c>
      <c r="BF46">
        <v>15.487641966303222</v>
      </c>
      <c r="BG46">
        <v>18771.022063159504</v>
      </c>
      <c r="BH46">
        <v>12.004217477226662</v>
      </c>
      <c r="BI46">
        <v>14549.111582398715</v>
      </c>
      <c r="BJ46">
        <v>15.531814037214197</v>
      </c>
      <c r="BK46">
        <v>18824.558613103607</v>
      </c>
      <c r="BL46">
        <v>11.01676189592011</v>
      </c>
      <c r="BM46">
        <v>13352.315417855174</v>
      </c>
      <c r="BN46">
        <v>13.496736025765882</v>
      </c>
      <c r="BO46">
        <v>16358.04406322825</v>
      </c>
      <c r="BP46">
        <v>14.547483891893327</v>
      </c>
      <c r="BQ46">
        <v>17631.550476974713</v>
      </c>
      <c r="BR46">
        <v>10.682324481222535</v>
      </c>
      <c r="BS46">
        <v>12946.977271241713</v>
      </c>
      <c r="BT46">
        <v>14.396759300834354</v>
      </c>
      <c r="BU46">
        <v>17448.872272611236</v>
      </c>
      <c r="BV46">
        <v>11.974181903889146</v>
      </c>
      <c r="BW46">
        <v>14512.708467513645</v>
      </c>
      <c r="BX46">
        <v>12.425730553825618</v>
      </c>
      <c r="BY46">
        <v>15059.98543123665</v>
      </c>
      <c r="BZ46">
        <v>16.712527372430326</v>
      </c>
      <c r="CA46">
        <v>20255.583175385556</v>
      </c>
      <c r="CB46">
        <v>9.6567487238919103</v>
      </c>
      <c r="CC46">
        <v>11703.979453356995</v>
      </c>
      <c r="CD46">
        <v>19.645654218340294</v>
      </c>
      <c r="CE46">
        <v>23810.532912628438</v>
      </c>
      <c r="CF46">
        <v>13.880625224103532</v>
      </c>
      <c r="CG46">
        <v>16823.317771613481</v>
      </c>
      <c r="CH46">
        <v>19.562811098142475</v>
      </c>
      <c r="CI46">
        <v>23710.127050948679</v>
      </c>
      <c r="CJ46">
        <v>15.958350596948298</v>
      </c>
      <c r="CK46">
        <v>19341.520923501339</v>
      </c>
      <c r="CL46">
        <v>10.644309091609644</v>
      </c>
      <c r="CM46">
        <v>12900.902619030889</v>
      </c>
      <c r="CN46">
        <v>12.925540493147052</v>
      </c>
      <c r="CO46">
        <v>15665.755077694226</v>
      </c>
      <c r="CP46">
        <v>17.346608105382078</v>
      </c>
      <c r="CQ46">
        <v>21024.089023723078</v>
      </c>
      <c r="CR46">
        <v>11.867505228220773</v>
      </c>
      <c r="CS46">
        <v>14383.416336603577</v>
      </c>
      <c r="CT46">
        <v>13.774576304734321</v>
      </c>
      <c r="CU46">
        <v>16694.786481337997</v>
      </c>
    </row>
    <row r="47" spans="2:99" x14ac:dyDescent="0.2">
      <c r="C47" s="119" t="s">
        <v>213</v>
      </c>
      <c r="D47">
        <v>23</v>
      </c>
      <c r="E47">
        <v>35134.799999999996</v>
      </c>
      <c r="F47">
        <v>22.360939572763169</v>
      </c>
      <c r="G47">
        <v>34158.571291353015</v>
      </c>
      <c r="H47">
        <v>28.266925434315009</v>
      </c>
      <c r="I47">
        <v>43180.555293459605</v>
      </c>
      <c r="J47">
        <v>16.287900694141289</v>
      </c>
      <c r="K47">
        <v>24881.397100370232</v>
      </c>
      <c r="L47">
        <v>13.083576035324807</v>
      </c>
      <c r="M47">
        <v>19986.470751562174</v>
      </c>
      <c r="N47">
        <v>16.376123842389458</v>
      </c>
      <c r="O47">
        <v>25016.166781634132</v>
      </c>
      <c r="P47">
        <v>15.201155315581245</v>
      </c>
      <c r="Q47">
        <v>23221.284860081909</v>
      </c>
      <c r="R47">
        <v>15.069416520075759</v>
      </c>
      <c r="S47">
        <v>23020.040676067729</v>
      </c>
      <c r="T47">
        <v>11.3854433804624</v>
      </c>
      <c r="U47">
        <v>17392.403307994362</v>
      </c>
      <c r="V47">
        <v>13.056174365938652</v>
      </c>
      <c r="W47">
        <v>19944.611961407885</v>
      </c>
      <c r="X47">
        <v>10.444018503464903</v>
      </c>
      <c r="Y47">
        <v>15954.282665892986</v>
      </c>
      <c r="Z47">
        <v>13.831449039270796</v>
      </c>
      <c r="AA47">
        <v>21128.921552390068</v>
      </c>
      <c r="AB47">
        <v>16.740956276542779</v>
      </c>
      <c r="AC47">
        <v>25573.484808046745</v>
      </c>
      <c r="AD47">
        <v>12.239594290505616</v>
      </c>
      <c r="AE47">
        <v>18697.204238176379</v>
      </c>
      <c r="AF47">
        <v>16.167842458066541</v>
      </c>
      <c r="AG47">
        <v>24697.996138942446</v>
      </c>
      <c r="AH47">
        <v>13.217409669074037</v>
      </c>
      <c r="AI47">
        <v>20190.915010477496</v>
      </c>
      <c r="AJ47">
        <v>15.659952119069684</v>
      </c>
      <c r="AK47">
        <v>23922.14285709085</v>
      </c>
      <c r="AL47">
        <v>14.004920390097771</v>
      </c>
      <c r="AM47">
        <v>21393.916387913356</v>
      </c>
      <c r="AN47">
        <v>12.818789377467041</v>
      </c>
      <c r="AO47">
        <v>19581.982653018651</v>
      </c>
      <c r="AP47">
        <v>9.5713627351753914</v>
      </c>
      <c r="AQ47">
        <v>14621.213714253927</v>
      </c>
      <c r="AR47">
        <v>12.136131954998383</v>
      </c>
      <c r="AS47">
        <v>18539.155174455529</v>
      </c>
      <c r="AT47">
        <v>13.42407115732874</v>
      </c>
      <c r="AU47">
        <v>20506.61109993538</v>
      </c>
      <c r="AV47">
        <v>9.2032333992071074</v>
      </c>
      <c r="AW47">
        <v>14058.859340628776</v>
      </c>
      <c r="AX47">
        <v>11.04079174569309</v>
      </c>
      <c r="AY47">
        <v>16865.913470720763</v>
      </c>
      <c r="AZ47">
        <v>16.152251481732819</v>
      </c>
      <c r="BA47">
        <v>24674.179363495052</v>
      </c>
      <c r="BB47">
        <v>16.204338716436894</v>
      </c>
      <c r="BC47">
        <v>24753.747823228998</v>
      </c>
      <c r="BD47">
        <v>10.403655146929774</v>
      </c>
      <c r="BE47">
        <v>15892.623602449921</v>
      </c>
      <c r="BF47">
        <v>13.55168672051532</v>
      </c>
      <c r="BG47">
        <v>20701.556634259203</v>
      </c>
      <c r="BH47">
        <v>11.504041749008884</v>
      </c>
      <c r="BI47">
        <v>17573.574175785969</v>
      </c>
      <c r="BJ47">
        <v>15.061153005783463</v>
      </c>
      <c r="BK47">
        <v>23007.417331634817</v>
      </c>
      <c r="BL47">
        <v>12.669276180308128</v>
      </c>
      <c r="BM47">
        <v>19353.586293038694</v>
      </c>
      <c r="BN47">
        <v>13.061357444289561</v>
      </c>
      <c r="BO47">
        <v>19952.52963189673</v>
      </c>
      <c r="BP47">
        <v>15.429149582311103</v>
      </c>
      <c r="BQ47">
        <v>23569.568901938441</v>
      </c>
      <c r="BR47">
        <v>10.237227627838264</v>
      </c>
      <c r="BS47">
        <v>15638.388924285731</v>
      </c>
      <c r="BT47">
        <v>15.886079228506873</v>
      </c>
      <c r="BU47">
        <v>24267.574629467097</v>
      </c>
      <c r="BV47">
        <v>12.473106149884527</v>
      </c>
      <c r="BW47">
        <v>19053.916954563603</v>
      </c>
      <c r="BX47">
        <v>12.869506645033677</v>
      </c>
      <c r="BY47">
        <v>19659.458350953446</v>
      </c>
      <c r="BZ47">
        <v>18.187162140585944</v>
      </c>
      <c r="CA47">
        <v>27782.708885959084</v>
      </c>
      <c r="CB47">
        <v>10.164998656728326</v>
      </c>
      <c r="CC47">
        <v>15528.05194801819</v>
      </c>
      <c r="CD47">
        <v>16.698806085589251</v>
      </c>
      <c r="CE47">
        <v>25509.096176346138</v>
      </c>
      <c r="CF47">
        <v>12.089576808090174</v>
      </c>
      <c r="CG47">
        <v>18468.037532038546</v>
      </c>
      <c r="CH47">
        <v>17.503567824653793</v>
      </c>
      <c r="CI47">
        <v>26738.450208941133</v>
      </c>
      <c r="CJ47">
        <v>15.958350596948298</v>
      </c>
      <c r="CK47">
        <v>24377.976371898218</v>
      </c>
      <c r="CL47">
        <v>10.112093637029162</v>
      </c>
      <c r="CM47">
        <v>15447.234239925747</v>
      </c>
      <c r="CN47">
        <v>12.521617352736206</v>
      </c>
      <c r="CO47">
        <v>19128.022668039826</v>
      </c>
      <c r="CP47">
        <v>16.355373356503105</v>
      </c>
      <c r="CQ47">
        <v>24984.468339394141</v>
      </c>
      <c r="CR47">
        <v>12.307042458895618</v>
      </c>
      <c r="CS47">
        <v>18800.238060208943</v>
      </c>
      <c r="CT47">
        <v>12.790677997253299</v>
      </c>
      <c r="CU47">
        <v>19539.039708604138</v>
      </c>
    </row>
    <row r="48" spans="2:99" x14ac:dyDescent="0.2">
      <c r="C48" s="119" t="s">
        <v>214</v>
      </c>
      <c r="D48">
        <v>26</v>
      </c>
      <c r="E48">
        <v>22557.600000000002</v>
      </c>
      <c r="F48">
        <v>23.436926851239626</v>
      </c>
      <c r="G48">
        <v>20333.877736135499</v>
      </c>
      <c r="H48">
        <v>29.165735583980545</v>
      </c>
      <c r="I48">
        <v>25304.192192661521</v>
      </c>
      <c r="J48">
        <v>17.768618939063227</v>
      </c>
      <c r="K48">
        <v>15416.053791531256</v>
      </c>
      <c r="L48">
        <v>13.810441370620628</v>
      </c>
      <c r="M48">
        <v>11981.938933150457</v>
      </c>
      <c r="N48">
        <v>19.266028049869949</v>
      </c>
      <c r="O48">
        <v>16715.205936067166</v>
      </c>
      <c r="P48">
        <v>16.542433725779588</v>
      </c>
      <c r="Q48">
        <v>14352.215500486371</v>
      </c>
      <c r="R48">
        <v>15.982714490989441</v>
      </c>
      <c r="S48">
        <v>13866.603092382438</v>
      </c>
      <c r="T48">
        <v>12.8086238030202</v>
      </c>
      <c r="U48">
        <v>11112.762011500326</v>
      </c>
      <c r="V48">
        <v>16.023486721833802</v>
      </c>
      <c r="W48">
        <v>13901.977079863007</v>
      </c>
      <c r="X48">
        <v>12.184688254042387</v>
      </c>
      <c r="Y48">
        <v>10571.435529207174</v>
      </c>
      <c r="Z48">
        <v>14.819409684932996</v>
      </c>
      <c r="AA48">
        <v>12857.319842647868</v>
      </c>
      <c r="AB48">
        <v>16.182924400658017</v>
      </c>
      <c r="AC48">
        <v>14040.305210010896</v>
      </c>
      <c r="AD48">
        <v>14.279526672256551</v>
      </c>
      <c r="AE48">
        <v>12388.917340849785</v>
      </c>
      <c r="AF48">
        <v>16.167842458066541</v>
      </c>
      <c r="AG48">
        <v>14027.220116618531</v>
      </c>
      <c r="AH48">
        <v>13.706943360521223</v>
      </c>
      <c r="AI48">
        <v>11892.144059588212</v>
      </c>
      <c r="AJ48">
        <v>16.181950523038672</v>
      </c>
      <c r="AK48">
        <v>14039.460273788352</v>
      </c>
      <c r="AL48">
        <v>13.338019419140736</v>
      </c>
      <c r="AM48">
        <v>11572.065648046502</v>
      </c>
      <c r="AN48">
        <v>12.818789377467041</v>
      </c>
      <c r="AO48">
        <v>11121.581663890405</v>
      </c>
      <c r="AP48">
        <v>10.04993087193416</v>
      </c>
      <c r="AQ48">
        <v>8719.3200244900781</v>
      </c>
      <c r="AR48">
        <v>11.630459790206784</v>
      </c>
      <c r="AS48">
        <v>10090.586913983405</v>
      </c>
      <c r="AT48">
        <v>16.780088946660925</v>
      </c>
      <c r="AU48">
        <v>14558.405170123018</v>
      </c>
      <c r="AV48">
        <v>9.6633950691674624</v>
      </c>
      <c r="AW48">
        <v>8383.9615620096902</v>
      </c>
      <c r="AX48">
        <v>12.044500086210643</v>
      </c>
      <c r="AY48">
        <v>10449.808274796354</v>
      </c>
      <c r="AZ48">
        <v>17.305983730428022</v>
      </c>
      <c r="BA48">
        <v>15014.671484519351</v>
      </c>
      <c r="BB48">
        <v>16.204338716436894</v>
      </c>
      <c r="BC48">
        <v>14058.884270380649</v>
      </c>
      <c r="BD48">
        <v>11.44402066162275</v>
      </c>
      <c r="BE48">
        <v>9928.8323260238976</v>
      </c>
      <c r="BF48">
        <v>15.003653154856247</v>
      </c>
      <c r="BG48">
        <v>13017.16947715328</v>
      </c>
      <c r="BH48">
        <v>13.004568933662217</v>
      </c>
      <c r="BI48">
        <v>11282.76400684534</v>
      </c>
      <c r="BJ48">
        <v>16.473136100075664</v>
      </c>
      <c r="BK48">
        <v>14292.092880425645</v>
      </c>
      <c r="BL48">
        <v>11.567599990716115</v>
      </c>
      <c r="BM48">
        <v>10036.049751945302</v>
      </c>
      <c r="BN48">
        <v>13.9321146072422</v>
      </c>
      <c r="BO48">
        <v>12087.502633243334</v>
      </c>
      <c r="BP48">
        <v>17.192480963146657</v>
      </c>
      <c r="BQ48">
        <v>14916.196483626039</v>
      </c>
      <c r="BR48">
        <v>12.462711894759623</v>
      </c>
      <c r="BS48">
        <v>10812.648839893449</v>
      </c>
      <c r="BT48">
        <v>17.375399156179395</v>
      </c>
      <c r="BU48">
        <v>15074.896307901243</v>
      </c>
      <c r="BV48">
        <v>12.972030395879909</v>
      </c>
      <c r="BW48">
        <v>11254.533571465408</v>
      </c>
      <c r="BX48">
        <v>12.869506645033677</v>
      </c>
      <c r="BY48">
        <v>11165.583965231219</v>
      </c>
      <c r="BZ48">
        <v>16.712527372430326</v>
      </c>
      <c r="CA48">
        <v>14499.788748320552</v>
      </c>
      <c r="CB48">
        <v>9.6567487238919103</v>
      </c>
      <c r="CC48">
        <v>8378.1951928486214</v>
      </c>
      <c r="CD48">
        <v>20.627936929257309</v>
      </c>
      <c r="CE48">
        <v>17896.798079823642</v>
      </c>
      <c r="CF48">
        <v>12.985101016096854</v>
      </c>
      <c r="CG48">
        <v>11265.873641565631</v>
      </c>
      <c r="CH48">
        <v>20.077621916514644</v>
      </c>
      <c r="CI48">
        <v>17419.344774768106</v>
      </c>
      <c r="CJ48">
        <v>15.958350596948298</v>
      </c>
      <c r="CK48">
        <v>13845.464977912345</v>
      </c>
      <c r="CL48">
        <v>11.176524546190125</v>
      </c>
      <c r="CM48">
        <v>9696.7526962745524</v>
      </c>
      <c r="CN48">
        <v>15.753002476022969</v>
      </c>
      <c r="CO48">
        <v>13667.304948197529</v>
      </c>
      <c r="CP48">
        <v>17.346608105382078</v>
      </c>
      <c r="CQ48">
        <v>15049.917192229492</v>
      </c>
      <c r="CR48">
        <v>13.186116920245304</v>
      </c>
      <c r="CS48">
        <v>11440.275040004826</v>
      </c>
      <c r="CT48">
        <v>14.758474612215345</v>
      </c>
      <c r="CU48">
        <v>12804.452573558034</v>
      </c>
    </row>
    <row r="49" spans="2:99" x14ac:dyDescent="0.2">
      <c r="B49" s="119" t="s">
        <v>129</v>
      </c>
      <c r="C49" s="119" t="s">
        <v>215</v>
      </c>
      <c r="D49">
        <v>14.403654389203048</v>
      </c>
      <c r="E49">
        <v>14190.480304242841</v>
      </c>
      <c r="F49">
        <v>16</v>
      </c>
      <c r="G49">
        <v>15763.199999999999</v>
      </c>
      <c r="H49">
        <v>15</v>
      </c>
      <c r="I49">
        <v>14777.999999999998</v>
      </c>
      <c r="J49">
        <v>12</v>
      </c>
      <c r="K49">
        <v>11822.4</v>
      </c>
      <c r="L49">
        <v>10</v>
      </c>
      <c r="M49">
        <v>9852</v>
      </c>
      <c r="N49">
        <v>15</v>
      </c>
      <c r="O49">
        <v>14777.999999999998</v>
      </c>
      <c r="P49">
        <v>12</v>
      </c>
      <c r="Q49">
        <v>11822.4</v>
      </c>
      <c r="R49">
        <v>17</v>
      </c>
      <c r="S49">
        <v>16748.399999999998</v>
      </c>
      <c r="T49">
        <v>17</v>
      </c>
      <c r="U49">
        <v>16748.399999999998</v>
      </c>
      <c r="V49">
        <v>16</v>
      </c>
      <c r="W49">
        <v>15763.199999999999</v>
      </c>
      <c r="X49">
        <v>17</v>
      </c>
      <c r="Y49">
        <v>16748.399999999998</v>
      </c>
      <c r="Z49">
        <v>14</v>
      </c>
      <c r="AA49">
        <v>13792.8</v>
      </c>
      <c r="AB49">
        <v>11</v>
      </c>
      <c r="AC49">
        <v>10837.199999999999</v>
      </c>
      <c r="AD49">
        <v>15</v>
      </c>
      <c r="AE49">
        <v>14777.999999999998</v>
      </c>
      <c r="AF49">
        <v>11</v>
      </c>
      <c r="AG49">
        <v>10837.199999999999</v>
      </c>
      <c r="AH49">
        <v>14</v>
      </c>
      <c r="AI49">
        <v>13792.8</v>
      </c>
      <c r="AJ49">
        <v>10</v>
      </c>
      <c r="AK49">
        <v>9852</v>
      </c>
      <c r="AL49">
        <v>13</v>
      </c>
      <c r="AM49">
        <v>12807.599999999999</v>
      </c>
      <c r="AN49">
        <v>10</v>
      </c>
      <c r="AO49">
        <v>9852</v>
      </c>
      <c r="AP49">
        <v>18</v>
      </c>
      <c r="AQ49">
        <v>17733.599999999999</v>
      </c>
      <c r="AR49">
        <v>15</v>
      </c>
      <c r="AS49">
        <v>14777.999999999998</v>
      </c>
      <c r="AT49">
        <v>16</v>
      </c>
      <c r="AU49">
        <v>15763.199999999999</v>
      </c>
      <c r="AV49">
        <v>17</v>
      </c>
      <c r="AW49">
        <v>16748.399999999998</v>
      </c>
      <c r="AX49">
        <v>15</v>
      </c>
      <c r="AY49">
        <v>14777.999999999998</v>
      </c>
      <c r="AZ49">
        <v>14</v>
      </c>
      <c r="BA49">
        <v>13792.8</v>
      </c>
      <c r="BB49">
        <v>14</v>
      </c>
      <c r="BC49">
        <v>13792.8</v>
      </c>
      <c r="BD49">
        <v>18</v>
      </c>
      <c r="BE49">
        <v>17733.599999999999</v>
      </c>
      <c r="BF49">
        <v>11</v>
      </c>
      <c r="BG49">
        <v>10837.199999999999</v>
      </c>
      <c r="BH49">
        <v>14</v>
      </c>
      <c r="BI49">
        <v>13792.8</v>
      </c>
      <c r="BJ49">
        <v>11</v>
      </c>
      <c r="BK49">
        <v>10837.199999999999</v>
      </c>
      <c r="BL49">
        <v>13</v>
      </c>
      <c r="BM49">
        <v>12807.599999999999</v>
      </c>
      <c r="BN49">
        <v>15</v>
      </c>
      <c r="BO49">
        <v>14777.999999999998</v>
      </c>
      <c r="BP49">
        <v>14</v>
      </c>
      <c r="BQ49">
        <v>13792.8</v>
      </c>
      <c r="BR49">
        <v>17</v>
      </c>
      <c r="BS49">
        <v>16748.399999999998</v>
      </c>
      <c r="BT49">
        <v>14</v>
      </c>
      <c r="BU49">
        <v>13792.8</v>
      </c>
      <c r="BV49">
        <v>15</v>
      </c>
      <c r="BW49">
        <v>14777.999999999998</v>
      </c>
      <c r="BX49">
        <v>14</v>
      </c>
      <c r="BY49">
        <v>13792.8</v>
      </c>
      <c r="BZ49">
        <v>11</v>
      </c>
      <c r="CA49">
        <v>10837.199999999999</v>
      </c>
      <c r="CB49">
        <v>14</v>
      </c>
      <c r="CC49">
        <v>13792.8</v>
      </c>
      <c r="CD49">
        <v>9</v>
      </c>
      <c r="CE49">
        <v>8866.7999999999993</v>
      </c>
      <c r="CF49">
        <v>17</v>
      </c>
      <c r="CG49">
        <v>16748.399999999998</v>
      </c>
      <c r="CH49">
        <v>12</v>
      </c>
      <c r="CI49">
        <v>11822.4</v>
      </c>
      <c r="CJ49">
        <v>11</v>
      </c>
      <c r="CK49">
        <v>10837.199999999999</v>
      </c>
      <c r="CL49">
        <v>10</v>
      </c>
      <c r="CM49">
        <v>9852</v>
      </c>
      <c r="CN49">
        <v>14</v>
      </c>
      <c r="CO49">
        <v>13792.8</v>
      </c>
      <c r="CP49">
        <v>9</v>
      </c>
      <c r="CQ49">
        <v>8866.7999999999993</v>
      </c>
      <c r="CR49">
        <v>17</v>
      </c>
      <c r="CS49">
        <v>16748.399999999998</v>
      </c>
      <c r="CT49">
        <v>16</v>
      </c>
      <c r="CU49">
        <v>15763.199999999999</v>
      </c>
    </row>
    <row r="50" spans="2:99" x14ac:dyDescent="0.2">
      <c r="C50" s="119" t="s">
        <v>216</v>
      </c>
      <c r="D50">
        <v>15</v>
      </c>
      <c r="E50">
        <v>4230</v>
      </c>
      <c r="F50">
        <v>17.265955474667599</v>
      </c>
      <c r="G50">
        <v>4868.9994438562626</v>
      </c>
      <c r="H50">
        <v>14.617339445194951</v>
      </c>
      <c r="I50">
        <v>4122.0897235449756</v>
      </c>
      <c r="J50">
        <v>6.416445727995054</v>
      </c>
      <c r="K50">
        <v>1809.4376952946052</v>
      </c>
      <c r="L50">
        <v>7.2686533529582258</v>
      </c>
      <c r="M50">
        <v>2049.7602455342198</v>
      </c>
      <c r="N50">
        <v>8.6697126224414784</v>
      </c>
      <c r="O50">
        <v>2444.8589595284971</v>
      </c>
      <c r="P50">
        <v>5.365113640793381</v>
      </c>
      <c r="Q50">
        <v>1512.9620467037334</v>
      </c>
      <c r="R50">
        <v>8.2196817382231409</v>
      </c>
      <c r="S50">
        <v>2317.9502501789257</v>
      </c>
      <c r="T50">
        <v>9.0134760095327344</v>
      </c>
      <c r="U50">
        <v>2541.8002346882313</v>
      </c>
      <c r="V50">
        <v>10.682324481222535</v>
      </c>
      <c r="W50">
        <v>3012.4155037047549</v>
      </c>
      <c r="X50">
        <v>11.604465003849894</v>
      </c>
      <c r="Y50">
        <v>3272.4591310856699</v>
      </c>
      <c r="Z50">
        <v>8.3976654881286983</v>
      </c>
      <c r="AA50">
        <v>2368.1416676522931</v>
      </c>
      <c r="AB50">
        <v>6.6963825106171111</v>
      </c>
      <c r="AC50">
        <v>1888.3798679940253</v>
      </c>
      <c r="AD50">
        <v>8.6697126224414784</v>
      </c>
      <c r="AE50">
        <v>2444.8589595284971</v>
      </c>
      <c r="AF50">
        <v>7.1138506815492768</v>
      </c>
      <c r="AG50">
        <v>2006.1058921968961</v>
      </c>
      <c r="AH50">
        <v>7.8325390631549849</v>
      </c>
      <c r="AI50">
        <v>2208.7760158097058</v>
      </c>
      <c r="AJ50">
        <v>5.2199840396898951</v>
      </c>
      <c r="AK50">
        <v>1472.0354991925503</v>
      </c>
      <c r="AL50">
        <v>8.6697126224414784</v>
      </c>
      <c r="AM50">
        <v>2444.8589595284971</v>
      </c>
      <c r="AN50">
        <v>5.8752784646723937</v>
      </c>
      <c r="AO50">
        <v>1656.828527037615</v>
      </c>
      <c r="AP50">
        <v>9.0927945984166207</v>
      </c>
      <c r="AQ50">
        <v>2564.1680767534872</v>
      </c>
      <c r="AR50">
        <v>7.0794103070823899</v>
      </c>
      <c r="AS50">
        <v>1996.3937065972339</v>
      </c>
      <c r="AT50">
        <v>6.71203557866437</v>
      </c>
      <c r="AU50">
        <v>1892.7940331833524</v>
      </c>
      <c r="AV50">
        <v>8.2829100592863973</v>
      </c>
      <c r="AW50">
        <v>2335.7806367187641</v>
      </c>
      <c r="AX50">
        <v>8.0296667241404283</v>
      </c>
      <c r="AY50">
        <v>2264.3660162076008</v>
      </c>
      <c r="AZ50">
        <v>7.4992596165188088</v>
      </c>
      <c r="BA50">
        <v>2114.791211858304</v>
      </c>
      <c r="BB50">
        <v>6.301687278614347</v>
      </c>
      <c r="BC50">
        <v>1777.075812569246</v>
      </c>
      <c r="BD50">
        <v>9.3632896322367962</v>
      </c>
      <c r="BE50">
        <v>2640.4476762907766</v>
      </c>
      <c r="BF50">
        <v>5.3238769259167329</v>
      </c>
      <c r="BG50">
        <v>1501.3332931085188</v>
      </c>
      <c r="BH50">
        <v>7.0024601950488856</v>
      </c>
      <c r="BI50">
        <v>1974.6937750037857</v>
      </c>
      <c r="BJ50">
        <v>6.1185934085995326</v>
      </c>
      <c r="BK50">
        <v>1725.4433412250683</v>
      </c>
      <c r="BL50">
        <v>8.2625714219400823</v>
      </c>
      <c r="BM50">
        <v>2330.0451409871034</v>
      </c>
      <c r="BN50">
        <v>6.0953001406684626</v>
      </c>
      <c r="BO50">
        <v>1718.8746396685065</v>
      </c>
      <c r="BP50">
        <v>7.0533255233422194</v>
      </c>
      <c r="BQ50">
        <v>1989.0377975825058</v>
      </c>
      <c r="BR50">
        <v>8.4568402143011738</v>
      </c>
      <c r="BS50">
        <v>2384.8289404329312</v>
      </c>
      <c r="BT50">
        <v>6.9501596624717576</v>
      </c>
      <c r="BU50">
        <v>1959.9450248170356</v>
      </c>
      <c r="BV50">
        <v>6.4860151979399543</v>
      </c>
      <c r="BW50">
        <v>1829.0562858190672</v>
      </c>
      <c r="BX50">
        <v>7.544193550536983</v>
      </c>
      <c r="BY50">
        <v>2127.4625812514291</v>
      </c>
      <c r="BZ50">
        <v>5.8985390726224676</v>
      </c>
      <c r="CA50">
        <v>1663.388018479536</v>
      </c>
      <c r="CB50">
        <v>6.6072491268734108</v>
      </c>
      <c r="CC50">
        <v>1863.2442537783018</v>
      </c>
      <c r="CD50">
        <v>5.4025549100435803</v>
      </c>
      <c r="CE50">
        <v>1523.5204846322897</v>
      </c>
      <c r="CF50">
        <v>8.0597178720601157</v>
      </c>
      <c r="CG50">
        <v>2272.8404399209526</v>
      </c>
      <c r="CH50">
        <v>5.662919002093874</v>
      </c>
      <c r="CI50">
        <v>1596.9431585904724</v>
      </c>
      <c r="CJ50">
        <v>5.4714344903822738</v>
      </c>
      <c r="CK50">
        <v>1542.9445262878012</v>
      </c>
      <c r="CL50">
        <v>5.8543700003853036</v>
      </c>
      <c r="CM50">
        <v>1650.9323401086556</v>
      </c>
      <c r="CN50">
        <v>6.8666933869843705</v>
      </c>
      <c r="CO50">
        <v>1936.4075351295926</v>
      </c>
      <c r="CP50">
        <v>4.9561737443948797</v>
      </c>
      <c r="CQ50">
        <v>1397.6409959193561</v>
      </c>
      <c r="CR50">
        <v>8.3512073828220252</v>
      </c>
      <c r="CS50">
        <v>2355.0404819558112</v>
      </c>
      <c r="CT50">
        <v>8.3631356135886943</v>
      </c>
      <c r="CU50">
        <v>2358.4042430320119</v>
      </c>
    </row>
    <row r="51" spans="2:99" x14ac:dyDescent="0.2">
      <c r="C51" s="119" t="s">
        <v>217</v>
      </c>
      <c r="D51">
        <v>13</v>
      </c>
      <c r="E51">
        <v>11107.199999999999</v>
      </c>
      <c r="F51">
        <v>15.265955474667599</v>
      </c>
      <c r="G51">
        <v>13043.232357555997</v>
      </c>
      <c r="H51">
        <v>14.617339445194951</v>
      </c>
      <c r="I51">
        <v>12489.054821974565</v>
      </c>
      <c r="J51">
        <v>6.416445727995054</v>
      </c>
      <c r="K51">
        <v>5482.211229998974</v>
      </c>
      <c r="L51">
        <v>7.2686533529582258</v>
      </c>
      <c r="M51">
        <v>6210.3374247675083</v>
      </c>
      <c r="N51">
        <v>7.70641121994798</v>
      </c>
      <c r="O51">
        <v>6584.3577463235542</v>
      </c>
      <c r="P51">
        <v>5.365113640793381</v>
      </c>
      <c r="Q51">
        <v>4583.9530946938648</v>
      </c>
      <c r="R51">
        <v>8.6763307236799818</v>
      </c>
      <c r="S51">
        <v>7413.0569703121764</v>
      </c>
      <c r="T51">
        <v>9.0134760095327344</v>
      </c>
      <c r="U51">
        <v>7701.1139025447683</v>
      </c>
      <c r="V51">
        <v>8.901937067685445</v>
      </c>
      <c r="W51">
        <v>7605.8150306304442</v>
      </c>
      <c r="X51">
        <v>9.2835720030799145</v>
      </c>
      <c r="Y51">
        <v>7931.8839194314787</v>
      </c>
      <c r="Z51">
        <v>6.9157245196353978</v>
      </c>
      <c r="AA51">
        <v>5908.795029576484</v>
      </c>
      <c r="AB51">
        <v>6.6963825106171111</v>
      </c>
      <c r="AC51">
        <v>5721.3892170712597</v>
      </c>
      <c r="AD51">
        <v>7.1397633361282757</v>
      </c>
      <c r="AE51">
        <v>6100.2137943879989</v>
      </c>
      <c r="AF51">
        <v>7.1138506815492768</v>
      </c>
      <c r="AG51">
        <v>6078.0740223157018</v>
      </c>
      <c r="AH51">
        <v>7.3430053717077977</v>
      </c>
      <c r="AI51">
        <v>6273.8637895871425</v>
      </c>
      <c r="AJ51">
        <v>5.2199840396898951</v>
      </c>
      <c r="AK51">
        <v>4459.9543635110458</v>
      </c>
      <c r="AL51">
        <v>9.3366135933985142</v>
      </c>
      <c r="AM51">
        <v>7977.2026541996902</v>
      </c>
      <c r="AN51">
        <v>5.3411622406112675</v>
      </c>
      <c r="AO51">
        <v>4563.4890183782672</v>
      </c>
      <c r="AP51">
        <v>8.6142264616578519</v>
      </c>
      <c r="AQ51">
        <v>7359.9950888404683</v>
      </c>
      <c r="AR51">
        <v>7.5850824718739895</v>
      </c>
      <c r="AS51">
        <v>6480.6944639691365</v>
      </c>
      <c r="AT51">
        <v>7.1315378023308922</v>
      </c>
      <c r="AU51">
        <v>6093.1858983115144</v>
      </c>
      <c r="AV51">
        <v>8.2829100592863973</v>
      </c>
      <c r="AW51">
        <v>7076.9183546542981</v>
      </c>
      <c r="AX51">
        <v>7.5278125538816516</v>
      </c>
      <c r="AY51">
        <v>6431.7630460364826</v>
      </c>
      <c r="AZ51">
        <v>6.9223934921712091</v>
      </c>
      <c r="BA51">
        <v>5914.4929997110812</v>
      </c>
      <c r="BB51">
        <v>5.8515667587133224</v>
      </c>
      <c r="BC51">
        <v>4999.5786386446625</v>
      </c>
      <c r="BD51">
        <v>9.3632896322367962</v>
      </c>
      <c r="BE51">
        <v>7999.9946617831183</v>
      </c>
      <c r="BF51">
        <v>5.3238769259167329</v>
      </c>
      <c r="BG51">
        <v>4548.7204455032561</v>
      </c>
      <c r="BH51">
        <v>7.0024601950488856</v>
      </c>
      <c r="BI51">
        <v>5982.9019906497679</v>
      </c>
      <c r="BJ51">
        <v>4.7066103143073326</v>
      </c>
      <c r="BK51">
        <v>4021.3278525441847</v>
      </c>
      <c r="BL51">
        <v>8.2625714219400823</v>
      </c>
      <c r="BM51">
        <v>7059.541022905606</v>
      </c>
      <c r="BN51">
        <v>6.9660573036211</v>
      </c>
      <c r="BO51">
        <v>5951.7993602138677</v>
      </c>
      <c r="BP51">
        <v>7.0533255233422194</v>
      </c>
      <c r="BQ51">
        <v>6026.3613271435925</v>
      </c>
      <c r="BR51">
        <v>7.5666465075326288</v>
      </c>
      <c r="BS51">
        <v>6464.9427760358776</v>
      </c>
      <c r="BT51">
        <v>5.9572797106900772</v>
      </c>
      <c r="BU51">
        <v>5089.8997848136014</v>
      </c>
      <c r="BV51">
        <v>5.9870909519445732</v>
      </c>
      <c r="BW51">
        <v>5115.3705093414428</v>
      </c>
      <c r="BX51">
        <v>6.212865276912809</v>
      </c>
      <c r="BY51">
        <v>5308.272092594304</v>
      </c>
      <c r="BZ51">
        <v>5.4069941499039285</v>
      </c>
      <c r="CA51">
        <v>4619.7358016779162</v>
      </c>
      <c r="CB51">
        <v>7.6237489925462434</v>
      </c>
      <c r="CC51">
        <v>6513.7311392315105</v>
      </c>
      <c r="CD51">
        <v>4.4202721991265657</v>
      </c>
      <c r="CE51">
        <v>3776.6805669337377</v>
      </c>
      <c r="CF51">
        <v>7.6119557680567764</v>
      </c>
      <c r="CG51">
        <v>6503.6550082277099</v>
      </c>
      <c r="CH51">
        <v>5.662919002093874</v>
      </c>
      <c r="CI51">
        <v>4838.3979953890057</v>
      </c>
      <c r="CJ51">
        <v>4.5595287419852282</v>
      </c>
      <c r="CK51">
        <v>3895.6613571521789</v>
      </c>
      <c r="CL51">
        <v>5.3221545458048221</v>
      </c>
      <c r="CM51">
        <v>4547.2488439356403</v>
      </c>
      <c r="CN51">
        <v>6.0588471061626796</v>
      </c>
      <c r="CO51">
        <v>5176.6789675053933</v>
      </c>
      <c r="CP51">
        <v>4.9561737443948797</v>
      </c>
      <c r="CQ51">
        <v>4234.5548472109849</v>
      </c>
      <c r="CR51">
        <v>8.3512073828220252</v>
      </c>
      <c r="CS51">
        <v>7135.2715878831377</v>
      </c>
      <c r="CT51">
        <v>9.347033921069718</v>
      </c>
      <c r="CU51">
        <v>7986.105782161967</v>
      </c>
    </row>
    <row r="52" spans="2:99" x14ac:dyDescent="0.2">
      <c r="C52" s="119" t="s">
        <v>218</v>
      </c>
      <c r="D52">
        <v>14</v>
      </c>
      <c r="E52">
        <v>7560</v>
      </c>
      <c r="F52">
        <v>15.246958655048484</v>
      </c>
      <c r="G52">
        <v>8233.357673726181</v>
      </c>
      <c r="H52">
        <v>16.444506875844318</v>
      </c>
      <c r="I52">
        <v>8880.0337129559321</v>
      </c>
      <c r="J52">
        <v>6.416445727995054</v>
      </c>
      <c r="K52">
        <v>3464.880693117329</v>
      </c>
      <c r="L52">
        <v>7.2686533529582258</v>
      </c>
      <c r="M52">
        <v>3925.0728105974417</v>
      </c>
      <c r="N52">
        <v>7.70641121994798</v>
      </c>
      <c r="O52">
        <v>4161.4620587719091</v>
      </c>
      <c r="P52">
        <v>5.365113640793381</v>
      </c>
      <c r="Q52">
        <v>2897.1613660284256</v>
      </c>
      <c r="R52">
        <v>9.1329797091368228</v>
      </c>
      <c r="S52">
        <v>4931.8090429338845</v>
      </c>
      <c r="T52">
        <v>9.4878694837186668</v>
      </c>
      <c r="U52">
        <v>5123.4495212080801</v>
      </c>
      <c r="V52">
        <v>10.682324481222535</v>
      </c>
      <c r="W52">
        <v>5768.4552198601687</v>
      </c>
      <c r="X52">
        <v>10.444018503464903</v>
      </c>
      <c r="Y52">
        <v>5639.7699918710478</v>
      </c>
      <c r="Z52">
        <v>7.409704842466498</v>
      </c>
      <c r="AA52">
        <v>4001.240614931909</v>
      </c>
      <c r="AB52">
        <v>6.6963825106171111</v>
      </c>
      <c r="AC52">
        <v>3616.04655573324</v>
      </c>
      <c r="AD52">
        <v>7.6497464315660091</v>
      </c>
      <c r="AE52">
        <v>4130.8630730456453</v>
      </c>
      <c r="AF52">
        <v>7.1138506815492768</v>
      </c>
      <c r="AG52">
        <v>3841.4793680366097</v>
      </c>
      <c r="AH52">
        <v>8.3220727546021713</v>
      </c>
      <c r="AI52">
        <v>4493.9192874851724</v>
      </c>
      <c r="AJ52">
        <v>4.6979856357209053</v>
      </c>
      <c r="AK52">
        <v>2536.9122432892887</v>
      </c>
      <c r="AL52">
        <v>8.002811651484441</v>
      </c>
      <c r="AM52">
        <v>4321.518291801598</v>
      </c>
      <c r="AN52">
        <v>5.8752784646723937</v>
      </c>
      <c r="AO52">
        <v>3172.6503709230924</v>
      </c>
      <c r="AP52">
        <v>8.6142264616578519</v>
      </c>
      <c r="AQ52">
        <v>4651.6822892952396</v>
      </c>
      <c r="AR52">
        <v>6.5737381422907912</v>
      </c>
      <c r="AS52">
        <v>3549.8185968370271</v>
      </c>
      <c r="AT52">
        <v>7.5510400259974153</v>
      </c>
      <c r="AU52">
        <v>4077.5616140386041</v>
      </c>
      <c r="AV52">
        <v>9.2032333992071074</v>
      </c>
      <c r="AW52">
        <v>4969.7460355718376</v>
      </c>
      <c r="AX52">
        <v>7.5278125538816516</v>
      </c>
      <c r="AY52">
        <v>4065.0187790960917</v>
      </c>
      <c r="AZ52">
        <v>8.0761257408664093</v>
      </c>
      <c r="BA52">
        <v>4361.107900067861</v>
      </c>
      <c r="BB52">
        <v>6.7518077985153724</v>
      </c>
      <c r="BC52">
        <v>3645.9762111983009</v>
      </c>
      <c r="BD52">
        <v>9.3632896322367962</v>
      </c>
      <c r="BE52">
        <v>5056.1764014078699</v>
      </c>
      <c r="BF52">
        <v>6.2918545488106838</v>
      </c>
      <c r="BG52">
        <v>3397.6014563577692</v>
      </c>
      <c r="BH52">
        <v>7.5026359232666637</v>
      </c>
      <c r="BI52">
        <v>4051.4233985639985</v>
      </c>
      <c r="BJ52">
        <v>6.1185934085995326</v>
      </c>
      <c r="BK52">
        <v>3304.0404406437474</v>
      </c>
      <c r="BL52">
        <v>8.2625714219400823</v>
      </c>
      <c r="BM52">
        <v>4461.7885678476441</v>
      </c>
      <c r="BN52">
        <v>6.9660573036211</v>
      </c>
      <c r="BO52">
        <v>3761.6709439553938</v>
      </c>
      <c r="BP52">
        <v>6.6124926781333304</v>
      </c>
      <c r="BQ52">
        <v>3570.7460461919986</v>
      </c>
      <c r="BR52">
        <v>8.4568402143011738</v>
      </c>
      <c r="BS52">
        <v>4566.6937157226339</v>
      </c>
      <c r="BT52">
        <v>6.453719686580917</v>
      </c>
      <c r="BU52">
        <v>3485.0086307536953</v>
      </c>
      <c r="BV52">
        <v>6.9849394439353354</v>
      </c>
      <c r="BW52">
        <v>3771.867299725081</v>
      </c>
      <c r="BX52">
        <v>6.6566413681208676</v>
      </c>
      <c r="BY52">
        <v>3594.5863387852687</v>
      </c>
      <c r="BZ52">
        <v>5.4069941499039285</v>
      </c>
      <c r="CA52">
        <v>2919.7768409481214</v>
      </c>
      <c r="CB52">
        <v>7.115499059709828</v>
      </c>
      <c r="CC52">
        <v>3842.3694922433069</v>
      </c>
      <c r="CD52">
        <v>5.4025549100435803</v>
      </c>
      <c r="CE52">
        <v>2917.3796514235332</v>
      </c>
      <c r="CF52">
        <v>8.0597178720601157</v>
      </c>
      <c r="CG52">
        <v>4352.2476509124626</v>
      </c>
      <c r="CH52">
        <v>5.662919002093874</v>
      </c>
      <c r="CI52">
        <v>3057.9762611306919</v>
      </c>
      <c r="CJ52">
        <v>5.4714344903822738</v>
      </c>
      <c r="CK52">
        <v>2954.5746248064279</v>
      </c>
      <c r="CL52">
        <v>5.8543700003853036</v>
      </c>
      <c r="CM52">
        <v>3161.3598002080639</v>
      </c>
      <c r="CN52">
        <v>6.0588471061626796</v>
      </c>
      <c r="CO52">
        <v>3271.7774373278471</v>
      </c>
      <c r="CP52">
        <v>4.9561737443948797</v>
      </c>
      <c r="CQ52">
        <v>2676.333821973235</v>
      </c>
      <c r="CR52">
        <v>8.3512073828220252</v>
      </c>
      <c r="CS52">
        <v>4509.651986723894</v>
      </c>
      <c r="CT52">
        <v>8.8550847673292061</v>
      </c>
      <c r="CU52">
        <v>4781.7457743577716</v>
      </c>
    </row>
    <row r="53" spans="2:99" x14ac:dyDescent="0.2">
      <c r="C53" s="119" t="s">
        <v>219</v>
      </c>
      <c r="D53">
        <v>13</v>
      </c>
      <c r="E53">
        <v>5288.4000000000005</v>
      </c>
      <c r="F53">
        <v>15.284952294286713</v>
      </c>
      <c r="G53">
        <v>6217.9185933158351</v>
      </c>
      <c r="H53">
        <v>15.525998638633252</v>
      </c>
      <c r="I53">
        <v>6315.9762461960072</v>
      </c>
      <c r="J53">
        <v>5.9228729796877424</v>
      </c>
      <c r="K53">
        <v>2409.4247281369735</v>
      </c>
      <c r="L53">
        <v>7.9955186882540481</v>
      </c>
      <c r="M53">
        <v>3252.5770023817468</v>
      </c>
      <c r="N53">
        <v>9.1513633236882264</v>
      </c>
      <c r="O53">
        <v>3722.7746000763705</v>
      </c>
      <c r="P53">
        <v>5.365113640793381</v>
      </c>
      <c r="Q53">
        <v>2182.5282290747473</v>
      </c>
      <c r="R53">
        <v>8.6763307236799818</v>
      </c>
      <c r="S53">
        <v>3529.5313383930165</v>
      </c>
      <c r="T53">
        <v>8.0646890611608679</v>
      </c>
      <c r="U53">
        <v>3280.7155100802411</v>
      </c>
      <c r="V53">
        <v>10.682324481222535</v>
      </c>
      <c r="W53">
        <v>4345.5695989613278</v>
      </c>
      <c r="X53">
        <v>11.604465003849894</v>
      </c>
      <c r="Y53">
        <v>4720.6963635661368</v>
      </c>
      <c r="Z53">
        <v>7.409704842466498</v>
      </c>
      <c r="AA53">
        <v>3014.2679299153715</v>
      </c>
      <c r="AB53">
        <v>7.2544143865018711</v>
      </c>
      <c r="AC53">
        <v>2951.095772428961</v>
      </c>
      <c r="AD53">
        <v>8.1597295270037442</v>
      </c>
      <c r="AE53">
        <v>3319.3779715851233</v>
      </c>
      <c r="AF53">
        <v>7.7605643798719388</v>
      </c>
      <c r="AG53">
        <v>3156.997589731905</v>
      </c>
      <c r="AH53">
        <v>7.3430053717077977</v>
      </c>
      <c r="AI53">
        <v>2987.134585210732</v>
      </c>
      <c r="AJ53">
        <v>4.6979856357209053</v>
      </c>
      <c r="AK53">
        <v>1911.1405566112644</v>
      </c>
      <c r="AL53">
        <v>8.002811651484441</v>
      </c>
      <c r="AM53">
        <v>3255.5437798238709</v>
      </c>
      <c r="AN53">
        <v>5.8752784646723937</v>
      </c>
      <c r="AO53">
        <v>2390.0632794287299</v>
      </c>
      <c r="AP53">
        <v>9.0927945984166207</v>
      </c>
      <c r="AQ53">
        <v>3698.9488426358816</v>
      </c>
      <c r="AR53">
        <v>8.0907546366655883</v>
      </c>
      <c r="AS53">
        <v>3291.3189861955616</v>
      </c>
      <c r="AT53">
        <v>6.71203557866437</v>
      </c>
      <c r="AU53">
        <v>2730.4560734006659</v>
      </c>
      <c r="AV53">
        <v>7.8227483893260406</v>
      </c>
      <c r="AW53">
        <v>3182.2940447778333</v>
      </c>
      <c r="AX53">
        <v>8.5315208943992058</v>
      </c>
      <c r="AY53">
        <v>3470.6226998415968</v>
      </c>
      <c r="AZ53">
        <v>7.4992596165188088</v>
      </c>
      <c r="BA53">
        <v>3050.6988119998514</v>
      </c>
      <c r="BB53">
        <v>6.301687278614347</v>
      </c>
      <c r="BC53">
        <v>2563.5263849403163</v>
      </c>
      <c r="BD53">
        <v>8.8431068748903066</v>
      </c>
      <c r="BE53">
        <v>3597.3758767053769</v>
      </c>
      <c r="BF53">
        <v>5.8078657373637075</v>
      </c>
      <c r="BG53">
        <v>2362.6397819595563</v>
      </c>
      <c r="BH53">
        <v>7.0024601950488856</v>
      </c>
      <c r="BI53">
        <v>2848.6008073458866</v>
      </c>
      <c r="BJ53">
        <v>5.1772713457380659</v>
      </c>
      <c r="BK53">
        <v>2106.1139834462451</v>
      </c>
      <c r="BL53">
        <v>7.7117333271440769</v>
      </c>
      <c r="BM53">
        <v>3137.1331174822108</v>
      </c>
      <c r="BN53">
        <v>7.4014358850974187</v>
      </c>
      <c r="BO53">
        <v>3010.9041180576301</v>
      </c>
      <c r="BP53">
        <v>7.0533255233422194</v>
      </c>
      <c r="BQ53">
        <v>2869.2928228956148</v>
      </c>
      <c r="BR53">
        <v>7.5666465075326288</v>
      </c>
      <c r="BS53">
        <v>3078.1117992642735</v>
      </c>
      <c r="BT53">
        <v>6.453719686580917</v>
      </c>
      <c r="BU53">
        <v>2625.3731685011171</v>
      </c>
      <c r="BV53">
        <v>6.9849394439353354</v>
      </c>
      <c r="BW53">
        <v>2841.4733657928946</v>
      </c>
      <c r="BX53">
        <v>7.544193550536983</v>
      </c>
      <c r="BY53">
        <v>3068.9779363584448</v>
      </c>
      <c r="BZ53">
        <v>5.4069941499039285</v>
      </c>
      <c r="CA53">
        <v>2199.565220180918</v>
      </c>
      <c r="CB53">
        <v>6.6072491268734108</v>
      </c>
      <c r="CC53">
        <v>2687.8289448121036</v>
      </c>
      <c r="CD53">
        <v>5.4025549100435803</v>
      </c>
      <c r="CE53">
        <v>2197.7593374057287</v>
      </c>
      <c r="CF53">
        <v>7.6119557680567764</v>
      </c>
      <c r="CG53">
        <v>3096.5436064454966</v>
      </c>
      <c r="CH53">
        <v>6.1777298204660447</v>
      </c>
      <c r="CI53">
        <v>2513.1004909655871</v>
      </c>
      <c r="CJ53">
        <v>5.0154816161837514</v>
      </c>
      <c r="CK53">
        <v>2040.2979214635502</v>
      </c>
      <c r="CL53">
        <v>5.3221545458048221</v>
      </c>
      <c r="CM53">
        <v>2165.0524692334016</v>
      </c>
      <c r="CN53">
        <v>6.0588471061626796</v>
      </c>
      <c r="CO53">
        <v>2464.7390027869783</v>
      </c>
      <c r="CP53">
        <v>5.4517911188343673</v>
      </c>
      <c r="CQ53">
        <v>2217.7886271418206</v>
      </c>
      <c r="CR53">
        <v>8.7907446134968694</v>
      </c>
      <c r="CS53">
        <v>3576.0749087705267</v>
      </c>
      <c r="CT53">
        <v>8.3631356135886943</v>
      </c>
      <c r="CU53">
        <v>3402.1235676078809</v>
      </c>
    </row>
    <row r="54" spans="2:99" x14ac:dyDescent="0.2">
      <c r="C54" s="119" t="s">
        <v>220</v>
      </c>
      <c r="D54">
        <v>15</v>
      </c>
      <c r="E54">
        <v>5022</v>
      </c>
      <c r="F54">
        <v>16.265955474667599</v>
      </c>
      <c r="G54">
        <v>5445.8418929187128</v>
      </c>
      <c r="H54">
        <v>14.632113010854095</v>
      </c>
      <c r="I54">
        <v>4898.8314360339509</v>
      </c>
      <c r="J54">
        <v>6.416445727995054</v>
      </c>
      <c r="K54">
        <v>2148.2260297327443</v>
      </c>
      <c r="L54">
        <v>7.2686533529582258</v>
      </c>
      <c r="M54">
        <v>2433.5451425704141</v>
      </c>
      <c r="N54">
        <v>9.1513633236882264</v>
      </c>
      <c r="O54">
        <v>3063.8764407708181</v>
      </c>
      <c r="P54">
        <v>5.365113640793381</v>
      </c>
      <c r="Q54">
        <v>1796.2400469376241</v>
      </c>
      <c r="R54">
        <v>9.1329797091368228</v>
      </c>
      <c r="S54">
        <v>3057.7216066190085</v>
      </c>
      <c r="T54">
        <v>8.5390825353468003</v>
      </c>
      <c r="U54">
        <v>2858.8848328341087</v>
      </c>
      <c r="V54">
        <v>9.4953995388644756</v>
      </c>
      <c r="W54">
        <v>3179.0597656118266</v>
      </c>
      <c r="X54">
        <v>10.444018503464903</v>
      </c>
      <c r="Y54">
        <v>3496.6573949600497</v>
      </c>
      <c r="Z54">
        <v>7.9036851652975972</v>
      </c>
      <c r="AA54">
        <v>2646.1537933416357</v>
      </c>
      <c r="AB54">
        <v>6.6963825106171111</v>
      </c>
      <c r="AC54">
        <v>2241.9488645546089</v>
      </c>
      <c r="AD54">
        <v>8.1597295270037442</v>
      </c>
      <c r="AE54">
        <v>2731.8774456408537</v>
      </c>
      <c r="AF54">
        <v>8.4072780781946008</v>
      </c>
      <c r="AG54">
        <v>2814.7567005795527</v>
      </c>
      <c r="AH54">
        <v>7.8325390631549849</v>
      </c>
      <c r="AI54">
        <v>2622.3340783442891</v>
      </c>
      <c r="AJ54">
        <v>5.2199840396898951</v>
      </c>
      <c r="AK54">
        <v>1747.650656488177</v>
      </c>
      <c r="AL54">
        <v>8.002811651484441</v>
      </c>
      <c r="AM54">
        <v>2679.3413409169907</v>
      </c>
      <c r="AN54">
        <v>5.8752784646723937</v>
      </c>
      <c r="AO54">
        <v>1967.0432299723175</v>
      </c>
      <c r="AP54">
        <v>9.0927945984166207</v>
      </c>
      <c r="AQ54">
        <v>3044.2676315498848</v>
      </c>
      <c r="AR54">
        <v>8.0907546366655883</v>
      </c>
      <c r="AS54">
        <v>2708.7846523556391</v>
      </c>
      <c r="AT54">
        <v>6.71203557866437</v>
      </c>
      <c r="AU54">
        <v>2247.1895117368313</v>
      </c>
      <c r="AV54">
        <v>8.7430717292467506</v>
      </c>
      <c r="AW54">
        <v>2927.1804149518121</v>
      </c>
      <c r="AX54">
        <v>8.5315208943992058</v>
      </c>
      <c r="AY54">
        <v>2856.353195444854</v>
      </c>
      <c r="AZ54">
        <v>7.4992596165188088</v>
      </c>
      <c r="BA54">
        <v>2510.7521196104972</v>
      </c>
      <c r="BB54">
        <v>6.301687278614347</v>
      </c>
      <c r="BC54">
        <v>2109.8049008800836</v>
      </c>
      <c r="BD54">
        <v>10.403655146929774</v>
      </c>
      <c r="BE54">
        <v>3483.1437431920886</v>
      </c>
      <c r="BF54">
        <v>5.3238769259167329</v>
      </c>
      <c r="BG54">
        <v>1782.4339947969222</v>
      </c>
      <c r="BH54">
        <v>8.002811651484441</v>
      </c>
      <c r="BI54">
        <v>2679.3413409169907</v>
      </c>
      <c r="BJ54">
        <v>5.1772713457380659</v>
      </c>
      <c r="BK54">
        <v>1733.3504465531046</v>
      </c>
      <c r="BL54">
        <v>8.2625714219400823</v>
      </c>
      <c r="BM54">
        <v>2766.3089120655395</v>
      </c>
      <c r="BN54">
        <v>6.5306787221447804</v>
      </c>
      <c r="BO54">
        <v>2186.4712361740726</v>
      </c>
      <c r="BP54">
        <v>7.0533255233422194</v>
      </c>
      <c r="BQ54">
        <v>2361.4533852149752</v>
      </c>
      <c r="BR54">
        <v>7.5666465075326288</v>
      </c>
      <c r="BS54">
        <v>2533.3132507219243</v>
      </c>
      <c r="BT54">
        <v>6.9501596624717576</v>
      </c>
      <c r="BU54">
        <v>2326.9134549955447</v>
      </c>
      <c r="BV54">
        <v>6.9849394439353354</v>
      </c>
      <c r="BW54">
        <v>2338.5577258295502</v>
      </c>
      <c r="BX54">
        <v>7.544193550536983</v>
      </c>
      <c r="BY54">
        <v>2525.7960007197821</v>
      </c>
      <c r="BZ54">
        <v>5.4069941499039285</v>
      </c>
      <c r="CA54">
        <v>1810.2616413878352</v>
      </c>
      <c r="CB54">
        <v>7.115499059709828</v>
      </c>
      <c r="CC54">
        <v>2382.2690851908505</v>
      </c>
      <c r="CD54">
        <v>5.4025549100435803</v>
      </c>
      <c r="CE54">
        <v>1808.7753838825909</v>
      </c>
      <c r="CF54">
        <v>8.5074799760634559</v>
      </c>
      <c r="CG54">
        <v>2848.304295986045</v>
      </c>
      <c r="CH54">
        <v>6.6925406388382145</v>
      </c>
      <c r="CI54">
        <v>2240.6626058830343</v>
      </c>
      <c r="CJ54">
        <v>5.4714344903822738</v>
      </c>
      <c r="CK54">
        <v>1831.8362673799854</v>
      </c>
      <c r="CL54">
        <v>5.8543700003853036</v>
      </c>
      <c r="CM54">
        <v>1960.0430761289997</v>
      </c>
      <c r="CN54">
        <v>6.8666933869843705</v>
      </c>
      <c r="CO54">
        <v>2298.9689459623673</v>
      </c>
      <c r="CP54">
        <v>4.9561737443948797</v>
      </c>
      <c r="CQ54">
        <v>1659.3269696234058</v>
      </c>
      <c r="CR54">
        <v>7.9116701521471819</v>
      </c>
      <c r="CS54">
        <v>2648.8271669388764</v>
      </c>
      <c r="CT54">
        <v>8.8550847673292061</v>
      </c>
      <c r="CU54">
        <v>2964.6823801018181</v>
      </c>
    </row>
    <row r="55" spans="2:99" x14ac:dyDescent="0.2">
      <c r="C55" s="119" t="s">
        <v>221</v>
      </c>
      <c r="D55">
        <v>13</v>
      </c>
      <c r="E55">
        <v>8626.8000000000011</v>
      </c>
      <c r="F55">
        <v>16.284952294286711</v>
      </c>
      <c r="G55">
        <v>10806.694342488661</v>
      </c>
      <c r="H55">
        <v>15.525998638633252</v>
      </c>
      <c r="I55">
        <v>10303.052696597028</v>
      </c>
      <c r="J55">
        <v>5.9228729796877424</v>
      </c>
      <c r="K55">
        <v>3930.4185093207861</v>
      </c>
      <c r="L55">
        <v>7.2686533529582258</v>
      </c>
      <c r="M55">
        <v>4823.4783650230784</v>
      </c>
      <c r="N55">
        <v>8.1880619211947288</v>
      </c>
      <c r="O55">
        <v>5433.5978909048226</v>
      </c>
      <c r="P55">
        <v>5.365113640793381</v>
      </c>
      <c r="Q55">
        <v>3560.2894120304877</v>
      </c>
      <c r="R55">
        <v>7.7630327527662999</v>
      </c>
      <c r="S55">
        <v>5151.5485347357171</v>
      </c>
      <c r="T55">
        <v>9.0134760095327344</v>
      </c>
      <c r="U55">
        <v>5981.3426799259232</v>
      </c>
      <c r="V55">
        <v>8.901937067685445</v>
      </c>
      <c r="W55">
        <v>5907.3254381160614</v>
      </c>
      <c r="X55">
        <v>9.8637952532724089</v>
      </c>
      <c r="Y55">
        <v>6545.6145300715707</v>
      </c>
      <c r="Z55">
        <v>7.409704842466498</v>
      </c>
      <c r="AA55">
        <v>4917.0801334607686</v>
      </c>
      <c r="AB55">
        <v>6.6963825106171111</v>
      </c>
      <c r="AC55">
        <v>4443.7194340455153</v>
      </c>
      <c r="AD55">
        <v>8.1597295270037442</v>
      </c>
      <c r="AE55">
        <v>5414.7965141196846</v>
      </c>
      <c r="AF55">
        <v>7.1138506815492768</v>
      </c>
      <c r="AG55">
        <v>4720.7513122761002</v>
      </c>
      <c r="AH55">
        <v>6.8534716802606113</v>
      </c>
      <c r="AI55">
        <v>4547.9638070209421</v>
      </c>
      <c r="AJ55">
        <v>4.6979856357209053</v>
      </c>
      <c r="AK55">
        <v>3117.5832678643928</v>
      </c>
      <c r="AL55">
        <v>8.6697126224414784</v>
      </c>
      <c r="AM55">
        <v>5753.2212962521653</v>
      </c>
      <c r="AN55">
        <v>5.8752784646723937</v>
      </c>
      <c r="AO55">
        <v>3898.8347891566004</v>
      </c>
      <c r="AP55">
        <v>9.5713627351753914</v>
      </c>
      <c r="AQ55">
        <v>6351.5563110623898</v>
      </c>
      <c r="AR55">
        <v>7.0794103070823899</v>
      </c>
      <c r="AS55">
        <v>4697.8966797798739</v>
      </c>
      <c r="AT55">
        <v>6.71203557866437</v>
      </c>
      <c r="AU55">
        <v>4454.1068100016764</v>
      </c>
      <c r="AV55">
        <v>8.7430717292467506</v>
      </c>
      <c r="AW55">
        <v>5801.9023995281441</v>
      </c>
      <c r="AX55">
        <v>7.0259583836228758</v>
      </c>
      <c r="AY55">
        <v>4662.4259833721408</v>
      </c>
      <c r="AZ55">
        <v>6.9223934921712091</v>
      </c>
      <c r="BA55">
        <v>4593.7003214048145</v>
      </c>
      <c r="BB55">
        <v>5.401446238812297</v>
      </c>
      <c r="BC55">
        <v>3584.3997240758404</v>
      </c>
      <c r="BD55">
        <v>9.8834723895832841</v>
      </c>
      <c r="BE55">
        <v>6558.6722777274672</v>
      </c>
      <c r="BF55">
        <v>5.8078657373637075</v>
      </c>
      <c r="BG55">
        <v>3854.0997033145563</v>
      </c>
      <c r="BH55">
        <v>7.0024601950488856</v>
      </c>
      <c r="BI55">
        <v>4646.8325854344403</v>
      </c>
      <c r="BJ55">
        <v>5.6479323771687993</v>
      </c>
      <c r="BK55">
        <v>3747.9679254892153</v>
      </c>
      <c r="BL55">
        <v>7.7117333271440769</v>
      </c>
      <c r="BM55">
        <v>5117.5062358928099</v>
      </c>
      <c r="BN55">
        <v>6.9660573036211</v>
      </c>
      <c r="BO55">
        <v>4622.6756266829625</v>
      </c>
      <c r="BP55">
        <v>6.6124926781333304</v>
      </c>
      <c r="BQ55">
        <v>4388.0501412092781</v>
      </c>
      <c r="BR55">
        <v>8.4568402143011738</v>
      </c>
      <c r="BS55">
        <v>5611.9591662102594</v>
      </c>
      <c r="BT55">
        <v>6.453719686580917</v>
      </c>
      <c r="BU55">
        <v>4282.6883840150967</v>
      </c>
      <c r="BV55">
        <v>7.4838636899307165</v>
      </c>
      <c r="BW55">
        <v>4966.2919446380238</v>
      </c>
      <c r="BX55">
        <v>6.6566413681208676</v>
      </c>
      <c r="BY55">
        <v>4417.3472118850077</v>
      </c>
      <c r="BZ55">
        <v>4.9154492271853902</v>
      </c>
      <c r="CA55">
        <v>3261.8921071602249</v>
      </c>
      <c r="CB55">
        <v>7.6237489925462434</v>
      </c>
      <c r="CC55">
        <v>5059.1198314536869</v>
      </c>
      <c r="CD55">
        <v>4.9114135545850734</v>
      </c>
      <c r="CE55">
        <v>3259.2140348226549</v>
      </c>
      <c r="CF55">
        <v>8.0597178720601157</v>
      </c>
      <c r="CG55">
        <v>5348.4287798990927</v>
      </c>
      <c r="CH55">
        <v>6.1777298204660447</v>
      </c>
      <c r="CI55">
        <v>4099.5415088612672</v>
      </c>
      <c r="CJ55">
        <v>4.5595287419852282</v>
      </c>
      <c r="CK55">
        <v>3025.7032731813974</v>
      </c>
      <c r="CL55">
        <v>5.8543700003853036</v>
      </c>
      <c r="CM55">
        <v>3884.9599322556878</v>
      </c>
      <c r="CN55">
        <v>6.0588471061626796</v>
      </c>
      <c r="CO55">
        <v>4020.6509396495544</v>
      </c>
      <c r="CP55">
        <v>4.9561737443948797</v>
      </c>
      <c r="CQ55">
        <v>3288.9168967804421</v>
      </c>
      <c r="CR55">
        <v>8.7907446134968694</v>
      </c>
      <c r="CS55">
        <v>5833.538125516523</v>
      </c>
      <c r="CT55">
        <v>7.8711864598481833</v>
      </c>
      <c r="CU55">
        <v>5223.3193347552542</v>
      </c>
    </row>
    <row r="56" spans="2:99" x14ac:dyDescent="0.2">
      <c r="C56" s="119" t="s">
        <v>222</v>
      </c>
      <c r="D56">
        <v>13.370016523436128</v>
      </c>
      <c r="E56">
        <v>15386.215015170295</v>
      </c>
      <c r="F56">
        <v>15</v>
      </c>
      <c r="G56">
        <v>17262</v>
      </c>
      <c r="H56">
        <v>14</v>
      </c>
      <c r="I56">
        <v>16111.199999999999</v>
      </c>
      <c r="J56">
        <v>12</v>
      </c>
      <c r="K56">
        <v>13809.599999999999</v>
      </c>
      <c r="L56">
        <v>9</v>
      </c>
      <c r="M56">
        <v>10357.199999999999</v>
      </c>
      <c r="N56">
        <v>15</v>
      </c>
      <c r="O56">
        <v>17262</v>
      </c>
      <c r="P56">
        <v>11</v>
      </c>
      <c r="Q56">
        <v>12658.8</v>
      </c>
      <c r="R56">
        <v>18</v>
      </c>
      <c r="S56">
        <v>20714.399999999998</v>
      </c>
      <c r="T56">
        <v>16</v>
      </c>
      <c r="U56">
        <v>18412.8</v>
      </c>
      <c r="V56">
        <v>16</v>
      </c>
      <c r="W56">
        <v>18412.8</v>
      </c>
      <c r="X56">
        <v>16</v>
      </c>
      <c r="Y56">
        <v>18412.8</v>
      </c>
      <c r="Z56">
        <v>16</v>
      </c>
      <c r="AA56">
        <v>18412.8</v>
      </c>
      <c r="AB56">
        <v>12</v>
      </c>
      <c r="AC56">
        <v>13809.599999999999</v>
      </c>
      <c r="AD56">
        <v>17</v>
      </c>
      <c r="AE56">
        <v>19563.599999999999</v>
      </c>
      <c r="AF56">
        <v>12</v>
      </c>
      <c r="AG56">
        <v>13809.599999999999</v>
      </c>
      <c r="AH56">
        <v>13</v>
      </c>
      <c r="AI56">
        <v>14960.4</v>
      </c>
      <c r="AJ56">
        <v>10</v>
      </c>
      <c r="AK56">
        <v>11508</v>
      </c>
      <c r="AL56">
        <v>13</v>
      </c>
      <c r="AM56">
        <v>14960.4</v>
      </c>
      <c r="AN56">
        <v>10</v>
      </c>
      <c r="AO56">
        <v>11508</v>
      </c>
      <c r="AP56">
        <v>17</v>
      </c>
      <c r="AQ56">
        <v>19563.599999999999</v>
      </c>
      <c r="AR56">
        <v>12</v>
      </c>
      <c r="AS56">
        <v>13809.599999999999</v>
      </c>
      <c r="AT56">
        <v>16</v>
      </c>
      <c r="AU56">
        <v>18412.8</v>
      </c>
      <c r="AV56">
        <v>15</v>
      </c>
      <c r="AW56">
        <v>17262</v>
      </c>
      <c r="AX56">
        <v>15</v>
      </c>
      <c r="AY56">
        <v>17262</v>
      </c>
      <c r="AZ56">
        <v>11</v>
      </c>
      <c r="BA56">
        <v>12658.8</v>
      </c>
      <c r="BB56">
        <v>14</v>
      </c>
      <c r="BC56">
        <v>16111.199999999999</v>
      </c>
      <c r="BD56">
        <v>16</v>
      </c>
      <c r="BE56">
        <v>18412.8</v>
      </c>
      <c r="BF56">
        <v>10</v>
      </c>
      <c r="BG56">
        <v>11508</v>
      </c>
      <c r="BH56">
        <v>13</v>
      </c>
      <c r="BI56">
        <v>14960.4</v>
      </c>
      <c r="BJ56">
        <v>10</v>
      </c>
      <c r="BK56">
        <v>11508</v>
      </c>
      <c r="BL56">
        <v>12</v>
      </c>
      <c r="BM56">
        <v>13809.599999999999</v>
      </c>
      <c r="BN56">
        <v>14</v>
      </c>
      <c r="BO56">
        <v>16111.199999999999</v>
      </c>
      <c r="BP56">
        <v>15</v>
      </c>
      <c r="BQ56">
        <v>17262</v>
      </c>
      <c r="BR56">
        <v>18</v>
      </c>
      <c r="BS56">
        <v>20714.399999999998</v>
      </c>
      <c r="BT56">
        <v>11</v>
      </c>
      <c r="BU56">
        <v>12658.8</v>
      </c>
      <c r="BV56">
        <v>13</v>
      </c>
      <c r="BW56">
        <v>14960.4</v>
      </c>
      <c r="BX56">
        <v>16</v>
      </c>
      <c r="BY56">
        <v>18412.8</v>
      </c>
      <c r="BZ56">
        <v>11</v>
      </c>
      <c r="CA56">
        <v>12658.8</v>
      </c>
      <c r="CB56">
        <v>14</v>
      </c>
      <c r="CC56">
        <v>16111.199999999999</v>
      </c>
      <c r="CD56">
        <v>9</v>
      </c>
      <c r="CE56">
        <v>10357.199999999999</v>
      </c>
      <c r="CF56">
        <v>16</v>
      </c>
      <c r="CG56">
        <v>18412.8</v>
      </c>
      <c r="CH56">
        <v>11</v>
      </c>
      <c r="CI56">
        <v>12658.8</v>
      </c>
      <c r="CJ56">
        <v>9</v>
      </c>
      <c r="CK56">
        <v>10357.199999999999</v>
      </c>
      <c r="CL56">
        <v>10</v>
      </c>
      <c r="CM56">
        <v>11508</v>
      </c>
      <c r="CN56">
        <v>16</v>
      </c>
      <c r="CO56">
        <v>18412.8</v>
      </c>
      <c r="CP56">
        <v>10</v>
      </c>
      <c r="CQ56">
        <v>11508</v>
      </c>
      <c r="CR56">
        <v>18</v>
      </c>
      <c r="CS56">
        <v>20714.399999999998</v>
      </c>
      <c r="CT56">
        <v>15</v>
      </c>
      <c r="CU56">
        <v>17262</v>
      </c>
    </row>
    <row r="57" spans="2:99" x14ac:dyDescent="0.2">
      <c r="C57" s="119" t="s">
        <v>223</v>
      </c>
      <c r="D57">
        <v>13</v>
      </c>
      <c r="E57">
        <v>18345.600000000002</v>
      </c>
      <c r="F57">
        <v>14.227961835429371</v>
      </c>
      <c r="G57">
        <v>20078.499742157928</v>
      </c>
      <c r="H57">
        <v>13.703755729870263</v>
      </c>
      <c r="I57">
        <v>19338.740085992915</v>
      </c>
      <c r="J57">
        <v>5.9228729796877424</v>
      </c>
      <c r="K57">
        <v>8358.3583489353423</v>
      </c>
      <c r="L57">
        <v>6.5417880176624035</v>
      </c>
      <c r="M57">
        <v>9231.7712505251839</v>
      </c>
      <c r="N57">
        <v>7.2247605187012311</v>
      </c>
      <c r="O57">
        <v>10195.582043991179</v>
      </c>
      <c r="P57">
        <v>4.4709280339944835</v>
      </c>
      <c r="Q57">
        <v>6309.3736415730154</v>
      </c>
      <c r="R57">
        <v>7.3063837673094589</v>
      </c>
      <c r="S57">
        <v>10310.768772427109</v>
      </c>
      <c r="T57">
        <v>8.5390825353468003</v>
      </c>
      <c r="U57">
        <v>12050.353273881405</v>
      </c>
      <c r="V57">
        <v>8.3084745965064162</v>
      </c>
      <c r="W57">
        <v>11724.919350589855</v>
      </c>
      <c r="X57">
        <v>9.2835720030799145</v>
      </c>
      <c r="Y57">
        <v>13100.976810746375</v>
      </c>
      <c r="Z57">
        <v>7.409704842466498</v>
      </c>
      <c r="AA57">
        <v>10456.575473688723</v>
      </c>
      <c r="AB57">
        <v>6.6963825106171111</v>
      </c>
      <c r="AC57">
        <v>9449.9349989828679</v>
      </c>
      <c r="AD57">
        <v>7.6497464315660091</v>
      </c>
      <c r="AE57">
        <v>10795.322164225952</v>
      </c>
      <c r="AF57">
        <v>7.1138506815492768</v>
      </c>
      <c r="AG57">
        <v>10039.066081802339</v>
      </c>
      <c r="AH57">
        <v>7.3430053717077977</v>
      </c>
      <c r="AI57">
        <v>10362.449180554044</v>
      </c>
      <c r="AJ57">
        <v>5.2199840396898951</v>
      </c>
      <c r="AK57">
        <v>7366.4414768103807</v>
      </c>
      <c r="AL57">
        <v>7.3359106805274035</v>
      </c>
      <c r="AM57">
        <v>10352.437152360271</v>
      </c>
      <c r="AN57">
        <v>5.3411622406112675</v>
      </c>
      <c r="AO57">
        <v>7537.4481539506214</v>
      </c>
      <c r="AP57">
        <v>8.1356583248990813</v>
      </c>
      <c r="AQ57">
        <v>11481.041028097583</v>
      </c>
      <c r="AR57">
        <v>7.0794103070823899</v>
      </c>
      <c r="AS57">
        <v>9990.4638253546691</v>
      </c>
      <c r="AT57">
        <v>6.71203557866437</v>
      </c>
      <c r="AU57">
        <v>9472.0246086111583</v>
      </c>
      <c r="AV57">
        <v>7.8227483893260406</v>
      </c>
      <c r="AW57">
        <v>11039.462527016909</v>
      </c>
      <c r="AX57">
        <v>7.5278125538816516</v>
      </c>
      <c r="AY57">
        <v>10623.249076037788</v>
      </c>
      <c r="AZ57">
        <v>7.4992596165188088</v>
      </c>
      <c r="BA57">
        <v>10582.955170831343</v>
      </c>
      <c r="BB57">
        <v>5.401446238812297</v>
      </c>
      <c r="BC57">
        <v>7622.5209322119135</v>
      </c>
      <c r="BD57">
        <v>8.8431068748903066</v>
      </c>
      <c r="BE57">
        <v>12479.392421845201</v>
      </c>
      <c r="BF57">
        <v>4.8398881144697565</v>
      </c>
      <c r="BG57">
        <v>6830.0501071397202</v>
      </c>
      <c r="BH57">
        <v>6.0021087386133312</v>
      </c>
      <c r="BI57">
        <v>8470.1758519311334</v>
      </c>
      <c r="BJ57">
        <v>5.1772713457380659</v>
      </c>
      <c r="BK57">
        <v>7306.1653231055589</v>
      </c>
      <c r="BL57">
        <v>6.6100571375520651</v>
      </c>
      <c r="BM57">
        <v>9328.1126325134737</v>
      </c>
      <c r="BN57">
        <v>5.6599215591921439</v>
      </c>
      <c r="BO57">
        <v>7987.2813043319538</v>
      </c>
      <c r="BP57">
        <v>6.6124926781333304</v>
      </c>
      <c r="BQ57">
        <v>9331.5496673817561</v>
      </c>
      <c r="BR57">
        <v>7.1215496541483558</v>
      </c>
      <c r="BS57">
        <v>10049.930871934161</v>
      </c>
      <c r="BT57">
        <v>5.9572797106900772</v>
      </c>
      <c r="BU57">
        <v>8406.9131277258366</v>
      </c>
      <c r="BV57">
        <v>5.9870909519445732</v>
      </c>
      <c r="BW57">
        <v>8448.9827513841828</v>
      </c>
      <c r="BX57">
        <v>5.7690891857047513</v>
      </c>
      <c r="BY57">
        <v>8141.3386588665453</v>
      </c>
      <c r="BZ57">
        <v>5.4069941499039285</v>
      </c>
      <c r="CA57">
        <v>7630.3501443444238</v>
      </c>
      <c r="CB57">
        <v>7.115499059709828</v>
      </c>
      <c r="CC57">
        <v>10041.392273062509</v>
      </c>
      <c r="CD57">
        <v>4.9114135545850734</v>
      </c>
      <c r="CE57">
        <v>6930.9868082304556</v>
      </c>
      <c r="CF57">
        <v>7.6119557680567764</v>
      </c>
      <c r="CG57">
        <v>10741.991979881723</v>
      </c>
      <c r="CH57">
        <v>5.1481081837217033</v>
      </c>
      <c r="CI57">
        <v>7265.0102688680681</v>
      </c>
      <c r="CJ57">
        <v>5.0154816161837514</v>
      </c>
      <c r="CK57">
        <v>7077.8476567585103</v>
      </c>
      <c r="CL57">
        <v>4.7899390912243396</v>
      </c>
      <c r="CM57">
        <v>6759.5620455357885</v>
      </c>
      <c r="CN57">
        <v>5.2510008253409888</v>
      </c>
      <c r="CO57">
        <v>7410.2123647212038</v>
      </c>
      <c r="CP57">
        <v>3.9649389955159036</v>
      </c>
      <c r="CQ57">
        <v>5595.3219104720429</v>
      </c>
      <c r="CR57">
        <v>7.9116701521471819</v>
      </c>
      <c r="CS57">
        <v>11164.948918710104</v>
      </c>
      <c r="CT57">
        <v>7.3792373061076724</v>
      </c>
      <c r="CU57">
        <v>10413.579686379147</v>
      </c>
    </row>
    <row r="58" spans="2:99" x14ac:dyDescent="0.2">
      <c r="C58" s="119" t="s">
        <v>224</v>
      </c>
      <c r="D58">
        <v>12.43729225496997</v>
      </c>
      <c r="E58">
        <v>14641.180442550649</v>
      </c>
      <c r="F58">
        <v>14</v>
      </c>
      <c r="G58">
        <v>16480.8</v>
      </c>
      <c r="H58">
        <v>17</v>
      </c>
      <c r="I58">
        <v>20012.400000000001</v>
      </c>
      <c r="J58">
        <v>12</v>
      </c>
      <c r="K58">
        <v>14126.400000000001</v>
      </c>
      <c r="L58">
        <v>8</v>
      </c>
      <c r="M58">
        <v>9417.6</v>
      </c>
      <c r="N58">
        <v>17</v>
      </c>
      <c r="O58">
        <v>20012.400000000001</v>
      </c>
      <c r="P58">
        <v>10</v>
      </c>
      <c r="Q58">
        <v>11772</v>
      </c>
      <c r="R58">
        <v>16</v>
      </c>
      <c r="S58">
        <v>18835.2</v>
      </c>
      <c r="T58">
        <v>17</v>
      </c>
      <c r="U58">
        <v>20012.400000000001</v>
      </c>
      <c r="V58">
        <v>16</v>
      </c>
      <c r="W58">
        <v>18835.2</v>
      </c>
      <c r="X58">
        <v>17</v>
      </c>
      <c r="Y58">
        <v>20012.400000000001</v>
      </c>
      <c r="Z58">
        <v>15</v>
      </c>
      <c r="AA58">
        <v>17658</v>
      </c>
      <c r="AB58">
        <v>11</v>
      </c>
      <c r="AC58">
        <v>12949.2</v>
      </c>
      <c r="AD58">
        <v>16</v>
      </c>
      <c r="AE58">
        <v>18835.2</v>
      </c>
      <c r="AF58">
        <v>10</v>
      </c>
      <c r="AG58">
        <v>11772</v>
      </c>
      <c r="AH58">
        <v>14</v>
      </c>
      <c r="AI58">
        <v>16480.8</v>
      </c>
      <c r="AJ58">
        <v>10</v>
      </c>
      <c r="AK58">
        <v>11772</v>
      </c>
      <c r="AL58">
        <v>13</v>
      </c>
      <c r="AM58">
        <v>15303.6</v>
      </c>
      <c r="AN58">
        <v>11</v>
      </c>
      <c r="AO58">
        <v>12949.2</v>
      </c>
      <c r="AP58">
        <v>18</v>
      </c>
      <c r="AQ58">
        <v>21189.600000000002</v>
      </c>
      <c r="AR58">
        <v>13</v>
      </c>
      <c r="AS58">
        <v>15303.6</v>
      </c>
      <c r="AT58">
        <v>15</v>
      </c>
      <c r="AU58">
        <v>17658</v>
      </c>
      <c r="AV58">
        <v>15</v>
      </c>
      <c r="AW58">
        <v>17658</v>
      </c>
      <c r="AX58">
        <v>15</v>
      </c>
      <c r="AY58">
        <v>17658</v>
      </c>
      <c r="AZ58">
        <v>13</v>
      </c>
      <c r="BA58">
        <v>15303.6</v>
      </c>
      <c r="BB58">
        <v>11</v>
      </c>
      <c r="BC58">
        <v>12949.2</v>
      </c>
      <c r="BD58">
        <v>17</v>
      </c>
      <c r="BE58">
        <v>20012.400000000001</v>
      </c>
      <c r="BF58">
        <v>12</v>
      </c>
      <c r="BG58">
        <v>14126.400000000001</v>
      </c>
      <c r="BH58">
        <v>15</v>
      </c>
      <c r="BI58">
        <v>17658</v>
      </c>
      <c r="BJ58">
        <v>10</v>
      </c>
      <c r="BK58">
        <v>11772</v>
      </c>
      <c r="BL58">
        <v>14</v>
      </c>
      <c r="BM58">
        <v>16480.8</v>
      </c>
      <c r="BN58">
        <v>14</v>
      </c>
      <c r="BO58">
        <v>16480.8</v>
      </c>
      <c r="BP58">
        <v>14</v>
      </c>
      <c r="BQ58">
        <v>16480.8</v>
      </c>
      <c r="BR58">
        <v>17</v>
      </c>
      <c r="BS58">
        <v>20012.400000000001</v>
      </c>
      <c r="BT58">
        <v>13</v>
      </c>
      <c r="BU58">
        <v>15303.6</v>
      </c>
      <c r="BV58">
        <v>14</v>
      </c>
      <c r="BW58">
        <v>16480.8</v>
      </c>
      <c r="BX58">
        <v>14</v>
      </c>
      <c r="BY58">
        <v>16480.8</v>
      </c>
      <c r="BZ58">
        <v>10</v>
      </c>
      <c r="CA58">
        <v>11772</v>
      </c>
      <c r="CB58">
        <v>12</v>
      </c>
      <c r="CC58">
        <v>14126.400000000001</v>
      </c>
      <c r="CD58">
        <v>9</v>
      </c>
      <c r="CE58">
        <v>10594.800000000001</v>
      </c>
      <c r="CF58">
        <v>17</v>
      </c>
      <c r="CG58">
        <v>20012.400000000001</v>
      </c>
      <c r="CH58">
        <v>12</v>
      </c>
      <c r="CI58">
        <v>14126.400000000001</v>
      </c>
      <c r="CJ58">
        <v>10</v>
      </c>
      <c r="CK58">
        <v>11772</v>
      </c>
      <c r="CL58">
        <v>10</v>
      </c>
      <c r="CM58">
        <v>11772</v>
      </c>
      <c r="CN58">
        <v>15</v>
      </c>
      <c r="CO58">
        <v>17658</v>
      </c>
      <c r="CP58">
        <v>10</v>
      </c>
      <c r="CQ58">
        <v>11772</v>
      </c>
      <c r="CR58">
        <v>18</v>
      </c>
      <c r="CS58">
        <v>21189.600000000002</v>
      </c>
      <c r="CT58">
        <v>17</v>
      </c>
      <c r="CU58">
        <v>20012.400000000001</v>
      </c>
    </row>
    <row r="59" spans="2:99" x14ac:dyDescent="0.2">
      <c r="C59" s="119" t="s">
        <v>225</v>
      </c>
      <c r="D59">
        <v>15</v>
      </c>
      <c r="E59">
        <v>4553.9999999999991</v>
      </c>
      <c r="F59">
        <v>16.303949113905826</v>
      </c>
      <c r="G59">
        <v>4949.878950981808</v>
      </c>
      <c r="H59">
        <v>15.540772204292399</v>
      </c>
      <c r="I59">
        <v>4718.1784412231718</v>
      </c>
      <c r="J59">
        <v>5.9228729796877424</v>
      </c>
      <c r="K59">
        <v>1798.1842366331985</v>
      </c>
      <c r="L59">
        <v>7.2686533529582258</v>
      </c>
      <c r="M59">
        <v>2206.7631579581171</v>
      </c>
      <c r="N59">
        <v>8.6697126224414784</v>
      </c>
      <c r="O59">
        <v>2632.1247521732325</v>
      </c>
      <c r="P59">
        <v>5.8122064441928289</v>
      </c>
      <c r="Q59">
        <v>1764.5858764569427</v>
      </c>
      <c r="R59">
        <v>9.1329797091368228</v>
      </c>
      <c r="S59">
        <v>2772.7726396939393</v>
      </c>
      <c r="T59">
        <v>9.0134760095327344</v>
      </c>
      <c r="U59">
        <v>2736.4913164941377</v>
      </c>
      <c r="V59">
        <v>10.088862010043504</v>
      </c>
      <c r="W59">
        <v>3062.9785062492078</v>
      </c>
      <c r="X59">
        <v>10.444018503464903</v>
      </c>
      <c r="Y59">
        <v>3170.8040176519444</v>
      </c>
      <c r="Z59">
        <v>7.409704842466498</v>
      </c>
      <c r="AA59">
        <v>2249.5863901728285</v>
      </c>
      <c r="AB59">
        <v>7.2544143865018711</v>
      </c>
      <c r="AC59">
        <v>2202.4402077419677</v>
      </c>
      <c r="AD59">
        <v>8.6697126224414784</v>
      </c>
      <c r="AE59">
        <v>2632.1247521732325</v>
      </c>
      <c r="AF59">
        <v>8.4072780781946008</v>
      </c>
      <c r="AG59">
        <v>2552.4496245398805</v>
      </c>
      <c r="AH59">
        <v>7.3430053717077977</v>
      </c>
      <c r="AI59">
        <v>2229.336430850487</v>
      </c>
      <c r="AJ59">
        <v>5.2199840396898951</v>
      </c>
      <c r="AK59">
        <v>1584.7871544498519</v>
      </c>
      <c r="AL59">
        <v>8.6697126224414784</v>
      </c>
      <c r="AM59">
        <v>2632.1247521732325</v>
      </c>
      <c r="AN59">
        <v>5.3411622406112675</v>
      </c>
      <c r="AO59">
        <v>1621.5768562495807</v>
      </c>
      <c r="AP59">
        <v>9.0927945984166207</v>
      </c>
      <c r="AQ59">
        <v>2760.5724400792856</v>
      </c>
      <c r="AR59">
        <v>7.0794103070823899</v>
      </c>
      <c r="AS59">
        <v>2149.3089692302133</v>
      </c>
      <c r="AT59">
        <v>7.9705422496639384</v>
      </c>
      <c r="AU59">
        <v>2419.8566269979715</v>
      </c>
      <c r="AV59">
        <v>7.8227483893260406</v>
      </c>
      <c r="AW59">
        <v>2374.9864109993855</v>
      </c>
      <c r="AX59">
        <v>8.0296667241404283</v>
      </c>
      <c r="AY59">
        <v>2437.8068174490336</v>
      </c>
      <c r="AZ59">
        <v>8.0761257408664093</v>
      </c>
      <c r="BA59">
        <v>2451.9117749270417</v>
      </c>
      <c r="BB59">
        <v>5.8515667587133224</v>
      </c>
      <c r="BC59">
        <v>1776.5356679453646</v>
      </c>
      <c r="BD59">
        <v>9.3632896322367962</v>
      </c>
      <c r="BE59">
        <v>2842.6947323470908</v>
      </c>
      <c r="BF59">
        <v>6.2918545488106838</v>
      </c>
      <c r="BG59">
        <v>1910.2070410189233</v>
      </c>
      <c r="BH59">
        <v>7.0024601950488856</v>
      </c>
      <c r="BI59">
        <v>2125.9469152168413</v>
      </c>
      <c r="BJ59">
        <v>5.1772713457380659</v>
      </c>
      <c r="BK59">
        <v>1571.8195805660766</v>
      </c>
      <c r="BL59">
        <v>7.1608952323480715</v>
      </c>
      <c r="BM59">
        <v>2174.0477925408741</v>
      </c>
      <c r="BN59">
        <v>6.9660573036211</v>
      </c>
      <c r="BO59">
        <v>2114.8949973793656</v>
      </c>
      <c r="BP59">
        <v>7.0533255233422194</v>
      </c>
      <c r="BQ59">
        <v>2141.3896288866977</v>
      </c>
      <c r="BR59">
        <v>7.5666465075326288</v>
      </c>
      <c r="BS59">
        <v>2297.2338796869058</v>
      </c>
      <c r="BT59">
        <v>6.453719686580917</v>
      </c>
      <c r="BU59">
        <v>1959.3492968459661</v>
      </c>
      <c r="BV59">
        <v>7.4838636899307165</v>
      </c>
      <c r="BW59">
        <v>2272.1010162629655</v>
      </c>
      <c r="BX59">
        <v>7.9879696417450408</v>
      </c>
      <c r="BY59">
        <v>2425.1475832337942</v>
      </c>
      <c r="BZ59">
        <v>6.3900839953410076</v>
      </c>
      <c r="CA59">
        <v>1940.0295009855297</v>
      </c>
      <c r="CB59">
        <v>7.6237489925462434</v>
      </c>
      <c r="CC59">
        <v>2314.5701941370394</v>
      </c>
      <c r="CD59">
        <v>4.9114135545850734</v>
      </c>
      <c r="CE59">
        <v>1491.1051551720282</v>
      </c>
      <c r="CF59">
        <v>7.6119557680567764</v>
      </c>
      <c r="CG59">
        <v>2310.9897711820372</v>
      </c>
      <c r="CH59">
        <v>6.1777298204660447</v>
      </c>
      <c r="CI59">
        <v>1875.5587734934909</v>
      </c>
      <c r="CJ59">
        <v>5.0154816161837514</v>
      </c>
      <c r="CK59">
        <v>1522.7002186733869</v>
      </c>
      <c r="CL59">
        <v>5.3221545458048221</v>
      </c>
      <c r="CM59">
        <v>1615.8061201063438</v>
      </c>
      <c r="CN59">
        <v>6.4627702465735259</v>
      </c>
      <c r="CO59">
        <v>1962.0970468597222</v>
      </c>
      <c r="CP59">
        <v>4.9561737443948797</v>
      </c>
      <c r="CQ59">
        <v>1504.6943487982853</v>
      </c>
      <c r="CR59">
        <v>7.9116701521471819</v>
      </c>
      <c r="CS59">
        <v>2401.9830581918841</v>
      </c>
      <c r="CT59">
        <v>9.347033921069718</v>
      </c>
      <c r="CU59">
        <v>2837.7594984367661</v>
      </c>
    </row>
    <row r="60" spans="2:99" x14ac:dyDescent="0.2">
      <c r="C60" s="119" t="s">
        <v>226</v>
      </c>
      <c r="D60">
        <v>13</v>
      </c>
      <c r="E60">
        <v>8470.8000000000011</v>
      </c>
      <c r="F60">
        <v>15.284952294286713</v>
      </c>
      <c r="G60">
        <v>9959.6749149572224</v>
      </c>
      <c r="H60">
        <v>13.718529295529411</v>
      </c>
      <c r="I60">
        <v>8938.9936889669643</v>
      </c>
      <c r="J60">
        <v>5.9228729796877424</v>
      </c>
      <c r="K60">
        <v>3859.3440335645332</v>
      </c>
      <c r="L60">
        <v>7.2686533529582258</v>
      </c>
      <c r="M60">
        <v>4736.2545247875805</v>
      </c>
      <c r="N60">
        <v>8.6697126224414784</v>
      </c>
      <c r="O60">
        <v>5649.1847447828677</v>
      </c>
      <c r="P60">
        <v>5.365113640793381</v>
      </c>
      <c r="Q60">
        <v>3495.9080483409671</v>
      </c>
      <c r="R60">
        <v>7.3063837673094589</v>
      </c>
      <c r="S60">
        <v>4760.8396627788434</v>
      </c>
      <c r="T60">
        <v>8.5390825353468003</v>
      </c>
      <c r="U60">
        <v>5564.0661800319749</v>
      </c>
      <c r="V60">
        <v>8.901937067685445</v>
      </c>
      <c r="W60">
        <v>5800.5021933038361</v>
      </c>
      <c r="X60">
        <v>11.024241753657398</v>
      </c>
      <c r="Y60">
        <v>7183.3959266831607</v>
      </c>
      <c r="Z60">
        <v>8.3976654881286983</v>
      </c>
      <c r="AA60">
        <v>5471.9188320646599</v>
      </c>
      <c r="AB60">
        <v>6.138350634732352</v>
      </c>
      <c r="AC60">
        <v>3999.7492735916007</v>
      </c>
      <c r="AD60">
        <v>8.6697126224414784</v>
      </c>
      <c r="AE60">
        <v>5649.1847447828677</v>
      </c>
      <c r="AF60">
        <v>7.7605643798719388</v>
      </c>
      <c r="AG60">
        <v>5056.7837499245552</v>
      </c>
      <c r="AH60">
        <v>7.3430053717077977</v>
      </c>
      <c r="AI60">
        <v>4784.7023002048008</v>
      </c>
      <c r="AJ60">
        <v>5.2199840396898951</v>
      </c>
      <c r="AK60">
        <v>3401.3416002619356</v>
      </c>
      <c r="AL60">
        <v>9.3366135933985142</v>
      </c>
      <c r="AM60">
        <v>6083.737417458472</v>
      </c>
      <c r="AN60">
        <v>5.3411622406112675</v>
      </c>
      <c r="AO60">
        <v>3480.3013159823022</v>
      </c>
      <c r="AP60">
        <v>8.1356583248990813</v>
      </c>
      <c r="AQ60">
        <v>5301.1949645042414</v>
      </c>
      <c r="AR60">
        <v>7.0794103070823899</v>
      </c>
      <c r="AS60">
        <v>4612.9437560948854</v>
      </c>
      <c r="AT60">
        <v>7.1315378023308922</v>
      </c>
      <c r="AU60">
        <v>4646.9100319988092</v>
      </c>
      <c r="AV60">
        <v>9.2032333992071074</v>
      </c>
      <c r="AW60">
        <v>5996.8268829233511</v>
      </c>
      <c r="AX60">
        <v>7.0259583836228758</v>
      </c>
      <c r="AY60">
        <v>4578.1144827686658</v>
      </c>
      <c r="AZ60">
        <v>7.4992596165188088</v>
      </c>
      <c r="BA60">
        <v>4886.5175661236563</v>
      </c>
      <c r="BB60">
        <v>5.8515667587133224</v>
      </c>
      <c r="BC60">
        <v>3812.8808999776011</v>
      </c>
      <c r="BD60">
        <v>9.3632896322367962</v>
      </c>
      <c r="BE60">
        <v>6101.1195243654965</v>
      </c>
      <c r="BF60">
        <v>5.8078657373637075</v>
      </c>
      <c r="BG60">
        <v>3784.4053144661921</v>
      </c>
      <c r="BH60">
        <v>7.0024601950488856</v>
      </c>
      <c r="BI60">
        <v>4562.8030630938538</v>
      </c>
      <c r="BJ60">
        <v>5.1772713457380659</v>
      </c>
      <c r="BK60">
        <v>3373.510008882924</v>
      </c>
      <c r="BL60">
        <v>7.7117333271440769</v>
      </c>
      <c r="BM60">
        <v>5024.9654359670803</v>
      </c>
      <c r="BN60">
        <v>6.9660573036211</v>
      </c>
      <c r="BO60">
        <v>4539.0829390395093</v>
      </c>
      <c r="BP60">
        <v>6.6124926781333304</v>
      </c>
      <c r="BQ60">
        <v>4308.7002290716782</v>
      </c>
      <c r="BR60">
        <v>7.1215496541483558</v>
      </c>
      <c r="BS60">
        <v>4640.4017546430687</v>
      </c>
      <c r="BT60">
        <v>6.9501596624717576</v>
      </c>
      <c r="BU60">
        <v>4528.7240360665974</v>
      </c>
      <c r="BV60">
        <v>6.9849394439353354</v>
      </c>
      <c r="BW60">
        <v>4551.3865416682647</v>
      </c>
      <c r="BX60">
        <v>7.1004174593289253</v>
      </c>
      <c r="BY60">
        <v>4626.6320164987283</v>
      </c>
      <c r="BZ60">
        <v>5.4069941499039285</v>
      </c>
      <c r="CA60">
        <v>3523.1973880773999</v>
      </c>
      <c r="CB60">
        <v>6.6072491268734108</v>
      </c>
      <c r="CC60">
        <v>4305.2835310707151</v>
      </c>
      <c r="CD60">
        <v>4.4202721991265657</v>
      </c>
      <c r="CE60">
        <v>2880.2493649508701</v>
      </c>
      <c r="CF60">
        <v>8.0597178720601157</v>
      </c>
      <c r="CG60">
        <v>5251.7121654343719</v>
      </c>
      <c r="CH60">
        <v>6.1777298204660447</v>
      </c>
      <c r="CI60">
        <v>4025.4087510156751</v>
      </c>
      <c r="CJ60">
        <v>5.4714344903822738</v>
      </c>
      <c r="CK60">
        <v>3565.1867139330898</v>
      </c>
      <c r="CL60">
        <v>5.8543700003853036</v>
      </c>
      <c r="CM60">
        <v>3814.7074922510642</v>
      </c>
      <c r="CN60">
        <v>5.6549239657518351</v>
      </c>
      <c r="CO60">
        <v>3684.7484560838957</v>
      </c>
      <c r="CP60">
        <v>4.9561737443948797</v>
      </c>
      <c r="CQ60">
        <v>3229.4428118477035</v>
      </c>
      <c r="CR60">
        <v>7.4721329214723387</v>
      </c>
      <c r="CS60">
        <v>4868.841811631376</v>
      </c>
      <c r="CT60">
        <v>8.8550847673292061</v>
      </c>
      <c r="CU60">
        <v>5769.9732343917112</v>
      </c>
    </row>
    <row r="61" spans="2:99" x14ac:dyDescent="0.2">
      <c r="C61" s="119" t="s">
        <v>227</v>
      </c>
      <c r="D61">
        <v>13</v>
      </c>
      <c r="E61">
        <v>12370.8</v>
      </c>
      <c r="F61">
        <v>15.246958655048484</v>
      </c>
      <c r="G61">
        <v>14509.005856144136</v>
      </c>
      <c r="H61">
        <v>15.530923160519633</v>
      </c>
      <c r="I61">
        <v>14779.226479550482</v>
      </c>
      <c r="J61">
        <v>5.4293002313804308</v>
      </c>
      <c r="K61">
        <v>5166.5221001816171</v>
      </c>
      <c r="L61">
        <v>6.5417880176624035</v>
      </c>
      <c r="M61">
        <v>6225.1654776075429</v>
      </c>
      <c r="N61">
        <v>8.6697126224414784</v>
      </c>
      <c r="O61">
        <v>8250.0985315153102</v>
      </c>
      <c r="P61">
        <v>4.4709280339944835</v>
      </c>
      <c r="Q61">
        <v>4254.5351171491502</v>
      </c>
      <c r="R61">
        <v>7.7630327527662999</v>
      </c>
      <c r="S61">
        <v>7387.3019675324103</v>
      </c>
      <c r="T61">
        <v>8.0646890611608679</v>
      </c>
      <c r="U61">
        <v>7674.3581106006814</v>
      </c>
      <c r="V61">
        <v>10.088862010043504</v>
      </c>
      <c r="W61">
        <v>9600.5610887573985</v>
      </c>
      <c r="X61">
        <v>10.444018503464903</v>
      </c>
      <c r="Y61">
        <v>9938.528007897201</v>
      </c>
      <c r="Z61">
        <v>7.409704842466498</v>
      </c>
      <c r="AA61">
        <v>7051.075128091119</v>
      </c>
      <c r="AB61">
        <v>6.138350634732352</v>
      </c>
      <c r="AC61">
        <v>5841.2544640113056</v>
      </c>
      <c r="AD61">
        <v>8.1597295270037442</v>
      </c>
      <c r="AE61">
        <v>7764.7986178967622</v>
      </c>
      <c r="AF61">
        <v>7.1138506815492768</v>
      </c>
      <c r="AG61">
        <v>6769.5403085622911</v>
      </c>
      <c r="AH61">
        <v>6.8534716802606113</v>
      </c>
      <c r="AI61">
        <v>6521.7636509359972</v>
      </c>
      <c r="AJ61">
        <v>5.2199840396898951</v>
      </c>
      <c r="AK61">
        <v>4967.3368121689036</v>
      </c>
      <c r="AL61">
        <v>7.3359106805274035</v>
      </c>
      <c r="AM61">
        <v>6980.8526035898767</v>
      </c>
      <c r="AN61">
        <v>4.8070460165501405</v>
      </c>
      <c r="AO61">
        <v>4574.3849893491133</v>
      </c>
      <c r="AP61">
        <v>8.1356583248990813</v>
      </c>
      <c r="AQ61">
        <v>7741.8924619739646</v>
      </c>
      <c r="AR61">
        <v>7.0794103070823899</v>
      </c>
      <c r="AS61">
        <v>6736.7668482196013</v>
      </c>
      <c r="AT61">
        <v>7.1315378023308922</v>
      </c>
      <c r="AU61">
        <v>6786.3713726980759</v>
      </c>
      <c r="AV61">
        <v>7.3625867193656855</v>
      </c>
      <c r="AW61">
        <v>7006.2375221483853</v>
      </c>
      <c r="AX61">
        <v>7.0259583836228758</v>
      </c>
      <c r="AY61">
        <v>6685.901997855528</v>
      </c>
      <c r="AZ61">
        <v>7.4992596165188088</v>
      </c>
      <c r="BA61">
        <v>7136.2954510792979</v>
      </c>
      <c r="BB61">
        <v>5.8515667587133224</v>
      </c>
      <c r="BC61">
        <v>5568.3509275915967</v>
      </c>
      <c r="BD61">
        <v>8.8431068748903066</v>
      </c>
      <c r="BE61">
        <v>8415.1005021456149</v>
      </c>
      <c r="BF61">
        <v>5.8078657373637075</v>
      </c>
      <c r="BG61">
        <v>5526.7650356753038</v>
      </c>
      <c r="BH61">
        <v>6.5022844668311084</v>
      </c>
      <c r="BI61">
        <v>6187.5738986364822</v>
      </c>
      <c r="BJ61">
        <v>5.6479323771687993</v>
      </c>
      <c r="BK61">
        <v>5374.5724501138293</v>
      </c>
      <c r="BL61">
        <v>7.1608952323480715</v>
      </c>
      <c r="BM61">
        <v>6814.3079031024245</v>
      </c>
      <c r="BN61">
        <v>5.6599215591921439</v>
      </c>
      <c r="BO61">
        <v>5385.9813557272437</v>
      </c>
      <c r="BP61">
        <v>6.6124926781333304</v>
      </c>
      <c r="BQ61">
        <v>6292.4480325116765</v>
      </c>
      <c r="BR61">
        <v>8.0117433609169009</v>
      </c>
      <c r="BS61">
        <v>7623.9749822485219</v>
      </c>
      <c r="BT61">
        <v>5.4608397347992383</v>
      </c>
      <c r="BU61">
        <v>5196.5350916349544</v>
      </c>
      <c r="BV61">
        <v>6.9849394439353354</v>
      </c>
      <c r="BW61">
        <v>6646.8683748488647</v>
      </c>
      <c r="BX61">
        <v>7.1004174593289253</v>
      </c>
      <c r="BY61">
        <v>6756.7572542974049</v>
      </c>
      <c r="BZ61">
        <v>5.4069941499039285</v>
      </c>
      <c r="CA61">
        <v>5145.2956330485777</v>
      </c>
      <c r="CB61">
        <v>7.115499059709828</v>
      </c>
      <c r="CC61">
        <v>6771.1089052198713</v>
      </c>
      <c r="CD61">
        <v>4.4202721991265657</v>
      </c>
      <c r="CE61">
        <v>4206.3310246888395</v>
      </c>
      <c r="CF61">
        <v>7.6119557680567764</v>
      </c>
      <c r="CG61">
        <v>7243.5371088828279</v>
      </c>
      <c r="CH61">
        <v>5.1481081837217033</v>
      </c>
      <c r="CI61">
        <v>4898.9397476295726</v>
      </c>
      <c r="CJ61">
        <v>5.0154816161837514</v>
      </c>
      <c r="CK61">
        <v>4772.7323059604578</v>
      </c>
      <c r="CL61">
        <v>5.8543700003853036</v>
      </c>
      <c r="CM61">
        <v>5571.0184923666548</v>
      </c>
      <c r="CN61">
        <v>6.4627702465735259</v>
      </c>
      <c r="CO61">
        <v>6149.9721666393671</v>
      </c>
      <c r="CP61">
        <v>4.9561737443948797</v>
      </c>
      <c r="CQ61">
        <v>4716.2949351661673</v>
      </c>
      <c r="CR61">
        <v>8.3512073828220252</v>
      </c>
      <c r="CS61">
        <v>7947.0089454934387</v>
      </c>
      <c r="CT61">
        <v>7.8711864598481833</v>
      </c>
      <c r="CU61">
        <v>7490.221035191531</v>
      </c>
    </row>
    <row r="62" spans="2:99" x14ac:dyDescent="0.2">
      <c r="C62" s="119" t="s">
        <v>228</v>
      </c>
      <c r="D62">
        <v>13</v>
      </c>
      <c r="E62">
        <v>22167.600000000002</v>
      </c>
      <c r="F62">
        <v>14.246958655048484</v>
      </c>
      <c r="G62">
        <v>24293.913898588675</v>
      </c>
      <c r="H62">
        <v>12.795096536431961</v>
      </c>
      <c r="I62">
        <v>21818.198613923782</v>
      </c>
      <c r="J62">
        <v>5.4293002313804308</v>
      </c>
      <c r="K62">
        <v>9258.0427545499115</v>
      </c>
      <c r="L62">
        <v>6.5417880176624035</v>
      </c>
      <c r="M62">
        <v>11155.056927717931</v>
      </c>
      <c r="N62">
        <v>6.7431098174544823</v>
      </c>
      <c r="O62">
        <v>11498.350860723383</v>
      </c>
      <c r="P62">
        <v>4.9180208373939323</v>
      </c>
      <c r="Q62">
        <v>8386.2091319241335</v>
      </c>
      <c r="R62">
        <v>7.7630327527662999</v>
      </c>
      <c r="S62">
        <v>13237.523450017095</v>
      </c>
      <c r="T62">
        <v>8.0646890611608679</v>
      </c>
      <c r="U62">
        <v>13751.907787091512</v>
      </c>
      <c r="V62">
        <v>8.3084745965064162</v>
      </c>
      <c r="W62">
        <v>14167.610881962741</v>
      </c>
      <c r="X62">
        <v>9.8637952532724089</v>
      </c>
      <c r="Y62">
        <v>16819.743665880113</v>
      </c>
      <c r="Z62">
        <v>6.9157245196353978</v>
      </c>
      <c r="AA62">
        <v>11792.693450882281</v>
      </c>
      <c r="AB62">
        <v>6.138350634732352</v>
      </c>
      <c r="AC62">
        <v>10467.115502345607</v>
      </c>
      <c r="AD62">
        <v>8.1597295270037442</v>
      </c>
      <c r="AE62">
        <v>13913.970789446785</v>
      </c>
      <c r="AF62">
        <v>7.1138506815492768</v>
      </c>
      <c r="AG62">
        <v>12130.538182177826</v>
      </c>
      <c r="AH62">
        <v>6.3639379888134249</v>
      </c>
      <c r="AI62">
        <v>10851.787058524653</v>
      </c>
      <c r="AJ62">
        <v>4.6979856357209053</v>
      </c>
      <c r="AK62">
        <v>8011.0051060312881</v>
      </c>
      <c r="AL62">
        <v>7.3359106805274035</v>
      </c>
      <c r="AM62">
        <v>12509.194892435329</v>
      </c>
      <c r="AN62">
        <v>4.8070460165501405</v>
      </c>
      <c r="AO62">
        <v>8196.9748674213006</v>
      </c>
      <c r="AP62">
        <v>7.6570901881403133</v>
      </c>
      <c r="AQ62">
        <v>13056.870188816863</v>
      </c>
      <c r="AR62">
        <v>6.5737381422907912</v>
      </c>
      <c r="AS62">
        <v>11209.538280234257</v>
      </c>
      <c r="AT62">
        <v>6.2925333549978468</v>
      </c>
      <c r="AU62">
        <v>10730.027876942329</v>
      </c>
      <c r="AV62">
        <v>7.8227483893260406</v>
      </c>
      <c r="AW62">
        <v>13339.350553478766</v>
      </c>
      <c r="AX62">
        <v>7.5278125538816516</v>
      </c>
      <c r="AY62">
        <v>12836.425966878993</v>
      </c>
      <c r="AZ62">
        <v>6.3455273678236086</v>
      </c>
      <c r="BA62">
        <v>10820.393267612817</v>
      </c>
      <c r="BB62">
        <v>4.9513257189112725</v>
      </c>
      <c r="BC62">
        <v>8443.0006158875021</v>
      </c>
      <c r="BD62">
        <v>8.8431068748903066</v>
      </c>
      <c r="BE62">
        <v>15079.265843062951</v>
      </c>
      <c r="BF62">
        <v>4.8398881144697565</v>
      </c>
      <c r="BG62">
        <v>8252.9772127938286</v>
      </c>
      <c r="BH62">
        <v>6.0021087386133312</v>
      </c>
      <c r="BI62">
        <v>10234.795821083453</v>
      </c>
      <c r="BJ62">
        <v>5.1772713457380659</v>
      </c>
      <c r="BK62">
        <v>8828.2830987525504</v>
      </c>
      <c r="BL62">
        <v>7.1608952323480715</v>
      </c>
      <c r="BM62">
        <v>12210.758550199931</v>
      </c>
      <c r="BN62">
        <v>6.0953001406684626</v>
      </c>
      <c r="BO62">
        <v>10393.705799867863</v>
      </c>
      <c r="BP62">
        <v>6.1716598329244414</v>
      </c>
      <c r="BQ62">
        <v>10523.914347102758</v>
      </c>
      <c r="BR62">
        <v>7.1215496541483558</v>
      </c>
      <c r="BS62">
        <v>12143.666470253776</v>
      </c>
      <c r="BT62">
        <v>5.4608397347992383</v>
      </c>
      <c r="BU62">
        <v>9311.8239157796615</v>
      </c>
      <c r="BV62">
        <v>5.9870909519445732</v>
      </c>
      <c r="BW62">
        <v>10209.187491255887</v>
      </c>
      <c r="BX62">
        <v>6.212865276912809</v>
      </c>
      <c r="BY62">
        <v>10594.177870191723</v>
      </c>
      <c r="BZ62">
        <v>4.9154492271853902</v>
      </c>
      <c r="CA62">
        <v>8381.8240221965279</v>
      </c>
      <c r="CB62">
        <v>6.0989991940369954</v>
      </c>
      <c r="CC62">
        <v>10400.013425671885</v>
      </c>
      <c r="CD62">
        <v>4.4202721991265657</v>
      </c>
      <c r="CE62">
        <v>7537.4481539506196</v>
      </c>
      <c r="CF62">
        <v>7.6119557680567764</v>
      </c>
      <c r="CG62">
        <v>12979.906975690415</v>
      </c>
      <c r="CH62">
        <v>5.662919002093874</v>
      </c>
      <c r="CI62">
        <v>9656.4094823704745</v>
      </c>
      <c r="CJ62">
        <v>4.5595287419852282</v>
      </c>
      <c r="CK62">
        <v>7774.9084108332108</v>
      </c>
      <c r="CL62">
        <v>5.3221545458048221</v>
      </c>
      <c r="CM62">
        <v>9075.337931506383</v>
      </c>
      <c r="CN62">
        <v>5.2510008253409888</v>
      </c>
      <c r="CO62">
        <v>8954.0066073714552</v>
      </c>
      <c r="CP62">
        <v>4.9561737443948797</v>
      </c>
      <c r="CQ62">
        <v>8451.2674689421492</v>
      </c>
      <c r="CR62">
        <v>7.4721329214723387</v>
      </c>
      <c r="CS62">
        <v>12741.481057694633</v>
      </c>
      <c r="CT62">
        <v>8.3631356135886943</v>
      </c>
      <c r="CU62">
        <v>14260.818848291441</v>
      </c>
    </row>
    <row r="63" spans="2:99" x14ac:dyDescent="0.2">
      <c r="C63" s="119" t="s">
        <v>229</v>
      </c>
      <c r="D63">
        <v>13</v>
      </c>
      <c r="E63">
        <v>10342.800000000001</v>
      </c>
      <c r="F63">
        <v>15.265955474667599</v>
      </c>
      <c r="G63">
        <v>12145.594175645543</v>
      </c>
      <c r="H63">
        <v>13.718529295529411</v>
      </c>
      <c r="I63">
        <v>10914.4619075232</v>
      </c>
      <c r="J63">
        <v>5.4293002313804308</v>
      </c>
      <c r="K63">
        <v>4319.5512640862707</v>
      </c>
      <c r="L63">
        <v>6.5417880176624035</v>
      </c>
      <c r="M63">
        <v>5204.6465468522083</v>
      </c>
      <c r="N63">
        <v>7.70641121994798</v>
      </c>
      <c r="O63">
        <v>6131.2207665906126</v>
      </c>
      <c r="P63">
        <v>4.9180208373939323</v>
      </c>
      <c r="Q63">
        <v>3912.7773782306126</v>
      </c>
      <c r="R63">
        <v>8.2196817382231409</v>
      </c>
      <c r="S63">
        <v>6539.5787909303308</v>
      </c>
      <c r="T63">
        <v>9.0134760095327344</v>
      </c>
      <c r="U63">
        <v>7171.1215131842437</v>
      </c>
      <c r="V63">
        <v>10.088862010043504</v>
      </c>
      <c r="W63">
        <v>8026.6986151906121</v>
      </c>
      <c r="X63">
        <v>9.8637952532724089</v>
      </c>
      <c r="Y63">
        <v>7847.6355035035285</v>
      </c>
      <c r="Z63">
        <v>7.9036851652975972</v>
      </c>
      <c r="AA63">
        <v>6288.1719175107683</v>
      </c>
      <c r="AB63">
        <v>6.138350634732352</v>
      </c>
      <c r="AC63">
        <v>4883.6717649930597</v>
      </c>
      <c r="AD63">
        <v>8.1597295270037442</v>
      </c>
      <c r="AE63">
        <v>6491.8808116841792</v>
      </c>
      <c r="AF63">
        <v>7.1138506815492768</v>
      </c>
      <c r="AG63">
        <v>5659.7796022406046</v>
      </c>
      <c r="AH63">
        <v>7.8325390631549849</v>
      </c>
      <c r="AI63">
        <v>6231.5680786461062</v>
      </c>
      <c r="AJ63">
        <v>5.2199840396898951</v>
      </c>
      <c r="AK63">
        <v>4153.0193019772805</v>
      </c>
      <c r="AL63">
        <v>9.3366135933985142</v>
      </c>
      <c r="AM63">
        <v>7428.2097749078584</v>
      </c>
      <c r="AN63">
        <v>5.3411622406112675</v>
      </c>
      <c r="AO63">
        <v>4249.4286786303246</v>
      </c>
      <c r="AP63">
        <v>8.1356583248990813</v>
      </c>
      <c r="AQ63">
        <v>6472.7297632897089</v>
      </c>
      <c r="AR63">
        <v>6.5737381422907912</v>
      </c>
      <c r="AS63">
        <v>5230.0660660065532</v>
      </c>
      <c r="AT63">
        <v>7.1315378023308922</v>
      </c>
      <c r="AU63">
        <v>5673.8514755344577</v>
      </c>
      <c r="AV63">
        <v>8.7430717292467506</v>
      </c>
      <c r="AW63">
        <v>6955.9878677887145</v>
      </c>
      <c r="AX63">
        <v>7.5278125538816516</v>
      </c>
      <c r="AY63">
        <v>5989.1276678682425</v>
      </c>
      <c r="AZ63">
        <v>8.0761257408664093</v>
      </c>
      <c r="BA63">
        <v>6425.3656394333157</v>
      </c>
      <c r="BB63">
        <v>5.401446238812297</v>
      </c>
      <c r="BC63">
        <v>4297.3906275990639</v>
      </c>
      <c r="BD63">
        <v>9.8834723895832841</v>
      </c>
      <c r="BE63">
        <v>7863.2906331524609</v>
      </c>
      <c r="BF63">
        <v>5.3238769259167329</v>
      </c>
      <c r="BG63">
        <v>4235.6764822593532</v>
      </c>
      <c r="BH63">
        <v>7.0024601950488856</v>
      </c>
      <c r="BI63">
        <v>5571.1573311808934</v>
      </c>
      <c r="BJ63">
        <v>4.7066103143073326</v>
      </c>
      <c r="BK63">
        <v>3744.5791660629138</v>
      </c>
      <c r="BL63">
        <v>7.1608952323480715</v>
      </c>
      <c r="BM63">
        <v>5697.2082468561257</v>
      </c>
      <c r="BN63">
        <v>6.0953001406684626</v>
      </c>
      <c r="BO63">
        <v>4849.4207919158289</v>
      </c>
      <c r="BP63">
        <v>6.6124926781333304</v>
      </c>
      <c r="BQ63">
        <v>5260.8991747228774</v>
      </c>
      <c r="BR63">
        <v>7.1215496541483558</v>
      </c>
      <c r="BS63">
        <v>5665.9049048404322</v>
      </c>
      <c r="BT63">
        <v>6.453719686580917</v>
      </c>
      <c r="BU63">
        <v>5134.5793826437775</v>
      </c>
      <c r="BV63">
        <v>6.4860151979399543</v>
      </c>
      <c r="BW63">
        <v>5160.2736914810275</v>
      </c>
      <c r="BX63">
        <v>6.6566413681208676</v>
      </c>
      <c r="BY63">
        <v>5296.0238724769624</v>
      </c>
      <c r="BZ63">
        <v>5.8985390726224676</v>
      </c>
      <c r="CA63">
        <v>4692.8776861784354</v>
      </c>
      <c r="CB63">
        <v>7.115499059709828</v>
      </c>
      <c r="CC63">
        <v>5661.0910519051395</v>
      </c>
      <c r="CD63">
        <v>5.4025549100435803</v>
      </c>
      <c r="CE63">
        <v>4298.2726864306724</v>
      </c>
      <c r="CF63">
        <v>7.1641936640534372</v>
      </c>
      <c r="CG63">
        <v>5699.8324791209152</v>
      </c>
      <c r="CH63">
        <v>5.662919002093874</v>
      </c>
      <c r="CI63">
        <v>4505.4183580658864</v>
      </c>
      <c r="CJ63">
        <v>5.0154816161837514</v>
      </c>
      <c r="CK63">
        <v>3990.3171738357928</v>
      </c>
      <c r="CL63">
        <v>5.3221545458048221</v>
      </c>
      <c r="CM63">
        <v>4234.3061566423166</v>
      </c>
      <c r="CN63">
        <v>6.4627702465735259</v>
      </c>
      <c r="CO63">
        <v>5141.7800081738978</v>
      </c>
      <c r="CP63">
        <v>4.4605563699553912</v>
      </c>
      <c r="CQ63">
        <v>3548.8186479365095</v>
      </c>
      <c r="CR63">
        <v>7.4721329214723387</v>
      </c>
      <c r="CS63">
        <v>5944.8289523233925</v>
      </c>
      <c r="CT63">
        <v>8.8550847673292061</v>
      </c>
      <c r="CU63">
        <v>7045.1054408871169</v>
      </c>
    </row>
    <row r="64" spans="2:99" x14ac:dyDescent="0.2">
      <c r="C64" s="119" t="s">
        <v>230</v>
      </c>
      <c r="D64">
        <v>14</v>
      </c>
      <c r="E64">
        <v>14128.799999999997</v>
      </c>
      <c r="F64">
        <v>15.265955474667599</v>
      </c>
      <c r="G64">
        <v>15406.402265034538</v>
      </c>
      <c r="H64">
        <v>13.718529295529411</v>
      </c>
      <c r="I64">
        <v>13844.73976504828</v>
      </c>
      <c r="J64">
        <v>6.416445727995054</v>
      </c>
      <c r="K64">
        <v>6475.4770286926077</v>
      </c>
      <c r="L64">
        <v>7.2686533529582258</v>
      </c>
      <c r="M64">
        <v>7335.5249638054402</v>
      </c>
      <c r="N64">
        <v>8.1880619211947288</v>
      </c>
      <c r="O64">
        <v>8263.3920908697182</v>
      </c>
      <c r="P64">
        <v>5.365113640793381</v>
      </c>
      <c r="Q64">
        <v>5414.4726862886791</v>
      </c>
      <c r="R64">
        <v>7.7630327527662999</v>
      </c>
      <c r="S64">
        <v>7834.4526540917486</v>
      </c>
      <c r="T64">
        <v>7.5902955869749338</v>
      </c>
      <c r="U64">
        <v>7660.1263063751021</v>
      </c>
      <c r="V64">
        <v>8.901937067685445</v>
      </c>
      <c r="W64">
        <v>8983.8348887081502</v>
      </c>
      <c r="X64">
        <v>9.2835720030799145</v>
      </c>
      <c r="Y64">
        <v>9368.9808655082488</v>
      </c>
      <c r="Z64">
        <v>7.9036851652975972</v>
      </c>
      <c r="AA64">
        <v>7976.3990688183339</v>
      </c>
      <c r="AB64">
        <v>6.138350634732352</v>
      </c>
      <c r="AC64">
        <v>6194.8234605718881</v>
      </c>
      <c r="AD64">
        <v>7.6497464315660091</v>
      </c>
      <c r="AE64">
        <v>7720.1240987364154</v>
      </c>
      <c r="AF64">
        <v>7.7605643798719388</v>
      </c>
      <c r="AG64">
        <v>7831.9615721667597</v>
      </c>
      <c r="AH64">
        <v>7.3430053717077977</v>
      </c>
      <c r="AI64">
        <v>7410.561021127508</v>
      </c>
      <c r="AJ64">
        <v>5.2199840396898951</v>
      </c>
      <c r="AK64">
        <v>5268.0078928550411</v>
      </c>
      <c r="AL64">
        <v>8.6697126224414784</v>
      </c>
      <c r="AM64">
        <v>8749.4739785679376</v>
      </c>
      <c r="AN64">
        <v>5.8752784646723937</v>
      </c>
      <c r="AO64">
        <v>5929.3310265473783</v>
      </c>
      <c r="AP64">
        <v>8.6142264616578519</v>
      </c>
      <c r="AQ64">
        <v>8693.4773451051024</v>
      </c>
      <c r="AR64">
        <v>7.0794103070823899</v>
      </c>
      <c r="AS64">
        <v>7144.5408819075465</v>
      </c>
      <c r="AT64">
        <v>7.1315378023308922</v>
      </c>
      <c r="AU64">
        <v>7197.1479501123349</v>
      </c>
      <c r="AV64">
        <v>8.2829100592863973</v>
      </c>
      <c r="AW64">
        <v>8359.1128318318315</v>
      </c>
      <c r="AX64">
        <v>7.0259583836228758</v>
      </c>
      <c r="AY64">
        <v>7090.597200752205</v>
      </c>
      <c r="AZ64">
        <v>8.0761257408664093</v>
      </c>
      <c r="BA64">
        <v>8150.4260976823789</v>
      </c>
      <c r="BB64">
        <v>5.8515667587133224</v>
      </c>
      <c r="BC64">
        <v>5905.4011728934838</v>
      </c>
      <c r="BD64">
        <v>8.8431068748903066</v>
      </c>
      <c r="BE64">
        <v>8924.4634581392966</v>
      </c>
      <c r="BF64">
        <v>5.3238769259167329</v>
      </c>
      <c r="BG64">
        <v>5372.8565936351661</v>
      </c>
      <c r="BH64">
        <v>7.5026359232666637</v>
      </c>
      <c r="BI64">
        <v>7571.6601737607152</v>
      </c>
      <c r="BJ64">
        <v>5.1772713457380659</v>
      </c>
      <c r="BK64">
        <v>5224.9022421188556</v>
      </c>
      <c r="BL64">
        <v>7.1608952323480715</v>
      </c>
      <c r="BM64">
        <v>7226.7754684856727</v>
      </c>
      <c r="BN64">
        <v>6.5306787221447804</v>
      </c>
      <c r="BO64">
        <v>6590.7609663885114</v>
      </c>
      <c r="BP64">
        <v>5.7308269877155533</v>
      </c>
      <c r="BQ64">
        <v>5783.5505960025357</v>
      </c>
      <c r="BR64">
        <v>7.1215496541483558</v>
      </c>
      <c r="BS64">
        <v>7187.0679109665198</v>
      </c>
      <c r="BT64">
        <v>6.453719686580917</v>
      </c>
      <c r="BU64">
        <v>6513.0939076974601</v>
      </c>
      <c r="BV64">
        <v>7.4838636899307165</v>
      </c>
      <c r="BW64">
        <v>7552.7152358780777</v>
      </c>
      <c r="BX64">
        <v>6.212865276912809</v>
      </c>
      <c r="BY64">
        <v>6270.0236374604056</v>
      </c>
      <c r="BZ64">
        <v>5.4069941499039285</v>
      </c>
      <c r="CA64">
        <v>5456.7384960830432</v>
      </c>
      <c r="CB64">
        <v>6.6072491268734108</v>
      </c>
      <c r="CC64">
        <v>6668.0358188406453</v>
      </c>
      <c r="CD64">
        <v>4.9114135545850734</v>
      </c>
      <c r="CE64">
        <v>4956.5985592872548</v>
      </c>
      <c r="CF64">
        <v>8.0597178720601157</v>
      </c>
      <c r="CG64">
        <v>8133.8672764830671</v>
      </c>
      <c r="CH64">
        <v>6.1777298204660447</v>
      </c>
      <c r="CI64">
        <v>6234.5649348143315</v>
      </c>
      <c r="CJ64">
        <v>5.0154816161837514</v>
      </c>
      <c r="CK64">
        <v>5061.6240470526409</v>
      </c>
      <c r="CL64">
        <v>5.3221545458048221</v>
      </c>
      <c r="CM64">
        <v>5371.1183676262253</v>
      </c>
      <c r="CN64">
        <v>5.6549239657518351</v>
      </c>
      <c r="CO64">
        <v>5706.9492662367511</v>
      </c>
      <c r="CP64">
        <v>4.9561737443948797</v>
      </c>
      <c r="CQ64">
        <v>5001.7705428433119</v>
      </c>
      <c r="CR64">
        <v>7.4721329214723387</v>
      </c>
      <c r="CS64">
        <v>7540.8765443498833</v>
      </c>
      <c r="CT64">
        <v>8.3631356135886943</v>
      </c>
      <c r="CU64">
        <v>8440.076461233708</v>
      </c>
    </row>
    <row r="65" spans="2:99" x14ac:dyDescent="0.2">
      <c r="C65" s="119" t="s">
        <v>231</v>
      </c>
      <c r="D65">
        <v>12</v>
      </c>
      <c r="E65">
        <v>12312</v>
      </c>
      <c r="F65">
        <v>14.265955474667599</v>
      </c>
      <c r="G65">
        <v>14636.870317008957</v>
      </c>
      <c r="H65">
        <v>13.708680251756645</v>
      </c>
      <c r="I65">
        <v>14065.105938302318</v>
      </c>
      <c r="J65">
        <v>5.9228729796877424</v>
      </c>
      <c r="K65">
        <v>6076.8676771596238</v>
      </c>
      <c r="L65">
        <v>5.8149226823665794</v>
      </c>
      <c r="M65">
        <v>5966.1106721081105</v>
      </c>
      <c r="N65">
        <v>7.70641121994798</v>
      </c>
      <c r="O65">
        <v>7906.777911666627</v>
      </c>
      <c r="P65">
        <v>4.4709280339944835</v>
      </c>
      <c r="Q65">
        <v>4587.1721628783398</v>
      </c>
      <c r="R65">
        <v>7.7630327527662999</v>
      </c>
      <c r="S65">
        <v>7964.8716043382237</v>
      </c>
      <c r="T65">
        <v>9.0134760095327344</v>
      </c>
      <c r="U65">
        <v>9247.826385780585</v>
      </c>
      <c r="V65">
        <v>8.901937067685445</v>
      </c>
      <c r="W65">
        <v>9133.387431445266</v>
      </c>
      <c r="X65">
        <v>9.8637952532724089</v>
      </c>
      <c r="Y65">
        <v>10120.253929857492</v>
      </c>
      <c r="Z65">
        <v>7.409704842466498</v>
      </c>
      <c r="AA65">
        <v>7602.3571683706268</v>
      </c>
      <c r="AB65">
        <v>6.138350634732352</v>
      </c>
      <c r="AC65">
        <v>6297.9477512353933</v>
      </c>
      <c r="AD65">
        <v>7.6497464315660091</v>
      </c>
      <c r="AE65">
        <v>7848.6398387867257</v>
      </c>
      <c r="AF65">
        <v>7.1138506815492768</v>
      </c>
      <c r="AG65">
        <v>7298.8107992695577</v>
      </c>
      <c r="AH65">
        <v>7.8325390631549849</v>
      </c>
      <c r="AI65">
        <v>8036.1850787970143</v>
      </c>
      <c r="AJ65">
        <v>4.6979856357209053</v>
      </c>
      <c r="AK65">
        <v>4820.1332622496493</v>
      </c>
      <c r="AL65">
        <v>8.6697126224414784</v>
      </c>
      <c r="AM65">
        <v>8895.1251506249573</v>
      </c>
      <c r="AN65">
        <v>5.8752784646723937</v>
      </c>
      <c r="AO65">
        <v>6028.0357047538755</v>
      </c>
      <c r="AP65">
        <v>8.6142264616578519</v>
      </c>
      <c r="AQ65">
        <v>8838.1963496609569</v>
      </c>
      <c r="AR65">
        <v>6.5737381422907912</v>
      </c>
      <c r="AS65">
        <v>6744.6553339903521</v>
      </c>
      <c r="AT65">
        <v>6.71203557866437</v>
      </c>
      <c r="AU65">
        <v>6886.5485037096432</v>
      </c>
      <c r="AV65">
        <v>7.3625867193656855</v>
      </c>
      <c r="AW65">
        <v>7554.013974069193</v>
      </c>
      <c r="AX65">
        <v>7.0259583836228758</v>
      </c>
      <c r="AY65">
        <v>7208.6333015970704</v>
      </c>
      <c r="AZ65">
        <v>7.4992596165188088</v>
      </c>
      <c r="BA65">
        <v>7694.240366548298</v>
      </c>
      <c r="BB65">
        <v>5.8515667587133224</v>
      </c>
      <c r="BC65">
        <v>6003.7074944398692</v>
      </c>
      <c r="BD65">
        <v>10.403655146929774</v>
      </c>
      <c r="BE65">
        <v>10674.150180749948</v>
      </c>
      <c r="BF65">
        <v>4.8398881144697565</v>
      </c>
      <c r="BG65">
        <v>4965.7252054459705</v>
      </c>
      <c r="BH65">
        <v>6.0021087386133312</v>
      </c>
      <c r="BI65">
        <v>6158.1635658172781</v>
      </c>
      <c r="BJ65">
        <v>5.1772713457380659</v>
      </c>
      <c r="BK65">
        <v>5311.8804007272556</v>
      </c>
      <c r="BL65">
        <v>7.7117333271440769</v>
      </c>
      <c r="BM65">
        <v>7912.2383936498227</v>
      </c>
      <c r="BN65">
        <v>6.9660573036211</v>
      </c>
      <c r="BO65">
        <v>7147.1747935152489</v>
      </c>
      <c r="BP65">
        <v>7.0533255233422194</v>
      </c>
      <c r="BQ65">
        <v>7236.7119869491171</v>
      </c>
      <c r="BR65">
        <v>7.5666465075326288</v>
      </c>
      <c r="BS65">
        <v>7763.3793167284775</v>
      </c>
      <c r="BT65">
        <v>6.453719686580917</v>
      </c>
      <c r="BU65">
        <v>6621.5163984320207</v>
      </c>
      <c r="BV65">
        <v>6.4860151979399543</v>
      </c>
      <c r="BW65">
        <v>6654.6515930863934</v>
      </c>
      <c r="BX65">
        <v>7.1004174593289253</v>
      </c>
      <c r="BY65">
        <v>7285.0283132714776</v>
      </c>
      <c r="BZ65">
        <v>5.4069941499039285</v>
      </c>
      <c r="CA65">
        <v>5547.5759978014303</v>
      </c>
      <c r="CB65">
        <v>7.115499059709828</v>
      </c>
      <c r="CC65">
        <v>7300.5020352622832</v>
      </c>
      <c r="CD65">
        <v>4.4202721991265657</v>
      </c>
      <c r="CE65">
        <v>4535.1992763038561</v>
      </c>
      <c r="CF65">
        <v>7.6119557680567764</v>
      </c>
      <c r="CG65">
        <v>7809.8666180262526</v>
      </c>
      <c r="CH65">
        <v>6.1777298204660447</v>
      </c>
      <c r="CI65">
        <v>6338.3507957981619</v>
      </c>
      <c r="CJ65">
        <v>5.0154816161837514</v>
      </c>
      <c r="CK65">
        <v>5145.8841382045293</v>
      </c>
      <c r="CL65">
        <v>5.3221545458048221</v>
      </c>
      <c r="CM65">
        <v>5460.5305639957478</v>
      </c>
      <c r="CN65">
        <v>6.0588471061626796</v>
      </c>
      <c r="CO65">
        <v>6216.3771309229096</v>
      </c>
      <c r="CP65">
        <v>4.4605563699553912</v>
      </c>
      <c r="CQ65">
        <v>4576.5308355742318</v>
      </c>
      <c r="CR65">
        <v>8.3512073828220252</v>
      </c>
      <c r="CS65">
        <v>8568.3387747753986</v>
      </c>
      <c r="CT65">
        <v>7.3792373061076724</v>
      </c>
      <c r="CU65">
        <v>7571.0974760664722</v>
      </c>
    </row>
    <row r="66" spans="2:99" x14ac:dyDescent="0.2">
      <c r="C66" s="119" t="s">
        <v>232</v>
      </c>
      <c r="D66">
        <v>12</v>
      </c>
      <c r="E66">
        <v>14284.8</v>
      </c>
      <c r="F66">
        <v>13.265955474667599</v>
      </c>
      <c r="G66">
        <v>15791.793397044308</v>
      </c>
      <c r="H66">
        <v>14.612414923308567</v>
      </c>
      <c r="I66">
        <v>17394.618724706517</v>
      </c>
      <c r="J66">
        <v>5.4293002313804308</v>
      </c>
      <c r="K66">
        <v>6463.038995435264</v>
      </c>
      <c r="L66">
        <v>6.5417880176624035</v>
      </c>
      <c r="M66">
        <v>7787.3444562253244</v>
      </c>
      <c r="N66">
        <v>8.1880619211947288</v>
      </c>
      <c r="O66">
        <v>9747.0689109902032</v>
      </c>
      <c r="P66">
        <v>4.4709280339944835</v>
      </c>
      <c r="Q66">
        <v>5322.1927316670326</v>
      </c>
      <c r="R66">
        <v>7.3063837673094589</v>
      </c>
      <c r="S66">
        <v>8697.5192366051797</v>
      </c>
      <c r="T66">
        <v>8.0646890611608679</v>
      </c>
      <c r="U66">
        <v>9600.2058584058959</v>
      </c>
      <c r="V66">
        <v>8.901937067685445</v>
      </c>
      <c r="W66">
        <v>10596.865885372752</v>
      </c>
      <c r="X66">
        <v>9.8637952532724089</v>
      </c>
      <c r="Y66">
        <v>11741.861869495475</v>
      </c>
      <c r="Z66">
        <v>7.409704842466498</v>
      </c>
      <c r="AA66">
        <v>8820.5126444721191</v>
      </c>
      <c r="AB66">
        <v>6.6963825106171111</v>
      </c>
      <c r="AC66">
        <v>7971.3737406386081</v>
      </c>
      <c r="AD66">
        <v>7.1397633361282757</v>
      </c>
      <c r="AE66">
        <v>8499.1742753270992</v>
      </c>
      <c r="AF66">
        <v>7.7605643798719388</v>
      </c>
      <c r="AG66">
        <v>9238.1758377995557</v>
      </c>
      <c r="AH66">
        <v>7.3430053717077977</v>
      </c>
      <c r="AI66">
        <v>8741.1135944809612</v>
      </c>
      <c r="AJ66">
        <v>4.6979856357209053</v>
      </c>
      <c r="AK66">
        <v>5592.4821007621649</v>
      </c>
      <c r="AL66">
        <v>8.002811651484441</v>
      </c>
      <c r="AM66">
        <v>9526.5469899270774</v>
      </c>
      <c r="AN66">
        <v>4.8070460165501405</v>
      </c>
      <c r="AO66">
        <v>5722.3075781012867</v>
      </c>
      <c r="AP66">
        <v>9.0927945984166207</v>
      </c>
      <c r="AQ66">
        <v>10824.062689955144</v>
      </c>
      <c r="AR66">
        <v>6.5737381422907912</v>
      </c>
      <c r="AS66">
        <v>7825.3778845829565</v>
      </c>
      <c r="AT66">
        <v>7.1315378023308922</v>
      </c>
      <c r="AU66">
        <v>8489.3825998946922</v>
      </c>
      <c r="AV66">
        <v>6.9024250494053305</v>
      </c>
      <c r="AW66">
        <v>8216.6467788121045</v>
      </c>
      <c r="AX66">
        <v>7.5278125538816516</v>
      </c>
      <c r="AY66">
        <v>8961.108064140717</v>
      </c>
      <c r="AZ66">
        <v>6.9223934921712091</v>
      </c>
      <c r="BA66">
        <v>8240.4172130806055</v>
      </c>
      <c r="BB66">
        <v>6.301687278614347</v>
      </c>
      <c r="BC66">
        <v>7501.5285364625179</v>
      </c>
      <c r="BD66">
        <v>9.8834723895832841</v>
      </c>
      <c r="BE66">
        <v>11765.285532559939</v>
      </c>
      <c r="BF66">
        <v>5.3238769259167329</v>
      </c>
      <c r="BG66">
        <v>6337.5430926112786</v>
      </c>
      <c r="BH66">
        <v>6.5022844668311084</v>
      </c>
      <c r="BI66">
        <v>7740.3194293157503</v>
      </c>
      <c r="BJ66">
        <v>5.1772713457380659</v>
      </c>
      <c r="BK66">
        <v>6163.023809966593</v>
      </c>
      <c r="BL66">
        <v>7.7117333271440769</v>
      </c>
      <c r="BM66">
        <v>9180.0473526323076</v>
      </c>
      <c r="BN66">
        <v>6.0953001406684626</v>
      </c>
      <c r="BO66">
        <v>7255.845287451737</v>
      </c>
      <c r="BP66">
        <v>6.6124926781333304</v>
      </c>
      <c r="BQ66">
        <v>7871.511284049916</v>
      </c>
      <c r="BR66">
        <v>7.5666465075326288</v>
      </c>
      <c r="BS66">
        <v>9007.3360025668408</v>
      </c>
      <c r="BT66">
        <v>6.453719686580917</v>
      </c>
      <c r="BU66">
        <v>7682.5079149059229</v>
      </c>
      <c r="BV66">
        <v>6.9849394439353354</v>
      </c>
      <c r="BW66">
        <v>8314.8719140606227</v>
      </c>
      <c r="BX66">
        <v>6.6566413681208676</v>
      </c>
      <c r="BY66">
        <v>7924.06588461108</v>
      </c>
      <c r="BZ66">
        <v>4.9154492271853902</v>
      </c>
      <c r="CA66">
        <v>5851.3507600414878</v>
      </c>
      <c r="CB66">
        <v>7.115499059709828</v>
      </c>
      <c r="CC66">
        <v>8470.2900806785783</v>
      </c>
      <c r="CD66">
        <v>4.9114135545850734</v>
      </c>
      <c r="CE66">
        <v>5846.5466953780706</v>
      </c>
      <c r="CF66">
        <v>7.1641936640534372</v>
      </c>
      <c r="CG66">
        <v>8528.2561376892099</v>
      </c>
      <c r="CH66">
        <v>5.662919002093874</v>
      </c>
      <c r="CI66">
        <v>6741.1387800925468</v>
      </c>
      <c r="CJ66">
        <v>4.5595287419852282</v>
      </c>
      <c r="CK66">
        <v>5427.6630144592154</v>
      </c>
      <c r="CL66">
        <v>5.8543700003853036</v>
      </c>
      <c r="CM66">
        <v>6969.0420484586648</v>
      </c>
      <c r="CN66">
        <v>5.2510008253409888</v>
      </c>
      <c r="CO66">
        <v>6250.7913824859124</v>
      </c>
      <c r="CP66">
        <v>4.9561737443948797</v>
      </c>
      <c r="CQ66">
        <v>5899.8292253276641</v>
      </c>
      <c r="CR66">
        <v>7.4721329214723387</v>
      </c>
      <c r="CS66">
        <v>8894.8270297206709</v>
      </c>
      <c r="CT66">
        <v>7.8711864598481833</v>
      </c>
      <c r="CU66">
        <v>9369.8603618032757</v>
      </c>
    </row>
    <row r="67" spans="2:99" x14ac:dyDescent="0.2">
      <c r="C67" s="119" t="s">
        <v>233</v>
      </c>
      <c r="D67">
        <v>13</v>
      </c>
      <c r="E67">
        <v>14601.6</v>
      </c>
      <c r="F67">
        <v>14.265955474667599</v>
      </c>
      <c r="G67">
        <v>16023.521189146648</v>
      </c>
      <c r="H67">
        <v>12.795096536431961</v>
      </c>
      <c r="I67">
        <v>14371.452429720379</v>
      </c>
      <c r="J67">
        <v>5.9228729796877424</v>
      </c>
      <c r="K67">
        <v>6652.5709307852721</v>
      </c>
      <c r="L67">
        <v>7.2686533529582258</v>
      </c>
      <c r="M67">
        <v>8164.1514460426797</v>
      </c>
      <c r="N67">
        <v>8.1880619211947288</v>
      </c>
      <c r="O67">
        <v>9196.8311498859202</v>
      </c>
      <c r="P67">
        <v>4.9180208373939323</v>
      </c>
      <c r="Q67">
        <v>5523.9210045608652</v>
      </c>
      <c r="R67">
        <v>7.7630327527662999</v>
      </c>
      <c r="S67">
        <v>8719.4383879071083</v>
      </c>
      <c r="T67">
        <v>8.0646890611608679</v>
      </c>
      <c r="U67">
        <v>9058.2587534958875</v>
      </c>
      <c r="V67">
        <v>8.901937067685445</v>
      </c>
      <c r="W67">
        <v>9998.6557144242925</v>
      </c>
      <c r="X67">
        <v>9.2835720030799145</v>
      </c>
      <c r="Y67">
        <v>10427.30807385936</v>
      </c>
      <c r="Z67">
        <v>7.409704842466498</v>
      </c>
      <c r="AA67">
        <v>8322.5804790583716</v>
      </c>
      <c r="AB67">
        <v>6.138350634732352</v>
      </c>
      <c r="AC67">
        <v>6894.5954329313781</v>
      </c>
      <c r="AD67">
        <v>7.1397633361282757</v>
      </c>
      <c r="AE67">
        <v>8019.3821791392793</v>
      </c>
      <c r="AF67">
        <v>7.7605643798719388</v>
      </c>
      <c r="AG67">
        <v>8716.6659114721624</v>
      </c>
      <c r="AH67">
        <v>7.8325390631549849</v>
      </c>
      <c r="AI67">
        <v>8797.5078757356787</v>
      </c>
      <c r="AJ67">
        <v>4.6979856357209053</v>
      </c>
      <c r="AK67">
        <v>5276.7774660417208</v>
      </c>
      <c r="AL67">
        <v>7.3359106805274035</v>
      </c>
      <c r="AM67">
        <v>8239.6948763683795</v>
      </c>
      <c r="AN67">
        <v>5.8752784646723937</v>
      </c>
      <c r="AO67">
        <v>6599.1127715200328</v>
      </c>
      <c r="AP67">
        <v>7.6570901881403133</v>
      </c>
      <c r="AQ67">
        <v>8600.4436993191994</v>
      </c>
      <c r="AR67">
        <v>6.5737381422907912</v>
      </c>
      <c r="AS67">
        <v>7383.6226814210168</v>
      </c>
      <c r="AT67">
        <v>6.2925333549978468</v>
      </c>
      <c r="AU67">
        <v>7067.7734643335816</v>
      </c>
      <c r="AV67">
        <v>7.3625867193656855</v>
      </c>
      <c r="AW67">
        <v>8269.6574031915388</v>
      </c>
      <c r="AX67">
        <v>7.0259583836228758</v>
      </c>
      <c r="AY67">
        <v>7891.5564564852148</v>
      </c>
      <c r="AZ67">
        <v>6.3455273678236086</v>
      </c>
      <c r="BA67">
        <v>7127.2963395394772</v>
      </c>
      <c r="BB67">
        <v>6.301687278614347</v>
      </c>
      <c r="BC67">
        <v>7078.0551513396349</v>
      </c>
      <c r="BD67">
        <v>9.3632896322367962</v>
      </c>
      <c r="BE67">
        <v>10516.84691492837</v>
      </c>
      <c r="BF67">
        <v>5.3238769259167329</v>
      </c>
      <c r="BG67">
        <v>5979.778563189675</v>
      </c>
      <c r="BH67">
        <v>6.5022844668311084</v>
      </c>
      <c r="BI67">
        <v>7303.3659131447012</v>
      </c>
      <c r="BJ67">
        <v>4.7066103143073326</v>
      </c>
      <c r="BK67">
        <v>5286.4647050299964</v>
      </c>
      <c r="BL67">
        <v>6.6100571375520651</v>
      </c>
      <c r="BM67">
        <v>7424.4161768984795</v>
      </c>
      <c r="BN67">
        <v>6.5306787221447804</v>
      </c>
      <c r="BO67">
        <v>7335.2583407130178</v>
      </c>
      <c r="BP67">
        <v>6.1716598329244414</v>
      </c>
      <c r="BQ67">
        <v>6932.0083243407325</v>
      </c>
      <c r="BR67">
        <v>8.0117433609169009</v>
      </c>
      <c r="BS67">
        <v>8998.790142981863</v>
      </c>
      <c r="BT67">
        <v>6.453719686580917</v>
      </c>
      <c r="BU67">
        <v>7248.817951967686</v>
      </c>
      <c r="BV67">
        <v>6.9849394439353354</v>
      </c>
      <c r="BW67">
        <v>7845.4839834281693</v>
      </c>
      <c r="BX67">
        <v>6.6566413681208676</v>
      </c>
      <c r="BY67">
        <v>7476.7395846733589</v>
      </c>
      <c r="BZ67">
        <v>5.4069941499039285</v>
      </c>
      <c r="CA67">
        <v>6073.1358291720926</v>
      </c>
      <c r="CB67">
        <v>6.6072491268734108</v>
      </c>
      <c r="CC67">
        <v>7421.2622193042153</v>
      </c>
      <c r="CD67">
        <v>4.4202721991265657</v>
      </c>
      <c r="CE67">
        <v>4964.8497340589583</v>
      </c>
      <c r="CF67">
        <v>7.6119557680567764</v>
      </c>
      <c r="CG67">
        <v>8549.7487186813723</v>
      </c>
      <c r="CH67">
        <v>5.662919002093874</v>
      </c>
      <c r="CI67">
        <v>6360.5906231518393</v>
      </c>
      <c r="CJ67">
        <v>5.0154816161837514</v>
      </c>
      <c r="CK67">
        <v>5633.3889512975902</v>
      </c>
      <c r="CL67">
        <v>5.8543700003853036</v>
      </c>
      <c r="CM67">
        <v>6575.6283844327736</v>
      </c>
      <c r="CN67">
        <v>5.6549239657518351</v>
      </c>
      <c r="CO67">
        <v>6351.6105983324614</v>
      </c>
      <c r="CP67">
        <v>4.4605563699553912</v>
      </c>
      <c r="CQ67">
        <v>5010.0969147338956</v>
      </c>
      <c r="CR67">
        <v>7.9116701521471819</v>
      </c>
      <c r="CS67">
        <v>8886.3879148917149</v>
      </c>
      <c r="CT67">
        <v>8.8550847673292061</v>
      </c>
      <c r="CU67">
        <v>9946.031210664165</v>
      </c>
    </row>
    <row r="68" spans="2:99" x14ac:dyDescent="0.2">
      <c r="C68" s="119" t="s">
        <v>234</v>
      </c>
      <c r="D68">
        <v>12</v>
      </c>
      <c r="E68">
        <v>12398.400000000001</v>
      </c>
      <c r="F68">
        <v>13.246958655048484</v>
      </c>
      <c r="G68">
        <v>13686.757682396094</v>
      </c>
      <c r="H68">
        <v>13.718529295529411</v>
      </c>
      <c r="I68">
        <v>14173.984468140989</v>
      </c>
      <c r="J68">
        <v>5.4293002313804308</v>
      </c>
      <c r="K68">
        <v>5609.5529990622617</v>
      </c>
      <c r="L68">
        <v>6.5417880176624035</v>
      </c>
      <c r="M68">
        <v>6758.9753798487955</v>
      </c>
      <c r="N68">
        <v>8.1880619211947288</v>
      </c>
      <c r="O68">
        <v>8459.9055769783936</v>
      </c>
      <c r="P68">
        <v>4.4709280339944835</v>
      </c>
      <c r="Q68">
        <v>4619.3628447231004</v>
      </c>
      <c r="R68">
        <v>7.3063837673094589</v>
      </c>
      <c r="S68">
        <v>7548.9557083841337</v>
      </c>
      <c r="T68">
        <v>8.5390825353468003</v>
      </c>
      <c r="U68">
        <v>8822.5800755203145</v>
      </c>
      <c r="V68">
        <v>10.088862010043504</v>
      </c>
      <c r="W68">
        <v>10423.812228776949</v>
      </c>
      <c r="X68">
        <v>9.2835720030799145</v>
      </c>
      <c r="Y68">
        <v>9591.7865935821683</v>
      </c>
      <c r="Z68">
        <v>7.409704842466498</v>
      </c>
      <c r="AA68">
        <v>7655.7070432363862</v>
      </c>
      <c r="AB68">
        <v>6.138350634732352</v>
      </c>
      <c r="AC68">
        <v>6342.1438758054665</v>
      </c>
      <c r="AD68">
        <v>8.1597295270037442</v>
      </c>
      <c r="AE68">
        <v>8430.6325473002689</v>
      </c>
      <c r="AF68">
        <v>6.4671369832266157</v>
      </c>
      <c r="AG68">
        <v>6681.8459310697399</v>
      </c>
      <c r="AH68">
        <v>7.3430053717077977</v>
      </c>
      <c r="AI68">
        <v>7586.7931500484965</v>
      </c>
      <c r="AJ68">
        <v>5.2199840396898951</v>
      </c>
      <c r="AK68">
        <v>5393.2875098076001</v>
      </c>
      <c r="AL68">
        <v>8.6697126224414784</v>
      </c>
      <c r="AM68">
        <v>8957.5470815065364</v>
      </c>
      <c r="AN68">
        <v>5.8752784646723937</v>
      </c>
      <c r="AO68">
        <v>6070.3377096995173</v>
      </c>
      <c r="AP68">
        <v>8.6142264616578519</v>
      </c>
      <c r="AQ68">
        <v>8900.2187801848922</v>
      </c>
      <c r="AR68">
        <v>7.0794103070823899</v>
      </c>
      <c r="AS68">
        <v>7314.4467292775253</v>
      </c>
      <c r="AT68">
        <v>6.2925333549978468</v>
      </c>
      <c r="AU68">
        <v>6501.4454623837755</v>
      </c>
      <c r="AV68">
        <v>7.3625867193656855</v>
      </c>
      <c r="AW68">
        <v>7607.0245984486264</v>
      </c>
      <c r="AX68">
        <v>7.5278125538816516</v>
      </c>
      <c r="AY68">
        <v>7777.735930670523</v>
      </c>
      <c r="AZ68">
        <v>7.4992596165188088</v>
      </c>
      <c r="BA68">
        <v>7748.2350357872338</v>
      </c>
      <c r="BB68">
        <v>5.8515667587133224</v>
      </c>
      <c r="BC68">
        <v>6045.8387751026048</v>
      </c>
      <c r="BD68">
        <v>9.8834723895832841</v>
      </c>
      <c r="BE68">
        <v>10211.60367291745</v>
      </c>
      <c r="BF68">
        <v>5.3238769259167329</v>
      </c>
      <c r="BG68">
        <v>5500.6296398571685</v>
      </c>
      <c r="BH68">
        <v>7.0024601950488856</v>
      </c>
      <c r="BI68">
        <v>7234.941873524509</v>
      </c>
      <c r="BJ68">
        <v>4.7066103143073326</v>
      </c>
      <c r="BK68">
        <v>4862.8697767423364</v>
      </c>
      <c r="BL68">
        <v>7.7117333271440769</v>
      </c>
      <c r="BM68">
        <v>7967.7628736052602</v>
      </c>
      <c r="BN68">
        <v>6.9660573036211</v>
      </c>
      <c r="BO68">
        <v>7197.3304061013205</v>
      </c>
      <c r="BP68">
        <v>7.0533255233422194</v>
      </c>
      <c r="BQ68">
        <v>7287.4959307171812</v>
      </c>
      <c r="BR68">
        <v>7.5666465075326288</v>
      </c>
      <c r="BS68">
        <v>7817.8591715827124</v>
      </c>
      <c r="BT68">
        <v>5.9572797106900772</v>
      </c>
      <c r="BU68">
        <v>6155.0613970849881</v>
      </c>
      <c r="BV68">
        <v>5.9870909519445732</v>
      </c>
      <c r="BW68">
        <v>6185.8623715491331</v>
      </c>
      <c r="BX68">
        <v>6.212865276912809</v>
      </c>
      <c r="BY68">
        <v>6419.1324041063144</v>
      </c>
      <c r="BZ68">
        <v>4.9154492271853902</v>
      </c>
      <c r="CA68">
        <v>5078.6421415279456</v>
      </c>
      <c r="CB68">
        <v>7.6237489925462434</v>
      </c>
      <c r="CC68">
        <v>7876.8574590987791</v>
      </c>
      <c r="CD68">
        <v>4.4202721991265657</v>
      </c>
      <c r="CE68">
        <v>4567.0252361375678</v>
      </c>
      <c r="CF68">
        <v>7.1641936640534372</v>
      </c>
      <c r="CG68">
        <v>7402.0448937000119</v>
      </c>
      <c r="CH68">
        <v>6.1777298204660447</v>
      </c>
      <c r="CI68">
        <v>6382.8304505055175</v>
      </c>
      <c r="CJ68">
        <v>4.5595287419852282</v>
      </c>
      <c r="CK68">
        <v>4710.9050962191377</v>
      </c>
      <c r="CL68">
        <v>5.8543700003853036</v>
      </c>
      <c r="CM68">
        <v>6048.7350843980958</v>
      </c>
      <c r="CN68">
        <v>6.0588471061626796</v>
      </c>
      <c r="CO68">
        <v>6260.0008300872805</v>
      </c>
      <c r="CP68">
        <v>4.4605563699553912</v>
      </c>
      <c r="CQ68">
        <v>4608.6468414379106</v>
      </c>
      <c r="CR68">
        <v>7.9116701521471819</v>
      </c>
      <c r="CS68">
        <v>8174.3376011984683</v>
      </c>
      <c r="CT68">
        <v>7.8711864598481833</v>
      </c>
      <c r="CU68">
        <v>8132.509850315143</v>
      </c>
    </row>
    <row r="69" spans="2:99" x14ac:dyDescent="0.2">
      <c r="C69" s="119" t="s">
        <v>235</v>
      </c>
      <c r="D69">
        <v>12</v>
      </c>
      <c r="E69">
        <v>9100.7999999999993</v>
      </c>
      <c r="F69">
        <v>16.284952294286711</v>
      </c>
      <c r="G69">
        <v>12350.50781998704</v>
      </c>
      <c r="H69">
        <v>15.521074116746867</v>
      </c>
      <c r="I69">
        <v>11771.182610140824</v>
      </c>
      <c r="J69">
        <v>6.416445727995054</v>
      </c>
      <c r="K69">
        <v>4866.2324401114483</v>
      </c>
      <c r="L69">
        <v>7.2686533529582258</v>
      </c>
      <c r="M69">
        <v>5512.5467028835183</v>
      </c>
      <c r="N69">
        <v>8.6697126224414784</v>
      </c>
      <c r="O69">
        <v>6575.1100528596171</v>
      </c>
      <c r="P69">
        <v>5.365113640793381</v>
      </c>
      <c r="Q69">
        <v>4068.9021851777002</v>
      </c>
      <c r="R69">
        <v>8.6763307236799818</v>
      </c>
      <c r="S69">
        <v>6580.1292208388977</v>
      </c>
      <c r="T69">
        <v>9.0134760095327344</v>
      </c>
      <c r="U69">
        <v>6835.8202056296259</v>
      </c>
      <c r="V69">
        <v>9.4953995388644756</v>
      </c>
      <c r="W69">
        <v>7201.3110102748178</v>
      </c>
      <c r="X69">
        <v>9.8637952532724089</v>
      </c>
      <c r="Y69">
        <v>7480.7023200817948</v>
      </c>
      <c r="Z69">
        <v>7.9036851652975972</v>
      </c>
      <c r="AA69">
        <v>5994.1548293616979</v>
      </c>
      <c r="AB69">
        <v>6.138350634732352</v>
      </c>
      <c r="AC69">
        <v>4655.3251213810154</v>
      </c>
      <c r="AD69">
        <v>7.6497464315660091</v>
      </c>
      <c r="AE69">
        <v>5801.5676936996615</v>
      </c>
      <c r="AF69">
        <v>7.1138506815492768</v>
      </c>
      <c r="AG69">
        <v>5395.1443568869718</v>
      </c>
      <c r="AH69">
        <v>7.3430053717077977</v>
      </c>
      <c r="AI69">
        <v>5568.9352739031938</v>
      </c>
      <c r="AJ69">
        <v>4.6979856357209053</v>
      </c>
      <c r="AK69">
        <v>3562.9523061307345</v>
      </c>
      <c r="AL69">
        <v>8.002811651484441</v>
      </c>
      <c r="AM69">
        <v>6069.3323564858001</v>
      </c>
      <c r="AN69">
        <v>5.3411622406112675</v>
      </c>
      <c r="AO69">
        <v>4050.737443279585</v>
      </c>
      <c r="AP69">
        <v>9.0927945984166207</v>
      </c>
      <c r="AQ69">
        <v>6895.9754234391648</v>
      </c>
      <c r="AR69">
        <v>7.5850824718739895</v>
      </c>
      <c r="AS69">
        <v>5752.5265466692335</v>
      </c>
      <c r="AT69">
        <v>7.5510400259974153</v>
      </c>
      <c r="AU69">
        <v>5726.7087557164396</v>
      </c>
      <c r="AV69">
        <v>7.3625867193656855</v>
      </c>
      <c r="AW69">
        <v>5583.785767966936</v>
      </c>
      <c r="AX69">
        <v>8.0296667241404283</v>
      </c>
      <c r="AY69">
        <v>6089.6992435881002</v>
      </c>
      <c r="AZ69">
        <v>6.9223934921712091</v>
      </c>
      <c r="BA69">
        <v>5249.943224462645</v>
      </c>
      <c r="BB69">
        <v>6.301687278614347</v>
      </c>
      <c r="BC69">
        <v>4779.1996321011202</v>
      </c>
      <c r="BD69">
        <v>10.403655146929774</v>
      </c>
      <c r="BE69">
        <v>7890.1320634315398</v>
      </c>
      <c r="BF69">
        <v>5.8078657373637075</v>
      </c>
      <c r="BG69">
        <v>4404.6853752166353</v>
      </c>
      <c r="BH69">
        <v>7.5026359232666637</v>
      </c>
      <c r="BI69">
        <v>5689.9990842054376</v>
      </c>
      <c r="BJ69">
        <v>4.7066103143073326</v>
      </c>
      <c r="BK69">
        <v>3569.4932623706809</v>
      </c>
      <c r="BL69">
        <v>8.2625714219400823</v>
      </c>
      <c r="BM69">
        <v>6266.3341663993579</v>
      </c>
      <c r="BN69">
        <v>6.9660573036211</v>
      </c>
      <c r="BO69">
        <v>5283.0578590662417</v>
      </c>
      <c r="BP69">
        <v>7.0533255233422194</v>
      </c>
      <c r="BQ69">
        <v>5349.2420769027394</v>
      </c>
      <c r="BR69">
        <v>7.5666465075326288</v>
      </c>
      <c r="BS69">
        <v>5738.5447113127457</v>
      </c>
      <c r="BT69">
        <v>5.9572797106900772</v>
      </c>
      <c r="BU69">
        <v>4518.0009325873543</v>
      </c>
      <c r="BV69">
        <v>6.9849394439353354</v>
      </c>
      <c r="BW69">
        <v>5297.3780742805584</v>
      </c>
      <c r="BX69">
        <v>7.544193550536983</v>
      </c>
      <c r="BY69">
        <v>5721.5163887272474</v>
      </c>
      <c r="BZ69">
        <v>4.9154492271853902</v>
      </c>
      <c r="CA69">
        <v>3727.8766938973999</v>
      </c>
      <c r="CB69">
        <v>7.6237489925462434</v>
      </c>
      <c r="CC69">
        <v>5781.8512359470706</v>
      </c>
      <c r="CD69">
        <v>4.4202721991265657</v>
      </c>
      <c r="CE69">
        <v>3352.3344358175873</v>
      </c>
      <c r="CF69">
        <v>7.1641936640534372</v>
      </c>
      <c r="CG69">
        <v>5433.3244748181269</v>
      </c>
      <c r="CH69">
        <v>6.6925406388382145</v>
      </c>
      <c r="CI69">
        <v>5075.622820494902</v>
      </c>
      <c r="CJ69">
        <v>4.5595287419852282</v>
      </c>
      <c r="CK69">
        <v>3457.946597921597</v>
      </c>
      <c r="CL69">
        <v>5.3221545458048221</v>
      </c>
      <c r="CM69">
        <v>4036.322007538377</v>
      </c>
      <c r="CN69">
        <v>6.4627702465735259</v>
      </c>
      <c r="CO69">
        <v>4901.3649550013615</v>
      </c>
      <c r="CP69">
        <v>4.4605563699553912</v>
      </c>
      <c r="CQ69">
        <v>3382.8859509741687</v>
      </c>
      <c r="CR69">
        <v>8.3512073828220252</v>
      </c>
      <c r="CS69">
        <v>6333.5556791322233</v>
      </c>
      <c r="CT69">
        <v>8.8550847673292061</v>
      </c>
      <c r="CU69">
        <v>6715.6962875424697</v>
      </c>
    </row>
    <row r="70" spans="2:99" x14ac:dyDescent="0.2">
      <c r="C70" s="119" t="s">
        <v>236</v>
      </c>
      <c r="D70">
        <v>13</v>
      </c>
      <c r="E70">
        <v>6957.5999999999995</v>
      </c>
      <c r="F70">
        <v>15.265955474667599</v>
      </c>
      <c r="G70">
        <v>8170.3393700420984</v>
      </c>
      <c r="H70">
        <v>13.708680251756645</v>
      </c>
      <c r="I70">
        <v>7336.8856707401555</v>
      </c>
      <c r="J70">
        <v>6.416445727995054</v>
      </c>
      <c r="K70">
        <v>3434.0817536229524</v>
      </c>
      <c r="L70">
        <v>6.5417880176624035</v>
      </c>
      <c r="M70">
        <v>3501.1649470529178</v>
      </c>
      <c r="N70">
        <v>9.1513633236882264</v>
      </c>
      <c r="O70">
        <v>4897.8096508379385</v>
      </c>
      <c r="P70">
        <v>4.9180208373939323</v>
      </c>
      <c r="Q70">
        <v>2632.1247521732321</v>
      </c>
      <c r="R70">
        <v>7.7630327527662999</v>
      </c>
      <c r="S70">
        <v>4154.7751292805233</v>
      </c>
      <c r="T70">
        <v>9.4878694837186668</v>
      </c>
      <c r="U70">
        <v>5077.9077476862294</v>
      </c>
      <c r="V70">
        <v>10.682324481222535</v>
      </c>
      <c r="W70">
        <v>5717.1800623503004</v>
      </c>
      <c r="X70">
        <v>11.024241753657398</v>
      </c>
      <c r="Y70">
        <v>5900.1741865574386</v>
      </c>
      <c r="Z70">
        <v>7.409704842466498</v>
      </c>
      <c r="AA70">
        <v>3965.6740316880691</v>
      </c>
      <c r="AB70">
        <v>7.2544143865018711</v>
      </c>
      <c r="AC70">
        <v>3882.5625796558011</v>
      </c>
      <c r="AD70">
        <v>7.6497464315660091</v>
      </c>
      <c r="AE70">
        <v>4094.1442901741275</v>
      </c>
      <c r="AF70">
        <v>7.1138506815492768</v>
      </c>
      <c r="AG70">
        <v>3807.3328847651724</v>
      </c>
      <c r="AH70">
        <v>7.8325390631549849</v>
      </c>
      <c r="AI70">
        <v>4191.974906600547</v>
      </c>
      <c r="AJ70">
        <v>5.7419824436588849</v>
      </c>
      <c r="AK70">
        <v>3073.1090038462348</v>
      </c>
      <c r="AL70">
        <v>8.002811651484441</v>
      </c>
      <c r="AM70">
        <v>4283.1047958744721</v>
      </c>
      <c r="AN70">
        <v>6.4093946887335207</v>
      </c>
      <c r="AO70">
        <v>3430.3080374101796</v>
      </c>
      <c r="AP70">
        <v>8.6142264616578519</v>
      </c>
      <c r="AQ70">
        <v>4610.3340022792818</v>
      </c>
      <c r="AR70">
        <v>7.5850824718739895</v>
      </c>
      <c r="AS70">
        <v>4059.5361389469585</v>
      </c>
      <c r="AT70">
        <v>7.1315378023308922</v>
      </c>
      <c r="AU70">
        <v>3816.7990318074931</v>
      </c>
      <c r="AV70">
        <v>7.8227483893260406</v>
      </c>
      <c r="AW70">
        <v>4186.734937967296</v>
      </c>
      <c r="AX70">
        <v>8.0296667241404283</v>
      </c>
      <c r="AY70">
        <v>4297.4776307599568</v>
      </c>
      <c r="AZ70">
        <v>7.4992596165188088</v>
      </c>
      <c r="BA70">
        <v>4013.6037467608658</v>
      </c>
      <c r="BB70">
        <v>5.8515667587133224</v>
      </c>
      <c r="BC70">
        <v>3131.7585292633698</v>
      </c>
      <c r="BD70">
        <v>8.8431068748903066</v>
      </c>
      <c r="BE70">
        <v>4732.8307994412917</v>
      </c>
      <c r="BF70">
        <v>5.8078657373637075</v>
      </c>
      <c r="BG70">
        <v>3108.3697426370559</v>
      </c>
      <c r="BH70">
        <v>6.5022844668311084</v>
      </c>
      <c r="BI70">
        <v>3480.022646648009</v>
      </c>
      <c r="BJ70">
        <v>5.6479323771687993</v>
      </c>
      <c r="BK70">
        <v>3022.7734082607408</v>
      </c>
      <c r="BL70">
        <v>7.7117333271440769</v>
      </c>
      <c r="BM70">
        <v>4127.3196766875099</v>
      </c>
      <c r="BN70">
        <v>6.0953001406684626</v>
      </c>
      <c r="BO70">
        <v>3262.2046352857606</v>
      </c>
      <c r="BP70">
        <v>7.0533255233422194</v>
      </c>
      <c r="BQ70">
        <v>3774.9398200927553</v>
      </c>
      <c r="BR70">
        <v>7.5666465075326288</v>
      </c>
      <c r="BS70">
        <v>4049.6692108314624</v>
      </c>
      <c r="BT70">
        <v>6.453719686580917</v>
      </c>
      <c r="BU70">
        <v>3454.0307762581065</v>
      </c>
      <c r="BV70">
        <v>6.4860151979399543</v>
      </c>
      <c r="BW70">
        <v>3471.315333937463</v>
      </c>
      <c r="BX70">
        <v>6.6566413681208676</v>
      </c>
      <c r="BY70">
        <v>3562.634460218288</v>
      </c>
      <c r="BZ70">
        <v>5.8985390726224676</v>
      </c>
      <c r="CA70">
        <v>3156.8981116675441</v>
      </c>
      <c r="CB70">
        <v>7.6237489925462434</v>
      </c>
      <c r="CC70">
        <v>4080.2304608107488</v>
      </c>
      <c r="CD70">
        <v>4.9114135545850734</v>
      </c>
      <c r="CE70">
        <v>2628.588534413931</v>
      </c>
      <c r="CF70">
        <v>7.1641936640534372</v>
      </c>
      <c r="CG70">
        <v>3834.2764490013992</v>
      </c>
      <c r="CH70">
        <v>6.1777298204660447</v>
      </c>
      <c r="CI70">
        <v>3306.3209999134265</v>
      </c>
      <c r="CJ70">
        <v>5.0154816161837514</v>
      </c>
      <c r="CK70">
        <v>2684.2857609815433</v>
      </c>
      <c r="CL70">
        <v>5.3221545458048221</v>
      </c>
      <c r="CM70">
        <v>2848.4171129147403</v>
      </c>
      <c r="CN70">
        <v>6.0588471061626796</v>
      </c>
      <c r="CO70">
        <v>3242.6949712182659</v>
      </c>
      <c r="CP70">
        <v>5.4517911188343673</v>
      </c>
      <c r="CQ70">
        <v>2917.7986068001528</v>
      </c>
      <c r="CR70">
        <v>7.9116701521471819</v>
      </c>
      <c r="CS70">
        <v>4234.3258654291712</v>
      </c>
      <c r="CT70">
        <v>7.8711864598481833</v>
      </c>
      <c r="CU70">
        <v>4212.6589933107471</v>
      </c>
    </row>
    <row r="71" spans="2:99" x14ac:dyDescent="0.2">
      <c r="B71" s="119" t="s">
        <v>130</v>
      </c>
      <c r="C71" s="119" t="s">
        <v>237</v>
      </c>
      <c r="D71">
        <v>22.605481583804572</v>
      </c>
      <c r="E71">
        <v>12749.491613265778</v>
      </c>
      <c r="F71">
        <v>19</v>
      </c>
      <c r="G71">
        <v>10716</v>
      </c>
      <c r="H71">
        <v>14</v>
      </c>
      <c r="I71">
        <v>7896</v>
      </c>
      <c r="J71">
        <v>22</v>
      </c>
      <c r="K71">
        <v>12408</v>
      </c>
      <c r="L71">
        <v>22</v>
      </c>
      <c r="M71">
        <v>12408</v>
      </c>
      <c r="N71">
        <v>19</v>
      </c>
      <c r="O71">
        <v>10716</v>
      </c>
      <c r="P71">
        <v>20</v>
      </c>
      <c r="Q71">
        <v>11280</v>
      </c>
      <c r="R71">
        <v>24</v>
      </c>
      <c r="S71">
        <v>13536</v>
      </c>
      <c r="T71">
        <v>22</v>
      </c>
      <c r="U71">
        <v>12408</v>
      </c>
      <c r="V71">
        <v>16</v>
      </c>
      <c r="W71">
        <v>9024</v>
      </c>
      <c r="X71">
        <v>22</v>
      </c>
      <c r="Y71">
        <v>12408</v>
      </c>
      <c r="Z71">
        <v>26</v>
      </c>
      <c r="AA71">
        <v>14664</v>
      </c>
      <c r="AB71">
        <v>18</v>
      </c>
      <c r="AC71">
        <v>10152</v>
      </c>
      <c r="AD71">
        <v>22</v>
      </c>
      <c r="AE71">
        <v>12408</v>
      </c>
      <c r="AF71">
        <v>13</v>
      </c>
      <c r="AG71">
        <v>7332</v>
      </c>
      <c r="AH71">
        <v>22</v>
      </c>
      <c r="AI71">
        <v>12408</v>
      </c>
      <c r="AJ71">
        <v>24</v>
      </c>
      <c r="AK71">
        <v>13536</v>
      </c>
      <c r="AL71">
        <v>21</v>
      </c>
      <c r="AM71">
        <v>11844</v>
      </c>
      <c r="AN71">
        <v>19</v>
      </c>
      <c r="AO71">
        <v>10716</v>
      </c>
      <c r="AP71">
        <v>18</v>
      </c>
      <c r="AQ71">
        <v>10152</v>
      </c>
      <c r="AR71">
        <v>24</v>
      </c>
      <c r="AS71">
        <v>13536</v>
      </c>
      <c r="AT71">
        <v>13</v>
      </c>
      <c r="AU71">
        <v>7332</v>
      </c>
      <c r="AV71">
        <v>16</v>
      </c>
      <c r="AW71">
        <v>9024</v>
      </c>
      <c r="AX71">
        <v>20</v>
      </c>
      <c r="AY71">
        <v>11280</v>
      </c>
      <c r="AZ71">
        <v>18</v>
      </c>
      <c r="BA71">
        <v>10152</v>
      </c>
      <c r="BB71">
        <v>24</v>
      </c>
      <c r="BC71">
        <v>13536</v>
      </c>
      <c r="BD71">
        <v>25</v>
      </c>
      <c r="BE71">
        <v>14100</v>
      </c>
      <c r="BF71">
        <v>22</v>
      </c>
      <c r="BG71">
        <v>12408</v>
      </c>
      <c r="BH71">
        <v>16</v>
      </c>
      <c r="BI71">
        <v>9024</v>
      </c>
      <c r="BJ71">
        <v>15</v>
      </c>
      <c r="BK71">
        <v>8460</v>
      </c>
      <c r="BL71">
        <v>14</v>
      </c>
      <c r="BM71">
        <v>7896</v>
      </c>
      <c r="BN71">
        <v>17</v>
      </c>
      <c r="BO71">
        <v>9588</v>
      </c>
      <c r="BP71">
        <v>18</v>
      </c>
      <c r="BQ71">
        <v>10152</v>
      </c>
      <c r="BR71">
        <v>13</v>
      </c>
      <c r="BS71">
        <v>7332</v>
      </c>
      <c r="BT71">
        <v>20</v>
      </c>
      <c r="BU71">
        <v>11280</v>
      </c>
      <c r="BV71">
        <v>18</v>
      </c>
      <c r="BW71">
        <v>10152</v>
      </c>
      <c r="BX71">
        <v>27</v>
      </c>
      <c r="BY71">
        <v>15228</v>
      </c>
      <c r="BZ71">
        <v>16</v>
      </c>
      <c r="CA71">
        <v>9024</v>
      </c>
      <c r="CB71">
        <v>16</v>
      </c>
      <c r="CC71">
        <v>9024</v>
      </c>
      <c r="CD71">
        <v>21</v>
      </c>
      <c r="CE71">
        <v>11844</v>
      </c>
      <c r="CF71">
        <v>15</v>
      </c>
      <c r="CG71">
        <v>8460</v>
      </c>
      <c r="CH71">
        <v>22</v>
      </c>
      <c r="CI71">
        <v>12408</v>
      </c>
      <c r="CJ71">
        <v>27</v>
      </c>
      <c r="CK71">
        <v>15228</v>
      </c>
      <c r="CL71">
        <v>14</v>
      </c>
      <c r="CM71">
        <v>7896</v>
      </c>
      <c r="CN71">
        <v>24</v>
      </c>
      <c r="CO71">
        <v>13536</v>
      </c>
      <c r="CP71">
        <v>27</v>
      </c>
      <c r="CQ71">
        <v>15228</v>
      </c>
      <c r="CR71">
        <v>21</v>
      </c>
      <c r="CS71">
        <v>11844</v>
      </c>
      <c r="CT71">
        <v>24</v>
      </c>
      <c r="CU71">
        <v>13536</v>
      </c>
    </row>
    <row r="72" spans="2:99" x14ac:dyDescent="0.2">
      <c r="C72" s="119" t="s">
        <v>238</v>
      </c>
      <c r="D72">
        <v>25.639119449571492</v>
      </c>
      <c r="E72">
        <v>1907.5504870481188</v>
      </c>
      <c r="F72">
        <v>23</v>
      </c>
      <c r="G72">
        <v>1711.1999999999998</v>
      </c>
      <c r="H72">
        <v>15</v>
      </c>
      <c r="I72">
        <v>1115.9999999999998</v>
      </c>
      <c r="J72">
        <v>24</v>
      </c>
      <c r="K72">
        <v>1785.6</v>
      </c>
      <c r="L72">
        <v>27</v>
      </c>
      <c r="M72">
        <v>2008.7999999999997</v>
      </c>
      <c r="N72">
        <v>20</v>
      </c>
      <c r="O72">
        <v>1487.9999999999998</v>
      </c>
      <c r="P72">
        <v>20</v>
      </c>
      <c r="Q72">
        <v>1487.9999999999998</v>
      </c>
      <c r="R72">
        <v>27</v>
      </c>
      <c r="S72">
        <v>2008.7999999999997</v>
      </c>
      <c r="T72">
        <v>25</v>
      </c>
      <c r="U72">
        <v>1859.9999999999998</v>
      </c>
      <c r="V72">
        <v>19</v>
      </c>
      <c r="W72">
        <v>1413.6</v>
      </c>
      <c r="X72">
        <v>24</v>
      </c>
      <c r="Y72">
        <v>1785.6</v>
      </c>
      <c r="Z72">
        <v>24</v>
      </c>
      <c r="AA72">
        <v>1785.6</v>
      </c>
      <c r="AB72">
        <v>21</v>
      </c>
      <c r="AC72">
        <v>1562.3999999999999</v>
      </c>
      <c r="AD72">
        <v>26</v>
      </c>
      <c r="AE72">
        <v>1934.3999999999999</v>
      </c>
      <c r="AF72">
        <v>13</v>
      </c>
      <c r="AG72">
        <v>967.19999999999993</v>
      </c>
      <c r="AH72">
        <v>22</v>
      </c>
      <c r="AI72">
        <v>1636.7999999999997</v>
      </c>
      <c r="AJ72">
        <v>26</v>
      </c>
      <c r="AK72">
        <v>1934.3999999999999</v>
      </c>
      <c r="AL72">
        <v>22</v>
      </c>
      <c r="AM72">
        <v>1636.7999999999997</v>
      </c>
      <c r="AN72">
        <v>22</v>
      </c>
      <c r="AO72">
        <v>1636.7999999999997</v>
      </c>
      <c r="AP72">
        <v>18</v>
      </c>
      <c r="AQ72">
        <v>1339.1999999999998</v>
      </c>
      <c r="AR72">
        <v>23</v>
      </c>
      <c r="AS72">
        <v>1711.1999999999998</v>
      </c>
      <c r="AT72">
        <v>16</v>
      </c>
      <c r="AU72">
        <v>1190.3999999999999</v>
      </c>
      <c r="AV72">
        <v>18</v>
      </c>
      <c r="AW72">
        <v>1339.1999999999998</v>
      </c>
      <c r="AX72">
        <v>23</v>
      </c>
      <c r="AY72">
        <v>1711.1999999999998</v>
      </c>
      <c r="AZ72">
        <v>19</v>
      </c>
      <c r="BA72">
        <v>1413.6</v>
      </c>
      <c r="BB72">
        <v>26</v>
      </c>
      <c r="BC72">
        <v>1934.3999999999999</v>
      </c>
      <c r="BD72">
        <v>24</v>
      </c>
      <c r="BE72">
        <v>1785.6</v>
      </c>
      <c r="BF72">
        <v>24</v>
      </c>
      <c r="BG72">
        <v>1785.6</v>
      </c>
      <c r="BH72">
        <v>18</v>
      </c>
      <c r="BI72">
        <v>1339.1999999999998</v>
      </c>
      <c r="BJ72">
        <v>16</v>
      </c>
      <c r="BK72">
        <v>1190.3999999999999</v>
      </c>
      <c r="BL72">
        <v>17</v>
      </c>
      <c r="BM72">
        <v>1264.8</v>
      </c>
      <c r="BN72">
        <v>20</v>
      </c>
      <c r="BO72">
        <v>1487.9999999999998</v>
      </c>
      <c r="BP72">
        <v>17</v>
      </c>
      <c r="BQ72">
        <v>1264.8</v>
      </c>
      <c r="BR72">
        <v>16</v>
      </c>
      <c r="BS72">
        <v>1190.3999999999999</v>
      </c>
      <c r="BT72">
        <v>24</v>
      </c>
      <c r="BU72">
        <v>1785.6</v>
      </c>
      <c r="BV72">
        <v>20</v>
      </c>
      <c r="BW72">
        <v>1487.9999999999998</v>
      </c>
      <c r="BX72">
        <v>27</v>
      </c>
      <c r="BY72">
        <v>2008.7999999999997</v>
      </c>
      <c r="BZ72">
        <v>15</v>
      </c>
      <c r="CA72">
        <v>1115.9999999999998</v>
      </c>
      <c r="CB72">
        <v>17</v>
      </c>
      <c r="CC72">
        <v>1264.8</v>
      </c>
      <c r="CD72">
        <v>24</v>
      </c>
      <c r="CE72">
        <v>1785.6</v>
      </c>
      <c r="CF72">
        <v>16</v>
      </c>
      <c r="CG72">
        <v>1190.3999999999999</v>
      </c>
      <c r="CH72">
        <v>24</v>
      </c>
      <c r="CI72">
        <v>1785.6</v>
      </c>
      <c r="CJ72">
        <v>29</v>
      </c>
      <c r="CK72">
        <v>2157.6</v>
      </c>
      <c r="CL72">
        <v>15</v>
      </c>
      <c r="CM72">
        <v>1115.9999999999998</v>
      </c>
      <c r="CN72">
        <v>24</v>
      </c>
      <c r="CO72">
        <v>1785.6</v>
      </c>
      <c r="CP72">
        <v>29</v>
      </c>
      <c r="CQ72">
        <v>2157.6</v>
      </c>
      <c r="CR72">
        <v>25</v>
      </c>
      <c r="CS72">
        <v>1859.9999999999998</v>
      </c>
      <c r="CT72">
        <v>24</v>
      </c>
      <c r="CU72">
        <v>1785.6</v>
      </c>
    </row>
    <row r="73" spans="2:99" x14ac:dyDescent="0.2">
      <c r="C73" s="119" t="s">
        <v>239</v>
      </c>
      <c r="D73">
        <v>23.605481583804572</v>
      </c>
      <c r="E73">
        <v>13200.185301663516</v>
      </c>
      <c r="F73">
        <v>19</v>
      </c>
      <c r="G73">
        <v>10624.8</v>
      </c>
      <c r="H73">
        <v>16</v>
      </c>
      <c r="I73">
        <v>8947.1999999999989</v>
      </c>
      <c r="J73">
        <v>21</v>
      </c>
      <c r="K73">
        <v>11743.199999999999</v>
      </c>
      <c r="L73">
        <v>21</v>
      </c>
      <c r="M73">
        <v>11743.199999999999</v>
      </c>
      <c r="N73">
        <v>17</v>
      </c>
      <c r="O73">
        <v>9506.4</v>
      </c>
      <c r="P73">
        <v>19</v>
      </c>
      <c r="Q73">
        <v>10624.8</v>
      </c>
      <c r="R73">
        <v>24</v>
      </c>
      <c r="S73">
        <v>13420.8</v>
      </c>
      <c r="T73">
        <v>22</v>
      </c>
      <c r="U73">
        <v>12302.399999999998</v>
      </c>
      <c r="V73">
        <v>19</v>
      </c>
      <c r="W73">
        <v>10624.8</v>
      </c>
      <c r="X73">
        <v>22</v>
      </c>
      <c r="Y73">
        <v>12302.399999999998</v>
      </c>
      <c r="Z73">
        <v>24</v>
      </c>
      <c r="AA73">
        <v>13420.8</v>
      </c>
      <c r="AB73">
        <v>18</v>
      </c>
      <c r="AC73">
        <v>10065.599999999999</v>
      </c>
      <c r="AD73">
        <v>24</v>
      </c>
      <c r="AE73">
        <v>13420.8</v>
      </c>
      <c r="AF73">
        <v>12</v>
      </c>
      <c r="AG73">
        <v>6710.4</v>
      </c>
      <c r="AH73">
        <v>19</v>
      </c>
      <c r="AI73">
        <v>10624.8</v>
      </c>
      <c r="AJ73">
        <v>25</v>
      </c>
      <c r="AK73">
        <v>13979.999999999998</v>
      </c>
      <c r="AL73">
        <v>22</v>
      </c>
      <c r="AM73">
        <v>12302.399999999998</v>
      </c>
      <c r="AN73">
        <v>20</v>
      </c>
      <c r="AO73">
        <v>11183.999999999998</v>
      </c>
      <c r="AP73">
        <v>16</v>
      </c>
      <c r="AQ73">
        <v>8947.1999999999989</v>
      </c>
      <c r="AR73">
        <v>22</v>
      </c>
      <c r="AS73">
        <v>12302.399999999998</v>
      </c>
      <c r="AT73">
        <v>14</v>
      </c>
      <c r="AU73">
        <v>7828.7999999999993</v>
      </c>
      <c r="AV73">
        <v>17</v>
      </c>
      <c r="AW73">
        <v>9506.4</v>
      </c>
      <c r="AX73">
        <v>19</v>
      </c>
      <c r="AY73">
        <v>10624.8</v>
      </c>
      <c r="AZ73">
        <v>18</v>
      </c>
      <c r="BA73">
        <v>10065.599999999999</v>
      </c>
      <c r="BB73">
        <v>22</v>
      </c>
      <c r="BC73">
        <v>12302.399999999998</v>
      </c>
      <c r="BD73">
        <v>22</v>
      </c>
      <c r="BE73">
        <v>12302.399999999998</v>
      </c>
      <c r="BF73">
        <v>24</v>
      </c>
      <c r="BG73">
        <v>13420.8</v>
      </c>
      <c r="BH73">
        <v>16</v>
      </c>
      <c r="BI73">
        <v>8947.1999999999989</v>
      </c>
      <c r="BJ73">
        <v>17</v>
      </c>
      <c r="BK73">
        <v>9506.4</v>
      </c>
      <c r="BL73">
        <v>16</v>
      </c>
      <c r="BM73">
        <v>8947.1999999999989</v>
      </c>
      <c r="BN73">
        <v>19</v>
      </c>
      <c r="BO73">
        <v>10624.8</v>
      </c>
      <c r="BP73">
        <v>17</v>
      </c>
      <c r="BQ73">
        <v>9506.4</v>
      </c>
      <c r="BR73">
        <v>13</v>
      </c>
      <c r="BS73">
        <v>7269.5999999999995</v>
      </c>
      <c r="BT73">
        <v>24</v>
      </c>
      <c r="BU73">
        <v>13420.8</v>
      </c>
      <c r="BV73">
        <v>17</v>
      </c>
      <c r="BW73">
        <v>9506.4</v>
      </c>
      <c r="BX73">
        <v>28</v>
      </c>
      <c r="BY73">
        <v>15657.599999999999</v>
      </c>
      <c r="BZ73">
        <v>13</v>
      </c>
      <c r="CA73">
        <v>7269.5999999999995</v>
      </c>
      <c r="CB73">
        <v>15</v>
      </c>
      <c r="CC73">
        <v>8387.9999999999982</v>
      </c>
      <c r="CD73">
        <v>20</v>
      </c>
      <c r="CE73">
        <v>11183.999999999998</v>
      </c>
      <c r="CF73">
        <v>16</v>
      </c>
      <c r="CG73">
        <v>8947.1999999999989</v>
      </c>
      <c r="CH73">
        <v>21</v>
      </c>
      <c r="CI73">
        <v>11743.199999999999</v>
      </c>
      <c r="CJ73">
        <v>27</v>
      </c>
      <c r="CK73">
        <v>15098.399999999998</v>
      </c>
      <c r="CL73">
        <v>14</v>
      </c>
      <c r="CM73">
        <v>7828.7999999999993</v>
      </c>
      <c r="CN73">
        <v>22</v>
      </c>
      <c r="CO73">
        <v>12302.399999999998</v>
      </c>
      <c r="CP73">
        <v>28</v>
      </c>
      <c r="CQ73">
        <v>15657.599999999999</v>
      </c>
      <c r="CR73">
        <v>24</v>
      </c>
      <c r="CS73">
        <v>13420.8</v>
      </c>
      <c r="CT73">
        <v>26</v>
      </c>
      <c r="CU73">
        <v>14539.199999999999</v>
      </c>
    </row>
    <row r="74" spans="2:99" x14ac:dyDescent="0.2">
      <c r="C74" s="119" t="s">
        <v>240</v>
      </c>
      <c r="D74">
        <v>22.706395181105336</v>
      </c>
      <c r="E74">
        <v>9155.2185370216703</v>
      </c>
      <c r="F74">
        <v>21</v>
      </c>
      <c r="G74">
        <v>8467.1999999999989</v>
      </c>
      <c r="H74">
        <v>17</v>
      </c>
      <c r="I74">
        <v>6854.4</v>
      </c>
      <c r="J74">
        <v>24</v>
      </c>
      <c r="K74">
        <v>9676.7999999999993</v>
      </c>
      <c r="L74">
        <v>24</v>
      </c>
      <c r="M74">
        <v>9676.7999999999993</v>
      </c>
      <c r="N74">
        <v>20</v>
      </c>
      <c r="O74">
        <v>8064</v>
      </c>
      <c r="P74">
        <v>19</v>
      </c>
      <c r="Q74">
        <v>7660.8</v>
      </c>
      <c r="R74">
        <v>27</v>
      </c>
      <c r="S74">
        <v>10886.4</v>
      </c>
      <c r="T74">
        <v>23</v>
      </c>
      <c r="U74">
        <v>9273.6</v>
      </c>
      <c r="V74">
        <v>19</v>
      </c>
      <c r="W74">
        <v>7660.8</v>
      </c>
      <c r="X74">
        <v>23</v>
      </c>
      <c r="Y74">
        <v>9273.6</v>
      </c>
      <c r="Z74">
        <v>23</v>
      </c>
      <c r="AA74">
        <v>9273.6</v>
      </c>
      <c r="AB74">
        <v>20</v>
      </c>
      <c r="AC74">
        <v>8064</v>
      </c>
      <c r="AD74">
        <v>25</v>
      </c>
      <c r="AE74">
        <v>10080</v>
      </c>
      <c r="AF74">
        <v>14</v>
      </c>
      <c r="AG74">
        <v>5644.8</v>
      </c>
      <c r="AH74">
        <v>22</v>
      </c>
      <c r="AI74">
        <v>8870.4</v>
      </c>
      <c r="AJ74">
        <v>24</v>
      </c>
      <c r="AK74">
        <v>9676.7999999999993</v>
      </c>
      <c r="AL74">
        <v>24</v>
      </c>
      <c r="AM74">
        <v>9676.7999999999993</v>
      </c>
      <c r="AN74">
        <v>23</v>
      </c>
      <c r="AO74">
        <v>9273.6</v>
      </c>
      <c r="AP74">
        <v>17</v>
      </c>
      <c r="AQ74">
        <v>6854.4</v>
      </c>
      <c r="AR74">
        <v>25</v>
      </c>
      <c r="AS74">
        <v>10080</v>
      </c>
      <c r="AT74">
        <v>14</v>
      </c>
      <c r="AU74">
        <v>5644.8</v>
      </c>
      <c r="AV74">
        <v>17</v>
      </c>
      <c r="AW74">
        <v>6854.4</v>
      </c>
      <c r="AX74">
        <v>22</v>
      </c>
      <c r="AY74">
        <v>8870.4</v>
      </c>
      <c r="AZ74">
        <v>19</v>
      </c>
      <c r="BA74">
        <v>7660.8</v>
      </c>
      <c r="BB74">
        <v>24</v>
      </c>
      <c r="BC74">
        <v>9676.7999999999993</v>
      </c>
      <c r="BD74">
        <v>24</v>
      </c>
      <c r="BE74">
        <v>9676.7999999999993</v>
      </c>
      <c r="BF74">
        <v>23</v>
      </c>
      <c r="BG74">
        <v>9273.6</v>
      </c>
      <c r="BH74">
        <v>16</v>
      </c>
      <c r="BI74">
        <v>6451.2</v>
      </c>
      <c r="BJ74">
        <v>17</v>
      </c>
      <c r="BK74">
        <v>6854.4</v>
      </c>
      <c r="BL74">
        <v>17</v>
      </c>
      <c r="BM74">
        <v>6854.4</v>
      </c>
      <c r="BN74">
        <v>19</v>
      </c>
      <c r="BO74">
        <v>7660.8</v>
      </c>
      <c r="BP74">
        <v>19</v>
      </c>
      <c r="BQ74">
        <v>7660.8</v>
      </c>
      <c r="BR74">
        <v>15</v>
      </c>
      <c r="BS74">
        <v>6048</v>
      </c>
      <c r="BT74">
        <v>23</v>
      </c>
      <c r="BU74">
        <v>9273.6</v>
      </c>
      <c r="BV74">
        <v>16</v>
      </c>
      <c r="BW74">
        <v>6451.2</v>
      </c>
      <c r="BX74">
        <v>27</v>
      </c>
      <c r="BY74">
        <v>10886.4</v>
      </c>
      <c r="BZ74">
        <v>14</v>
      </c>
      <c r="CA74">
        <v>5644.8</v>
      </c>
      <c r="CB74">
        <v>17</v>
      </c>
      <c r="CC74">
        <v>6854.4</v>
      </c>
      <c r="CD74">
        <v>23</v>
      </c>
      <c r="CE74">
        <v>9273.6</v>
      </c>
      <c r="CF74">
        <v>15</v>
      </c>
      <c r="CG74">
        <v>6048</v>
      </c>
      <c r="CH74">
        <v>24</v>
      </c>
      <c r="CI74">
        <v>9676.7999999999993</v>
      </c>
      <c r="CJ74">
        <v>26</v>
      </c>
      <c r="CK74">
        <v>10483.199999999999</v>
      </c>
      <c r="CL74">
        <v>14</v>
      </c>
      <c r="CM74">
        <v>5644.8</v>
      </c>
      <c r="CN74">
        <v>24</v>
      </c>
      <c r="CO74">
        <v>9676.7999999999993</v>
      </c>
      <c r="CP74">
        <v>29</v>
      </c>
      <c r="CQ74">
        <v>11692.8</v>
      </c>
      <c r="CR74">
        <v>22</v>
      </c>
      <c r="CS74">
        <v>8870.4</v>
      </c>
      <c r="CT74">
        <v>24</v>
      </c>
      <c r="CU74">
        <v>9676.7999999999993</v>
      </c>
    </row>
    <row r="75" spans="2:99" x14ac:dyDescent="0.2">
      <c r="C75" s="119" t="s">
        <v>241</v>
      </c>
      <c r="D75">
        <v>23.706395181105336</v>
      </c>
      <c r="E75">
        <v>15247.95338048695</v>
      </c>
      <c r="F75">
        <v>21</v>
      </c>
      <c r="G75">
        <v>13507.199999999999</v>
      </c>
      <c r="H75">
        <v>14</v>
      </c>
      <c r="I75">
        <v>9004.7999999999993</v>
      </c>
      <c r="J75">
        <v>20</v>
      </c>
      <c r="K75">
        <v>12863.999999999998</v>
      </c>
      <c r="L75">
        <v>22</v>
      </c>
      <c r="M75">
        <v>14150.399999999998</v>
      </c>
      <c r="N75">
        <v>20</v>
      </c>
      <c r="O75">
        <v>12863.999999999998</v>
      </c>
      <c r="P75">
        <v>17</v>
      </c>
      <c r="Q75">
        <v>10934.4</v>
      </c>
      <c r="R75">
        <v>23</v>
      </c>
      <c r="S75">
        <v>14793.599999999999</v>
      </c>
      <c r="T75">
        <v>23</v>
      </c>
      <c r="U75">
        <v>14793.599999999999</v>
      </c>
      <c r="V75">
        <v>18</v>
      </c>
      <c r="W75">
        <v>11577.599999999999</v>
      </c>
      <c r="X75">
        <v>23</v>
      </c>
      <c r="Y75">
        <v>14793.599999999999</v>
      </c>
      <c r="Z75">
        <v>22</v>
      </c>
      <c r="AA75">
        <v>14150.399999999998</v>
      </c>
      <c r="AB75">
        <v>18</v>
      </c>
      <c r="AC75">
        <v>11577.599999999999</v>
      </c>
      <c r="AD75">
        <v>21</v>
      </c>
      <c r="AE75">
        <v>13507.199999999999</v>
      </c>
      <c r="AF75">
        <v>14</v>
      </c>
      <c r="AG75">
        <v>9004.7999999999993</v>
      </c>
      <c r="AH75">
        <v>21</v>
      </c>
      <c r="AI75">
        <v>13507.199999999999</v>
      </c>
      <c r="AJ75">
        <v>22</v>
      </c>
      <c r="AK75">
        <v>14150.399999999998</v>
      </c>
      <c r="AL75">
        <v>23</v>
      </c>
      <c r="AM75">
        <v>14793.599999999999</v>
      </c>
      <c r="AN75">
        <v>22</v>
      </c>
      <c r="AO75">
        <v>14150.399999999998</v>
      </c>
      <c r="AP75">
        <v>17</v>
      </c>
      <c r="AQ75">
        <v>10934.4</v>
      </c>
      <c r="AR75">
        <v>22</v>
      </c>
      <c r="AS75">
        <v>14150.399999999998</v>
      </c>
      <c r="AT75">
        <v>14</v>
      </c>
      <c r="AU75">
        <v>9004.7999999999993</v>
      </c>
      <c r="AV75">
        <v>17</v>
      </c>
      <c r="AW75">
        <v>10934.4</v>
      </c>
      <c r="AX75">
        <v>20</v>
      </c>
      <c r="AY75">
        <v>12863.999999999998</v>
      </c>
      <c r="AZ75">
        <v>19</v>
      </c>
      <c r="BA75">
        <v>12220.8</v>
      </c>
      <c r="BB75">
        <v>24</v>
      </c>
      <c r="BC75">
        <v>15436.8</v>
      </c>
      <c r="BD75">
        <v>24</v>
      </c>
      <c r="BE75">
        <v>15436.8</v>
      </c>
      <c r="BF75">
        <v>21</v>
      </c>
      <c r="BG75">
        <v>13507.199999999999</v>
      </c>
      <c r="BH75">
        <v>17</v>
      </c>
      <c r="BI75">
        <v>10934.4</v>
      </c>
      <c r="BJ75">
        <v>16</v>
      </c>
      <c r="BK75">
        <v>10291.199999999999</v>
      </c>
      <c r="BL75">
        <v>15</v>
      </c>
      <c r="BM75">
        <v>9647.9999999999982</v>
      </c>
      <c r="BN75">
        <v>18</v>
      </c>
      <c r="BO75">
        <v>11577.599999999999</v>
      </c>
      <c r="BP75">
        <v>17</v>
      </c>
      <c r="BQ75">
        <v>10934.4</v>
      </c>
      <c r="BR75">
        <v>13</v>
      </c>
      <c r="BS75">
        <v>8361.5999999999985</v>
      </c>
      <c r="BT75">
        <v>21</v>
      </c>
      <c r="BU75">
        <v>13507.199999999999</v>
      </c>
      <c r="BV75">
        <v>17</v>
      </c>
      <c r="BW75">
        <v>10934.4</v>
      </c>
      <c r="BX75">
        <v>24</v>
      </c>
      <c r="BY75">
        <v>15436.8</v>
      </c>
      <c r="BZ75">
        <v>15</v>
      </c>
      <c r="CA75">
        <v>9647.9999999999982</v>
      </c>
      <c r="CB75">
        <v>14</v>
      </c>
      <c r="CC75">
        <v>9004.7999999999993</v>
      </c>
      <c r="CD75">
        <v>22</v>
      </c>
      <c r="CE75">
        <v>14150.399999999998</v>
      </c>
      <c r="CF75">
        <v>14</v>
      </c>
      <c r="CG75">
        <v>9004.7999999999993</v>
      </c>
      <c r="CH75">
        <v>22</v>
      </c>
      <c r="CI75">
        <v>14150.399999999998</v>
      </c>
      <c r="CJ75">
        <v>26</v>
      </c>
      <c r="CK75">
        <v>16723.199999999997</v>
      </c>
      <c r="CL75">
        <v>13</v>
      </c>
      <c r="CM75">
        <v>8361.5999999999985</v>
      </c>
      <c r="CN75">
        <v>21</v>
      </c>
      <c r="CO75">
        <v>13507.199999999999</v>
      </c>
      <c r="CP75">
        <v>27</v>
      </c>
      <c r="CQ75">
        <v>17366.399999999998</v>
      </c>
      <c r="CR75">
        <v>21</v>
      </c>
      <c r="CS75">
        <v>13507.199999999999</v>
      </c>
      <c r="CT75">
        <v>23</v>
      </c>
      <c r="CU75">
        <v>14793.599999999999</v>
      </c>
    </row>
    <row r="76" spans="2:99" x14ac:dyDescent="0.2">
      <c r="C76" s="119" t="s">
        <v>242</v>
      </c>
      <c r="D76">
        <v>24.672757315338416</v>
      </c>
      <c r="E76">
        <v>19215.143397185559</v>
      </c>
      <c r="F76">
        <v>21</v>
      </c>
      <c r="G76">
        <v>16354.8</v>
      </c>
      <c r="H76">
        <v>15</v>
      </c>
      <c r="I76">
        <v>11682</v>
      </c>
      <c r="J76">
        <v>22</v>
      </c>
      <c r="K76">
        <v>17133.599999999999</v>
      </c>
      <c r="L76">
        <v>22</v>
      </c>
      <c r="M76">
        <v>17133.599999999999</v>
      </c>
      <c r="N76">
        <v>18</v>
      </c>
      <c r="O76">
        <v>14018.4</v>
      </c>
      <c r="P76">
        <v>20</v>
      </c>
      <c r="Q76">
        <v>15576</v>
      </c>
      <c r="R76">
        <v>26</v>
      </c>
      <c r="S76">
        <v>20248.8</v>
      </c>
      <c r="T76">
        <v>23</v>
      </c>
      <c r="U76">
        <v>17912.399999999998</v>
      </c>
      <c r="V76">
        <v>19</v>
      </c>
      <c r="W76">
        <v>14797.199999999999</v>
      </c>
      <c r="X76">
        <v>21</v>
      </c>
      <c r="Y76">
        <v>16354.8</v>
      </c>
      <c r="Z76">
        <v>25</v>
      </c>
      <c r="AA76">
        <v>19470</v>
      </c>
      <c r="AB76">
        <v>17</v>
      </c>
      <c r="AC76">
        <v>13239.599999999999</v>
      </c>
      <c r="AD76">
        <v>24</v>
      </c>
      <c r="AE76">
        <v>18691.199999999997</v>
      </c>
      <c r="AF76">
        <v>13</v>
      </c>
      <c r="AG76">
        <v>10124.4</v>
      </c>
      <c r="AH76">
        <v>19</v>
      </c>
      <c r="AI76">
        <v>14797.199999999999</v>
      </c>
      <c r="AJ76">
        <v>24</v>
      </c>
      <c r="AK76">
        <v>18691.199999999997</v>
      </c>
      <c r="AL76">
        <v>21</v>
      </c>
      <c r="AM76">
        <v>16354.8</v>
      </c>
      <c r="AN76">
        <v>21</v>
      </c>
      <c r="AO76">
        <v>16354.8</v>
      </c>
      <c r="AP76">
        <v>17</v>
      </c>
      <c r="AQ76">
        <v>13239.599999999999</v>
      </c>
      <c r="AR76">
        <v>24</v>
      </c>
      <c r="AS76">
        <v>18691.199999999997</v>
      </c>
      <c r="AT76">
        <v>14</v>
      </c>
      <c r="AU76">
        <v>10903.199999999999</v>
      </c>
      <c r="AV76">
        <v>16</v>
      </c>
      <c r="AW76">
        <v>12460.8</v>
      </c>
      <c r="AX76">
        <v>19</v>
      </c>
      <c r="AY76">
        <v>14797.199999999999</v>
      </c>
      <c r="AZ76">
        <v>18</v>
      </c>
      <c r="BA76">
        <v>14018.4</v>
      </c>
      <c r="BB76">
        <v>22</v>
      </c>
      <c r="BC76">
        <v>17133.599999999999</v>
      </c>
      <c r="BD76">
        <v>22</v>
      </c>
      <c r="BE76">
        <v>17133.599999999999</v>
      </c>
      <c r="BF76">
        <v>23</v>
      </c>
      <c r="BG76">
        <v>17912.399999999998</v>
      </c>
      <c r="BH76">
        <v>16</v>
      </c>
      <c r="BI76">
        <v>12460.8</v>
      </c>
      <c r="BJ76">
        <v>16</v>
      </c>
      <c r="BK76">
        <v>12460.8</v>
      </c>
      <c r="BL76">
        <v>14</v>
      </c>
      <c r="BM76">
        <v>10903.199999999999</v>
      </c>
      <c r="BN76">
        <v>17</v>
      </c>
      <c r="BO76">
        <v>13239.599999999999</v>
      </c>
      <c r="BP76">
        <v>16</v>
      </c>
      <c r="BQ76">
        <v>12460.8</v>
      </c>
      <c r="BR76">
        <v>12</v>
      </c>
      <c r="BS76">
        <v>9345.5999999999985</v>
      </c>
      <c r="BT76">
        <v>22</v>
      </c>
      <c r="BU76">
        <v>17133.599999999999</v>
      </c>
      <c r="BV76">
        <v>15</v>
      </c>
      <c r="BW76">
        <v>11682</v>
      </c>
      <c r="BX76">
        <v>27</v>
      </c>
      <c r="BY76">
        <v>21027.599999999999</v>
      </c>
      <c r="BZ76">
        <v>15</v>
      </c>
      <c r="CA76">
        <v>11682</v>
      </c>
      <c r="CB76">
        <v>15</v>
      </c>
      <c r="CC76">
        <v>11682</v>
      </c>
      <c r="CD76">
        <v>22</v>
      </c>
      <c r="CE76">
        <v>17133.599999999999</v>
      </c>
      <c r="CF76">
        <v>15</v>
      </c>
      <c r="CG76">
        <v>11682</v>
      </c>
      <c r="CH76">
        <v>20</v>
      </c>
      <c r="CI76">
        <v>15576</v>
      </c>
      <c r="CJ76">
        <v>26</v>
      </c>
      <c r="CK76">
        <v>20248.8</v>
      </c>
      <c r="CL76">
        <v>13</v>
      </c>
      <c r="CM76">
        <v>10124.4</v>
      </c>
      <c r="CN76">
        <v>22</v>
      </c>
      <c r="CO76">
        <v>17133.599999999999</v>
      </c>
      <c r="CP76">
        <v>23</v>
      </c>
      <c r="CQ76">
        <v>17912.399999999998</v>
      </c>
      <c r="CR76">
        <v>24</v>
      </c>
      <c r="CS76">
        <v>18691.199999999997</v>
      </c>
      <c r="CT76">
        <v>25</v>
      </c>
      <c r="CU76">
        <v>19470</v>
      </c>
    </row>
    <row r="77" spans="2:99" x14ac:dyDescent="0.2">
      <c r="C77" s="119" t="s">
        <v>243</v>
      </c>
      <c r="D77">
        <v>22.639119449571492</v>
      </c>
      <c r="E77">
        <v>6302.7308547607026</v>
      </c>
      <c r="F77">
        <v>22</v>
      </c>
      <c r="G77">
        <v>6124.7999999999993</v>
      </c>
      <c r="H77">
        <v>17</v>
      </c>
      <c r="I77">
        <v>4732.7999999999993</v>
      </c>
      <c r="J77">
        <v>23</v>
      </c>
      <c r="K77">
        <v>6403.2</v>
      </c>
      <c r="L77">
        <v>25</v>
      </c>
      <c r="M77">
        <v>6959.9999999999991</v>
      </c>
      <c r="N77">
        <v>19</v>
      </c>
      <c r="O77">
        <v>5289.5999999999995</v>
      </c>
      <c r="P77">
        <v>20</v>
      </c>
      <c r="Q77">
        <v>5568</v>
      </c>
      <c r="R77">
        <v>26</v>
      </c>
      <c r="S77">
        <v>7238.4</v>
      </c>
      <c r="T77">
        <v>23</v>
      </c>
      <c r="U77">
        <v>6403.2</v>
      </c>
      <c r="V77">
        <v>17</v>
      </c>
      <c r="W77">
        <v>4732.7999999999993</v>
      </c>
      <c r="X77">
        <v>22</v>
      </c>
      <c r="Y77">
        <v>6124.7999999999993</v>
      </c>
      <c r="Z77">
        <v>24</v>
      </c>
      <c r="AA77">
        <v>6681.5999999999995</v>
      </c>
      <c r="AB77">
        <v>19</v>
      </c>
      <c r="AC77">
        <v>5289.5999999999995</v>
      </c>
      <c r="AD77">
        <v>24</v>
      </c>
      <c r="AE77">
        <v>6681.5999999999995</v>
      </c>
      <c r="AF77">
        <v>14</v>
      </c>
      <c r="AG77">
        <v>3897.5999999999995</v>
      </c>
      <c r="AH77">
        <v>23</v>
      </c>
      <c r="AI77">
        <v>6403.2</v>
      </c>
      <c r="AJ77">
        <v>25</v>
      </c>
      <c r="AK77">
        <v>6959.9999999999991</v>
      </c>
      <c r="AL77">
        <v>21</v>
      </c>
      <c r="AM77">
        <v>5846.4</v>
      </c>
      <c r="AN77">
        <v>23</v>
      </c>
      <c r="AO77">
        <v>6403.2</v>
      </c>
      <c r="AP77">
        <v>17</v>
      </c>
      <c r="AQ77">
        <v>4732.7999999999993</v>
      </c>
      <c r="AR77">
        <v>26</v>
      </c>
      <c r="AS77">
        <v>7238.4</v>
      </c>
      <c r="AT77">
        <v>13</v>
      </c>
      <c r="AU77">
        <v>3619.2</v>
      </c>
      <c r="AV77">
        <v>15</v>
      </c>
      <c r="AW77">
        <v>4176</v>
      </c>
      <c r="AX77">
        <v>20</v>
      </c>
      <c r="AY77">
        <v>5568</v>
      </c>
      <c r="AZ77">
        <v>19</v>
      </c>
      <c r="BA77">
        <v>5289.5999999999995</v>
      </c>
      <c r="BB77">
        <v>22</v>
      </c>
      <c r="BC77">
        <v>6124.7999999999993</v>
      </c>
      <c r="BD77">
        <v>24</v>
      </c>
      <c r="BE77">
        <v>6681.5999999999995</v>
      </c>
      <c r="BF77">
        <v>26</v>
      </c>
      <c r="BG77">
        <v>7238.4</v>
      </c>
      <c r="BH77">
        <v>17</v>
      </c>
      <c r="BI77">
        <v>4732.7999999999993</v>
      </c>
      <c r="BJ77">
        <v>15</v>
      </c>
      <c r="BK77">
        <v>4176</v>
      </c>
      <c r="BL77">
        <v>17</v>
      </c>
      <c r="BM77">
        <v>4732.7999999999993</v>
      </c>
      <c r="BN77">
        <v>20</v>
      </c>
      <c r="BO77">
        <v>5568</v>
      </c>
      <c r="BP77">
        <v>17</v>
      </c>
      <c r="BQ77">
        <v>4732.7999999999993</v>
      </c>
      <c r="BR77">
        <v>15</v>
      </c>
      <c r="BS77">
        <v>4176</v>
      </c>
      <c r="BT77">
        <v>21</v>
      </c>
      <c r="BU77">
        <v>5846.4</v>
      </c>
      <c r="BV77">
        <v>17</v>
      </c>
      <c r="BW77">
        <v>4732.7999999999993</v>
      </c>
      <c r="BX77">
        <v>27</v>
      </c>
      <c r="BY77">
        <v>7516.7999999999993</v>
      </c>
      <c r="BZ77">
        <v>14</v>
      </c>
      <c r="CA77">
        <v>3897.5999999999995</v>
      </c>
      <c r="CB77">
        <v>15</v>
      </c>
      <c r="CC77">
        <v>4176</v>
      </c>
      <c r="CD77">
        <v>23</v>
      </c>
      <c r="CE77">
        <v>6403.2</v>
      </c>
      <c r="CF77">
        <v>17</v>
      </c>
      <c r="CG77">
        <v>4732.7999999999993</v>
      </c>
      <c r="CH77">
        <v>23</v>
      </c>
      <c r="CI77">
        <v>6403.2</v>
      </c>
      <c r="CJ77">
        <v>30</v>
      </c>
      <c r="CK77">
        <v>8352</v>
      </c>
      <c r="CL77">
        <v>16</v>
      </c>
      <c r="CM77">
        <v>4454.3999999999996</v>
      </c>
      <c r="CN77">
        <v>23</v>
      </c>
      <c r="CO77">
        <v>6403.2</v>
      </c>
      <c r="CP77">
        <v>26</v>
      </c>
      <c r="CQ77">
        <v>7238.4</v>
      </c>
      <c r="CR77">
        <v>23</v>
      </c>
      <c r="CS77">
        <v>6403.2</v>
      </c>
      <c r="CT77">
        <v>23</v>
      </c>
      <c r="CU77">
        <v>6403.2</v>
      </c>
    </row>
    <row r="78" spans="2:99" x14ac:dyDescent="0.2">
      <c r="C78" s="119" t="s">
        <v>244</v>
      </c>
      <c r="D78">
        <v>22.605481583804572</v>
      </c>
      <c r="E78">
        <v>12478.225834260124</v>
      </c>
      <c r="F78">
        <v>22</v>
      </c>
      <c r="G78">
        <v>12144</v>
      </c>
      <c r="H78">
        <v>15</v>
      </c>
      <c r="I78">
        <v>8280</v>
      </c>
      <c r="J78">
        <v>24</v>
      </c>
      <c r="K78">
        <v>13248</v>
      </c>
      <c r="L78">
        <v>21</v>
      </c>
      <c r="M78">
        <v>11592</v>
      </c>
      <c r="N78">
        <v>19</v>
      </c>
      <c r="O78">
        <v>10488</v>
      </c>
      <c r="P78">
        <v>18</v>
      </c>
      <c r="Q78">
        <v>9936</v>
      </c>
      <c r="R78">
        <v>24</v>
      </c>
      <c r="S78">
        <v>13248</v>
      </c>
      <c r="T78">
        <v>21</v>
      </c>
      <c r="U78">
        <v>11592</v>
      </c>
      <c r="V78">
        <v>19</v>
      </c>
      <c r="W78">
        <v>10488</v>
      </c>
      <c r="X78">
        <v>20</v>
      </c>
      <c r="Y78">
        <v>11040</v>
      </c>
      <c r="Z78">
        <v>26</v>
      </c>
      <c r="AA78">
        <v>14352</v>
      </c>
      <c r="AB78">
        <v>18</v>
      </c>
      <c r="AC78">
        <v>9936</v>
      </c>
      <c r="AD78">
        <v>24</v>
      </c>
      <c r="AE78">
        <v>13248</v>
      </c>
      <c r="AF78">
        <v>12</v>
      </c>
      <c r="AG78">
        <v>6624</v>
      </c>
      <c r="AH78">
        <v>22</v>
      </c>
      <c r="AI78">
        <v>12144</v>
      </c>
      <c r="AJ78">
        <v>25</v>
      </c>
      <c r="AK78">
        <v>13800</v>
      </c>
      <c r="AL78">
        <v>20</v>
      </c>
      <c r="AM78">
        <v>11040</v>
      </c>
      <c r="AN78">
        <v>21</v>
      </c>
      <c r="AO78">
        <v>11592</v>
      </c>
      <c r="AP78">
        <v>18</v>
      </c>
      <c r="AQ78">
        <v>9936</v>
      </c>
      <c r="AR78">
        <v>24</v>
      </c>
      <c r="AS78">
        <v>13248</v>
      </c>
      <c r="AT78">
        <v>15</v>
      </c>
      <c r="AU78">
        <v>8280</v>
      </c>
      <c r="AV78">
        <v>18</v>
      </c>
      <c r="AW78">
        <v>9936</v>
      </c>
      <c r="AX78">
        <v>23</v>
      </c>
      <c r="AY78">
        <v>12696</v>
      </c>
      <c r="AZ78">
        <v>17</v>
      </c>
      <c r="BA78">
        <v>9384</v>
      </c>
      <c r="BB78">
        <v>21</v>
      </c>
      <c r="BC78">
        <v>11592</v>
      </c>
      <c r="BD78">
        <v>25</v>
      </c>
      <c r="BE78">
        <v>13800</v>
      </c>
      <c r="BF78">
        <v>25</v>
      </c>
      <c r="BG78">
        <v>13800</v>
      </c>
      <c r="BH78">
        <v>17</v>
      </c>
      <c r="BI78">
        <v>9384</v>
      </c>
      <c r="BJ78">
        <v>16</v>
      </c>
      <c r="BK78">
        <v>8832</v>
      </c>
      <c r="BL78">
        <v>16</v>
      </c>
      <c r="BM78">
        <v>8832</v>
      </c>
      <c r="BN78">
        <v>20</v>
      </c>
      <c r="BO78">
        <v>11040</v>
      </c>
      <c r="BP78">
        <v>17</v>
      </c>
      <c r="BQ78">
        <v>9384</v>
      </c>
      <c r="BR78">
        <v>14</v>
      </c>
      <c r="BS78">
        <v>7728</v>
      </c>
      <c r="BT78">
        <v>24</v>
      </c>
      <c r="BU78">
        <v>13248</v>
      </c>
      <c r="BV78">
        <v>16</v>
      </c>
      <c r="BW78">
        <v>8832</v>
      </c>
      <c r="BX78">
        <v>24</v>
      </c>
      <c r="BY78">
        <v>13248</v>
      </c>
      <c r="BZ78">
        <v>15</v>
      </c>
      <c r="CA78">
        <v>8280</v>
      </c>
      <c r="CB78">
        <v>16</v>
      </c>
      <c r="CC78">
        <v>8832</v>
      </c>
      <c r="CD78">
        <v>23</v>
      </c>
      <c r="CE78">
        <v>12696</v>
      </c>
      <c r="CF78">
        <v>15</v>
      </c>
      <c r="CG78">
        <v>8280</v>
      </c>
      <c r="CH78">
        <v>20</v>
      </c>
      <c r="CI78">
        <v>11040</v>
      </c>
      <c r="CJ78">
        <v>29</v>
      </c>
      <c r="CK78">
        <v>16008</v>
      </c>
      <c r="CL78">
        <v>15</v>
      </c>
      <c r="CM78">
        <v>8280</v>
      </c>
      <c r="CN78">
        <v>22</v>
      </c>
      <c r="CO78">
        <v>12144</v>
      </c>
      <c r="CP78">
        <v>25</v>
      </c>
      <c r="CQ78">
        <v>13800</v>
      </c>
      <c r="CR78">
        <v>21</v>
      </c>
      <c r="CS78">
        <v>11592</v>
      </c>
      <c r="CT78">
        <v>26</v>
      </c>
      <c r="CU78">
        <v>14352</v>
      </c>
    </row>
    <row r="79" spans="2:99" x14ac:dyDescent="0.2">
      <c r="C79" s="119" t="s">
        <v>245</v>
      </c>
      <c r="D79">
        <v>20.672757315338416</v>
      </c>
      <c r="E79">
        <v>15653.411839174247</v>
      </c>
      <c r="F79">
        <v>18</v>
      </c>
      <c r="G79">
        <v>13629.599999999999</v>
      </c>
      <c r="H79">
        <v>16</v>
      </c>
      <c r="I79">
        <v>12115.199999999999</v>
      </c>
      <c r="J79">
        <v>21</v>
      </c>
      <c r="K79">
        <v>15901.199999999999</v>
      </c>
      <c r="L79">
        <v>24</v>
      </c>
      <c r="M79">
        <v>18172.8</v>
      </c>
      <c r="N79">
        <v>19</v>
      </c>
      <c r="O79">
        <v>14386.8</v>
      </c>
      <c r="P79">
        <v>17</v>
      </c>
      <c r="Q79">
        <v>12872.4</v>
      </c>
      <c r="R79">
        <v>22</v>
      </c>
      <c r="S79">
        <v>16658.399999999998</v>
      </c>
      <c r="T79">
        <v>22</v>
      </c>
      <c r="U79">
        <v>16658.399999999998</v>
      </c>
      <c r="V79">
        <v>16</v>
      </c>
      <c r="W79">
        <v>12115.199999999999</v>
      </c>
      <c r="X79">
        <v>23</v>
      </c>
      <c r="Y79">
        <v>17415.599999999999</v>
      </c>
      <c r="Z79">
        <v>24</v>
      </c>
      <c r="AA79">
        <v>18172.8</v>
      </c>
      <c r="AB79">
        <v>19</v>
      </c>
      <c r="AC79">
        <v>14386.8</v>
      </c>
      <c r="AD79">
        <v>24</v>
      </c>
      <c r="AE79">
        <v>18172.8</v>
      </c>
      <c r="AF79">
        <v>12</v>
      </c>
      <c r="AG79">
        <v>9086.4</v>
      </c>
      <c r="AH79">
        <v>20</v>
      </c>
      <c r="AI79">
        <v>15143.999999999998</v>
      </c>
      <c r="AJ79">
        <v>25</v>
      </c>
      <c r="AK79">
        <v>18930</v>
      </c>
      <c r="AL79">
        <v>19</v>
      </c>
      <c r="AM79">
        <v>14386.8</v>
      </c>
      <c r="AN79">
        <v>20</v>
      </c>
      <c r="AO79">
        <v>15143.999999999998</v>
      </c>
      <c r="AP79">
        <v>16</v>
      </c>
      <c r="AQ79">
        <v>12115.199999999999</v>
      </c>
      <c r="AR79">
        <v>24</v>
      </c>
      <c r="AS79">
        <v>18172.8</v>
      </c>
      <c r="AT79">
        <v>13</v>
      </c>
      <c r="AU79">
        <v>9843.5999999999985</v>
      </c>
      <c r="AV79">
        <v>15</v>
      </c>
      <c r="AW79">
        <v>11357.999999999998</v>
      </c>
      <c r="AX79">
        <v>20</v>
      </c>
      <c r="AY79">
        <v>15143.999999999998</v>
      </c>
      <c r="AZ79">
        <v>19</v>
      </c>
      <c r="BA79">
        <v>14386.8</v>
      </c>
      <c r="BB79">
        <v>22</v>
      </c>
      <c r="BC79">
        <v>16658.399999999998</v>
      </c>
      <c r="BD79">
        <v>22</v>
      </c>
      <c r="BE79">
        <v>16658.399999999998</v>
      </c>
      <c r="BF79">
        <v>21</v>
      </c>
      <c r="BG79">
        <v>15901.199999999999</v>
      </c>
      <c r="BH79">
        <v>16</v>
      </c>
      <c r="BI79">
        <v>12115.199999999999</v>
      </c>
      <c r="BJ79">
        <v>17</v>
      </c>
      <c r="BK79">
        <v>12872.4</v>
      </c>
      <c r="BL79">
        <v>13</v>
      </c>
      <c r="BM79">
        <v>9843.5999999999985</v>
      </c>
      <c r="BN79">
        <v>17</v>
      </c>
      <c r="BO79">
        <v>12872.4</v>
      </c>
      <c r="BP79">
        <v>17</v>
      </c>
      <c r="BQ79">
        <v>12872.4</v>
      </c>
      <c r="BR79">
        <v>14</v>
      </c>
      <c r="BS79">
        <v>10600.8</v>
      </c>
      <c r="BT79">
        <v>22</v>
      </c>
      <c r="BU79">
        <v>16658.399999999998</v>
      </c>
      <c r="BV79">
        <v>16</v>
      </c>
      <c r="BW79">
        <v>12115.199999999999</v>
      </c>
      <c r="BX79">
        <v>24</v>
      </c>
      <c r="BY79">
        <v>18172.8</v>
      </c>
      <c r="BZ79">
        <v>15</v>
      </c>
      <c r="CA79">
        <v>11357.999999999998</v>
      </c>
      <c r="CB79">
        <v>14</v>
      </c>
      <c r="CC79">
        <v>10600.8</v>
      </c>
      <c r="CD79">
        <v>20</v>
      </c>
      <c r="CE79">
        <v>15143.999999999998</v>
      </c>
      <c r="CF79">
        <v>14</v>
      </c>
      <c r="CG79">
        <v>10600.8</v>
      </c>
      <c r="CH79">
        <v>22</v>
      </c>
      <c r="CI79">
        <v>16658.399999999998</v>
      </c>
      <c r="CJ79">
        <v>25</v>
      </c>
      <c r="CK79">
        <v>18930</v>
      </c>
      <c r="CL79">
        <v>15</v>
      </c>
      <c r="CM79">
        <v>11357.999999999998</v>
      </c>
      <c r="CN79">
        <v>24</v>
      </c>
      <c r="CO79">
        <v>18172.8</v>
      </c>
      <c r="CP79">
        <v>26</v>
      </c>
      <c r="CQ79">
        <v>19687.199999999997</v>
      </c>
      <c r="CR79">
        <v>24</v>
      </c>
      <c r="CS79">
        <v>18172.8</v>
      </c>
      <c r="CT79">
        <v>22</v>
      </c>
      <c r="CU79">
        <v>16658.399999999998</v>
      </c>
    </row>
    <row r="80" spans="2:99" x14ac:dyDescent="0.2">
      <c r="C80" s="119" t="s">
        <v>246</v>
      </c>
      <c r="D80">
        <v>24.706395181105336</v>
      </c>
      <c r="E80">
        <v>19893.589399826014</v>
      </c>
      <c r="F80">
        <v>18</v>
      </c>
      <c r="G80">
        <v>14493.599999999999</v>
      </c>
      <c r="H80">
        <v>16</v>
      </c>
      <c r="I80">
        <v>12883.199999999999</v>
      </c>
      <c r="J80">
        <v>22</v>
      </c>
      <c r="K80">
        <v>17714.399999999998</v>
      </c>
      <c r="L80">
        <v>22</v>
      </c>
      <c r="M80">
        <v>17714.399999999998</v>
      </c>
      <c r="N80">
        <v>20</v>
      </c>
      <c r="O80">
        <v>16103.999999999998</v>
      </c>
      <c r="P80">
        <v>18</v>
      </c>
      <c r="Q80">
        <v>14493.599999999999</v>
      </c>
      <c r="R80">
        <v>24</v>
      </c>
      <c r="S80">
        <v>19324.8</v>
      </c>
      <c r="T80">
        <v>24</v>
      </c>
      <c r="U80">
        <v>19324.8</v>
      </c>
      <c r="V80">
        <v>19</v>
      </c>
      <c r="W80">
        <v>15298.8</v>
      </c>
      <c r="X80">
        <v>20</v>
      </c>
      <c r="Y80">
        <v>16103.999999999998</v>
      </c>
      <c r="Z80">
        <v>23</v>
      </c>
      <c r="AA80">
        <v>18519.599999999999</v>
      </c>
      <c r="AB80">
        <v>18</v>
      </c>
      <c r="AC80">
        <v>14493.599999999999</v>
      </c>
      <c r="AD80">
        <v>21</v>
      </c>
      <c r="AE80">
        <v>16909.199999999997</v>
      </c>
      <c r="AF80">
        <v>13</v>
      </c>
      <c r="AG80">
        <v>10467.599999999999</v>
      </c>
      <c r="AH80">
        <v>20</v>
      </c>
      <c r="AI80">
        <v>16103.999999999998</v>
      </c>
      <c r="AJ80">
        <v>25</v>
      </c>
      <c r="AK80">
        <v>20130</v>
      </c>
      <c r="AL80">
        <v>19</v>
      </c>
      <c r="AM80">
        <v>15298.8</v>
      </c>
      <c r="AN80">
        <v>19</v>
      </c>
      <c r="AO80">
        <v>15298.8</v>
      </c>
      <c r="AP80">
        <v>16</v>
      </c>
      <c r="AQ80">
        <v>12883.199999999999</v>
      </c>
      <c r="AR80">
        <v>22</v>
      </c>
      <c r="AS80">
        <v>17714.399999999998</v>
      </c>
      <c r="AT80">
        <v>14</v>
      </c>
      <c r="AU80">
        <v>11272.8</v>
      </c>
      <c r="AV80">
        <v>16</v>
      </c>
      <c r="AW80">
        <v>12883.199999999999</v>
      </c>
      <c r="AX80">
        <v>20</v>
      </c>
      <c r="AY80">
        <v>16103.999999999998</v>
      </c>
      <c r="AZ80">
        <v>16</v>
      </c>
      <c r="BA80">
        <v>12883.199999999999</v>
      </c>
      <c r="BB80">
        <v>23</v>
      </c>
      <c r="BC80">
        <v>18519.599999999999</v>
      </c>
      <c r="BD80">
        <v>21</v>
      </c>
      <c r="BE80">
        <v>16909.199999999997</v>
      </c>
      <c r="BF80">
        <v>21</v>
      </c>
      <c r="BG80">
        <v>16909.199999999997</v>
      </c>
      <c r="BH80">
        <v>14</v>
      </c>
      <c r="BI80">
        <v>11272.8</v>
      </c>
      <c r="BJ80">
        <v>15</v>
      </c>
      <c r="BK80">
        <v>12077.999999999998</v>
      </c>
      <c r="BL80">
        <v>16</v>
      </c>
      <c r="BM80">
        <v>12883.199999999999</v>
      </c>
      <c r="BN80">
        <v>17</v>
      </c>
      <c r="BO80">
        <v>13688.4</v>
      </c>
      <c r="BP80">
        <v>16</v>
      </c>
      <c r="BQ80">
        <v>12883.199999999999</v>
      </c>
      <c r="BR80">
        <v>13</v>
      </c>
      <c r="BS80">
        <v>10467.599999999999</v>
      </c>
      <c r="BT80">
        <v>20</v>
      </c>
      <c r="BU80">
        <v>16103.999999999998</v>
      </c>
      <c r="BV80">
        <v>16</v>
      </c>
      <c r="BW80">
        <v>12883.199999999999</v>
      </c>
      <c r="BX80">
        <v>23</v>
      </c>
      <c r="BY80">
        <v>18519.599999999999</v>
      </c>
      <c r="BZ80">
        <v>13</v>
      </c>
      <c r="CA80">
        <v>10467.599999999999</v>
      </c>
      <c r="CB80">
        <v>15</v>
      </c>
      <c r="CC80">
        <v>12077.999999999998</v>
      </c>
      <c r="CD80">
        <v>22</v>
      </c>
      <c r="CE80">
        <v>17714.399999999998</v>
      </c>
      <c r="CF80">
        <v>14</v>
      </c>
      <c r="CG80">
        <v>11272.8</v>
      </c>
      <c r="CH80">
        <v>21</v>
      </c>
      <c r="CI80">
        <v>16909.199999999997</v>
      </c>
      <c r="CJ80">
        <v>24</v>
      </c>
      <c r="CK80">
        <v>19324.8</v>
      </c>
      <c r="CL80">
        <v>13</v>
      </c>
      <c r="CM80">
        <v>10467.599999999999</v>
      </c>
      <c r="CN80">
        <v>24</v>
      </c>
      <c r="CO80">
        <v>19324.8</v>
      </c>
      <c r="CP80">
        <v>27</v>
      </c>
      <c r="CQ80">
        <v>21740.399999999998</v>
      </c>
      <c r="CR80">
        <v>23</v>
      </c>
      <c r="CS80">
        <v>18519.599999999999</v>
      </c>
      <c r="CT80">
        <v>25</v>
      </c>
      <c r="CU80">
        <v>20130</v>
      </c>
    </row>
    <row r="81" spans="2:99" x14ac:dyDescent="0.2">
      <c r="C81" s="119" t="s">
        <v>247</v>
      </c>
      <c r="D81">
        <v>21.639119449571492</v>
      </c>
      <c r="E81">
        <v>16307.240417197077</v>
      </c>
      <c r="F81">
        <v>21</v>
      </c>
      <c r="G81">
        <v>15825.6</v>
      </c>
      <c r="H81">
        <v>17</v>
      </c>
      <c r="I81">
        <v>12811.2</v>
      </c>
      <c r="J81">
        <v>21</v>
      </c>
      <c r="K81">
        <v>15825.6</v>
      </c>
      <c r="L81">
        <v>24</v>
      </c>
      <c r="M81">
        <v>18086.400000000001</v>
      </c>
      <c r="N81">
        <v>19</v>
      </c>
      <c r="O81">
        <v>14318.4</v>
      </c>
      <c r="P81">
        <v>19</v>
      </c>
      <c r="Q81">
        <v>14318.4</v>
      </c>
      <c r="R81">
        <v>24</v>
      </c>
      <c r="S81">
        <v>18086.400000000001</v>
      </c>
      <c r="T81">
        <v>20</v>
      </c>
      <c r="U81">
        <v>15072</v>
      </c>
      <c r="V81">
        <v>19</v>
      </c>
      <c r="W81">
        <v>14318.4</v>
      </c>
      <c r="X81">
        <v>23</v>
      </c>
      <c r="Y81">
        <v>17332.8</v>
      </c>
      <c r="Z81">
        <v>23</v>
      </c>
      <c r="AA81">
        <v>17332.8</v>
      </c>
      <c r="AB81">
        <v>18</v>
      </c>
      <c r="AC81">
        <v>13564.800000000001</v>
      </c>
      <c r="AD81">
        <v>23</v>
      </c>
      <c r="AE81">
        <v>17332.8</v>
      </c>
      <c r="AF81">
        <v>12</v>
      </c>
      <c r="AG81">
        <v>9043.2000000000007</v>
      </c>
      <c r="AH81">
        <v>22</v>
      </c>
      <c r="AI81">
        <v>16579.2</v>
      </c>
      <c r="AJ81">
        <v>23</v>
      </c>
      <c r="AK81">
        <v>17332.8</v>
      </c>
      <c r="AL81">
        <v>20</v>
      </c>
      <c r="AM81">
        <v>15072</v>
      </c>
      <c r="AN81">
        <v>19</v>
      </c>
      <c r="AO81">
        <v>14318.4</v>
      </c>
      <c r="AP81">
        <v>16</v>
      </c>
      <c r="AQ81">
        <v>12057.6</v>
      </c>
      <c r="AR81">
        <v>22</v>
      </c>
      <c r="AS81">
        <v>16579.2</v>
      </c>
      <c r="AT81">
        <v>14</v>
      </c>
      <c r="AU81">
        <v>10550.4</v>
      </c>
      <c r="AV81">
        <v>15</v>
      </c>
      <c r="AW81">
        <v>11304</v>
      </c>
      <c r="AX81">
        <v>20</v>
      </c>
      <c r="AY81">
        <v>15072</v>
      </c>
      <c r="AZ81">
        <v>18</v>
      </c>
      <c r="BA81">
        <v>13564.800000000001</v>
      </c>
      <c r="BB81">
        <v>21</v>
      </c>
      <c r="BC81">
        <v>15825.6</v>
      </c>
      <c r="BD81">
        <v>24</v>
      </c>
      <c r="BE81">
        <v>18086.400000000001</v>
      </c>
      <c r="BF81">
        <v>24</v>
      </c>
      <c r="BG81">
        <v>18086.400000000001</v>
      </c>
      <c r="BH81">
        <v>16</v>
      </c>
      <c r="BI81">
        <v>12057.6</v>
      </c>
      <c r="BJ81">
        <v>16</v>
      </c>
      <c r="BK81">
        <v>12057.6</v>
      </c>
      <c r="BL81">
        <v>14</v>
      </c>
      <c r="BM81">
        <v>10550.4</v>
      </c>
      <c r="BN81">
        <v>16</v>
      </c>
      <c r="BO81">
        <v>12057.6</v>
      </c>
      <c r="BP81">
        <v>17</v>
      </c>
      <c r="BQ81">
        <v>12811.2</v>
      </c>
      <c r="BR81">
        <v>13</v>
      </c>
      <c r="BS81">
        <v>9796.8000000000011</v>
      </c>
      <c r="BT81">
        <v>21</v>
      </c>
      <c r="BU81">
        <v>15825.6</v>
      </c>
      <c r="BV81">
        <v>15</v>
      </c>
      <c r="BW81">
        <v>11304</v>
      </c>
      <c r="BX81">
        <v>25</v>
      </c>
      <c r="BY81">
        <v>18840</v>
      </c>
      <c r="BZ81">
        <v>14</v>
      </c>
      <c r="CA81">
        <v>10550.4</v>
      </c>
      <c r="CB81">
        <v>16</v>
      </c>
      <c r="CC81">
        <v>12057.6</v>
      </c>
      <c r="CD81">
        <v>22</v>
      </c>
      <c r="CE81">
        <v>16579.2</v>
      </c>
      <c r="CF81">
        <v>15</v>
      </c>
      <c r="CG81">
        <v>11304</v>
      </c>
      <c r="CH81">
        <v>23</v>
      </c>
      <c r="CI81">
        <v>17332.8</v>
      </c>
      <c r="CJ81">
        <v>28</v>
      </c>
      <c r="CK81">
        <v>21100.799999999999</v>
      </c>
      <c r="CL81">
        <v>15</v>
      </c>
      <c r="CM81">
        <v>11304</v>
      </c>
      <c r="CN81">
        <v>21</v>
      </c>
      <c r="CO81">
        <v>15825.6</v>
      </c>
      <c r="CP81">
        <v>24</v>
      </c>
      <c r="CQ81">
        <v>18086.400000000001</v>
      </c>
      <c r="CR81">
        <v>21</v>
      </c>
      <c r="CS81">
        <v>15825.6</v>
      </c>
      <c r="CT81">
        <v>25</v>
      </c>
      <c r="CU81">
        <v>18840</v>
      </c>
    </row>
    <row r="82" spans="2:99" x14ac:dyDescent="0.2">
      <c r="C82" s="119" t="s">
        <v>248</v>
      </c>
      <c r="D82">
        <v>22.672757315338416</v>
      </c>
      <c r="E82">
        <v>11535.898922044184</v>
      </c>
      <c r="F82">
        <v>19</v>
      </c>
      <c r="G82">
        <v>9667.1999999999989</v>
      </c>
      <c r="H82">
        <v>15</v>
      </c>
      <c r="I82">
        <v>7631.9999999999982</v>
      </c>
      <c r="J82">
        <v>20</v>
      </c>
      <c r="K82">
        <v>10175.999999999998</v>
      </c>
      <c r="L82">
        <v>25</v>
      </c>
      <c r="M82">
        <v>12719.999999999998</v>
      </c>
      <c r="N82">
        <v>19</v>
      </c>
      <c r="O82">
        <v>9667.1999999999989</v>
      </c>
      <c r="P82">
        <v>21</v>
      </c>
      <c r="Q82">
        <v>10684.799999999997</v>
      </c>
      <c r="R82">
        <v>23</v>
      </c>
      <c r="S82">
        <v>11702.399999999998</v>
      </c>
      <c r="T82">
        <v>23</v>
      </c>
      <c r="U82">
        <v>11702.399999999998</v>
      </c>
      <c r="V82">
        <v>18</v>
      </c>
      <c r="W82">
        <v>9158.3999999999978</v>
      </c>
      <c r="X82">
        <v>23</v>
      </c>
      <c r="Y82">
        <v>11702.399999999998</v>
      </c>
      <c r="Z82">
        <v>22</v>
      </c>
      <c r="AA82">
        <v>11193.599999999999</v>
      </c>
      <c r="AB82">
        <v>18</v>
      </c>
      <c r="AC82">
        <v>9158.3999999999978</v>
      </c>
      <c r="AD82">
        <v>24</v>
      </c>
      <c r="AE82">
        <v>12211.199999999997</v>
      </c>
      <c r="AF82">
        <v>12</v>
      </c>
      <c r="AG82">
        <v>6105.5999999999985</v>
      </c>
      <c r="AH82">
        <v>23</v>
      </c>
      <c r="AI82">
        <v>11702.399999999998</v>
      </c>
      <c r="AJ82">
        <v>24</v>
      </c>
      <c r="AK82">
        <v>12211.199999999997</v>
      </c>
      <c r="AL82">
        <v>22</v>
      </c>
      <c r="AM82">
        <v>11193.599999999999</v>
      </c>
      <c r="AN82">
        <v>21</v>
      </c>
      <c r="AO82">
        <v>10684.799999999997</v>
      </c>
      <c r="AP82">
        <v>16</v>
      </c>
      <c r="AQ82">
        <v>8140.7999999999984</v>
      </c>
      <c r="AR82">
        <v>22</v>
      </c>
      <c r="AS82">
        <v>11193.599999999999</v>
      </c>
      <c r="AT82">
        <v>15</v>
      </c>
      <c r="AU82">
        <v>7631.9999999999982</v>
      </c>
      <c r="AV82">
        <v>16</v>
      </c>
      <c r="AW82">
        <v>8140.7999999999984</v>
      </c>
      <c r="AX82">
        <v>21</v>
      </c>
      <c r="AY82">
        <v>10684.799999999997</v>
      </c>
      <c r="AZ82">
        <v>19</v>
      </c>
      <c r="BA82">
        <v>9667.1999999999989</v>
      </c>
      <c r="BB82">
        <v>22</v>
      </c>
      <c r="BC82">
        <v>11193.599999999999</v>
      </c>
      <c r="BD82">
        <v>24</v>
      </c>
      <c r="BE82">
        <v>12211.199999999997</v>
      </c>
      <c r="BF82">
        <v>23</v>
      </c>
      <c r="BG82">
        <v>11702.399999999998</v>
      </c>
      <c r="BH82">
        <v>15</v>
      </c>
      <c r="BI82">
        <v>7631.9999999999982</v>
      </c>
      <c r="BJ82">
        <v>15</v>
      </c>
      <c r="BK82">
        <v>7631.9999999999982</v>
      </c>
      <c r="BL82">
        <v>16</v>
      </c>
      <c r="BM82">
        <v>8140.7999999999984</v>
      </c>
      <c r="BN82">
        <v>18</v>
      </c>
      <c r="BO82">
        <v>9158.3999999999978</v>
      </c>
      <c r="BP82">
        <v>17</v>
      </c>
      <c r="BQ82">
        <v>8649.5999999999985</v>
      </c>
      <c r="BR82">
        <v>13</v>
      </c>
      <c r="BS82">
        <v>6614.3999999999987</v>
      </c>
      <c r="BT82">
        <v>20</v>
      </c>
      <c r="BU82">
        <v>10175.999999999998</v>
      </c>
      <c r="BV82">
        <v>16</v>
      </c>
      <c r="BW82">
        <v>8140.7999999999984</v>
      </c>
      <c r="BX82">
        <v>28</v>
      </c>
      <c r="BY82">
        <v>14246.399999999998</v>
      </c>
      <c r="BZ82">
        <v>15</v>
      </c>
      <c r="CA82">
        <v>7631.9999999999982</v>
      </c>
      <c r="CB82">
        <v>14</v>
      </c>
      <c r="CC82">
        <v>7123.1999999999989</v>
      </c>
      <c r="CD82">
        <v>22</v>
      </c>
      <c r="CE82">
        <v>11193.599999999999</v>
      </c>
      <c r="CF82">
        <v>14</v>
      </c>
      <c r="CG82">
        <v>7123.1999999999989</v>
      </c>
      <c r="CH82">
        <v>21</v>
      </c>
      <c r="CI82">
        <v>10684.799999999997</v>
      </c>
      <c r="CJ82">
        <v>27</v>
      </c>
      <c r="CK82">
        <v>13737.599999999997</v>
      </c>
      <c r="CL82">
        <v>15</v>
      </c>
      <c r="CM82">
        <v>7631.9999999999982</v>
      </c>
      <c r="CN82">
        <v>22</v>
      </c>
      <c r="CO82">
        <v>11193.599999999999</v>
      </c>
      <c r="CP82">
        <v>28</v>
      </c>
      <c r="CQ82">
        <v>14246.399999999998</v>
      </c>
      <c r="CR82">
        <v>22</v>
      </c>
      <c r="CS82">
        <v>11193.599999999999</v>
      </c>
      <c r="CT82">
        <v>24</v>
      </c>
      <c r="CU82">
        <v>12211.199999999997</v>
      </c>
    </row>
    <row r="83" spans="2:99" x14ac:dyDescent="0.2">
      <c r="C83" s="119" t="s">
        <v>249</v>
      </c>
      <c r="D83">
        <v>22.672757315338416</v>
      </c>
      <c r="E83">
        <v>19507.640394117174</v>
      </c>
      <c r="F83">
        <v>20</v>
      </c>
      <c r="G83">
        <v>17208</v>
      </c>
      <c r="H83">
        <v>15</v>
      </c>
      <c r="I83">
        <v>12906</v>
      </c>
      <c r="J83">
        <v>21</v>
      </c>
      <c r="K83">
        <v>18068.399999999998</v>
      </c>
      <c r="L83">
        <v>21</v>
      </c>
      <c r="M83">
        <v>18068.399999999998</v>
      </c>
      <c r="N83">
        <v>17</v>
      </c>
      <c r="O83">
        <v>14626.8</v>
      </c>
      <c r="P83">
        <v>17</v>
      </c>
      <c r="Q83">
        <v>14626.8</v>
      </c>
      <c r="R83">
        <v>24</v>
      </c>
      <c r="S83">
        <v>20649.599999999999</v>
      </c>
      <c r="T83">
        <v>23</v>
      </c>
      <c r="U83">
        <v>19789.2</v>
      </c>
      <c r="V83">
        <v>17</v>
      </c>
      <c r="W83">
        <v>14626.8</v>
      </c>
      <c r="X83">
        <v>23</v>
      </c>
      <c r="Y83">
        <v>19789.2</v>
      </c>
      <c r="Z83">
        <v>23</v>
      </c>
      <c r="AA83">
        <v>19789.2</v>
      </c>
      <c r="AB83">
        <v>18</v>
      </c>
      <c r="AC83">
        <v>15487.199999999999</v>
      </c>
      <c r="AD83">
        <v>22</v>
      </c>
      <c r="AE83">
        <v>18928.8</v>
      </c>
      <c r="AF83">
        <v>12</v>
      </c>
      <c r="AG83">
        <v>10324.799999999999</v>
      </c>
      <c r="AH83">
        <v>20</v>
      </c>
      <c r="AI83">
        <v>17208</v>
      </c>
      <c r="AJ83">
        <v>22</v>
      </c>
      <c r="AK83">
        <v>18928.8</v>
      </c>
      <c r="AL83">
        <v>22</v>
      </c>
      <c r="AM83">
        <v>18928.8</v>
      </c>
      <c r="AN83">
        <v>21</v>
      </c>
      <c r="AO83">
        <v>18068.399999999998</v>
      </c>
      <c r="AP83">
        <v>16</v>
      </c>
      <c r="AQ83">
        <v>13766.4</v>
      </c>
      <c r="AR83">
        <v>23</v>
      </c>
      <c r="AS83">
        <v>19789.2</v>
      </c>
      <c r="AT83">
        <v>12</v>
      </c>
      <c r="AU83">
        <v>10324.799999999999</v>
      </c>
      <c r="AV83">
        <v>17</v>
      </c>
      <c r="AW83">
        <v>14626.8</v>
      </c>
      <c r="AX83">
        <v>20</v>
      </c>
      <c r="AY83">
        <v>17208</v>
      </c>
      <c r="AZ83">
        <v>18</v>
      </c>
      <c r="BA83">
        <v>15487.199999999999</v>
      </c>
      <c r="BB83">
        <v>23</v>
      </c>
      <c r="BC83">
        <v>19789.2</v>
      </c>
      <c r="BD83">
        <v>23</v>
      </c>
      <c r="BE83">
        <v>19789.2</v>
      </c>
      <c r="BF83">
        <v>24</v>
      </c>
      <c r="BG83">
        <v>20649.599999999999</v>
      </c>
      <c r="BH83">
        <v>14</v>
      </c>
      <c r="BI83">
        <v>12045.6</v>
      </c>
      <c r="BJ83">
        <v>17</v>
      </c>
      <c r="BK83">
        <v>14626.8</v>
      </c>
      <c r="BL83">
        <v>16</v>
      </c>
      <c r="BM83">
        <v>13766.4</v>
      </c>
      <c r="BN83">
        <v>16</v>
      </c>
      <c r="BO83">
        <v>13766.4</v>
      </c>
      <c r="BP83">
        <v>18</v>
      </c>
      <c r="BQ83">
        <v>15487.199999999999</v>
      </c>
      <c r="BR83">
        <v>14</v>
      </c>
      <c r="BS83">
        <v>12045.6</v>
      </c>
      <c r="BT83">
        <v>20</v>
      </c>
      <c r="BU83">
        <v>17208</v>
      </c>
      <c r="BV83">
        <v>16</v>
      </c>
      <c r="BW83">
        <v>13766.4</v>
      </c>
      <c r="BX83">
        <v>27</v>
      </c>
      <c r="BY83">
        <v>23230.799999999999</v>
      </c>
      <c r="BZ83">
        <v>13</v>
      </c>
      <c r="CA83">
        <v>11185.199999999999</v>
      </c>
      <c r="CB83">
        <v>16</v>
      </c>
      <c r="CC83">
        <v>13766.4</v>
      </c>
      <c r="CD83">
        <v>21</v>
      </c>
      <c r="CE83">
        <v>18068.399999999998</v>
      </c>
      <c r="CF83">
        <v>16</v>
      </c>
      <c r="CG83">
        <v>13766.4</v>
      </c>
      <c r="CH83">
        <v>21</v>
      </c>
      <c r="CI83">
        <v>18068.399999999998</v>
      </c>
      <c r="CJ83">
        <v>26</v>
      </c>
      <c r="CK83">
        <v>22370.399999999998</v>
      </c>
      <c r="CL83">
        <v>14</v>
      </c>
      <c r="CM83">
        <v>12045.6</v>
      </c>
      <c r="CN83">
        <v>20</v>
      </c>
      <c r="CO83">
        <v>17208</v>
      </c>
      <c r="CP83">
        <v>22</v>
      </c>
      <c r="CQ83">
        <v>18928.8</v>
      </c>
      <c r="CR83">
        <v>24</v>
      </c>
      <c r="CS83">
        <v>20649.599999999999</v>
      </c>
      <c r="CT83">
        <v>25</v>
      </c>
      <c r="CU83">
        <v>21510</v>
      </c>
    </row>
    <row r="84" spans="2:99" x14ac:dyDescent="0.2">
      <c r="C84" s="119" t="s">
        <v>250</v>
      </c>
      <c r="D84">
        <v>21.639119449571492</v>
      </c>
      <c r="E84">
        <v>16904.480114005248</v>
      </c>
      <c r="F84">
        <v>20</v>
      </c>
      <c r="G84">
        <v>15623.999999999998</v>
      </c>
      <c r="H84">
        <v>16</v>
      </c>
      <c r="I84">
        <v>12499.199999999999</v>
      </c>
      <c r="J84">
        <v>20</v>
      </c>
      <c r="K84">
        <v>15623.999999999998</v>
      </c>
      <c r="L84">
        <v>22</v>
      </c>
      <c r="M84">
        <v>17186.399999999998</v>
      </c>
      <c r="N84">
        <v>19</v>
      </c>
      <c r="O84">
        <v>14842.8</v>
      </c>
      <c r="P84">
        <v>18</v>
      </c>
      <c r="Q84">
        <v>14061.599999999999</v>
      </c>
      <c r="R84">
        <v>24</v>
      </c>
      <c r="S84">
        <v>18748.8</v>
      </c>
      <c r="T84">
        <v>22</v>
      </c>
      <c r="U84">
        <v>17186.399999999998</v>
      </c>
      <c r="V84">
        <v>17</v>
      </c>
      <c r="W84">
        <v>13280.4</v>
      </c>
      <c r="X84">
        <v>23</v>
      </c>
      <c r="Y84">
        <v>17967.599999999999</v>
      </c>
      <c r="Z84">
        <v>22</v>
      </c>
      <c r="AA84">
        <v>17186.399999999998</v>
      </c>
      <c r="AB84">
        <v>16</v>
      </c>
      <c r="AC84">
        <v>12499.199999999999</v>
      </c>
      <c r="AD84">
        <v>22</v>
      </c>
      <c r="AE84">
        <v>17186.399999999998</v>
      </c>
      <c r="AF84">
        <v>13</v>
      </c>
      <c r="AG84">
        <v>10155.599999999999</v>
      </c>
      <c r="AH84">
        <v>21</v>
      </c>
      <c r="AI84">
        <v>16405.199999999997</v>
      </c>
      <c r="AJ84">
        <v>23</v>
      </c>
      <c r="AK84">
        <v>17967.599999999999</v>
      </c>
      <c r="AL84">
        <v>22</v>
      </c>
      <c r="AM84">
        <v>17186.399999999998</v>
      </c>
      <c r="AN84">
        <v>18</v>
      </c>
      <c r="AO84">
        <v>14061.599999999999</v>
      </c>
      <c r="AP84">
        <v>16</v>
      </c>
      <c r="AQ84">
        <v>12499.199999999999</v>
      </c>
      <c r="AR84">
        <v>24</v>
      </c>
      <c r="AS84">
        <v>18748.8</v>
      </c>
      <c r="AT84">
        <v>12</v>
      </c>
      <c r="AU84">
        <v>9374.4</v>
      </c>
      <c r="AV84">
        <v>17</v>
      </c>
      <c r="AW84">
        <v>13280.4</v>
      </c>
      <c r="AX84">
        <v>21</v>
      </c>
      <c r="AY84">
        <v>16405.199999999997</v>
      </c>
      <c r="AZ84">
        <v>18</v>
      </c>
      <c r="BA84">
        <v>14061.599999999999</v>
      </c>
      <c r="BB84">
        <v>23</v>
      </c>
      <c r="BC84">
        <v>17967.599999999999</v>
      </c>
      <c r="BD84">
        <v>23</v>
      </c>
      <c r="BE84">
        <v>17967.599999999999</v>
      </c>
      <c r="BF84">
        <v>20</v>
      </c>
      <c r="BG84">
        <v>15623.999999999998</v>
      </c>
      <c r="BH84">
        <v>14</v>
      </c>
      <c r="BI84">
        <v>10936.8</v>
      </c>
      <c r="BJ84">
        <v>16</v>
      </c>
      <c r="BK84">
        <v>12499.199999999999</v>
      </c>
      <c r="BL84">
        <v>14</v>
      </c>
      <c r="BM84">
        <v>10936.8</v>
      </c>
      <c r="BN84">
        <v>16</v>
      </c>
      <c r="BO84">
        <v>12499.199999999999</v>
      </c>
      <c r="BP84">
        <v>15</v>
      </c>
      <c r="BQ84">
        <v>11717.999999999998</v>
      </c>
      <c r="BR84">
        <v>13</v>
      </c>
      <c r="BS84">
        <v>10155.599999999999</v>
      </c>
      <c r="BT84">
        <v>21</v>
      </c>
      <c r="BU84">
        <v>16405.199999999997</v>
      </c>
      <c r="BV84">
        <v>17</v>
      </c>
      <c r="BW84">
        <v>13280.4</v>
      </c>
      <c r="BX84">
        <v>25</v>
      </c>
      <c r="BY84">
        <v>19530</v>
      </c>
      <c r="BZ84">
        <v>15</v>
      </c>
      <c r="CA84">
        <v>11717.999999999998</v>
      </c>
      <c r="CB84">
        <v>14</v>
      </c>
      <c r="CC84">
        <v>10936.8</v>
      </c>
      <c r="CD84">
        <v>21</v>
      </c>
      <c r="CE84">
        <v>16405.199999999997</v>
      </c>
      <c r="CF84">
        <v>16</v>
      </c>
      <c r="CG84">
        <v>12499.199999999999</v>
      </c>
      <c r="CH84">
        <v>20</v>
      </c>
      <c r="CI84">
        <v>15623.999999999998</v>
      </c>
      <c r="CJ84">
        <v>27</v>
      </c>
      <c r="CK84">
        <v>21092.399999999998</v>
      </c>
      <c r="CL84">
        <v>14</v>
      </c>
      <c r="CM84">
        <v>10936.8</v>
      </c>
      <c r="CN84">
        <v>21</v>
      </c>
      <c r="CO84">
        <v>16405.199999999997</v>
      </c>
      <c r="CP84">
        <v>27</v>
      </c>
      <c r="CQ84">
        <v>21092.399999999998</v>
      </c>
      <c r="CR84">
        <v>21</v>
      </c>
      <c r="CS84">
        <v>16405.199999999997</v>
      </c>
      <c r="CT84">
        <v>22</v>
      </c>
      <c r="CU84">
        <v>17186.399999999998</v>
      </c>
    </row>
    <row r="85" spans="2:99" x14ac:dyDescent="0.2">
      <c r="C85" s="119" t="s">
        <v>251</v>
      </c>
      <c r="D85">
        <v>23.672757315338416</v>
      </c>
      <c r="E85">
        <v>3550.9135973007624</v>
      </c>
      <c r="F85">
        <v>21</v>
      </c>
      <c r="G85">
        <v>3150</v>
      </c>
      <c r="H85">
        <v>16</v>
      </c>
      <c r="I85">
        <v>2400</v>
      </c>
      <c r="J85">
        <v>22</v>
      </c>
      <c r="K85">
        <v>3300</v>
      </c>
      <c r="L85">
        <v>26</v>
      </c>
      <c r="M85">
        <v>3900</v>
      </c>
      <c r="N85">
        <v>20</v>
      </c>
      <c r="O85">
        <v>3000</v>
      </c>
      <c r="P85">
        <v>20</v>
      </c>
      <c r="Q85">
        <v>3000</v>
      </c>
      <c r="R85">
        <v>26</v>
      </c>
      <c r="S85">
        <v>3900</v>
      </c>
      <c r="T85">
        <v>25</v>
      </c>
      <c r="U85">
        <v>3750</v>
      </c>
      <c r="V85">
        <v>19</v>
      </c>
      <c r="W85">
        <v>2850</v>
      </c>
      <c r="X85">
        <v>21</v>
      </c>
      <c r="Y85">
        <v>3150</v>
      </c>
      <c r="Z85">
        <v>25</v>
      </c>
      <c r="AA85">
        <v>3750</v>
      </c>
      <c r="AB85">
        <v>17</v>
      </c>
      <c r="AC85">
        <v>2550</v>
      </c>
      <c r="AD85">
        <v>22</v>
      </c>
      <c r="AE85">
        <v>3300</v>
      </c>
      <c r="AF85">
        <v>12</v>
      </c>
      <c r="AG85">
        <v>1800</v>
      </c>
      <c r="AH85">
        <v>22</v>
      </c>
      <c r="AI85">
        <v>3300</v>
      </c>
      <c r="AJ85">
        <v>25</v>
      </c>
      <c r="AK85">
        <v>3750</v>
      </c>
      <c r="AL85">
        <v>21</v>
      </c>
      <c r="AM85">
        <v>3150</v>
      </c>
      <c r="AN85">
        <v>24</v>
      </c>
      <c r="AO85">
        <v>3600</v>
      </c>
      <c r="AP85">
        <v>19</v>
      </c>
      <c r="AQ85">
        <v>2850</v>
      </c>
      <c r="AR85">
        <v>25</v>
      </c>
      <c r="AS85">
        <v>3750</v>
      </c>
      <c r="AT85">
        <v>15</v>
      </c>
      <c r="AU85">
        <v>2250</v>
      </c>
      <c r="AV85">
        <v>18</v>
      </c>
      <c r="AW85">
        <v>2700</v>
      </c>
      <c r="AX85">
        <v>21</v>
      </c>
      <c r="AY85">
        <v>3150</v>
      </c>
      <c r="AZ85">
        <v>18</v>
      </c>
      <c r="BA85">
        <v>2700</v>
      </c>
      <c r="BB85">
        <v>26</v>
      </c>
      <c r="BC85">
        <v>3900</v>
      </c>
      <c r="BD85">
        <v>25</v>
      </c>
      <c r="BE85">
        <v>3750</v>
      </c>
      <c r="BF85">
        <v>23</v>
      </c>
      <c r="BG85">
        <v>3450</v>
      </c>
      <c r="BH85">
        <v>15</v>
      </c>
      <c r="BI85">
        <v>2250</v>
      </c>
      <c r="BJ85">
        <v>16</v>
      </c>
      <c r="BK85">
        <v>2400</v>
      </c>
      <c r="BL85">
        <v>17</v>
      </c>
      <c r="BM85">
        <v>2550</v>
      </c>
      <c r="BN85">
        <v>17</v>
      </c>
      <c r="BO85">
        <v>2550</v>
      </c>
      <c r="BP85">
        <v>18</v>
      </c>
      <c r="BQ85">
        <v>2700</v>
      </c>
      <c r="BR85">
        <v>14</v>
      </c>
      <c r="BS85">
        <v>2100</v>
      </c>
      <c r="BT85">
        <v>24</v>
      </c>
      <c r="BU85">
        <v>3600</v>
      </c>
      <c r="BV85">
        <v>17</v>
      </c>
      <c r="BW85">
        <v>2550</v>
      </c>
      <c r="BX85">
        <v>29</v>
      </c>
      <c r="BY85">
        <v>4350</v>
      </c>
      <c r="BZ85">
        <v>15</v>
      </c>
      <c r="CA85">
        <v>2250</v>
      </c>
      <c r="CB85">
        <v>18</v>
      </c>
      <c r="CC85">
        <v>2700</v>
      </c>
      <c r="CD85">
        <v>24</v>
      </c>
      <c r="CE85">
        <v>3600</v>
      </c>
      <c r="CF85">
        <v>15</v>
      </c>
      <c r="CG85">
        <v>2250</v>
      </c>
      <c r="CH85">
        <v>21</v>
      </c>
      <c r="CI85">
        <v>3150</v>
      </c>
      <c r="CJ85">
        <v>29</v>
      </c>
      <c r="CK85">
        <v>4350</v>
      </c>
      <c r="CL85">
        <v>16</v>
      </c>
      <c r="CM85">
        <v>2400</v>
      </c>
      <c r="CN85">
        <v>23</v>
      </c>
      <c r="CO85">
        <v>3450</v>
      </c>
      <c r="CP85">
        <v>29</v>
      </c>
      <c r="CQ85">
        <v>4350</v>
      </c>
      <c r="CR85">
        <v>24</v>
      </c>
      <c r="CS85">
        <v>3600</v>
      </c>
      <c r="CT85">
        <v>26</v>
      </c>
      <c r="CU85">
        <v>3900</v>
      </c>
    </row>
    <row r="86" spans="2:99" x14ac:dyDescent="0.2">
      <c r="C86" s="119" t="s">
        <v>252</v>
      </c>
      <c r="D86">
        <v>24.639119449571492</v>
      </c>
      <c r="E86">
        <v>13305.124502768605</v>
      </c>
      <c r="F86">
        <v>18</v>
      </c>
      <c r="G86">
        <v>9720</v>
      </c>
      <c r="H86">
        <v>15</v>
      </c>
      <c r="I86">
        <v>8100</v>
      </c>
      <c r="J86">
        <v>24</v>
      </c>
      <c r="K86">
        <v>12960</v>
      </c>
      <c r="L86">
        <v>22</v>
      </c>
      <c r="M86">
        <v>11880</v>
      </c>
      <c r="N86">
        <v>17</v>
      </c>
      <c r="O86">
        <v>9180</v>
      </c>
      <c r="P86">
        <v>17</v>
      </c>
      <c r="Q86">
        <v>9180</v>
      </c>
      <c r="R86">
        <v>23</v>
      </c>
      <c r="S86">
        <v>12420</v>
      </c>
      <c r="T86">
        <v>22</v>
      </c>
      <c r="U86">
        <v>11880</v>
      </c>
      <c r="V86">
        <v>19</v>
      </c>
      <c r="W86">
        <v>10260</v>
      </c>
      <c r="X86">
        <v>22</v>
      </c>
      <c r="Y86">
        <v>11880</v>
      </c>
      <c r="Z86">
        <v>22</v>
      </c>
      <c r="AA86">
        <v>11880</v>
      </c>
      <c r="AB86">
        <v>17</v>
      </c>
      <c r="AC86">
        <v>9180</v>
      </c>
      <c r="AD86">
        <v>24</v>
      </c>
      <c r="AE86">
        <v>12960</v>
      </c>
      <c r="AF86">
        <v>12</v>
      </c>
      <c r="AG86">
        <v>6480</v>
      </c>
      <c r="AH86">
        <v>20</v>
      </c>
      <c r="AI86">
        <v>10800</v>
      </c>
      <c r="AJ86">
        <v>25</v>
      </c>
      <c r="AK86">
        <v>13500</v>
      </c>
      <c r="AL86">
        <v>22</v>
      </c>
      <c r="AM86">
        <v>11880</v>
      </c>
      <c r="AN86">
        <v>22</v>
      </c>
      <c r="AO86">
        <v>11880</v>
      </c>
      <c r="AP86">
        <v>16</v>
      </c>
      <c r="AQ86">
        <v>8640</v>
      </c>
      <c r="AR86">
        <v>24</v>
      </c>
      <c r="AS86">
        <v>12960</v>
      </c>
      <c r="AT86">
        <v>15</v>
      </c>
      <c r="AU86">
        <v>8100</v>
      </c>
      <c r="AV86">
        <v>15</v>
      </c>
      <c r="AW86">
        <v>8100</v>
      </c>
      <c r="AX86">
        <v>20</v>
      </c>
      <c r="AY86">
        <v>10800</v>
      </c>
      <c r="AZ86">
        <v>18</v>
      </c>
      <c r="BA86">
        <v>9720</v>
      </c>
      <c r="BB86">
        <v>24</v>
      </c>
      <c r="BC86">
        <v>12960</v>
      </c>
      <c r="BD86">
        <v>24</v>
      </c>
      <c r="BE86">
        <v>12960</v>
      </c>
      <c r="BF86">
        <v>21</v>
      </c>
      <c r="BG86">
        <v>11340</v>
      </c>
      <c r="BH86">
        <v>16</v>
      </c>
      <c r="BI86">
        <v>8640</v>
      </c>
      <c r="BJ86">
        <v>18</v>
      </c>
      <c r="BK86">
        <v>9720</v>
      </c>
      <c r="BL86">
        <v>16</v>
      </c>
      <c r="BM86">
        <v>8640</v>
      </c>
      <c r="BN86">
        <v>19</v>
      </c>
      <c r="BO86">
        <v>10260</v>
      </c>
      <c r="BP86">
        <v>16</v>
      </c>
      <c r="BQ86">
        <v>8640</v>
      </c>
      <c r="BR86">
        <v>13</v>
      </c>
      <c r="BS86">
        <v>7020</v>
      </c>
      <c r="BT86">
        <v>21</v>
      </c>
      <c r="BU86">
        <v>11340</v>
      </c>
      <c r="BV86">
        <v>18</v>
      </c>
      <c r="BW86">
        <v>9720</v>
      </c>
      <c r="BX86">
        <v>26</v>
      </c>
      <c r="BY86">
        <v>14040</v>
      </c>
      <c r="BZ86">
        <v>16</v>
      </c>
      <c r="CA86">
        <v>8640</v>
      </c>
      <c r="CB86">
        <v>16</v>
      </c>
      <c r="CC86">
        <v>8640</v>
      </c>
      <c r="CD86">
        <v>21</v>
      </c>
      <c r="CE86">
        <v>11340</v>
      </c>
      <c r="CF86">
        <v>16</v>
      </c>
      <c r="CG86">
        <v>8640</v>
      </c>
      <c r="CH86">
        <v>21</v>
      </c>
      <c r="CI86">
        <v>11340</v>
      </c>
      <c r="CJ86">
        <v>25</v>
      </c>
      <c r="CK86">
        <v>13500</v>
      </c>
      <c r="CL86">
        <v>16</v>
      </c>
      <c r="CM86">
        <v>8640</v>
      </c>
      <c r="CN86">
        <v>23</v>
      </c>
      <c r="CO86">
        <v>12420</v>
      </c>
      <c r="CP86">
        <v>27</v>
      </c>
      <c r="CQ86">
        <v>14580</v>
      </c>
      <c r="CR86">
        <v>24</v>
      </c>
      <c r="CS86">
        <v>12960</v>
      </c>
      <c r="CT86">
        <v>22</v>
      </c>
      <c r="CU86">
        <v>11880</v>
      </c>
    </row>
    <row r="87" spans="2:99" x14ac:dyDescent="0.2">
      <c r="B87" s="119" t="s">
        <v>131</v>
      </c>
      <c r="C87" s="119" t="s">
        <v>253</v>
      </c>
      <c r="D87">
        <v>14.403654389203048</v>
      </c>
      <c r="E87">
        <v>28156.263600014117</v>
      </c>
      <c r="F87">
        <v>15</v>
      </c>
      <c r="G87">
        <v>29322</v>
      </c>
      <c r="H87">
        <v>14</v>
      </c>
      <c r="I87">
        <v>27367.200000000001</v>
      </c>
      <c r="J87">
        <v>16</v>
      </c>
      <c r="K87">
        <v>31276.799999999999</v>
      </c>
      <c r="L87">
        <v>15</v>
      </c>
      <c r="M87">
        <v>29322</v>
      </c>
      <c r="N87">
        <v>18</v>
      </c>
      <c r="O87">
        <v>35186.400000000001</v>
      </c>
      <c r="P87">
        <v>17</v>
      </c>
      <c r="Q87">
        <v>33231.599999999999</v>
      </c>
      <c r="R87">
        <v>18</v>
      </c>
      <c r="S87">
        <v>35186.400000000001</v>
      </c>
      <c r="T87">
        <v>17</v>
      </c>
      <c r="U87">
        <v>33231.599999999999</v>
      </c>
      <c r="V87">
        <v>12</v>
      </c>
      <c r="W87">
        <v>23457.599999999999</v>
      </c>
      <c r="X87">
        <v>12</v>
      </c>
      <c r="Y87">
        <v>23457.599999999999</v>
      </c>
      <c r="Z87">
        <v>12</v>
      </c>
      <c r="AA87">
        <v>23457.599999999999</v>
      </c>
      <c r="AB87">
        <v>16</v>
      </c>
      <c r="AC87">
        <v>31276.799999999999</v>
      </c>
      <c r="AD87">
        <v>19</v>
      </c>
      <c r="AE87">
        <v>37141.199999999997</v>
      </c>
      <c r="AF87">
        <v>11</v>
      </c>
      <c r="AG87">
        <v>21502.799999999999</v>
      </c>
      <c r="AH87">
        <v>19</v>
      </c>
      <c r="AI87">
        <v>37141.199999999997</v>
      </c>
      <c r="AJ87">
        <v>13</v>
      </c>
      <c r="AK87">
        <v>25412.399999999998</v>
      </c>
      <c r="AL87">
        <v>11</v>
      </c>
      <c r="AM87">
        <v>21502.799999999999</v>
      </c>
      <c r="AN87">
        <v>19</v>
      </c>
      <c r="AO87">
        <v>37141.199999999997</v>
      </c>
      <c r="AP87">
        <v>16</v>
      </c>
      <c r="AQ87">
        <v>31276.799999999999</v>
      </c>
      <c r="AR87">
        <v>21</v>
      </c>
      <c r="AS87">
        <v>41050.799999999996</v>
      </c>
      <c r="AT87">
        <v>16</v>
      </c>
      <c r="AU87">
        <v>31276.799999999999</v>
      </c>
      <c r="AV87">
        <v>21</v>
      </c>
      <c r="AW87">
        <v>41050.799999999996</v>
      </c>
      <c r="AX87">
        <v>19</v>
      </c>
      <c r="AY87">
        <v>37141.199999999997</v>
      </c>
      <c r="AZ87">
        <v>16</v>
      </c>
      <c r="BA87">
        <v>31276.799999999999</v>
      </c>
      <c r="BB87">
        <v>11</v>
      </c>
      <c r="BC87">
        <v>21502.799999999999</v>
      </c>
      <c r="BD87">
        <v>20</v>
      </c>
      <c r="BE87">
        <v>39096</v>
      </c>
      <c r="BF87">
        <v>19</v>
      </c>
      <c r="BG87">
        <v>37141.199999999997</v>
      </c>
      <c r="BH87">
        <v>21</v>
      </c>
      <c r="BI87">
        <v>41050.799999999996</v>
      </c>
      <c r="BJ87">
        <v>23</v>
      </c>
      <c r="BK87">
        <v>44960.4</v>
      </c>
      <c r="BL87">
        <v>13</v>
      </c>
      <c r="BM87">
        <v>25412.399999999998</v>
      </c>
      <c r="BN87">
        <v>12</v>
      </c>
      <c r="BO87">
        <v>23457.599999999999</v>
      </c>
      <c r="BP87">
        <v>15</v>
      </c>
      <c r="BQ87">
        <v>29322</v>
      </c>
      <c r="BR87">
        <v>11</v>
      </c>
      <c r="BS87">
        <v>21502.799999999999</v>
      </c>
      <c r="BT87">
        <v>12</v>
      </c>
      <c r="BU87">
        <v>23457.599999999999</v>
      </c>
      <c r="BV87">
        <v>19</v>
      </c>
      <c r="BW87">
        <v>37141.199999999997</v>
      </c>
      <c r="BX87">
        <v>17</v>
      </c>
      <c r="BY87">
        <v>33231.599999999999</v>
      </c>
      <c r="BZ87">
        <v>19</v>
      </c>
      <c r="CA87">
        <v>37141.199999999997</v>
      </c>
      <c r="CB87">
        <v>16</v>
      </c>
      <c r="CC87">
        <v>31276.799999999999</v>
      </c>
      <c r="CD87">
        <v>17</v>
      </c>
      <c r="CE87">
        <v>33231.599999999999</v>
      </c>
      <c r="CF87">
        <v>19</v>
      </c>
      <c r="CG87">
        <v>37141.199999999997</v>
      </c>
      <c r="CH87">
        <v>16</v>
      </c>
      <c r="CI87">
        <v>31276.799999999999</v>
      </c>
      <c r="CJ87">
        <v>16</v>
      </c>
      <c r="CK87">
        <v>31276.799999999999</v>
      </c>
      <c r="CL87">
        <v>13</v>
      </c>
      <c r="CM87">
        <v>25412.399999999998</v>
      </c>
      <c r="CN87">
        <v>15</v>
      </c>
      <c r="CO87">
        <v>29322</v>
      </c>
      <c r="CP87">
        <v>20</v>
      </c>
      <c r="CQ87">
        <v>39096</v>
      </c>
      <c r="CR87">
        <v>15</v>
      </c>
      <c r="CS87">
        <v>29322</v>
      </c>
      <c r="CT87">
        <v>22</v>
      </c>
      <c r="CU87">
        <v>43005.599999999999</v>
      </c>
    </row>
    <row r="88" spans="2:99" x14ac:dyDescent="0.2">
      <c r="C88" s="119" t="s">
        <v>254</v>
      </c>
      <c r="D88">
        <v>15.43729225496997</v>
      </c>
      <c r="E88">
        <v>29213.531863305168</v>
      </c>
      <c r="F88">
        <v>15</v>
      </c>
      <c r="G88">
        <v>28385.999999999996</v>
      </c>
      <c r="H88">
        <v>16</v>
      </c>
      <c r="I88">
        <v>30278.399999999998</v>
      </c>
      <c r="J88">
        <v>17</v>
      </c>
      <c r="K88">
        <v>32170.799999999999</v>
      </c>
      <c r="L88">
        <v>13</v>
      </c>
      <c r="M88">
        <v>24601.199999999997</v>
      </c>
      <c r="N88">
        <v>19</v>
      </c>
      <c r="O88">
        <v>35955.599999999999</v>
      </c>
      <c r="P88">
        <v>18</v>
      </c>
      <c r="Q88">
        <v>34063.199999999997</v>
      </c>
      <c r="R88">
        <v>18</v>
      </c>
      <c r="S88">
        <v>34063.199999999997</v>
      </c>
      <c r="T88">
        <v>19</v>
      </c>
      <c r="U88">
        <v>35955.599999999999</v>
      </c>
      <c r="V88">
        <v>10</v>
      </c>
      <c r="W88">
        <v>18924</v>
      </c>
      <c r="X88">
        <v>12</v>
      </c>
      <c r="Y88">
        <v>22708.799999999999</v>
      </c>
      <c r="Z88">
        <v>12</v>
      </c>
      <c r="AA88">
        <v>22708.799999999999</v>
      </c>
      <c r="AB88">
        <v>17</v>
      </c>
      <c r="AC88">
        <v>32170.799999999999</v>
      </c>
      <c r="AD88">
        <v>18</v>
      </c>
      <c r="AE88">
        <v>34063.199999999997</v>
      </c>
      <c r="AF88">
        <v>11</v>
      </c>
      <c r="AG88">
        <v>20816.399999999998</v>
      </c>
      <c r="AH88">
        <v>19</v>
      </c>
      <c r="AI88">
        <v>35955.599999999999</v>
      </c>
      <c r="AJ88">
        <v>15</v>
      </c>
      <c r="AK88">
        <v>28385.999999999996</v>
      </c>
      <c r="AL88">
        <v>11</v>
      </c>
      <c r="AM88">
        <v>20816.399999999998</v>
      </c>
      <c r="AN88">
        <v>19</v>
      </c>
      <c r="AO88">
        <v>35955.599999999999</v>
      </c>
      <c r="AP88">
        <v>18</v>
      </c>
      <c r="AQ88">
        <v>34063.199999999997</v>
      </c>
      <c r="AR88">
        <v>20</v>
      </c>
      <c r="AS88">
        <v>37848</v>
      </c>
      <c r="AT88">
        <v>15</v>
      </c>
      <c r="AU88">
        <v>28385.999999999996</v>
      </c>
      <c r="AV88">
        <v>19</v>
      </c>
      <c r="AW88">
        <v>35955.599999999999</v>
      </c>
      <c r="AX88">
        <v>22</v>
      </c>
      <c r="AY88">
        <v>41632.799999999996</v>
      </c>
      <c r="AZ88">
        <v>17</v>
      </c>
      <c r="BA88">
        <v>32170.799999999999</v>
      </c>
      <c r="BB88">
        <v>10</v>
      </c>
      <c r="BC88">
        <v>18924</v>
      </c>
      <c r="BD88">
        <v>23</v>
      </c>
      <c r="BE88">
        <v>43525.2</v>
      </c>
      <c r="BF88">
        <v>18</v>
      </c>
      <c r="BG88">
        <v>34063.199999999997</v>
      </c>
      <c r="BH88">
        <v>21</v>
      </c>
      <c r="BI88">
        <v>39740.399999999994</v>
      </c>
      <c r="BJ88">
        <v>20</v>
      </c>
      <c r="BK88">
        <v>37848</v>
      </c>
      <c r="BL88">
        <v>13</v>
      </c>
      <c r="BM88">
        <v>24601.199999999997</v>
      </c>
      <c r="BN88">
        <v>12</v>
      </c>
      <c r="BO88">
        <v>22708.799999999999</v>
      </c>
      <c r="BP88">
        <v>16</v>
      </c>
      <c r="BQ88">
        <v>30278.399999999998</v>
      </c>
      <c r="BR88">
        <v>12</v>
      </c>
      <c r="BS88">
        <v>22708.799999999999</v>
      </c>
      <c r="BT88">
        <v>12</v>
      </c>
      <c r="BU88">
        <v>22708.799999999999</v>
      </c>
      <c r="BV88">
        <v>21</v>
      </c>
      <c r="BW88">
        <v>39740.399999999994</v>
      </c>
      <c r="BX88">
        <v>15</v>
      </c>
      <c r="BY88">
        <v>28385.999999999996</v>
      </c>
      <c r="BZ88">
        <v>19</v>
      </c>
      <c r="CA88">
        <v>35955.599999999999</v>
      </c>
      <c r="CB88">
        <v>14</v>
      </c>
      <c r="CC88">
        <v>26493.599999999999</v>
      </c>
      <c r="CD88">
        <v>18</v>
      </c>
      <c r="CE88">
        <v>34063.199999999997</v>
      </c>
      <c r="CF88">
        <v>18</v>
      </c>
      <c r="CG88">
        <v>34063.199999999997</v>
      </c>
      <c r="CH88">
        <v>15</v>
      </c>
      <c r="CI88">
        <v>28385.999999999996</v>
      </c>
      <c r="CJ88">
        <v>15</v>
      </c>
      <c r="CK88">
        <v>28385.999999999996</v>
      </c>
      <c r="CL88">
        <v>13</v>
      </c>
      <c r="CM88">
        <v>24601.199999999997</v>
      </c>
      <c r="CN88">
        <v>17</v>
      </c>
      <c r="CO88">
        <v>32170.799999999999</v>
      </c>
      <c r="CP88">
        <v>19</v>
      </c>
      <c r="CQ88">
        <v>35955.599999999999</v>
      </c>
      <c r="CR88">
        <v>14</v>
      </c>
      <c r="CS88">
        <v>26493.599999999999</v>
      </c>
      <c r="CT88">
        <v>23</v>
      </c>
      <c r="CU88">
        <v>43525.2</v>
      </c>
    </row>
    <row r="89" spans="2:99" x14ac:dyDescent="0.2">
      <c r="C89" s="119" t="s">
        <v>255</v>
      </c>
      <c r="D89">
        <v>13.370016523436128</v>
      </c>
      <c r="E89">
        <v>32055.951616590461</v>
      </c>
      <c r="F89">
        <v>13</v>
      </c>
      <c r="G89">
        <v>31168.799999999999</v>
      </c>
      <c r="H89">
        <v>14</v>
      </c>
      <c r="I89">
        <v>33566.400000000001</v>
      </c>
      <c r="J89">
        <v>15</v>
      </c>
      <c r="K89">
        <v>35964</v>
      </c>
      <c r="L89">
        <v>13</v>
      </c>
      <c r="M89">
        <v>31168.799999999999</v>
      </c>
      <c r="N89">
        <v>17</v>
      </c>
      <c r="O89">
        <v>40759.199999999997</v>
      </c>
      <c r="P89">
        <v>15</v>
      </c>
      <c r="Q89">
        <v>35964</v>
      </c>
      <c r="R89">
        <v>18</v>
      </c>
      <c r="S89">
        <v>43156.799999999996</v>
      </c>
      <c r="T89">
        <v>17</v>
      </c>
      <c r="U89">
        <v>40759.199999999997</v>
      </c>
      <c r="V89">
        <v>10</v>
      </c>
      <c r="W89">
        <v>23976</v>
      </c>
      <c r="X89">
        <v>10</v>
      </c>
      <c r="Y89">
        <v>23976</v>
      </c>
      <c r="Z89">
        <v>10</v>
      </c>
      <c r="AA89">
        <v>23976</v>
      </c>
      <c r="AB89">
        <v>17</v>
      </c>
      <c r="AC89">
        <v>40759.199999999997</v>
      </c>
      <c r="AD89">
        <v>20</v>
      </c>
      <c r="AE89">
        <v>47952</v>
      </c>
      <c r="AF89">
        <v>11</v>
      </c>
      <c r="AG89">
        <v>26373.599999999999</v>
      </c>
      <c r="AH89">
        <v>19</v>
      </c>
      <c r="AI89">
        <v>45554.400000000001</v>
      </c>
      <c r="AJ89">
        <v>14</v>
      </c>
      <c r="AK89">
        <v>33566.400000000001</v>
      </c>
      <c r="AL89">
        <v>11</v>
      </c>
      <c r="AM89">
        <v>26373.599999999999</v>
      </c>
      <c r="AN89">
        <v>18</v>
      </c>
      <c r="AO89">
        <v>43156.799999999996</v>
      </c>
      <c r="AP89">
        <v>15</v>
      </c>
      <c r="AQ89">
        <v>35964</v>
      </c>
      <c r="AR89">
        <v>18</v>
      </c>
      <c r="AS89">
        <v>43156.799999999996</v>
      </c>
      <c r="AT89">
        <v>14</v>
      </c>
      <c r="AU89">
        <v>33566.400000000001</v>
      </c>
      <c r="AV89">
        <v>19</v>
      </c>
      <c r="AW89">
        <v>45554.400000000001</v>
      </c>
      <c r="AX89">
        <v>21</v>
      </c>
      <c r="AY89">
        <v>50349.599999999999</v>
      </c>
      <c r="AZ89">
        <v>17</v>
      </c>
      <c r="BA89">
        <v>40759.199999999997</v>
      </c>
      <c r="BB89">
        <v>10</v>
      </c>
      <c r="BC89">
        <v>23976</v>
      </c>
      <c r="BD89">
        <v>19</v>
      </c>
      <c r="BE89">
        <v>45554.400000000001</v>
      </c>
      <c r="BF89">
        <v>16</v>
      </c>
      <c r="BG89">
        <v>38361.599999999999</v>
      </c>
      <c r="BH89">
        <v>17</v>
      </c>
      <c r="BI89">
        <v>40759.199999999997</v>
      </c>
      <c r="BJ89">
        <v>22</v>
      </c>
      <c r="BK89">
        <v>52747.199999999997</v>
      </c>
      <c r="BL89">
        <v>13</v>
      </c>
      <c r="BM89">
        <v>31168.799999999999</v>
      </c>
      <c r="BN89">
        <v>12</v>
      </c>
      <c r="BO89">
        <v>28771.199999999997</v>
      </c>
      <c r="BP89">
        <v>15</v>
      </c>
      <c r="BQ89">
        <v>35964</v>
      </c>
      <c r="BR89">
        <v>10</v>
      </c>
      <c r="BS89">
        <v>23976</v>
      </c>
      <c r="BT89">
        <v>12</v>
      </c>
      <c r="BU89">
        <v>28771.199999999997</v>
      </c>
      <c r="BV89">
        <v>20</v>
      </c>
      <c r="BW89">
        <v>47952</v>
      </c>
      <c r="BX89">
        <v>15</v>
      </c>
      <c r="BY89">
        <v>35964</v>
      </c>
      <c r="BZ89">
        <v>17</v>
      </c>
      <c r="CA89">
        <v>40759.199999999997</v>
      </c>
      <c r="CB89">
        <v>16</v>
      </c>
      <c r="CC89">
        <v>38361.599999999999</v>
      </c>
      <c r="CD89">
        <v>17</v>
      </c>
      <c r="CE89">
        <v>40759.199999999997</v>
      </c>
      <c r="CF89">
        <v>20</v>
      </c>
      <c r="CG89">
        <v>47952</v>
      </c>
      <c r="CH89">
        <v>15</v>
      </c>
      <c r="CI89">
        <v>35964</v>
      </c>
      <c r="CJ89">
        <v>13</v>
      </c>
      <c r="CK89">
        <v>31168.799999999999</v>
      </c>
      <c r="CL89">
        <v>13</v>
      </c>
      <c r="CM89">
        <v>31168.799999999999</v>
      </c>
      <c r="CN89">
        <v>16</v>
      </c>
      <c r="CO89">
        <v>38361.599999999999</v>
      </c>
      <c r="CP89">
        <v>17</v>
      </c>
      <c r="CQ89">
        <v>40759.199999999997</v>
      </c>
      <c r="CR89">
        <v>15</v>
      </c>
      <c r="CS89">
        <v>35964</v>
      </c>
      <c r="CT89">
        <v>21</v>
      </c>
      <c r="CU89">
        <v>50349.599999999999</v>
      </c>
    </row>
    <row r="90" spans="2:99" x14ac:dyDescent="0.2">
      <c r="C90" s="119" t="s">
        <v>256</v>
      </c>
      <c r="D90">
        <v>15.370016523436128</v>
      </c>
      <c r="E90">
        <v>33771.000305293855</v>
      </c>
      <c r="F90">
        <v>14</v>
      </c>
      <c r="G90">
        <v>30760.799999999996</v>
      </c>
      <c r="H90">
        <v>16</v>
      </c>
      <c r="I90">
        <v>35155.199999999997</v>
      </c>
      <c r="J90">
        <v>17</v>
      </c>
      <c r="K90">
        <v>37352.399999999994</v>
      </c>
      <c r="L90">
        <v>14</v>
      </c>
      <c r="M90">
        <v>30760.799999999996</v>
      </c>
      <c r="N90">
        <v>16</v>
      </c>
      <c r="O90">
        <v>35155.199999999997</v>
      </c>
      <c r="P90">
        <v>16</v>
      </c>
      <c r="Q90">
        <v>35155.199999999997</v>
      </c>
      <c r="R90">
        <v>16</v>
      </c>
      <c r="S90">
        <v>35155.199999999997</v>
      </c>
      <c r="T90">
        <v>17</v>
      </c>
      <c r="U90">
        <v>37352.399999999994</v>
      </c>
      <c r="V90">
        <v>10</v>
      </c>
      <c r="W90">
        <v>21972</v>
      </c>
      <c r="X90">
        <v>11</v>
      </c>
      <c r="Y90">
        <v>24169.199999999997</v>
      </c>
      <c r="Z90">
        <v>11</v>
      </c>
      <c r="AA90">
        <v>24169.199999999997</v>
      </c>
      <c r="AB90">
        <v>17</v>
      </c>
      <c r="AC90">
        <v>37352.399999999994</v>
      </c>
      <c r="AD90">
        <v>19</v>
      </c>
      <c r="AE90">
        <v>41746.799999999996</v>
      </c>
      <c r="AF90">
        <v>9</v>
      </c>
      <c r="AG90">
        <v>19774.8</v>
      </c>
      <c r="AH90">
        <v>17</v>
      </c>
      <c r="AI90">
        <v>37352.399999999994</v>
      </c>
      <c r="AJ90">
        <v>12</v>
      </c>
      <c r="AK90">
        <v>26366.399999999998</v>
      </c>
      <c r="AL90">
        <v>11</v>
      </c>
      <c r="AM90">
        <v>24169.199999999997</v>
      </c>
      <c r="AN90">
        <v>19</v>
      </c>
      <c r="AO90">
        <v>41746.799999999996</v>
      </c>
      <c r="AP90">
        <v>17</v>
      </c>
      <c r="AQ90">
        <v>37352.399999999994</v>
      </c>
      <c r="AR90">
        <v>21</v>
      </c>
      <c r="AS90">
        <v>46141.2</v>
      </c>
      <c r="AT90">
        <v>15</v>
      </c>
      <c r="AU90">
        <v>32958</v>
      </c>
      <c r="AV90">
        <v>20</v>
      </c>
      <c r="AW90">
        <v>43944</v>
      </c>
      <c r="AX90">
        <v>20</v>
      </c>
      <c r="AY90">
        <v>43944</v>
      </c>
      <c r="AZ90">
        <v>18</v>
      </c>
      <c r="BA90">
        <v>39549.599999999999</v>
      </c>
      <c r="BB90">
        <v>11</v>
      </c>
      <c r="BC90">
        <v>24169.199999999997</v>
      </c>
      <c r="BD90">
        <v>20</v>
      </c>
      <c r="BE90">
        <v>43944</v>
      </c>
      <c r="BF90">
        <v>17</v>
      </c>
      <c r="BG90">
        <v>37352.399999999994</v>
      </c>
      <c r="BH90">
        <v>18</v>
      </c>
      <c r="BI90">
        <v>39549.599999999999</v>
      </c>
      <c r="BJ90">
        <v>21</v>
      </c>
      <c r="BK90">
        <v>46141.2</v>
      </c>
      <c r="BL90">
        <v>13</v>
      </c>
      <c r="BM90">
        <v>28563.599999999999</v>
      </c>
      <c r="BN90">
        <v>11</v>
      </c>
      <c r="BO90">
        <v>24169.199999999997</v>
      </c>
      <c r="BP90">
        <v>17</v>
      </c>
      <c r="BQ90">
        <v>37352.399999999994</v>
      </c>
      <c r="BR90">
        <v>11</v>
      </c>
      <c r="BS90">
        <v>24169.199999999997</v>
      </c>
      <c r="BT90">
        <v>11</v>
      </c>
      <c r="BU90">
        <v>24169.199999999997</v>
      </c>
      <c r="BV90">
        <v>19</v>
      </c>
      <c r="BW90">
        <v>41746.799999999996</v>
      </c>
      <c r="BX90">
        <v>16</v>
      </c>
      <c r="BY90">
        <v>35155.199999999997</v>
      </c>
      <c r="BZ90">
        <v>17</v>
      </c>
      <c r="CA90">
        <v>37352.399999999994</v>
      </c>
      <c r="CB90">
        <v>14</v>
      </c>
      <c r="CC90">
        <v>30760.799999999996</v>
      </c>
      <c r="CD90">
        <v>17</v>
      </c>
      <c r="CE90">
        <v>37352.399999999994</v>
      </c>
      <c r="CF90">
        <v>20</v>
      </c>
      <c r="CG90">
        <v>43944</v>
      </c>
      <c r="CH90">
        <v>16</v>
      </c>
      <c r="CI90">
        <v>35155.199999999997</v>
      </c>
      <c r="CJ90">
        <v>15</v>
      </c>
      <c r="CK90">
        <v>32958</v>
      </c>
      <c r="CL90">
        <v>11</v>
      </c>
      <c r="CM90">
        <v>24169.199999999997</v>
      </c>
      <c r="CN90">
        <v>14</v>
      </c>
      <c r="CO90">
        <v>30760.799999999996</v>
      </c>
      <c r="CP90">
        <v>18</v>
      </c>
      <c r="CQ90">
        <v>39549.599999999999</v>
      </c>
      <c r="CR90">
        <v>14</v>
      </c>
      <c r="CS90">
        <v>30760.799999999996</v>
      </c>
      <c r="CT90">
        <v>20</v>
      </c>
      <c r="CU90">
        <v>43944</v>
      </c>
    </row>
    <row r="91" spans="2:99" x14ac:dyDescent="0.2">
      <c r="C91" s="119" t="s">
        <v>257</v>
      </c>
      <c r="D91">
        <v>13.403654389203048</v>
      </c>
      <c r="E91">
        <v>30785.513401121556</v>
      </c>
      <c r="F91">
        <v>13</v>
      </c>
      <c r="G91">
        <v>29858.399999999998</v>
      </c>
      <c r="H91">
        <v>14</v>
      </c>
      <c r="I91">
        <v>32155.199999999997</v>
      </c>
      <c r="J91">
        <v>16</v>
      </c>
      <c r="K91">
        <v>36748.799999999996</v>
      </c>
      <c r="L91">
        <v>15</v>
      </c>
      <c r="M91">
        <v>34451.999999999993</v>
      </c>
      <c r="N91">
        <v>15</v>
      </c>
      <c r="O91">
        <v>34451.999999999993</v>
      </c>
      <c r="P91">
        <v>15</v>
      </c>
      <c r="Q91">
        <v>34451.999999999993</v>
      </c>
      <c r="R91">
        <v>18</v>
      </c>
      <c r="S91">
        <v>41342.399999999994</v>
      </c>
      <c r="T91">
        <v>17</v>
      </c>
      <c r="U91">
        <v>39045.599999999999</v>
      </c>
      <c r="V91">
        <v>10</v>
      </c>
      <c r="W91">
        <v>22967.999999999996</v>
      </c>
      <c r="X91">
        <v>11</v>
      </c>
      <c r="Y91">
        <v>25264.799999999996</v>
      </c>
      <c r="Z91">
        <v>12</v>
      </c>
      <c r="AA91">
        <v>27561.599999999999</v>
      </c>
      <c r="AB91">
        <v>16</v>
      </c>
      <c r="AC91">
        <v>36748.799999999996</v>
      </c>
      <c r="AD91">
        <v>20</v>
      </c>
      <c r="AE91">
        <v>45935.999999999993</v>
      </c>
      <c r="AF91">
        <v>11</v>
      </c>
      <c r="AG91">
        <v>25264.799999999996</v>
      </c>
      <c r="AH91">
        <v>17</v>
      </c>
      <c r="AI91">
        <v>39045.599999999999</v>
      </c>
      <c r="AJ91">
        <v>12</v>
      </c>
      <c r="AK91">
        <v>27561.599999999999</v>
      </c>
      <c r="AL91">
        <v>11</v>
      </c>
      <c r="AM91">
        <v>25264.799999999996</v>
      </c>
      <c r="AN91">
        <v>19</v>
      </c>
      <c r="AO91">
        <v>43639.199999999997</v>
      </c>
      <c r="AP91">
        <v>14</v>
      </c>
      <c r="AQ91">
        <v>32155.199999999997</v>
      </c>
      <c r="AR91">
        <v>17</v>
      </c>
      <c r="AS91">
        <v>39045.599999999999</v>
      </c>
      <c r="AT91">
        <v>15</v>
      </c>
      <c r="AU91">
        <v>34451.999999999993</v>
      </c>
      <c r="AV91">
        <v>17</v>
      </c>
      <c r="AW91">
        <v>39045.599999999999</v>
      </c>
      <c r="AX91">
        <v>20</v>
      </c>
      <c r="AY91">
        <v>45935.999999999993</v>
      </c>
      <c r="AZ91">
        <v>16</v>
      </c>
      <c r="BA91">
        <v>36748.799999999996</v>
      </c>
      <c r="BB91">
        <v>10</v>
      </c>
      <c r="BC91">
        <v>22967.999999999996</v>
      </c>
      <c r="BD91">
        <v>18</v>
      </c>
      <c r="BE91">
        <v>41342.399999999994</v>
      </c>
      <c r="BF91">
        <v>17</v>
      </c>
      <c r="BG91">
        <v>39045.599999999999</v>
      </c>
      <c r="BH91">
        <v>20</v>
      </c>
      <c r="BI91">
        <v>45935.999999999993</v>
      </c>
      <c r="BJ91">
        <v>20</v>
      </c>
      <c r="BK91">
        <v>45935.999999999993</v>
      </c>
      <c r="BL91">
        <v>13</v>
      </c>
      <c r="BM91">
        <v>29858.399999999998</v>
      </c>
      <c r="BN91">
        <v>12</v>
      </c>
      <c r="BO91">
        <v>27561.599999999999</v>
      </c>
      <c r="BP91">
        <v>14</v>
      </c>
      <c r="BQ91">
        <v>32155.199999999997</v>
      </c>
      <c r="BR91">
        <v>11</v>
      </c>
      <c r="BS91">
        <v>25264.799999999996</v>
      </c>
      <c r="BT91">
        <v>12</v>
      </c>
      <c r="BU91">
        <v>27561.599999999999</v>
      </c>
      <c r="BV91">
        <v>17</v>
      </c>
      <c r="BW91">
        <v>39045.599999999999</v>
      </c>
      <c r="BX91">
        <v>15</v>
      </c>
      <c r="BY91">
        <v>34451.999999999993</v>
      </c>
      <c r="BZ91">
        <v>16</v>
      </c>
      <c r="CA91">
        <v>36748.799999999996</v>
      </c>
      <c r="CB91">
        <v>14</v>
      </c>
      <c r="CC91">
        <v>32155.199999999997</v>
      </c>
      <c r="CD91">
        <v>17</v>
      </c>
      <c r="CE91">
        <v>39045.599999999999</v>
      </c>
      <c r="CF91">
        <v>19</v>
      </c>
      <c r="CG91">
        <v>43639.199999999997</v>
      </c>
      <c r="CH91">
        <v>15</v>
      </c>
      <c r="CI91">
        <v>34451.999999999993</v>
      </c>
      <c r="CJ91">
        <v>15</v>
      </c>
      <c r="CK91">
        <v>34451.999999999993</v>
      </c>
      <c r="CL91">
        <v>12</v>
      </c>
      <c r="CM91">
        <v>27561.599999999999</v>
      </c>
      <c r="CN91">
        <v>17</v>
      </c>
      <c r="CO91">
        <v>39045.599999999999</v>
      </c>
      <c r="CP91">
        <v>20</v>
      </c>
      <c r="CQ91">
        <v>45935.999999999993</v>
      </c>
      <c r="CR91">
        <v>13</v>
      </c>
      <c r="CS91">
        <v>29858.399999999998</v>
      </c>
      <c r="CT91">
        <v>21</v>
      </c>
      <c r="CU91">
        <v>48232.799999999996</v>
      </c>
    </row>
    <row r="92" spans="2:99" x14ac:dyDescent="0.2">
      <c r="C92" s="119" t="s">
        <v>258</v>
      </c>
      <c r="D92">
        <v>15.43729225496997</v>
      </c>
      <c r="E92">
        <v>21933.304835861334</v>
      </c>
      <c r="F92">
        <v>16</v>
      </c>
      <c r="G92">
        <v>22732.799999999999</v>
      </c>
      <c r="H92">
        <v>15</v>
      </c>
      <c r="I92">
        <v>21312</v>
      </c>
      <c r="J92">
        <v>18</v>
      </c>
      <c r="K92">
        <v>25574.399999999998</v>
      </c>
      <c r="L92">
        <v>16</v>
      </c>
      <c r="M92">
        <v>22732.799999999999</v>
      </c>
      <c r="N92">
        <v>17</v>
      </c>
      <c r="O92">
        <v>24153.599999999999</v>
      </c>
      <c r="P92">
        <v>17</v>
      </c>
      <c r="Q92">
        <v>24153.599999999999</v>
      </c>
      <c r="R92">
        <v>18</v>
      </c>
      <c r="S92">
        <v>25574.399999999998</v>
      </c>
      <c r="T92">
        <v>19</v>
      </c>
      <c r="U92">
        <v>26995.200000000001</v>
      </c>
      <c r="V92">
        <v>11</v>
      </c>
      <c r="W92">
        <v>15628.8</v>
      </c>
      <c r="X92">
        <v>11</v>
      </c>
      <c r="Y92">
        <v>15628.8</v>
      </c>
      <c r="Z92">
        <v>14</v>
      </c>
      <c r="AA92">
        <v>19891.2</v>
      </c>
      <c r="AB92">
        <v>18</v>
      </c>
      <c r="AC92">
        <v>25574.399999999998</v>
      </c>
      <c r="AD92">
        <v>22</v>
      </c>
      <c r="AE92">
        <v>31257.599999999999</v>
      </c>
      <c r="AF92">
        <v>12</v>
      </c>
      <c r="AG92">
        <v>17049.599999999999</v>
      </c>
      <c r="AH92">
        <v>18</v>
      </c>
      <c r="AI92">
        <v>25574.399999999998</v>
      </c>
      <c r="AJ92">
        <v>14</v>
      </c>
      <c r="AK92">
        <v>19891.2</v>
      </c>
      <c r="AL92">
        <v>12</v>
      </c>
      <c r="AM92">
        <v>17049.599999999999</v>
      </c>
      <c r="AN92">
        <v>20</v>
      </c>
      <c r="AO92">
        <v>28416</v>
      </c>
      <c r="AP92">
        <v>17</v>
      </c>
      <c r="AQ92">
        <v>24153.599999999999</v>
      </c>
      <c r="AR92">
        <v>19</v>
      </c>
      <c r="AS92">
        <v>26995.200000000001</v>
      </c>
      <c r="AT92">
        <v>16</v>
      </c>
      <c r="AU92">
        <v>22732.799999999999</v>
      </c>
      <c r="AV92">
        <v>21</v>
      </c>
      <c r="AW92">
        <v>29836.799999999999</v>
      </c>
      <c r="AX92">
        <v>21</v>
      </c>
      <c r="AY92">
        <v>29836.799999999999</v>
      </c>
      <c r="AZ92">
        <v>17</v>
      </c>
      <c r="BA92">
        <v>24153.599999999999</v>
      </c>
      <c r="BB92">
        <v>10</v>
      </c>
      <c r="BC92">
        <v>14208</v>
      </c>
      <c r="BD92">
        <v>23</v>
      </c>
      <c r="BE92">
        <v>32678.399999999998</v>
      </c>
      <c r="BF92">
        <v>18</v>
      </c>
      <c r="BG92">
        <v>25574.399999999998</v>
      </c>
      <c r="BH92">
        <v>21</v>
      </c>
      <c r="BI92">
        <v>29836.799999999999</v>
      </c>
      <c r="BJ92">
        <v>22</v>
      </c>
      <c r="BK92">
        <v>31257.599999999999</v>
      </c>
      <c r="BL92">
        <v>13</v>
      </c>
      <c r="BM92">
        <v>18470.399999999998</v>
      </c>
      <c r="BN92">
        <v>13</v>
      </c>
      <c r="BO92">
        <v>18470.399999999998</v>
      </c>
      <c r="BP92">
        <v>16</v>
      </c>
      <c r="BQ92">
        <v>22732.799999999999</v>
      </c>
      <c r="BR92">
        <v>12</v>
      </c>
      <c r="BS92">
        <v>17049.599999999999</v>
      </c>
      <c r="BT92">
        <v>11</v>
      </c>
      <c r="BU92">
        <v>15628.8</v>
      </c>
      <c r="BV92">
        <v>19</v>
      </c>
      <c r="BW92">
        <v>26995.200000000001</v>
      </c>
      <c r="BX92">
        <v>16</v>
      </c>
      <c r="BY92">
        <v>22732.799999999999</v>
      </c>
      <c r="BZ92">
        <v>19</v>
      </c>
      <c r="CA92">
        <v>26995.200000000001</v>
      </c>
      <c r="CB92">
        <v>16</v>
      </c>
      <c r="CC92">
        <v>22732.799999999999</v>
      </c>
      <c r="CD92">
        <v>17</v>
      </c>
      <c r="CE92">
        <v>24153.599999999999</v>
      </c>
      <c r="CF92">
        <v>20</v>
      </c>
      <c r="CG92">
        <v>28416</v>
      </c>
      <c r="CH92">
        <v>15</v>
      </c>
      <c r="CI92">
        <v>21312</v>
      </c>
      <c r="CJ92">
        <v>14</v>
      </c>
      <c r="CK92">
        <v>19891.2</v>
      </c>
      <c r="CL92">
        <v>14</v>
      </c>
      <c r="CM92">
        <v>19891.2</v>
      </c>
      <c r="CN92">
        <v>17</v>
      </c>
      <c r="CO92">
        <v>24153.599999999999</v>
      </c>
      <c r="CP92">
        <v>22</v>
      </c>
      <c r="CQ92">
        <v>31257.599999999999</v>
      </c>
      <c r="CR92">
        <v>16</v>
      </c>
      <c r="CS92">
        <v>22732.799999999999</v>
      </c>
      <c r="CT92">
        <v>21</v>
      </c>
      <c r="CU92">
        <v>29836.799999999999</v>
      </c>
    </row>
    <row r="93" spans="2:99" x14ac:dyDescent="0.2">
      <c r="C93" s="119" t="s">
        <v>259</v>
      </c>
      <c r="D93">
        <v>14.403654389203048</v>
      </c>
      <c r="E93">
        <v>25529.037039423481</v>
      </c>
      <c r="F93">
        <v>14</v>
      </c>
      <c r="G93">
        <v>24813.599999999999</v>
      </c>
      <c r="H93">
        <v>17</v>
      </c>
      <c r="I93">
        <v>30130.799999999999</v>
      </c>
      <c r="J93">
        <v>16</v>
      </c>
      <c r="K93">
        <v>28358.399999999998</v>
      </c>
      <c r="L93">
        <v>15</v>
      </c>
      <c r="M93">
        <v>26585.999999999996</v>
      </c>
      <c r="N93">
        <v>16</v>
      </c>
      <c r="O93">
        <v>28358.399999999998</v>
      </c>
      <c r="P93">
        <v>16</v>
      </c>
      <c r="Q93">
        <v>28358.399999999998</v>
      </c>
      <c r="R93">
        <v>20</v>
      </c>
      <c r="S93">
        <v>35448</v>
      </c>
      <c r="T93">
        <v>19</v>
      </c>
      <c r="U93">
        <v>33675.599999999999</v>
      </c>
      <c r="V93">
        <v>11</v>
      </c>
      <c r="W93">
        <v>19496.399999999998</v>
      </c>
      <c r="X93">
        <v>12</v>
      </c>
      <c r="Y93">
        <v>21268.799999999999</v>
      </c>
      <c r="Z93">
        <v>12</v>
      </c>
      <c r="AA93">
        <v>21268.799999999999</v>
      </c>
      <c r="AB93">
        <v>16</v>
      </c>
      <c r="AC93">
        <v>28358.399999999998</v>
      </c>
      <c r="AD93">
        <v>21</v>
      </c>
      <c r="AE93">
        <v>37220.399999999994</v>
      </c>
      <c r="AF93">
        <v>11</v>
      </c>
      <c r="AG93">
        <v>19496.399999999998</v>
      </c>
      <c r="AH93">
        <v>19</v>
      </c>
      <c r="AI93">
        <v>33675.599999999999</v>
      </c>
      <c r="AJ93">
        <v>14</v>
      </c>
      <c r="AK93">
        <v>24813.599999999999</v>
      </c>
      <c r="AL93">
        <v>12</v>
      </c>
      <c r="AM93">
        <v>21268.799999999999</v>
      </c>
      <c r="AN93">
        <v>20</v>
      </c>
      <c r="AO93">
        <v>35448</v>
      </c>
      <c r="AP93">
        <v>16</v>
      </c>
      <c r="AQ93">
        <v>28358.399999999998</v>
      </c>
      <c r="AR93">
        <v>19</v>
      </c>
      <c r="AS93">
        <v>33675.599999999999</v>
      </c>
      <c r="AT93">
        <v>15</v>
      </c>
      <c r="AU93">
        <v>26585.999999999996</v>
      </c>
      <c r="AV93">
        <v>21</v>
      </c>
      <c r="AW93">
        <v>37220.399999999994</v>
      </c>
      <c r="AX93">
        <v>19</v>
      </c>
      <c r="AY93">
        <v>33675.599999999999</v>
      </c>
      <c r="AZ93">
        <v>17</v>
      </c>
      <c r="BA93">
        <v>30130.799999999999</v>
      </c>
      <c r="BB93">
        <v>11</v>
      </c>
      <c r="BC93">
        <v>19496.399999999998</v>
      </c>
      <c r="BD93">
        <v>21</v>
      </c>
      <c r="BE93">
        <v>37220.399999999994</v>
      </c>
      <c r="BF93">
        <v>18</v>
      </c>
      <c r="BG93">
        <v>31903.199999999997</v>
      </c>
      <c r="BH93">
        <v>22</v>
      </c>
      <c r="BI93">
        <v>38992.799999999996</v>
      </c>
      <c r="BJ93">
        <v>20</v>
      </c>
      <c r="BK93">
        <v>35448</v>
      </c>
      <c r="BL93">
        <v>13</v>
      </c>
      <c r="BM93">
        <v>23041.199999999997</v>
      </c>
      <c r="BN93">
        <v>12</v>
      </c>
      <c r="BO93">
        <v>21268.799999999999</v>
      </c>
      <c r="BP93">
        <v>17</v>
      </c>
      <c r="BQ93">
        <v>30130.799999999999</v>
      </c>
      <c r="BR93">
        <v>12</v>
      </c>
      <c r="BS93">
        <v>21268.799999999999</v>
      </c>
      <c r="BT93">
        <v>11</v>
      </c>
      <c r="BU93">
        <v>19496.399999999998</v>
      </c>
      <c r="BV93">
        <v>19</v>
      </c>
      <c r="BW93">
        <v>33675.599999999999</v>
      </c>
      <c r="BX93">
        <v>17</v>
      </c>
      <c r="BY93">
        <v>30130.799999999999</v>
      </c>
      <c r="BZ93">
        <v>19</v>
      </c>
      <c r="CA93">
        <v>33675.599999999999</v>
      </c>
      <c r="CB93">
        <v>17</v>
      </c>
      <c r="CC93">
        <v>30130.799999999999</v>
      </c>
      <c r="CD93">
        <v>18</v>
      </c>
      <c r="CE93">
        <v>31903.199999999997</v>
      </c>
      <c r="CF93">
        <v>19</v>
      </c>
      <c r="CG93">
        <v>33675.599999999999</v>
      </c>
      <c r="CH93">
        <v>15</v>
      </c>
      <c r="CI93">
        <v>26585.999999999996</v>
      </c>
      <c r="CJ93">
        <v>16</v>
      </c>
      <c r="CK93">
        <v>28358.399999999998</v>
      </c>
      <c r="CL93">
        <v>12</v>
      </c>
      <c r="CM93">
        <v>21268.799999999999</v>
      </c>
      <c r="CN93">
        <v>15</v>
      </c>
      <c r="CO93">
        <v>26585.999999999996</v>
      </c>
      <c r="CP93">
        <v>21</v>
      </c>
      <c r="CQ93">
        <v>37220.399999999994</v>
      </c>
      <c r="CR93">
        <v>14</v>
      </c>
      <c r="CS93">
        <v>24813.599999999999</v>
      </c>
      <c r="CT93">
        <v>21</v>
      </c>
      <c r="CU93">
        <v>37220.399999999994</v>
      </c>
    </row>
    <row r="94" spans="2:99" x14ac:dyDescent="0.2">
      <c r="C94" s="119" t="s">
        <v>260</v>
      </c>
      <c r="D94">
        <v>14.370016523436128</v>
      </c>
      <c r="E94">
        <v>34419.063576934212</v>
      </c>
      <c r="F94">
        <v>14</v>
      </c>
      <c r="G94">
        <v>33532.799999999996</v>
      </c>
      <c r="H94">
        <v>13</v>
      </c>
      <c r="I94">
        <v>31137.599999999999</v>
      </c>
      <c r="J94">
        <v>14</v>
      </c>
      <c r="K94">
        <v>33532.799999999996</v>
      </c>
      <c r="L94">
        <v>14</v>
      </c>
      <c r="M94">
        <v>33532.799999999996</v>
      </c>
      <c r="N94">
        <v>18</v>
      </c>
      <c r="O94">
        <v>43113.599999999999</v>
      </c>
      <c r="P94">
        <v>16</v>
      </c>
      <c r="Q94">
        <v>38323.199999999997</v>
      </c>
      <c r="R94">
        <v>19</v>
      </c>
      <c r="S94">
        <v>45508.799999999996</v>
      </c>
      <c r="T94">
        <v>16</v>
      </c>
      <c r="U94">
        <v>38323.199999999997</v>
      </c>
      <c r="V94">
        <v>10</v>
      </c>
      <c r="W94">
        <v>23952</v>
      </c>
      <c r="X94">
        <v>11</v>
      </c>
      <c r="Y94">
        <v>26347.199999999997</v>
      </c>
      <c r="Z94">
        <v>11</v>
      </c>
      <c r="AA94">
        <v>26347.199999999997</v>
      </c>
      <c r="AB94">
        <v>17</v>
      </c>
      <c r="AC94">
        <v>40718.399999999994</v>
      </c>
      <c r="AD94">
        <v>17</v>
      </c>
      <c r="AE94">
        <v>40718.399999999994</v>
      </c>
      <c r="AF94">
        <v>10</v>
      </c>
      <c r="AG94">
        <v>23952</v>
      </c>
      <c r="AH94">
        <v>18</v>
      </c>
      <c r="AI94">
        <v>43113.599999999999</v>
      </c>
      <c r="AJ94">
        <v>12</v>
      </c>
      <c r="AK94">
        <v>28742.399999999998</v>
      </c>
      <c r="AL94">
        <v>11</v>
      </c>
      <c r="AM94">
        <v>26347.199999999997</v>
      </c>
      <c r="AN94">
        <v>18</v>
      </c>
      <c r="AO94">
        <v>43113.599999999999</v>
      </c>
      <c r="AP94">
        <v>15</v>
      </c>
      <c r="AQ94">
        <v>35928</v>
      </c>
      <c r="AR94">
        <v>19</v>
      </c>
      <c r="AS94">
        <v>45508.799999999996</v>
      </c>
      <c r="AT94">
        <v>16</v>
      </c>
      <c r="AU94">
        <v>38323.199999999997</v>
      </c>
      <c r="AV94">
        <v>18</v>
      </c>
      <c r="AW94">
        <v>43113.599999999999</v>
      </c>
      <c r="AX94">
        <v>19</v>
      </c>
      <c r="AY94">
        <v>45508.799999999996</v>
      </c>
      <c r="AZ94">
        <v>16</v>
      </c>
      <c r="BA94">
        <v>38323.199999999997</v>
      </c>
      <c r="BB94">
        <v>10</v>
      </c>
      <c r="BC94">
        <v>23952</v>
      </c>
      <c r="BD94">
        <v>21</v>
      </c>
      <c r="BE94">
        <v>50299.199999999997</v>
      </c>
      <c r="BF94">
        <v>18</v>
      </c>
      <c r="BG94">
        <v>43113.599999999999</v>
      </c>
      <c r="BH94">
        <v>18</v>
      </c>
      <c r="BI94">
        <v>43113.599999999999</v>
      </c>
      <c r="BJ94">
        <v>20</v>
      </c>
      <c r="BK94">
        <v>47904</v>
      </c>
      <c r="BL94">
        <v>12</v>
      </c>
      <c r="BM94">
        <v>28742.399999999998</v>
      </c>
      <c r="BN94">
        <v>11</v>
      </c>
      <c r="BO94">
        <v>26347.199999999997</v>
      </c>
      <c r="BP94">
        <v>15</v>
      </c>
      <c r="BQ94">
        <v>35928</v>
      </c>
      <c r="BR94">
        <v>11</v>
      </c>
      <c r="BS94">
        <v>26347.199999999997</v>
      </c>
      <c r="BT94">
        <v>11</v>
      </c>
      <c r="BU94">
        <v>26347.199999999997</v>
      </c>
      <c r="BV94">
        <v>19</v>
      </c>
      <c r="BW94">
        <v>45508.799999999996</v>
      </c>
      <c r="BX94">
        <v>15</v>
      </c>
      <c r="BY94">
        <v>35928</v>
      </c>
      <c r="BZ94">
        <v>17</v>
      </c>
      <c r="CA94">
        <v>40718.399999999994</v>
      </c>
      <c r="CB94">
        <v>14</v>
      </c>
      <c r="CC94">
        <v>33532.799999999996</v>
      </c>
      <c r="CD94">
        <v>16</v>
      </c>
      <c r="CE94">
        <v>38323.199999999997</v>
      </c>
      <c r="CF94">
        <v>20</v>
      </c>
      <c r="CG94">
        <v>47904</v>
      </c>
      <c r="CH94">
        <v>14</v>
      </c>
      <c r="CI94">
        <v>33532.799999999996</v>
      </c>
      <c r="CJ94">
        <v>14</v>
      </c>
      <c r="CK94">
        <v>33532.799999999996</v>
      </c>
      <c r="CL94">
        <v>12</v>
      </c>
      <c r="CM94">
        <v>28742.399999999998</v>
      </c>
      <c r="CN94">
        <v>15</v>
      </c>
      <c r="CO94">
        <v>35928</v>
      </c>
      <c r="CP94">
        <v>18</v>
      </c>
      <c r="CQ94">
        <v>43113.599999999999</v>
      </c>
      <c r="CR94">
        <v>15</v>
      </c>
      <c r="CS94">
        <v>35928</v>
      </c>
      <c r="CT94">
        <v>18</v>
      </c>
      <c r="CU94">
        <v>43113.599999999999</v>
      </c>
    </row>
    <row r="95" spans="2:99" x14ac:dyDescent="0.2">
      <c r="B95" s="119" t="s">
        <v>132</v>
      </c>
      <c r="C95" s="119" t="s">
        <v>261</v>
      </c>
      <c r="D95">
        <v>15.43729225496997</v>
      </c>
      <c r="E95">
        <v>26749.740019411962</v>
      </c>
      <c r="F95">
        <v>14</v>
      </c>
      <c r="G95">
        <v>24259.200000000001</v>
      </c>
      <c r="H95">
        <v>17</v>
      </c>
      <c r="I95">
        <v>29457.599999999999</v>
      </c>
      <c r="J95">
        <v>22</v>
      </c>
      <c r="K95">
        <v>38121.599999999999</v>
      </c>
      <c r="L95">
        <v>22</v>
      </c>
      <c r="M95">
        <v>38121.599999999999</v>
      </c>
      <c r="N95">
        <v>18</v>
      </c>
      <c r="O95">
        <v>31190.399999999998</v>
      </c>
      <c r="P95">
        <v>17</v>
      </c>
      <c r="Q95">
        <v>29457.599999999999</v>
      </c>
      <c r="R95">
        <v>16</v>
      </c>
      <c r="S95">
        <v>27724.799999999999</v>
      </c>
      <c r="T95">
        <v>13</v>
      </c>
      <c r="U95">
        <v>22526.399999999998</v>
      </c>
      <c r="V95">
        <v>13</v>
      </c>
      <c r="W95">
        <v>22526.399999999998</v>
      </c>
      <c r="X95">
        <v>15</v>
      </c>
      <c r="Y95">
        <v>25992</v>
      </c>
      <c r="Z95">
        <v>22</v>
      </c>
      <c r="AA95">
        <v>38121.599999999999</v>
      </c>
      <c r="AB95">
        <v>23</v>
      </c>
      <c r="AC95">
        <v>39854.400000000001</v>
      </c>
      <c r="AD95">
        <v>19</v>
      </c>
      <c r="AE95">
        <v>32923.199999999997</v>
      </c>
      <c r="AF95">
        <v>13</v>
      </c>
      <c r="AG95">
        <v>22526.399999999998</v>
      </c>
      <c r="AH95">
        <v>20</v>
      </c>
      <c r="AI95">
        <v>34656</v>
      </c>
      <c r="AJ95">
        <v>22</v>
      </c>
      <c r="AK95">
        <v>38121.599999999999</v>
      </c>
      <c r="AL95">
        <v>23</v>
      </c>
      <c r="AM95">
        <v>39854.400000000001</v>
      </c>
      <c r="AN95">
        <v>16</v>
      </c>
      <c r="AO95">
        <v>27724.799999999999</v>
      </c>
      <c r="AP95">
        <v>14</v>
      </c>
      <c r="AQ95">
        <v>24259.200000000001</v>
      </c>
      <c r="AR95">
        <v>17</v>
      </c>
      <c r="AS95">
        <v>29457.599999999999</v>
      </c>
      <c r="AT95">
        <v>13</v>
      </c>
      <c r="AU95">
        <v>22526.399999999998</v>
      </c>
      <c r="AV95">
        <v>14</v>
      </c>
      <c r="AW95">
        <v>24259.200000000001</v>
      </c>
      <c r="AX95">
        <v>23</v>
      </c>
      <c r="AY95">
        <v>39854.400000000001</v>
      </c>
      <c r="AZ95">
        <v>20</v>
      </c>
      <c r="BA95">
        <v>34656</v>
      </c>
      <c r="BB95">
        <v>17</v>
      </c>
      <c r="BC95">
        <v>29457.599999999999</v>
      </c>
      <c r="BD95">
        <v>16</v>
      </c>
      <c r="BE95">
        <v>27724.799999999999</v>
      </c>
      <c r="BF95">
        <v>16</v>
      </c>
      <c r="BG95">
        <v>27724.799999999999</v>
      </c>
      <c r="BH95">
        <v>24</v>
      </c>
      <c r="BI95">
        <v>41587.199999999997</v>
      </c>
      <c r="BJ95">
        <v>19</v>
      </c>
      <c r="BK95">
        <v>32923.199999999997</v>
      </c>
      <c r="BL95">
        <v>23</v>
      </c>
      <c r="BM95">
        <v>39854.400000000001</v>
      </c>
      <c r="BN95">
        <v>22</v>
      </c>
      <c r="BO95">
        <v>38121.599999999999</v>
      </c>
      <c r="BP95">
        <v>16</v>
      </c>
      <c r="BQ95">
        <v>27724.799999999999</v>
      </c>
      <c r="BR95">
        <v>21</v>
      </c>
      <c r="BS95">
        <v>36388.799999999996</v>
      </c>
      <c r="BT95">
        <v>22</v>
      </c>
      <c r="BU95">
        <v>38121.599999999999</v>
      </c>
      <c r="BV95">
        <v>24</v>
      </c>
      <c r="BW95">
        <v>41587.199999999997</v>
      </c>
      <c r="BX95">
        <v>12</v>
      </c>
      <c r="BY95">
        <v>20793.599999999999</v>
      </c>
      <c r="BZ95">
        <v>21</v>
      </c>
      <c r="CA95">
        <v>36388.799999999996</v>
      </c>
      <c r="CB95">
        <v>17</v>
      </c>
      <c r="CC95">
        <v>29457.599999999999</v>
      </c>
      <c r="CD95">
        <v>16</v>
      </c>
      <c r="CE95">
        <v>27724.799999999999</v>
      </c>
      <c r="CF95">
        <v>14</v>
      </c>
      <c r="CG95">
        <v>24259.200000000001</v>
      </c>
      <c r="CH95">
        <v>25</v>
      </c>
      <c r="CI95">
        <v>43320</v>
      </c>
      <c r="CJ95">
        <v>21</v>
      </c>
      <c r="CK95">
        <v>36388.799999999996</v>
      </c>
      <c r="CL95">
        <v>22</v>
      </c>
      <c r="CM95">
        <v>38121.599999999999</v>
      </c>
      <c r="CN95">
        <v>24</v>
      </c>
      <c r="CO95">
        <v>41587.199999999997</v>
      </c>
      <c r="CP95">
        <v>14</v>
      </c>
      <c r="CQ95">
        <v>24259.200000000001</v>
      </c>
      <c r="CR95">
        <v>15</v>
      </c>
      <c r="CS95">
        <v>25992</v>
      </c>
      <c r="CT95">
        <v>14</v>
      </c>
      <c r="CU95">
        <v>24259.200000000001</v>
      </c>
    </row>
    <row r="96" spans="2:99" x14ac:dyDescent="0.2">
      <c r="C96" s="119" t="s">
        <v>262</v>
      </c>
      <c r="D96">
        <v>18.437292254969968</v>
      </c>
      <c r="E96">
        <v>15177.578984291276</v>
      </c>
      <c r="F96">
        <v>18</v>
      </c>
      <c r="G96">
        <v>14817.599999999999</v>
      </c>
      <c r="H96">
        <v>17</v>
      </c>
      <c r="I96">
        <v>13994.4</v>
      </c>
      <c r="J96">
        <v>25</v>
      </c>
      <c r="K96">
        <v>20580</v>
      </c>
      <c r="L96">
        <v>23</v>
      </c>
      <c r="M96">
        <v>18933.599999999999</v>
      </c>
      <c r="N96">
        <v>20</v>
      </c>
      <c r="O96">
        <v>16464</v>
      </c>
      <c r="P96">
        <v>18</v>
      </c>
      <c r="Q96">
        <v>14817.599999999999</v>
      </c>
      <c r="R96">
        <v>19</v>
      </c>
      <c r="S96">
        <v>15640.8</v>
      </c>
      <c r="T96">
        <v>14</v>
      </c>
      <c r="U96">
        <v>11524.8</v>
      </c>
      <c r="V96">
        <v>14</v>
      </c>
      <c r="W96">
        <v>11524.8</v>
      </c>
      <c r="X96">
        <v>17</v>
      </c>
      <c r="Y96">
        <v>13994.4</v>
      </c>
      <c r="Z96">
        <v>25</v>
      </c>
      <c r="AA96">
        <v>20580</v>
      </c>
      <c r="AB96">
        <v>23</v>
      </c>
      <c r="AC96">
        <v>18933.599999999999</v>
      </c>
      <c r="AD96">
        <v>22</v>
      </c>
      <c r="AE96">
        <v>18110.399999999998</v>
      </c>
      <c r="AF96">
        <v>13</v>
      </c>
      <c r="AG96">
        <v>10701.599999999999</v>
      </c>
      <c r="AH96">
        <v>23</v>
      </c>
      <c r="AI96">
        <v>18933.599999999999</v>
      </c>
      <c r="AJ96">
        <v>22</v>
      </c>
      <c r="AK96">
        <v>18110.399999999998</v>
      </c>
      <c r="AL96">
        <v>21</v>
      </c>
      <c r="AM96">
        <v>17287.199999999997</v>
      </c>
      <c r="AN96">
        <v>19</v>
      </c>
      <c r="AO96">
        <v>15640.8</v>
      </c>
      <c r="AP96">
        <v>16</v>
      </c>
      <c r="AQ96">
        <v>13171.199999999999</v>
      </c>
      <c r="AR96">
        <v>17</v>
      </c>
      <c r="AS96">
        <v>13994.4</v>
      </c>
      <c r="AT96">
        <v>14</v>
      </c>
      <c r="AU96">
        <v>11524.8</v>
      </c>
      <c r="AV96">
        <v>17</v>
      </c>
      <c r="AW96">
        <v>13994.4</v>
      </c>
      <c r="AX96">
        <v>21</v>
      </c>
      <c r="AY96">
        <v>17287.199999999997</v>
      </c>
      <c r="AZ96">
        <v>24</v>
      </c>
      <c r="BA96">
        <v>19756.8</v>
      </c>
      <c r="BB96">
        <v>16</v>
      </c>
      <c r="BC96">
        <v>13171.199999999999</v>
      </c>
      <c r="BD96">
        <v>19</v>
      </c>
      <c r="BE96">
        <v>15640.8</v>
      </c>
      <c r="BF96">
        <v>19</v>
      </c>
      <c r="BG96">
        <v>15640.8</v>
      </c>
      <c r="BH96">
        <v>25</v>
      </c>
      <c r="BI96">
        <v>20580</v>
      </c>
      <c r="BJ96">
        <v>17</v>
      </c>
      <c r="BK96">
        <v>13994.4</v>
      </c>
      <c r="BL96">
        <v>28</v>
      </c>
      <c r="BM96">
        <v>23049.599999999999</v>
      </c>
      <c r="BN96">
        <v>23</v>
      </c>
      <c r="BO96">
        <v>18933.599999999999</v>
      </c>
      <c r="BP96">
        <v>19</v>
      </c>
      <c r="BQ96">
        <v>15640.8</v>
      </c>
      <c r="BR96">
        <v>25</v>
      </c>
      <c r="BS96">
        <v>20580</v>
      </c>
      <c r="BT96">
        <v>26</v>
      </c>
      <c r="BU96">
        <v>21403.199999999997</v>
      </c>
      <c r="BV96">
        <v>24</v>
      </c>
      <c r="BW96">
        <v>19756.8</v>
      </c>
      <c r="BX96">
        <v>13</v>
      </c>
      <c r="BY96">
        <v>10701.599999999999</v>
      </c>
      <c r="BZ96">
        <v>25</v>
      </c>
      <c r="CA96">
        <v>20580</v>
      </c>
      <c r="CB96">
        <v>21</v>
      </c>
      <c r="CC96">
        <v>17287.199999999997</v>
      </c>
      <c r="CD96">
        <v>17</v>
      </c>
      <c r="CE96">
        <v>13994.4</v>
      </c>
      <c r="CF96">
        <v>16</v>
      </c>
      <c r="CG96">
        <v>13171.199999999999</v>
      </c>
      <c r="CH96">
        <v>29</v>
      </c>
      <c r="CI96">
        <v>23872.799999999999</v>
      </c>
      <c r="CJ96">
        <v>24</v>
      </c>
      <c r="CK96">
        <v>19756.8</v>
      </c>
      <c r="CL96">
        <v>27</v>
      </c>
      <c r="CM96">
        <v>22226.399999999998</v>
      </c>
      <c r="CN96">
        <v>27</v>
      </c>
      <c r="CO96">
        <v>22226.399999999998</v>
      </c>
      <c r="CP96">
        <v>18</v>
      </c>
      <c r="CQ96">
        <v>14817.599999999999</v>
      </c>
      <c r="CR96">
        <v>18</v>
      </c>
      <c r="CS96">
        <v>14817.599999999999</v>
      </c>
      <c r="CT96">
        <v>16</v>
      </c>
      <c r="CU96">
        <v>13171.199999999999</v>
      </c>
    </row>
    <row r="97" spans="2:99" x14ac:dyDescent="0.2">
      <c r="C97" s="119" t="s">
        <v>263</v>
      </c>
      <c r="D97">
        <v>17.370016523436128</v>
      </c>
      <c r="E97">
        <v>31766.286218059991</v>
      </c>
      <c r="F97">
        <v>14</v>
      </c>
      <c r="G97">
        <v>25603.200000000001</v>
      </c>
      <c r="H97">
        <v>17</v>
      </c>
      <c r="I97">
        <v>31089.599999999999</v>
      </c>
      <c r="J97">
        <v>22</v>
      </c>
      <c r="K97">
        <v>40233.599999999999</v>
      </c>
      <c r="L97">
        <v>22</v>
      </c>
      <c r="M97">
        <v>40233.599999999999</v>
      </c>
      <c r="N97">
        <v>16</v>
      </c>
      <c r="O97">
        <v>29260.799999999999</v>
      </c>
      <c r="P97">
        <v>16</v>
      </c>
      <c r="Q97">
        <v>29260.799999999999</v>
      </c>
      <c r="R97">
        <v>15</v>
      </c>
      <c r="S97">
        <v>27432</v>
      </c>
      <c r="T97">
        <v>12</v>
      </c>
      <c r="U97">
        <v>21945.599999999999</v>
      </c>
      <c r="V97">
        <v>12</v>
      </c>
      <c r="W97">
        <v>21945.599999999999</v>
      </c>
      <c r="X97">
        <v>15</v>
      </c>
      <c r="Y97">
        <v>27432</v>
      </c>
      <c r="Z97">
        <v>22</v>
      </c>
      <c r="AA97">
        <v>40233.599999999999</v>
      </c>
      <c r="AB97">
        <v>19</v>
      </c>
      <c r="AC97">
        <v>34747.199999999997</v>
      </c>
      <c r="AD97">
        <v>17</v>
      </c>
      <c r="AE97">
        <v>31089.599999999999</v>
      </c>
      <c r="AF97">
        <v>14</v>
      </c>
      <c r="AG97">
        <v>25603.200000000001</v>
      </c>
      <c r="AH97">
        <v>20</v>
      </c>
      <c r="AI97">
        <v>36576</v>
      </c>
      <c r="AJ97">
        <v>22</v>
      </c>
      <c r="AK97">
        <v>40233.599999999999</v>
      </c>
      <c r="AL97">
        <v>22</v>
      </c>
      <c r="AM97">
        <v>40233.599999999999</v>
      </c>
      <c r="AN97">
        <v>16</v>
      </c>
      <c r="AO97">
        <v>29260.799999999999</v>
      </c>
      <c r="AP97">
        <v>15</v>
      </c>
      <c r="AQ97">
        <v>27432</v>
      </c>
      <c r="AR97">
        <v>14</v>
      </c>
      <c r="AS97">
        <v>25603.200000000001</v>
      </c>
      <c r="AT97">
        <v>12</v>
      </c>
      <c r="AU97">
        <v>21945.599999999999</v>
      </c>
      <c r="AV97">
        <v>14</v>
      </c>
      <c r="AW97">
        <v>25603.200000000001</v>
      </c>
      <c r="AX97">
        <v>23</v>
      </c>
      <c r="AY97">
        <v>42062.400000000001</v>
      </c>
      <c r="AZ97">
        <v>20</v>
      </c>
      <c r="BA97">
        <v>36576</v>
      </c>
      <c r="BB97">
        <v>17</v>
      </c>
      <c r="BC97">
        <v>31089.599999999999</v>
      </c>
      <c r="BD97">
        <v>15</v>
      </c>
      <c r="BE97">
        <v>27432</v>
      </c>
      <c r="BF97">
        <v>16</v>
      </c>
      <c r="BG97">
        <v>29260.799999999999</v>
      </c>
      <c r="BH97">
        <v>24</v>
      </c>
      <c r="BI97">
        <v>43891.199999999997</v>
      </c>
      <c r="BJ97">
        <v>17</v>
      </c>
      <c r="BK97">
        <v>31089.599999999999</v>
      </c>
      <c r="BL97">
        <v>24</v>
      </c>
      <c r="BM97">
        <v>43891.199999999997</v>
      </c>
      <c r="BN97">
        <v>20</v>
      </c>
      <c r="BO97">
        <v>36576</v>
      </c>
      <c r="BP97">
        <v>16</v>
      </c>
      <c r="BQ97">
        <v>29260.799999999999</v>
      </c>
      <c r="BR97">
        <v>21</v>
      </c>
      <c r="BS97">
        <v>38404.799999999996</v>
      </c>
      <c r="BT97">
        <v>25</v>
      </c>
      <c r="BU97">
        <v>45720</v>
      </c>
      <c r="BV97">
        <v>22</v>
      </c>
      <c r="BW97">
        <v>40233.599999999999</v>
      </c>
      <c r="BX97">
        <v>13</v>
      </c>
      <c r="BY97">
        <v>23774.399999999998</v>
      </c>
      <c r="BZ97">
        <v>21</v>
      </c>
      <c r="CA97">
        <v>38404.799999999996</v>
      </c>
      <c r="CB97">
        <v>18</v>
      </c>
      <c r="CC97">
        <v>32918.400000000001</v>
      </c>
      <c r="CD97">
        <v>15</v>
      </c>
      <c r="CE97">
        <v>27432</v>
      </c>
      <c r="CF97">
        <v>13</v>
      </c>
      <c r="CG97">
        <v>23774.399999999998</v>
      </c>
      <c r="CH97">
        <v>23</v>
      </c>
      <c r="CI97">
        <v>42062.400000000001</v>
      </c>
      <c r="CJ97">
        <v>20</v>
      </c>
      <c r="CK97">
        <v>36576</v>
      </c>
      <c r="CL97">
        <v>22</v>
      </c>
      <c r="CM97">
        <v>40233.599999999999</v>
      </c>
      <c r="CN97">
        <v>22</v>
      </c>
      <c r="CO97">
        <v>40233.599999999999</v>
      </c>
      <c r="CP97">
        <v>13</v>
      </c>
      <c r="CQ97">
        <v>23774.399999999998</v>
      </c>
      <c r="CR97">
        <v>14</v>
      </c>
      <c r="CS97">
        <v>25603.200000000001</v>
      </c>
      <c r="CT97">
        <v>12</v>
      </c>
      <c r="CU97">
        <v>21945.599999999999</v>
      </c>
    </row>
    <row r="98" spans="2:99" x14ac:dyDescent="0.2">
      <c r="C98" s="119" t="s">
        <v>264</v>
      </c>
      <c r="D98">
        <v>18.437292254969968</v>
      </c>
      <c r="E98">
        <v>23297.362493380049</v>
      </c>
      <c r="F98">
        <v>15</v>
      </c>
      <c r="G98">
        <v>18954</v>
      </c>
      <c r="H98">
        <v>18</v>
      </c>
      <c r="I98">
        <v>22744.799999999999</v>
      </c>
      <c r="J98">
        <v>21</v>
      </c>
      <c r="K98">
        <v>26535.599999999999</v>
      </c>
      <c r="L98">
        <v>20</v>
      </c>
      <c r="M98">
        <v>25272</v>
      </c>
      <c r="N98">
        <v>17</v>
      </c>
      <c r="O98">
        <v>21481.199999999997</v>
      </c>
      <c r="P98">
        <v>16</v>
      </c>
      <c r="Q98">
        <v>20217.599999999999</v>
      </c>
      <c r="R98">
        <v>19</v>
      </c>
      <c r="S98">
        <v>24008.399999999998</v>
      </c>
      <c r="T98">
        <v>14</v>
      </c>
      <c r="U98">
        <v>17690.399999999998</v>
      </c>
      <c r="V98">
        <v>15</v>
      </c>
      <c r="W98">
        <v>18954</v>
      </c>
      <c r="X98">
        <v>15</v>
      </c>
      <c r="Y98">
        <v>18954</v>
      </c>
      <c r="Z98">
        <v>25</v>
      </c>
      <c r="AA98">
        <v>31589.999999999996</v>
      </c>
      <c r="AB98">
        <v>24</v>
      </c>
      <c r="AC98">
        <v>30326.399999999998</v>
      </c>
      <c r="AD98">
        <v>19</v>
      </c>
      <c r="AE98">
        <v>24008.399999999998</v>
      </c>
      <c r="AF98">
        <v>14</v>
      </c>
      <c r="AG98">
        <v>17690.399999999998</v>
      </c>
      <c r="AH98">
        <v>22</v>
      </c>
      <c r="AI98">
        <v>27799.199999999997</v>
      </c>
      <c r="AJ98">
        <v>21</v>
      </c>
      <c r="AK98">
        <v>26535.599999999999</v>
      </c>
      <c r="AL98">
        <v>20</v>
      </c>
      <c r="AM98">
        <v>25272</v>
      </c>
      <c r="AN98">
        <v>19</v>
      </c>
      <c r="AO98">
        <v>24008.399999999998</v>
      </c>
      <c r="AP98">
        <v>17</v>
      </c>
      <c r="AQ98">
        <v>21481.199999999997</v>
      </c>
      <c r="AR98">
        <v>15</v>
      </c>
      <c r="AS98">
        <v>18954</v>
      </c>
      <c r="AT98">
        <v>12</v>
      </c>
      <c r="AU98">
        <v>15163.199999999999</v>
      </c>
      <c r="AV98">
        <v>14</v>
      </c>
      <c r="AW98">
        <v>17690.399999999998</v>
      </c>
      <c r="AX98">
        <v>23</v>
      </c>
      <c r="AY98">
        <v>29062.799999999999</v>
      </c>
      <c r="AZ98">
        <v>21</v>
      </c>
      <c r="BA98">
        <v>26535.599999999999</v>
      </c>
      <c r="BB98">
        <v>17</v>
      </c>
      <c r="BC98">
        <v>21481.199999999997</v>
      </c>
      <c r="BD98">
        <v>18</v>
      </c>
      <c r="BE98">
        <v>22744.799999999999</v>
      </c>
      <c r="BF98">
        <v>16</v>
      </c>
      <c r="BG98">
        <v>20217.599999999999</v>
      </c>
      <c r="BH98">
        <v>27</v>
      </c>
      <c r="BI98">
        <v>34117.199999999997</v>
      </c>
      <c r="BJ98">
        <v>17</v>
      </c>
      <c r="BK98">
        <v>21481.199999999997</v>
      </c>
      <c r="BL98">
        <v>25</v>
      </c>
      <c r="BM98">
        <v>31589.999999999996</v>
      </c>
      <c r="BN98">
        <v>22</v>
      </c>
      <c r="BO98">
        <v>27799.199999999997</v>
      </c>
      <c r="BP98">
        <v>17</v>
      </c>
      <c r="BQ98">
        <v>21481.199999999997</v>
      </c>
      <c r="BR98">
        <v>23</v>
      </c>
      <c r="BS98">
        <v>29062.799999999999</v>
      </c>
      <c r="BT98">
        <v>27</v>
      </c>
      <c r="BU98">
        <v>34117.199999999997</v>
      </c>
      <c r="BV98">
        <v>22</v>
      </c>
      <c r="BW98">
        <v>27799.199999999997</v>
      </c>
      <c r="BX98">
        <v>13</v>
      </c>
      <c r="BY98">
        <v>16426.8</v>
      </c>
      <c r="BZ98">
        <v>21</v>
      </c>
      <c r="CA98">
        <v>26535.599999999999</v>
      </c>
      <c r="CB98">
        <v>20</v>
      </c>
      <c r="CC98">
        <v>25272</v>
      </c>
      <c r="CD98">
        <v>14</v>
      </c>
      <c r="CE98">
        <v>17690.399999999998</v>
      </c>
      <c r="CF98">
        <v>15</v>
      </c>
      <c r="CG98">
        <v>18954</v>
      </c>
      <c r="CH98">
        <v>27</v>
      </c>
      <c r="CI98">
        <v>34117.199999999997</v>
      </c>
      <c r="CJ98">
        <v>24</v>
      </c>
      <c r="CK98">
        <v>30326.399999999998</v>
      </c>
      <c r="CL98">
        <v>23</v>
      </c>
      <c r="CM98">
        <v>29062.799999999999</v>
      </c>
      <c r="CN98">
        <v>24</v>
      </c>
      <c r="CO98">
        <v>30326.399999999998</v>
      </c>
      <c r="CP98">
        <v>16</v>
      </c>
      <c r="CQ98">
        <v>20217.599999999999</v>
      </c>
      <c r="CR98">
        <v>17</v>
      </c>
      <c r="CS98">
        <v>21481.199999999997</v>
      </c>
      <c r="CT98">
        <v>14</v>
      </c>
      <c r="CU98">
        <v>17690.399999999998</v>
      </c>
    </row>
    <row r="99" spans="2:99" x14ac:dyDescent="0.2">
      <c r="C99" s="119" t="s">
        <v>265</v>
      </c>
      <c r="D99">
        <v>11.302740791902286</v>
      </c>
      <c r="E99">
        <v>61957.103924891562</v>
      </c>
      <c r="F99">
        <v>11</v>
      </c>
      <c r="G99">
        <v>60297.599999999991</v>
      </c>
      <c r="H99">
        <v>11</v>
      </c>
      <c r="I99">
        <v>60297.599999999991</v>
      </c>
      <c r="J99">
        <v>13</v>
      </c>
      <c r="K99">
        <v>71260.799999999988</v>
      </c>
      <c r="L99">
        <v>14</v>
      </c>
      <c r="M99">
        <v>76742.399999999994</v>
      </c>
      <c r="N99">
        <v>12</v>
      </c>
      <c r="O99">
        <v>65779.199999999997</v>
      </c>
      <c r="P99">
        <v>11</v>
      </c>
      <c r="Q99">
        <v>60297.599999999991</v>
      </c>
      <c r="R99">
        <v>10</v>
      </c>
      <c r="S99">
        <v>54815.999999999993</v>
      </c>
      <c r="T99">
        <v>8</v>
      </c>
      <c r="U99">
        <v>43852.799999999996</v>
      </c>
      <c r="V99">
        <v>10</v>
      </c>
      <c r="W99">
        <v>54815.999999999993</v>
      </c>
      <c r="X99">
        <v>9</v>
      </c>
      <c r="Y99">
        <v>49334.399999999994</v>
      </c>
      <c r="Z99">
        <v>16</v>
      </c>
      <c r="AA99">
        <v>87705.599999999991</v>
      </c>
      <c r="AB99">
        <v>13</v>
      </c>
      <c r="AC99">
        <v>71260.799999999988</v>
      </c>
      <c r="AD99">
        <v>13</v>
      </c>
      <c r="AE99">
        <v>71260.799999999988</v>
      </c>
      <c r="AF99">
        <v>10</v>
      </c>
      <c r="AG99">
        <v>54815.999999999993</v>
      </c>
      <c r="AH99">
        <v>16</v>
      </c>
      <c r="AI99">
        <v>87705.599999999991</v>
      </c>
      <c r="AJ99">
        <v>14</v>
      </c>
      <c r="AK99">
        <v>76742.399999999994</v>
      </c>
      <c r="AL99">
        <v>16</v>
      </c>
      <c r="AM99">
        <v>87705.599999999991</v>
      </c>
      <c r="AN99">
        <v>11</v>
      </c>
      <c r="AO99">
        <v>60297.599999999991</v>
      </c>
      <c r="AP99">
        <v>10</v>
      </c>
      <c r="AQ99">
        <v>54815.999999999993</v>
      </c>
      <c r="AR99">
        <v>10</v>
      </c>
      <c r="AS99">
        <v>54815.999999999993</v>
      </c>
      <c r="AT99">
        <v>9</v>
      </c>
      <c r="AU99">
        <v>49334.399999999994</v>
      </c>
      <c r="AV99">
        <v>9</v>
      </c>
      <c r="AW99">
        <v>49334.399999999994</v>
      </c>
      <c r="AX99">
        <v>14</v>
      </c>
      <c r="AY99">
        <v>76742.399999999994</v>
      </c>
      <c r="AZ99">
        <v>13</v>
      </c>
      <c r="BA99">
        <v>71260.799999999988</v>
      </c>
      <c r="BB99">
        <v>11</v>
      </c>
      <c r="BC99">
        <v>60297.599999999991</v>
      </c>
      <c r="BD99">
        <v>11</v>
      </c>
      <c r="BE99">
        <v>60297.599999999991</v>
      </c>
      <c r="BF99">
        <v>11</v>
      </c>
      <c r="BG99">
        <v>60297.599999999991</v>
      </c>
      <c r="BH99">
        <v>17</v>
      </c>
      <c r="BI99">
        <v>93187.199999999997</v>
      </c>
      <c r="BJ99">
        <v>13</v>
      </c>
      <c r="BK99">
        <v>71260.799999999988</v>
      </c>
      <c r="BL99">
        <v>16</v>
      </c>
      <c r="BM99">
        <v>87705.599999999991</v>
      </c>
      <c r="BN99">
        <v>14</v>
      </c>
      <c r="BO99">
        <v>76742.399999999994</v>
      </c>
      <c r="BP99">
        <v>11</v>
      </c>
      <c r="BQ99">
        <v>60297.599999999991</v>
      </c>
      <c r="BR99">
        <v>15</v>
      </c>
      <c r="BS99">
        <v>82223.999999999985</v>
      </c>
      <c r="BT99">
        <v>16</v>
      </c>
      <c r="BU99">
        <v>87705.599999999991</v>
      </c>
      <c r="BV99">
        <v>14</v>
      </c>
      <c r="BW99">
        <v>76742.399999999994</v>
      </c>
      <c r="BX99">
        <v>9</v>
      </c>
      <c r="BY99">
        <v>49334.399999999994</v>
      </c>
      <c r="BZ99">
        <v>14</v>
      </c>
      <c r="CA99">
        <v>76742.399999999994</v>
      </c>
      <c r="CB99">
        <v>14</v>
      </c>
      <c r="CC99">
        <v>76742.399999999994</v>
      </c>
      <c r="CD99">
        <v>10</v>
      </c>
      <c r="CE99">
        <v>54815.999999999993</v>
      </c>
      <c r="CF99">
        <v>10</v>
      </c>
      <c r="CG99">
        <v>54815.999999999993</v>
      </c>
      <c r="CH99">
        <v>17</v>
      </c>
      <c r="CI99">
        <v>93187.199999999997</v>
      </c>
      <c r="CJ99">
        <v>14</v>
      </c>
      <c r="CK99">
        <v>76742.399999999994</v>
      </c>
      <c r="CL99">
        <v>16</v>
      </c>
      <c r="CM99">
        <v>87705.599999999991</v>
      </c>
      <c r="CN99">
        <v>17</v>
      </c>
      <c r="CO99">
        <v>93187.199999999997</v>
      </c>
      <c r="CP99">
        <v>11</v>
      </c>
      <c r="CQ99">
        <v>60297.599999999991</v>
      </c>
      <c r="CR99">
        <v>11</v>
      </c>
      <c r="CS99">
        <v>60297.599999999991</v>
      </c>
      <c r="CT99">
        <v>8</v>
      </c>
      <c r="CU99">
        <v>43852.799999999996</v>
      </c>
    </row>
    <row r="100" spans="2:99" x14ac:dyDescent="0.2">
      <c r="C100" s="119" t="s">
        <v>266</v>
      </c>
      <c r="D100">
        <v>17.403654389203048</v>
      </c>
      <c r="E100">
        <v>28235.688881043021</v>
      </c>
      <c r="F100">
        <v>16</v>
      </c>
      <c r="G100">
        <v>25958.399999999998</v>
      </c>
      <c r="H100">
        <v>15</v>
      </c>
      <c r="I100">
        <v>24335.999999999996</v>
      </c>
      <c r="J100">
        <v>23</v>
      </c>
      <c r="K100">
        <v>37315.199999999997</v>
      </c>
      <c r="L100">
        <v>22</v>
      </c>
      <c r="M100">
        <v>35692.799999999996</v>
      </c>
      <c r="N100">
        <v>17</v>
      </c>
      <c r="O100">
        <v>27580.799999999999</v>
      </c>
      <c r="P100">
        <v>17</v>
      </c>
      <c r="Q100">
        <v>27580.799999999999</v>
      </c>
      <c r="R100">
        <v>16</v>
      </c>
      <c r="S100">
        <v>25958.399999999998</v>
      </c>
      <c r="T100">
        <v>13</v>
      </c>
      <c r="U100">
        <v>21091.199999999997</v>
      </c>
      <c r="V100">
        <v>13</v>
      </c>
      <c r="W100">
        <v>21091.199999999997</v>
      </c>
      <c r="X100">
        <v>15</v>
      </c>
      <c r="Y100">
        <v>24335.999999999996</v>
      </c>
      <c r="Z100">
        <v>22</v>
      </c>
      <c r="AA100">
        <v>35692.799999999996</v>
      </c>
      <c r="AB100">
        <v>20</v>
      </c>
      <c r="AC100">
        <v>32447.999999999996</v>
      </c>
      <c r="AD100">
        <v>17</v>
      </c>
      <c r="AE100">
        <v>27580.799999999999</v>
      </c>
      <c r="AF100">
        <v>13</v>
      </c>
      <c r="AG100">
        <v>21091.199999999997</v>
      </c>
      <c r="AH100">
        <v>22</v>
      </c>
      <c r="AI100">
        <v>35692.799999999996</v>
      </c>
      <c r="AJ100">
        <v>22</v>
      </c>
      <c r="AK100">
        <v>35692.799999999996</v>
      </c>
      <c r="AL100">
        <v>22</v>
      </c>
      <c r="AM100">
        <v>35692.799999999996</v>
      </c>
      <c r="AN100">
        <v>16</v>
      </c>
      <c r="AO100">
        <v>25958.399999999998</v>
      </c>
      <c r="AP100">
        <v>16</v>
      </c>
      <c r="AQ100">
        <v>25958.399999999998</v>
      </c>
      <c r="AR100">
        <v>17</v>
      </c>
      <c r="AS100">
        <v>27580.799999999999</v>
      </c>
      <c r="AT100">
        <v>13</v>
      </c>
      <c r="AU100">
        <v>21091.199999999997</v>
      </c>
      <c r="AV100">
        <v>14</v>
      </c>
      <c r="AW100">
        <v>22713.599999999999</v>
      </c>
      <c r="AX100">
        <v>23</v>
      </c>
      <c r="AY100">
        <v>37315.199999999997</v>
      </c>
      <c r="AZ100">
        <v>19</v>
      </c>
      <c r="BA100">
        <v>30825.599999999999</v>
      </c>
      <c r="BB100">
        <v>17</v>
      </c>
      <c r="BC100">
        <v>27580.799999999999</v>
      </c>
      <c r="BD100">
        <v>17</v>
      </c>
      <c r="BE100">
        <v>27580.799999999999</v>
      </c>
      <c r="BF100">
        <v>18</v>
      </c>
      <c r="BG100">
        <v>29203.199999999997</v>
      </c>
      <c r="BH100">
        <v>23</v>
      </c>
      <c r="BI100">
        <v>37315.199999999997</v>
      </c>
      <c r="BJ100">
        <v>18</v>
      </c>
      <c r="BK100">
        <v>29203.199999999997</v>
      </c>
      <c r="BL100">
        <v>26</v>
      </c>
      <c r="BM100">
        <v>42182.399999999994</v>
      </c>
      <c r="BN100">
        <v>19</v>
      </c>
      <c r="BO100">
        <v>30825.599999999999</v>
      </c>
      <c r="BP100">
        <v>17</v>
      </c>
      <c r="BQ100">
        <v>27580.799999999999</v>
      </c>
      <c r="BR100">
        <v>21</v>
      </c>
      <c r="BS100">
        <v>34070.399999999994</v>
      </c>
      <c r="BT100">
        <v>25</v>
      </c>
      <c r="BU100">
        <v>40560</v>
      </c>
      <c r="BV100">
        <v>23</v>
      </c>
      <c r="BW100">
        <v>37315.199999999997</v>
      </c>
      <c r="BX100">
        <v>12</v>
      </c>
      <c r="BY100">
        <v>19468.8</v>
      </c>
      <c r="BZ100">
        <v>22</v>
      </c>
      <c r="CA100">
        <v>35692.799999999996</v>
      </c>
      <c r="CB100">
        <v>19</v>
      </c>
      <c r="CC100">
        <v>30825.599999999999</v>
      </c>
      <c r="CD100">
        <v>16</v>
      </c>
      <c r="CE100">
        <v>25958.399999999998</v>
      </c>
      <c r="CF100">
        <v>14</v>
      </c>
      <c r="CG100">
        <v>22713.599999999999</v>
      </c>
      <c r="CH100">
        <v>23</v>
      </c>
      <c r="CI100">
        <v>37315.199999999997</v>
      </c>
      <c r="CJ100">
        <v>25</v>
      </c>
      <c r="CK100">
        <v>40560</v>
      </c>
      <c r="CL100">
        <v>25</v>
      </c>
      <c r="CM100">
        <v>40560</v>
      </c>
      <c r="CN100">
        <v>25</v>
      </c>
      <c r="CO100">
        <v>40560</v>
      </c>
      <c r="CP100">
        <v>14</v>
      </c>
      <c r="CQ100">
        <v>22713.599999999999</v>
      </c>
      <c r="CR100">
        <v>16</v>
      </c>
      <c r="CS100">
        <v>25958.399999999998</v>
      </c>
      <c r="CT100">
        <v>12</v>
      </c>
      <c r="CU100">
        <v>19468.8</v>
      </c>
    </row>
    <row r="101" spans="2:99" x14ac:dyDescent="0.2">
      <c r="C101" s="119" t="s">
        <v>267</v>
      </c>
      <c r="D101">
        <v>18.403654389203048</v>
      </c>
      <c r="E101">
        <v>21907.710184907304</v>
      </c>
      <c r="F101">
        <v>15</v>
      </c>
      <c r="G101">
        <v>17855.999999999996</v>
      </c>
      <c r="H101">
        <v>16</v>
      </c>
      <c r="I101">
        <v>19046.399999999998</v>
      </c>
      <c r="J101">
        <v>21</v>
      </c>
      <c r="K101">
        <v>24998.399999999998</v>
      </c>
      <c r="L101">
        <v>20</v>
      </c>
      <c r="M101">
        <v>23807.999999999996</v>
      </c>
      <c r="N101">
        <v>20</v>
      </c>
      <c r="O101">
        <v>23807.999999999996</v>
      </c>
      <c r="P101">
        <v>16</v>
      </c>
      <c r="Q101">
        <v>19046.399999999998</v>
      </c>
      <c r="R101">
        <v>19</v>
      </c>
      <c r="S101">
        <v>22617.599999999999</v>
      </c>
      <c r="T101">
        <v>13</v>
      </c>
      <c r="U101">
        <v>15475.199999999999</v>
      </c>
      <c r="V101">
        <v>14</v>
      </c>
      <c r="W101">
        <v>16665.599999999999</v>
      </c>
      <c r="X101">
        <v>16</v>
      </c>
      <c r="Y101">
        <v>19046.399999999998</v>
      </c>
      <c r="Z101">
        <v>25</v>
      </c>
      <c r="AA101">
        <v>29759.999999999996</v>
      </c>
      <c r="AB101">
        <v>23</v>
      </c>
      <c r="AC101">
        <v>27379.199999999997</v>
      </c>
      <c r="AD101">
        <v>19</v>
      </c>
      <c r="AE101">
        <v>22617.599999999999</v>
      </c>
      <c r="AF101">
        <v>14</v>
      </c>
      <c r="AG101">
        <v>16665.599999999999</v>
      </c>
      <c r="AH101">
        <v>25</v>
      </c>
      <c r="AI101">
        <v>29759.999999999996</v>
      </c>
      <c r="AJ101">
        <v>23</v>
      </c>
      <c r="AK101">
        <v>27379.199999999997</v>
      </c>
      <c r="AL101">
        <v>22</v>
      </c>
      <c r="AM101">
        <v>26188.799999999996</v>
      </c>
      <c r="AN101">
        <v>17</v>
      </c>
      <c r="AO101">
        <v>20236.8</v>
      </c>
      <c r="AP101">
        <v>15</v>
      </c>
      <c r="AQ101">
        <v>17855.999999999996</v>
      </c>
      <c r="AR101">
        <v>16</v>
      </c>
      <c r="AS101">
        <v>19046.399999999998</v>
      </c>
      <c r="AT101">
        <v>14</v>
      </c>
      <c r="AU101">
        <v>16665.599999999999</v>
      </c>
      <c r="AV101">
        <v>16</v>
      </c>
      <c r="AW101">
        <v>19046.399999999998</v>
      </c>
      <c r="AX101">
        <v>21</v>
      </c>
      <c r="AY101">
        <v>24998.399999999998</v>
      </c>
      <c r="AZ101">
        <v>21</v>
      </c>
      <c r="BA101">
        <v>24998.399999999998</v>
      </c>
      <c r="BB101">
        <v>18</v>
      </c>
      <c r="BC101">
        <v>21427.199999999997</v>
      </c>
      <c r="BD101">
        <v>17</v>
      </c>
      <c r="BE101">
        <v>20236.8</v>
      </c>
      <c r="BF101">
        <v>18</v>
      </c>
      <c r="BG101">
        <v>21427.199999999997</v>
      </c>
      <c r="BH101">
        <v>25</v>
      </c>
      <c r="BI101">
        <v>29759.999999999996</v>
      </c>
      <c r="BJ101">
        <v>17</v>
      </c>
      <c r="BK101">
        <v>20236.8</v>
      </c>
      <c r="BL101">
        <v>24</v>
      </c>
      <c r="BM101">
        <v>28569.599999999999</v>
      </c>
      <c r="BN101">
        <v>24</v>
      </c>
      <c r="BO101">
        <v>28569.599999999999</v>
      </c>
      <c r="BP101">
        <v>16</v>
      </c>
      <c r="BQ101">
        <v>19046.399999999998</v>
      </c>
      <c r="BR101">
        <v>20</v>
      </c>
      <c r="BS101">
        <v>23807.999999999996</v>
      </c>
      <c r="BT101">
        <v>23</v>
      </c>
      <c r="BU101">
        <v>27379.199999999997</v>
      </c>
      <c r="BV101">
        <v>22</v>
      </c>
      <c r="BW101">
        <v>26188.799999999996</v>
      </c>
      <c r="BX101">
        <v>13</v>
      </c>
      <c r="BY101">
        <v>15475.199999999999</v>
      </c>
      <c r="BZ101">
        <v>22</v>
      </c>
      <c r="CA101">
        <v>26188.799999999996</v>
      </c>
      <c r="CB101">
        <v>19</v>
      </c>
      <c r="CC101">
        <v>22617.599999999999</v>
      </c>
      <c r="CD101">
        <v>16</v>
      </c>
      <c r="CE101">
        <v>19046.399999999998</v>
      </c>
      <c r="CF101">
        <v>15</v>
      </c>
      <c r="CG101">
        <v>17855.999999999996</v>
      </c>
      <c r="CH101">
        <v>25</v>
      </c>
      <c r="CI101">
        <v>29759.999999999996</v>
      </c>
      <c r="CJ101">
        <v>23</v>
      </c>
      <c r="CK101">
        <v>27379.199999999997</v>
      </c>
      <c r="CL101">
        <v>24</v>
      </c>
      <c r="CM101">
        <v>28569.599999999999</v>
      </c>
      <c r="CN101">
        <v>24</v>
      </c>
      <c r="CO101">
        <v>28569.599999999999</v>
      </c>
      <c r="CP101">
        <v>14</v>
      </c>
      <c r="CQ101">
        <v>16665.599999999999</v>
      </c>
      <c r="CR101">
        <v>18</v>
      </c>
      <c r="CS101">
        <v>21427.199999999997</v>
      </c>
      <c r="CT101">
        <v>15</v>
      </c>
      <c r="CU101">
        <v>17855.999999999996</v>
      </c>
    </row>
    <row r="102" spans="2:99" x14ac:dyDescent="0.2">
      <c r="C102" s="119" t="s">
        <v>268</v>
      </c>
      <c r="D102">
        <v>14.403654389203048</v>
      </c>
      <c r="E102">
        <v>27931.566591542549</v>
      </c>
      <c r="F102">
        <v>16</v>
      </c>
      <c r="G102">
        <v>31027.199999999997</v>
      </c>
      <c r="H102">
        <v>15</v>
      </c>
      <c r="I102">
        <v>29087.999999999996</v>
      </c>
      <c r="J102">
        <v>20</v>
      </c>
      <c r="K102">
        <v>38784</v>
      </c>
      <c r="L102">
        <v>19</v>
      </c>
      <c r="M102">
        <v>36844.799999999996</v>
      </c>
      <c r="N102">
        <v>16</v>
      </c>
      <c r="O102">
        <v>31027.199999999997</v>
      </c>
      <c r="P102">
        <v>14</v>
      </c>
      <c r="Q102">
        <v>27148.799999999996</v>
      </c>
      <c r="R102">
        <v>17</v>
      </c>
      <c r="S102">
        <v>32966.399999999994</v>
      </c>
      <c r="T102">
        <v>12</v>
      </c>
      <c r="U102">
        <v>23270.399999999998</v>
      </c>
      <c r="V102">
        <v>13</v>
      </c>
      <c r="W102">
        <v>25209.599999999999</v>
      </c>
      <c r="X102">
        <v>15</v>
      </c>
      <c r="Y102">
        <v>29087.999999999996</v>
      </c>
      <c r="Z102">
        <v>24</v>
      </c>
      <c r="AA102">
        <v>46540.799999999996</v>
      </c>
      <c r="AB102">
        <v>21</v>
      </c>
      <c r="AC102">
        <v>40723.199999999997</v>
      </c>
      <c r="AD102">
        <v>17</v>
      </c>
      <c r="AE102">
        <v>32966.399999999994</v>
      </c>
      <c r="AF102">
        <v>12</v>
      </c>
      <c r="AG102">
        <v>23270.399999999998</v>
      </c>
      <c r="AH102">
        <v>21</v>
      </c>
      <c r="AI102">
        <v>40723.199999999997</v>
      </c>
      <c r="AJ102">
        <v>20</v>
      </c>
      <c r="AK102">
        <v>38784</v>
      </c>
      <c r="AL102">
        <v>19</v>
      </c>
      <c r="AM102">
        <v>36844.799999999996</v>
      </c>
      <c r="AN102">
        <v>16</v>
      </c>
      <c r="AO102">
        <v>31027.199999999997</v>
      </c>
      <c r="AP102">
        <v>15</v>
      </c>
      <c r="AQ102">
        <v>29087.999999999996</v>
      </c>
      <c r="AR102">
        <v>17</v>
      </c>
      <c r="AS102">
        <v>32966.399999999994</v>
      </c>
      <c r="AT102">
        <v>13</v>
      </c>
      <c r="AU102">
        <v>25209.599999999999</v>
      </c>
      <c r="AV102">
        <v>15</v>
      </c>
      <c r="AW102">
        <v>29087.999999999996</v>
      </c>
      <c r="AX102">
        <v>19</v>
      </c>
      <c r="AY102">
        <v>36844.799999999996</v>
      </c>
      <c r="AZ102">
        <v>19</v>
      </c>
      <c r="BA102">
        <v>36844.799999999996</v>
      </c>
      <c r="BB102">
        <v>16</v>
      </c>
      <c r="BC102">
        <v>31027.199999999997</v>
      </c>
      <c r="BD102">
        <v>15</v>
      </c>
      <c r="BE102">
        <v>29087.999999999996</v>
      </c>
      <c r="BF102">
        <v>15</v>
      </c>
      <c r="BG102">
        <v>29087.999999999996</v>
      </c>
      <c r="BH102">
        <v>23</v>
      </c>
      <c r="BI102">
        <v>44601.599999999999</v>
      </c>
      <c r="BJ102">
        <v>16</v>
      </c>
      <c r="BK102">
        <v>31027.199999999997</v>
      </c>
      <c r="BL102">
        <v>24</v>
      </c>
      <c r="BM102">
        <v>46540.799999999996</v>
      </c>
      <c r="BN102">
        <v>22</v>
      </c>
      <c r="BO102">
        <v>42662.399999999994</v>
      </c>
      <c r="BP102">
        <v>16</v>
      </c>
      <c r="BQ102">
        <v>31027.199999999997</v>
      </c>
      <c r="BR102">
        <v>21</v>
      </c>
      <c r="BS102">
        <v>40723.199999999997</v>
      </c>
      <c r="BT102">
        <v>25</v>
      </c>
      <c r="BU102">
        <v>48479.999999999993</v>
      </c>
      <c r="BV102">
        <v>24</v>
      </c>
      <c r="BW102">
        <v>46540.799999999996</v>
      </c>
      <c r="BX102">
        <v>13</v>
      </c>
      <c r="BY102">
        <v>25209.599999999999</v>
      </c>
      <c r="BZ102">
        <v>22</v>
      </c>
      <c r="CA102">
        <v>42662.399999999994</v>
      </c>
      <c r="CB102">
        <v>19</v>
      </c>
      <c r="CC102">
        <v>36844.799999999996</v>
      </c>
      <c r="CD102">
        <v>14</v>
      </c>
      <c r="CE102">
        <v>27148.799999999996</v>
      </c>
      <c r="CF102">
        <v>15</v>
      </c>
      <c r="CG102">
        <v>29087.999999999996</v>
      </c>
      <c r="CH102">
        <v>25</v>
      </c>
      <c r="CI102">
        <v>48479.999999999993</v>
      </c>
      <c r="CJ102">
        <v>20</v>
      </c>
      <c r="CK102">
        <v>38784</v>
      </c>
      <c r="CL102">
        <v>25</v>
      </c>
      <c r="CM102">
        <v>48479.999999999993</v>
      </c>
      <c r="CN102">
        <v>25</v>
      </c>
      <c r="CO102">
        <v>48479.999999999993</v>
      </c>
      <c r="CP102">
        <v>15</v>
      </c>
      <c r="CQ102">
        <v>29087.999999999996</v>
      </c>
      <c r="CR102">
        <v>15</v>
      </c>
      <c r="CS102">
        <v>29087.999999999996</v>
      </c>
      <c r="CT102">
        <v>12</v>
      </c>
      <c r="CU102">
        <v>23270.399999999998</v>
      </c>
    </row>
    <row r="103" spans="2:99" x14ac:dyDescent="0.2">
      <c r="C103" s="119" t="s">
        <v>269</v>
      </c>
      <c r="D103">
        <v>14.370016523436128</v>
      </c>
      <c r="E103">
        <v>29142.393509528469</v>
      </c>
      <c r="F103">
        <v>14</v>
      </c>
      <c r="G103">
        <v>28392</v>
      </c>
      <c r="H103">
        <v>17</v>
      </c>
      <c r="I103">
        <v>34476</v>
      </c>
      <c r="J103">
        <v>22</v>
      </c>
      <c r="K103">
        <v>44616</v>
      </c>
      <c r="L103">
        <v>20</v>
      </c>
      <c r="M103">
        <v>40560</v>
      </c>
      <c r="N103">
        <v>17</v>
      </c>
      <c r="O103">
        <v>34476</v>
      </c>
      <c r="P103">
        <v>14</v>
      </c>
      <c r="Q103">
        <v>28392</v>
      </c>
      <c r="R103">
        <v>18</v>
      </c>
      <c r="S103">
        <v>36504</v>
      </c>
      <c r="T103">
        <v>12</v>
      </c>
      <c r="U103">
        <v>24336</v>
      </c>
      <c r="V103">
        <v>12</v>
      </c>
      <c r="W103">
        <v>24336</v>
      </c>
      <c r="X103">
        <v>13</v>
      </c>
      <c r="Y103">
        <v>26364</v>
      </c>
      <c r="Z103">
        <v>20</v>
      </c>
      <c r="AA103">
        <v>40560</v>
      </c>
      <c r="AB103">
        <v>20</v>
      </c>
      <c r="AC103">
        <v>40560</v>
      </c>
      <c r="AD103">
        <v>17</v>
      </c>
      <c r="AE103">
        <v>34476</v>
      </c>
      <c r="AF103">
        <v>13</v>
      </c>
      <c r="AG103">
        <v>26364</v>
      </c>
      <c r="AH103">
        <v>21</v>
      </c>
      <c r="AI103">
        <v>42588</v>
      </c>
      <c r="AJ103">
        <v>19</v>
      </c>
      <c r="AK103">
        <v>38532</v>
      </c>
      <c r="AL103">
        <v>21</v>
      </c>
      <c r="AM103">
        <v>42588</v>
      </c>
      <c r="AN103">
        <v>15</v>
      </c>
      <c r="AO103">
        <v>30420</v>
      </c>
      <c r="AP103">
        <v>14</v>
      </c>
      <c r="AQ103">
        <v>28392</v>
      </c>
      <c r="AR103">
        <v>14</v>
      </c>
      <c r="AS103">
        <v>28392</v>
      </c>
      <c r="AT103">
        <v>13</v>
      </c>
      <c r="AU103">
        <v>26364</v>
      </c>
      <c r="AV103">
        <v>14</v>
      </c>
      <c r="AW103">
        <v>28392</v>
      </c>
      <c r="AX103">
        <v>21</v>
      </c>
      <c r="AY103">
        <v>42588</v>
      </c>
      <c r="AZ103">
        <v>19</v>
      </c>
      <c r="BA103">
        <v>38532</v>
      </c>
      <c r="BB103">
        <v>15</v>
      </c>
      <c r="BC103">
        <v>30420</v>
      </c>
      <c r="BD103">
        <v>16</v>
      </c>
      <c r="BE103">
        <v>32448</v>
      </c>
      <c r="BF103">
        <v>18</v>
      </c>
      <c r="BG103">
        <v>36504</v>
      </c>
      <c r="BH103">
        <v>24</v>
      </c>
      <c r="BI103">
        <v>48672</v>
      </c>
      <c r="BJ103">
        <v>17</v>
      </c>
      <c r="BK103">
        <v>34476</v>
      </c>
      <c r="BL103">
        <v>22</v>
      </c>
      <c r="BM103">
        <v>44616</v>
      </c>
      <c r="BN103">
        <v>21</v>
      </c>
      <c r="BO103">
        <v>42588</v>
      </c>
      <c r="BP103">
        <v>15</v>
      </c>
      <c r="BQ103">
        <v>30420</v>
      </c>
      <c r="BR103">
        <v>18</v>
      </c>
      <c r="BS103">
        <v>36504</v>
      </c>
      <c r="BT103">
        <v>24</v>
      </c>
      <c r="BU103">
        <v>48672</v>
      </c>
      <c r="BV103">
        <v>21</v>
      </c>
      <c r="BW103">
        <v>42588</v>
      </c>
      <c r="BX103">
        <v>12</v>
      </c>
      <c r="BY103">
        <v>24336</v>
      </c>
      <c r="BZ103">
        <v>23</v>
      </c>
      <c r="CA103">
        <v>46644</v>
      </c>
      <c r="CB103">
        <v>20</v>
      </c>
      <c r="CC103">
        <v>40560</v>
      </c>
      <c r="CD103">
        <v>13</v>
      </c>
      <c r="CE103">
        <v>26364</v>
      </c>
      <c r="CF103">
        <v>13</v>
      </c>
      <c r="CG103">
        <v>26364</v>
      </c>
      <c r="CH103">
        <v>25</v>
      </c>
      <c r="CI103">
        <v>50700</v>
      </c>
      <c r="CJ103">
        <v>21</v>
      </c>
      <c r="CK103">
        <v>42588</v>
      </c>
      <c r="CL103">
        <v>23</v>
      </c>
      <c r="CM103">
        <v>46644</v>
      </c>
      <c r="CN103">
        <v>23</v>
      </c>
      <c r="CO103">
        <v>46644</v>
      </c>
      <c r="CP103">
        <v>13</v>
      </c>
      <c r="CQ103">
        <v>26364</v>
      </c>
      <c r="CR103">
        <v>15</v>
      </c>
      <c r="CS103">
        <v>30420</v>
      </c>
      <c r="CT103">
        <v>13</v>
      </c>
      <c r="CU103">
        <v>26364</v>
      </c>
    </row>
    <row r="104" spans="2:99" x14ac:dyDescent="0.2">
      <c r="C104" s="119" t="s">
        <v>270</v>
      </c>
      <c r="D104">
        <v>15.403654389203048</v>
      </c>
      <c r="E104">
        <v>31922.533356184398</v>
      </c>
      <c r="F104">
        <v>16</v>
      </c>
      <c r="G104">
        <v>33158.400000000001</v>
      </c>
      <c r="H104">
        <v>15</v>
      </c>
      <c r="I104">
        <v>31086</v>
      </c>
      <c r="J104">
        <v>21</v>
      </c>
      <c r="K104">
        <v>43520.4</v>
      </c>
      <c r="L104">
        <v>19</v>
      </c>
      <c r="M104">
        <v>39375.599999999999</v>
      </c>
      <c r="N104">
        <v>18</v>
      </c>
      <c r="O104">
        <v>37303.200000000004</v>
      </c>
      <c r="P104">
        <v>15</v>
      </c>
      <c r="Q104">
        <v>31086</v>
      </c>
      <c r="R104">
        <v>18</v>
      </c>
      <c r="S104">
        <v>37303.200000000004</v>
      </c>
      <c r="T104">
        <v>12</v>
      </c>
      <c r="U104">
        <v>24868.800000000003</v>
      </c>
      <c r="V104">
        <v>13</v>
      </c>
      <c r="W104">
        <v>26941.200000000001</v>
      </c>
      <c r="X104">
        <v>14</v>
      </c>
      <c r="Y104">
        <v>29013.600000000002</v>
      </c>
      <c r="Z104">
        <v>20</v>
      </c>
      <c r="AA104">
        <v>41448</v>
      </c>
      <c r="AB104">
        <v>21</v>
      </c>
      <c r="AC104">
        <v>43520.4</v>
      </c>
      <c r="AD104">
        <v>17</v>
      </c>
      <c r="AE104">
        <v>35230.800000000003</v>
      </c>
      <c r="AF104">
        <v>11</v>
      </c>
      <c r="AG104">
        <v>22796.400000000001</v>
      </c>
      <c r="AH104">
        <v>23</v>
      </c>
      <c r="AI104">
        <v>47665.200000000004</v>
      </c>
      <c r="AJ104">
        <v>21</v>
      </c>
      <c r="AK104">
        <v>43520.4</v>
      </c>
      <c r="AL104">
        <v>18</v>
      </c>
      <c r="AM104">
        <v>37303.200000000004</v>
      </c>
      <c r="AN104">
        <v>15</v>
      </c>
      <c r="AO104">
        <v>31086</v>
      </c>
      <c r="AP104">
        <v>15</v>
      </c>
      <c r="AQ104">
        <v>31086</v>
      </c>
      <c r="AR104">
        <v>14</v>
      </c>
      <c r="AS104">
        <v>29013.600000000002</v>
      </c>
      <c r="AT104">
        <v>13</v>
      </c>
      <c r="AU104">
        <v>26941.200000000001</v>
      </c>
      <c r="AV104">
        <v>14</v>
      </c>
      <c r="AW104">
        <v>29013.600000000002</v>
      </c>
      <c r="AX104">
        <v>19</v>
      </c>
      <c r="AY104">
        <v>39375.599999999999</v>
      </c>
      <c r="AZ104">
        <v>21</v>
      </c>
      <c r="BA104">
        <v>43520.4</v>
      </c>
      <c r="BB104">
        <v>15</v>
      </c>
      <c r="BC104">
        <v>31086</v>
      </c>
      <c r="BD104">
        <v>16</v>
      </c>
      <c r="BE104">
        <v>33158.400000000001</v>
      </c>
      <c r="BF104">
        <v>18</v>
      </c>
      <c r="BG104">
        <v>37303.200000000004</v>
      </c>
      <c r="BH104">
        <v>23</v>
      </c>
      <c r="BI104">
        <v>47665.200000000004</v>
      </c>
      <c r="BJ104">
        <v>17</v>
      </c>
      <c r="BK104">
        <v>35230.800000000003</v>
      </c>
      <c r="BL104">
        <v>22</v>
      </c>
      <c r="BM104">
        <v>45592.800000000003</v>
      </c>
      <c r="BN104">
        <v>19</v>
      </c>
      <c r="BO104">
        <v>39375.599999999999</v>
      </c>
      <c r="BP104">
        <v>14</v>
      </c>
      <c r="BQ104">
        <v>29013.600000000002</v>
      </c>
      <c r="BR104">
        <v>21</v>
      </c>
      <c r="BS104">
        <v>43520.4</v>
      </c>
      <c r="BT104">
        <v>25</v>
      </c>
      <c r="BU104">
        <v>51810</v>
      </c>
      <c r="BV104">
        <v>23</v>
      </c>
      <c r="BW104">
        <v>47665.200000000004</v>
      </c>
      <c r="BX104">
        <v>13</v>
      </c>
      <c r="BY104">
        <v>26941.200000000001</v>
      </c>
      <c r="BZ104">
        <v>22</v>
      </c>
      <c r="CA104">
        <v>45592.800000000003</v>
      </c>
      <c r="CB104">
        <v>17</v>
      </c>
      <c r="CC104">
        <v>35230.800000000003</v>
      </c>
      <c r="CD104">
        <v>13</v>
      </c>
      <c r="CE104">
        <v>26941.200000000001</v>
      </c>
      <c r="CF104">
        <v>13</v>
      </c>
      <c r="CG104">
        <v>26941.200000000001</v>
      </c>
      <c r="CH104">
        <v>24</v>
      </c>
      <c r="CI104">
        <v>49737.600000000006</v>
      </c>
      <c r="CJ104">
        <v>22</v>
      </c>
      <c r="CK104">
        <v>45592.800000000003</v>
      </c>
      <c r="CL104">
        <v>21</v>
      </c>
      <c r="CM104">
        <v>43520.4</v>
      </c>
      <c r="CN104">
        <v>21</v>
      </c>
      <c r="CO104">
        <v>43520.4</v>
      </c>
      <c r="CP104">
        <v>15</v>
      </c>
      <c r="CQ104">
        <v>31086</v>
      </c>
      <c r="CR104">
        <v>15</v>
      </c>
      <c r="CS104">
        <v>31086</v>
      </c>
      <c r="CT104">
        <v>13</v>
      </c>
      <c r="CU104">
        <v>26941.200000000001</v>
      </c>
    </row>
    <row r="105" spans="2:99" x14ac:dyDescent="0.2">
      <c r="C105" s="119" t="s">
        <v>271</v>
      </c>
      <c r="D105">
        <v>15.370016523436128</v>
      </c>
      <c r="E105">
        <v>30709.293013825383</v>
      </c>
      <c r="F105">
        <v>14</v>
      </c>
      <c r="G105">
        <v>27972</v>
      </c>
      <c r="H105">
        <v>16</v>
      </c>
      <c r="I105">
        <v>31968</v>
      </c>
      <c r="J105">
        <v>19</v>
      </c>
      <c r="K105">
        <v>37962</v>
      </c>
      <c r="L105">
        <v>20</v>
      </c>
      <c r="M105">
        <v>39960</v>
      </c>
      <c r="N105">
        <v>17</v>
      </c>
      <c r="O105">
        <v>33966</v>
      </c>
      <c r="P105">
        <v>17</v>
      </c>
      <c r="Q105">
        <v>33966</v>
      </c>
      <c r="R105">
        <v>15</v>
      </c>
      <c r="S105">
        <v>29970</v>
      </c>
      <c r="T105">
        <v>13</v>
      </c>
      <c r="U105">
        <v>25974</v>
      </c>
      <c r="V105">
        <v>14</v>
      </c>
      <c r="W105">
        <v>27972</v>
      </c>
      <c r="X105">
        <v>13</v>
      </c>
      <c r="Y105">
        <v>25974</v>
      </c>
      <c r="Z105">
        <v>23</v>
      </c>
      <c r="AA105">
        <v>45954</v>
      </c>
      <c r="AB105">
        <v>19</v>
      </c>
      <c r="AC105">
        <v>37962</v>
      </c>
      <c r="AD105">
        <v>20</v>
      </c>
      <c r="AE105">
        <v>39960</v>
      </c>
      <c r="AF105">
        <v>14</v>
      </c>
      <c r="AG105">
        <v>27972</v>
      </c>
      <c r="AH105">
        <v>22</v>
      </c>
      <c r="AI105">
        <v>43956</v>
      </c>
      <c r="AJ105">
        <v>22</v>
      </c>
      <c r="AK105">
        <v>43956</v>
      </c>
      <c r="AL105">
        <v>20</v>
      </c>
      <c r="AM105">
        <v>39960</v>
      </c>
      <c r="AN105">
        <v>16</v>
      </c>
      <c r="AO105">
        <v>31968</v>
      </c>
      <c r="AP105">
        <v>16</v>
      </c>
      <c r="AQ105">
        <v>31968</v>
      </c>
      <c r="AR105">
        <v>15</v>
      </c>
      <c r="AS105">
        <v>29970</v>
      </c>
      <c r="AT105">
        <v>12</v>
      </c>
      <c r="AU105">
        <v>23976</v>
      </c>
      <c r="AV105">
        <v>13</v>
      </c>
      <c r="AW105">
        <v>25974</v>
      </c>
      <c r="AX105">
        <v>22</v>
      </c>
      <c r="AY105">
        <v>43956</v>
      </c>
      <c r="AZ105">
        <v>20</v>
      </c>
      <c r="BA105">
        <v>39960</v>
      </c>
      <c r="BB105">
        <v>14</v>
      </c>
      <c r="BC105">
        <v>27972</v>
      </c>
      <c r="BD105">
        <v>16</v>
      </c>
      <c r="BE105">
        <v>31968</v>
      </c>
      <c r="BF105">
        <v>15</v>
      </c>
      <c r="BG105">
        <v>29970</v>
      </c>
      <c r="BH105">
        <v>22</v>
      </c>
      <c r="BI105">
        <v>43956</v>
      </c>
      <c r="BJ105">
        <v>16</v>
      </c>
      <c r="BK105">
        <v>31968</v>
      </c>
      <c r="BL105">
        <v>22</v>
      </c>
      <c r="BM105">
        <v>43956</v>
      </c>
      <c r="BN105">
        <v>21</v>
      </c>
      <c r="BO105">
        <v>41958</v>
      </c>
      <c r="BP105">
        <v>16</v>
      </c>
      <c r="BQ105">
        <v>31968</v>
      </c>
      <c r="BR105">
        <v>19</v>
      </c>
      <c r="BS105">
        <v>37962</v>
      </c>
      <c r="BT105">
        <v>21</v>
      </c>
      <c r="BU105">
        <v>41958</v>
      </c>
      <c r="BV105">
        <v>20</v>
      </c>
      <c r="BW105">
        <v>39960</v>
      </c>
      <c r="BX105">
        <v>12</v>
      </c>
      <c r="BY105">
        <v>23976</v>
      </c>
      <c r="BZ105">
        <v>20</v>
      </c>
      <c r="CA105">
        <v>39960</v>
      </c>
      <c r="CB105">
        <v>20</v>
      </c>
      <c r="CC105">
        <v>39960</v>
      </c>
      <c r="CD105">
        <v>14</v>
      </c>
      <c r="CE105">
        <v>27972</v>
      </c>
      <c r="CF105">
        <v>15</v>
      </c>
      <c r="CG105">
        <v>29970</v>
      </c>
      <c r="CH105">
        <v>24</v>
      </c>
      <c r="CI105">
        <v>47952</v>
      </c>
      <c r="CJ105">
        <v>21</v>
      </c>
      <c r="CK105">
        <v>41958</v>
      </c>
      <c r="CL105">
        <v>23</v>
      </c>
      <c r="CM105">
        <v>45954</v>
      </c>
      <c r="CN105">
        <v>23</v>
      </c>
      <c r="CO105">
        <v>45954</v>
      </c>
      <c r="CP105">
        <v>14</v>
      </c>
      <c r="CQ105">
        <v>27972</v>
      </c>
      <c r="CR105">
        <v>14</v>
      </c>
      <c r="CS105">
        <v>27972</v>
      </c>
      <c r="CT105">
        <v>13</v>
      </c>
      <c r="CU105">
        <v>25974</v>
      </c>
    </row>
    <row r="107" spans="2:99" x14ac:dyDescent="0.2">
      <c r="B107" s="122" t="s">
        <v>276</v>
      </c>
    </row>
    <row r="108" spans="2:99" x14ac:dyDescent="0.2">
      <c r="C108" s="119" t="s">
        <v>277</v>
      </c>
      <c r="D108" s="119" t="s">
        <v>92</v>
      </c>
      <c r="E108" s="119" t="s">
        <v>93</v>
      </c>
      <c r="F108" s="119" t="s">
        <v>94</v>
      </c>
      <c r="G108" s="119" t="s">
        <v>95</v>
      </c>
      <c r="H108" s="119" t="s">
        <v>96</v>
      </c>
      <c r="I108" s="119" t="s">
        <v>97</v>
      </c>
      <c r="J108" s="119" t="s">
        <v>98</v>
      </c>
      <c r="K108" s="119" t="s">
        <v>99</v>
      </c>
      <c r="L108" s="119" t="s">
        <v>100</v>
      </c>
      <c r="M108" s="119" t="s">
        <v>101</v>
      </c>
      <c r="N108" s="119" t="s">
        <v>102</v>
      </c>
      <c r="O108" s="119" t="s">
        <v>103</v>
      </c>
    </row>
    <row r="109" spans="2:99" x14ac:dyDescent="0.2">
      <c r="C109" s="119" t="s">
        <v>126</v>
      </c>
      <c r="D109">
        <f>SUM(D$6:D$19)+SUM(F$6:F$19)+SUM(H$6:H$19)+SUM(J$6:J$19)</f>
        <v>917.39732086329968</v>
      </c>
      <c r="E109">
        <f>SUM(L$6:L$19)+SUM(N$6:N$19)+SUM(P$6:P$19)+SUM(R$6:R$19)</f>
        <v>598.72216759440607</v>
      </c>
      <c r="F109">
        <f>SUM(T$6:T$19)+SUM(V$6:V$19)+SUM(X$6:X$19)+SUM(Z$6:Z$19)</f>
        <v>564.80466665148003</v>
      </c>
      <c r="G109">
        <f>SUM(AB$6:AB$19)+SUM(AD$6:AD$19)+SUM(AF$6:AF$19)+SUM(AH$6:AH$19)</f>
        <v>541.26817084533593</v>
      </c>
      <c r="H109">
        <f>SUM(AJ$6:AJ$19)+SUM(AL$6:AL$19)+SUM(AN$6:AN$19)+SUM(AP$6:AP$19)</f>
        <v>722.90673541148499</v>
      </c>
      <c r="I109">
        <f>SUM(AR$6:AR$19)+SUM(AT$6:AT$19)+SUM(AV$6:AV$19)+SUM(AX$6:AX$19)</f>
        <v>732.50649425086158</v>
      </c>
      <c r="J109">
        <f>SUM(AZ$6:AZ$19)+SUM(BB$6:BB$19)+SUM(BD$6:BD$19)+SUM(BF$6:BF$19)</f>
        <v>552.42671055963035</v>
      </c>
      <c r="K109">
        <f>SUM(BH$6:BH$19)+SUM(BJ$6:BJ$19)+SUM(BL$6:BL$19)+SUM(BN$6:BN$19)</f>
        <v>683.48074346885414</v>
      </c>
      <c r="L109">
        <f>SUM(BP$6:BP$19)+SUM(BR$6:BR$19)+SUM(BT$6:BT$19)+SUM(BV$6:BV$19)</f>
        <v>629.75446588852424</v>
      </c>
      <c r="M109">
        <f>SUM(BX$6:BX$19)+SUM(BZ$6:BZ$19)+SUM(CB$6:CB$19)+SUM(CD$6:CD$19)</f>
        <v>705.40445543535986</v>
      </c>
      <c r="N109">
        <f>SUM(CF$6:CF$19)+SUM(CH$6:CH$19)+SUM(CJ$6:CJ$19)+SUM(CL$6:CL$19)</f>
        <v>659.66074106708197</v>
      </c>
      <c r="O109">
        <f>SUM(CN$6:CN$19)+SUM(CP$6:CP$19)+SUM(CR$6:CR$19)+SUM(CT$6:CT$19)</f>
        <v>652.29175051930349</v>
      </c>
    </row>
    <row r="110" spans="2:99" x14ac:dyDescent="0.2">
      <c r="C110" s="119" t="s">
        <v>127</v>
      </c>
      <c r="D110">
        <f>SUM(D$20:D$36)+SUM(F$20:F$36)+SUM(H$20:H$36)+SUM(J$20:J$36)</f>
        <v>950.77273825862278</v>
      </c>
      <c r="E110">
        <f>SUM(L$20:L$36)+SUM(N$20:N$36)+SUM(P$20:P$36)+SUM(R$20:R$36)</f>
        <v>500.10022917538311</v>
      </c>
      <c r="F110">
        <f>SUM(T$20:T$36)+SUM(V$20:V$36)+SUM(X$20:X$36)+SUM(Z$20:Z$36)</f>
        <v>491.59178920322546</v>
      </c>
      <c r="G110">
        <f>SUM(AB$20:AB$36)+SUM(AD$20:AD$36)+SUM(AF$20:AF$36)+SUM(AH$20:AH$36)</f>
        <v>559.59633096752782</v>
      </c>
      <c r="H110">
        <f>SUM(AJ$20:AJ$36)+SUM(AL$20:AL$36)+SUM(AN$20:AN$36)+SUM(AP$20:AP$36)</f>
        <v>504.5913496533887</v>
      </c>
      <c r="I110">
        <f>SUM(AR$20:AR$36)+SUM(AT$20:AT$36)+SUM(AV$20:AV$36)+SUM(AX$20:AX$36)</f>
        <v>518.03097337339887</v>
      </c>
      <c r="J110">
        <f>SUM(AZ$20:AZ$36)+SUM(BB$20:BB$36)+SUM(BD$20:BD$36)+SUM(BF$20:BF$36)</f>
        <v>589.17176039258118</v>
      </c>
      <c r="K110">
        <f>SUM(BH$20:BH$36)+SUM(BJ$20:BJ$36)+SUM(BL$20:BL$36)+SUM(BN$20:BN$36)</f>
        <v>572.66081832408202</v>
      </c>
      <c r="L110">
        <f>SUM(BP$20:BP$36)+SUM(BR$20:BR$36)+SUM(BT$20:BT$36)+SUM(BV$20:BV$36)</f>
        <v>561.52147350268046</v>
      </c>
      <c r="M110">
        <f>SUM(BX$20:BX$36)+SUM(BZ$20:BZ$36)+SUM(CB$20:CB$36)+SUM(CD$20:CD$36)</f>
        <v>503.13132682556011</v>
      </c>
      <c r="N110">
        <f>SUM(CF$20:CF$36)+SUM(CH$20:CH$36)+SUM(CJ$20:CJ$36)+SUM(CL$20:CL$36)</f>
        <v>538.98531171649495</v>
      </c>
      <c r="O110">
        <f>SUM(CN$20:CN$36)+SUM(CP$20:CP$36)+SUM(CR$20:CR$36)+SUM(CT$20:CT$36)</f>
        <v>515.84300595368086</v>
      </c>
    </row>
    <row r="111" spans="2:99" x14ac:dyDescent="0.2">
      <c r="C111" s="119" t="s">
        <v>128</v>
      </c>
      <c r="D111">
        <f>SUM(D$37:D$48)+SUM(F$37:F$48)+SUM(H$37:H$48)+SUM(J$37:J$48)</f>
        <v>1149.963274281751</v>
      </c>
      <c r="E111">
        <f>SUM(L$37:L$48)+SUM(N$37:N$48)+SUM(P$37:P$48)+SUM(R$37:R$48)</f>
        <v>755.63330625064543</v>
      </c>
      <c r="F111">
        <f>SUM(T$37:T$48)+SUM(V$37:V$48)+SUM(X$37:X$48)+SUM(Z$37:Z$48)</f>
        <v>654.91563915344705</v>
      </c>
      <c r="G111">
        <f>SUM(AB$37:AB$48)+SUM(AD$37:AD$48)+SUM(AF$37:AF$48)+SUM(AH$37:AH$48)</f>
        <v>735.83598301618156</v>
      </c>
      <c r="H111">
        <f>SUM(AJ$37:AJ$48)+SUM(AL$37:AL$48)+SUM(AN$37:AN$48)+SUM(AP$37:AP$48)</f>
        <v>643.00294652118612</v>
      </c>
      <c r="I111">
        <f>SUM(AR$37:AR$48)+SUM(AT$37:AT$48)+SUM(AV$37:AV$48)+SUM(AX$37:AX$48)</f>
        <v>578.79988809412885</v>
      </c>
      <c r="J111">
        <f>SUM(AZ$37:AZ$48)+SUM(BB$37:BB$48)+SUM(BD$37:BD$48)+SUM(BF$37:BF$48)</f>
        <v>714.00879733548129</v>
      </c>
      <c r="K111">
        <f>SUM(BH$37:BH$48)+SUM(BJ$37:BJ$48)+SUM(BL$37:BL$48)+SUM(BN$37:BN$48)</f>
        <v>638.00592416540633</v>
      </c>
      <c r="L111">
        <f>SUM(BP$37:BP$48)+SUM(BR$37:BR$48)+SUM(BT$37:BT$48)+SUM(BV$37:BV$48)</f>
        <v>680.2596397023965</v>
      </c>
      <c r="M111">
        <f>SUM(BX$37:BX$48)+SUM(BZ$37:BZ$48)+SUM(CB$37:CB$48)+SUM(CD$37:CD$48)</f>
        <v>725.01595228840108</v>
      </c>
      <c r="N111">
        <f>SUM(CF$37:CF$48)+SUM(CH$37:CH$48)+SUM(CJ$37:CJ$48)+SUM(CL$37:CL$48)</f>
        <v>736.1674730196504</v>
      </c>
      <c r="O111">
        <f>SUM(CN$37:CN$48)+SUM(CP$37:CP$48)+SUM(CR$37:CR$48)+SUM(CT$37:CT$48)</f>
        <v>706.39159631678172</v>
      </c>
    </row>
    <row r="112" spans="2:99" x14ac:dyDescent="0.2">
      <c r="C112" s="119" t="s">
        <v>129</v>
      </c>
      <c r="D112">
        <f>SUM(D$49:D$70)+SUM(F$49:F$70)+SUM(H$49:H$70)+SUM(J$49:J$70)</f>
        <v>1093.9397562445627</v>
      </c>
      <c r="E112">
        <f>SUM(L$49:L$70)+SUM(N$49:N$70)+SUM(P$49:P$70)+SUM(R$49:R$70)</f>
        <v>696.38498077341308</v>
      </c>
      <c r="F112">
        <f>SUM(T$49:T$70)+SUM(V$49:V$70)+SUM(X$49:X$70)+SUM(Z$49:Z$70)</f>
        <v>874.52858878569532</v>
      </c>
      <c r="G112">
        <f>SUM(AB$49:AB$70)+SUM(AD$49:AD$70)+SUM(AF$49:AF$70)+SUM(AH$49:AH$70)</f>
        <v>712.14019896480261</v>
      </c>
      <c r="H112">
        <f>SUM(AJ$49:AJ$70)+SUM(AL$49:AL$70)+SUM(AN$49:AN$70)+SUM(AP$49:AP$70)</f>
        <v>675.33965220778805</v>
      </c>
      <c r="I112">
        <f>SUM(AR$49:AR$70)+SUM(AT$49:AT$70)+SUM(AV$49:AV$70)+SUM(AX$49:AX$70)</f>
        <v>742.50332807545828</v>
      </c>
      <c r="J112">
        <f>SUM(AZ$49:AZ$70)+SUM(BB$49:BB$70)+SUM(BD$49:BD$70)+SUM(BF$49:BF$70)</f>
        <v>698.23341550615498</v>
      </c>
      <c r="K112">
        <f>SUM(BH$49:BH$70)+SUM(BJ$49:BJ$70)+SUM(BL$49:BL$70)+SUM(BN$49:BN$70)</f>
        <v>653.69319783550532</v>
      </c>
      <c r="L112">
        <f>SUM(BP$49:BP$70)+SUM(BR$49:BR$70)+SUM(BT$49:BT$70)+SUM(BV$49:BV$70)</f>
        <v>696.30510470024649</v>
      </c>
      <c r="M112">
        <f>SUM(BX$49:BX$70)+SUM(BZ$49:BZ$70)+SUM(CB$49:CB$70)+SUM(CD$49:CD$70)</f>
        <v>602.28894924452675</v>
      </c>
      <c r="N112">
        <f>SUM(CF$49:CF$70)+SUM(CH$49:CH$70)+SUM(CJ$49:CJ$70)+SUM(CL$49:CL$70)</f>
        <v>603.02715799062048</v>
      </c>
      <c r="O112">
        <f>SUM(CN$49:CN$70)+SUM(CP$49:CP$70)+SUM(CR$49:CR$70)+SUM(CT$49:CT$70)</f>
        <v>693.31433100408174</v>
      </c>
    </row>
    <row r="113" spans="2:15" x14ac:dyDescent="0.2">
      <c r="C113" s="119" t="s">
        <v>130</v>
      </c>
      <c r="D113">
        <f>SUM(D$71:D$86)+SUM(F$71:F$86)+SUM(H$71:H$86)+SUM(J$71:J$86)</f>
        <v>1293.4950141192792</v>
      </c>
      <c r="E113">
        <f>SUM(L$71:L$86)+SUM(N$71:N$86)+SUM(P$71:P$86)+SUM(R$71:R$86)</f>
        <v>1363</v>
      </c>
      <c r="F113">
        <f>SUM(T$71:T$86)+SUM(V$71:V$86)+SUM(X$71:X$86)+SUM(Z$71:Z$86)</f>
        <v>1386</v>
      </c>
      <c r="G113">
        <f>SUM(AB$71:AB$86)+SUM(AD$71:AD$86)+SUM(AF$71:AF$86)+SUM(AH$71:AH$86)</f>
        <v>1203</v>
      </c>
      <c r="H113">
        <f>SUM(AJ$71:AJ$86)+SUM(AL$71:AL$86)+SUM(AN$71:AN$86)+SUM(AP$71:AP$86)</f>
        <v>1332</v>
      </c>
      <c r="I113">
        <f>SUM(AR$71:AR$86)+SUM(AT$71:AT$86)+SUM(AV$71:AV$86)+SUM(AX$71:AX$86)</f>
        <v>1191</v>
      </c>
      <c r="J113">
        <f>SUM(AZ$71:AZ$86)+SUM(BB$71:BB$86)+SUM(BD$71:BD$86)+SUM(BF$71:BF$86)</f>
        <v>1401</v>
      </c>
      <c r="K113">
        <f>SUM(BH$71:BH$86)+SUM(BJ$71:BJ$86)+SUM(BL$71:BL$86)+SUM(BN$71:BN$86)</f>
        <v>1045</v>
      </c>
      <c r="L113">
        <f>SUM(BP$71:BP$86)+SUM(BR$71:BR$86)+SUM(BT$71:BT$86)+SUM(BV$71:BV$86)</f>
        <v>1105</v>
      </c>
      <c r="M113">
        <f>SUM(BX$71:BX$86)+SUM(BZ$71:BZ$86)+SUM(CB$71:CB$86)+SUM(CD$71:CD$86)</f>
        <v>1250</v>
      </c>
      <c r="N113">
        <f>SUM(CF$71:CF$86)+SUM(CH$71:CH$86)+SUM(CJ$71:CJ$86)+SUM(CL$71:CL$86)</f>
        <v>1252</v>
      </c>
      <c r="O113">
        <f>SUM(CN$71:CN$86)+SUM(CP$71:CP$86)+SUM(CR$71:CR$86)+SUM(CT$71:CT$86)</f>
        <v>1534</v>
      </c>
    </row>
    <row r="114" spans="2:15" x14ac:dyDescent="0.2">
      <c r="C114" s="119" t="s">
        <v>131</v>
      </c>
      <c r="D114">
        <f>SUM(D$87:D$94)+SUM(F$87:F$94)+SUM(H$87:H$94)+SUM(J$87:J$94)</f>
        <v>478.19559724785745</v>
      </c>
      <c r="E114">
        <f>SUM(L$87:L$94)+SUM(N$87:N$94)+SUM(P$87:P$94)+SUM(R$87:R$94)</f>
        <v>526</v>
      </c>
      <c r="F114">
        <f>SUM(T$87:T$94)+SUM(V$87:V$94)+SUM(X$87:X$94)+SUM(Z$87:Z$94)</f>
        <v>409</v>
      </c>
      <c r="G114">
        <f>SUM(AB$87:AB$94)+SUM(AD$87:AD$94)+SUM(AF$87:AF$94)+SUM(AH$87:AH$94)</f>
        <v>522</v>
      </c>
      <c r="H114">
        <f>SUM(AJ$87:AJ$94)+SUM(AL$87:AL$94)+SUM(AN$87:AN$94)+SUM(AP$87:AP$94)</f>
        <v>476</v>
      </c>
      <c r="I114">
        <f>SUM(AR$87:AR$94)+SUM(AT$87:AT$94)+SUM(AV$87:AV$94)+SUM(AX$87:AX$94)</f>
        <v>593</v>
      </c>
      <c r="J114">
        <f>SUM(AZ$87:AZ$94)+SUM(BB$87:BB$94)+SUM(BD$87:BD$94)+SUM(BF$87:BF$94)</f>
        <v>523</v>
      </c>
      <c r="K114">
        <f>SUM(BH$87:BH$94)+SUM(BJ$87:BJ$94)+SUM(BL$87:BL$94)+SUM(BN$87:BN$94)</f>
        <v>524</v>
      </c>
      <c r="L114">
        <f>SUM(BP$87:BP$94)+SUM(BR$87:BR$94)+SUM(BT$87:BT$94)+SUM(BV$87:BV$94)</f>
        <v>460</v>
      </c>
      <c r="M114">
        <f>SUM(BX$87:BX$94)+SUM(BZ$87:BZ$94)+SUM(CB$87:CB$94)+SUM(CD$87:CD$94)</f>
        <v>527</v>
      </c>
      <c r="N114">
        <f>SUM(CF$87:CF$94)+SUM(CH$87:CH$94)+SUM(CJ$87:CJ$94)+SUM(CL$87:CL$94)</f>
        <v>494</v>
      </c>
      <c r="O114">
        <f>SUM(CN$87:CN$94)+SUM(CP$87:CP$94)+SUM(CR$87:CR$94)+SUM(CT$87:CT$94)</f>
        <v>564</v>
      </c>
    </row>
    <row r="115" spans="2:15" x14ac:dyDescent="0.2">
      <c r="C115" s="119" t="s">
        <v>132</v>
      </c>
      <c r="D115">
        <f>SUM(D$95:D$105)+SUM(F$95:F$105)+SUM(H$95:H$105)+SUM(J$95:J$105)</f>
        <v>742.33928468393276</v>
      </c>
      <c r="E115">
        <f>SUM(L$95:L$105)+SUM(N$95:N$105)+SUM(P$95:P$105)+SUM(R$95:R$105)</f>
        <v>762</v>
      </c>
      <c r="F115">
        <f>SUM(T$95:T$105)+SUM(V$95:V$105)+SUM(X$95:X$105)+SUM(Z$95:Z$105)</f>
        <v>680</v>
      </c>
      <c r="G115">
        <f>SUM(AB$95:AB$105)+SUM(AD$95:AD$105)+SUM(AF$95:AF$105)+SUM(AH$95:AH$105)</f>
        <v>799</v>
      </c>
      <c r="H115">
        <f>SUM(AJ$95:AJ$105)+SUM(AL$95:AL$105)+SUM(AN$95:AN$105)+SUM(AP$95:AP$105)</f>
        <v>791</v>
      </c>
      <c r="I115">
        <f>SUM(AR$95:AR$105)+SUM(AT$95:AT$105)+SUM(AV$95:AV$105)+SUM(AX$95:AX$105)</f>
        <v>687</v>
      </c>
      <c r="J115">
        <f>SUM(AZ$95:AZ$105)+SUM(BB$95:BB$105)+SUM(BD$95:BD$105)+SUM(BF$95:BF$105)</f>
        <v>746</v>
      </c>
      <c r="K115">
        <f>SUM(BH$95:BH$105)+SUM(BJ$95:BJ$105)+SUM(BL$95:BL$105)+SUM(BN$95:BN$105)</f>
        <v>924</v>
      </c>
      <c r="L115">
        <f>SUM(BP$95:BP$105)+SUM(BR$95:BR$105)+SUM(BT$95:BT$105)+SUM(BV$95:BV$105)</f>
        <v>896</v>
      </c>
      <c r="M115">
        <f>SUM(BX$95:BX$105)+SUM(BZ$95:BZ$105)+SUM(CB$95:CB$105)+SUM(CD$95:CD$105)</f>
        <v>730</v>
      </c>
      <c r="N115">
        <f>SUM(CF$95:CF$105)+SUM(CH$95:CH$105)+SUM(CJ$95:CJ$105)+SUM(CL$95:CL$105)</f>
        <v>906</v>
      </c>
      <c r="O115">
        <f>SUM(CN$95:CN$105)+SUM(CP$95:CP$105)+SUM(CR$95:CR$105)+SUM(CT$95:CT$105)</f>
        <v>722</v>
      </c>
    </row>
    <row r="116" spans="2:15" x14ac:dyDescent="0.2">
      <c r="C116" s="119" t="s">
        <v>278</v>
      </c>
      <c r="D116">
        <f t="shared" ref="D116:O116" si="0">SUM(D$109:D$115)</f>
        <v>6626.1029856993055</v>
      </c>
      <c r="E116">
        <f t="shared" si="0"/>
        <v>5201.8406837938473</v>
      </c>
      <c r="F116">
        <f t="shared" si="0"/>
        <v>5060.8406837938473</v>
      </c>
      <c r="G116">
        <f t="shared" si="0"/>
        <v>5072.8406837938473</v>
      </c>
      <c r="H116">
        <f t="shared" si="0"/>
        <v>5144.8406837938483</v>
      </c>
      <c r="I116">
        <f t="shared" si="0"/>
        <v>5042.8406837938473</v>
      </c>
      <c r="J116">
        <f t="shared" si="0"/>
        <v>5223.8406837938473</v>
      </c>
      <c r="K116">
        <f t="shared" si="0"/>
        <v>5040.8406837938473</v>
      </c>
      <c r="L116">
        <f t="shared" si="0"/>
        <v>5028.8406837938473</v>
      </c>
      <c r="M116">
        <f t="shared" si="0"/>
        <v>5042.8406837938473</v>
      </c>
      <c r="N116">
        <f t="shared" si="0"/>
        <v>5189.8406837938483</v>
      </c>
      <c r="O116">
        <f t="shared" si="0"/>
        <v>5387.8406837938473</v>
      </c>
    </row>
    <row r="118" spans="2:15" x14ac:dyDescent="0.2">
      <c r="B118" s="121" t="s">
        <v>279</v>
      </c>
    </row>
    <row r="119" spans="2:15" x14ac:dyDescent="0.2">
      <c r="C119" s="119" t="s">
        <v>277</v>
      </c>
      <c r="D119" s="119" t="s">
        <v>92</v>
      </c>
      <c r="E119" s="119" t="s">
        <v>93</v>
      </c>
      <c r="F119" s="119" t="s">
        <v>94</v>
      </c>
      <c r="G119" s="119" t="s">
        <v>95</v>
      </c>
      <c r="H119" s="119" t="s">
        <v>96</v>
      </c>
      <c r="I119" s="119" t="s">
        <v>97</v>
      </c>
      <c r="J119" s="119" t="s">
        <v>98</v>
      </c>
      <c r="K119" s="119" t="s">
        <v>99</v>
      </c>
      <c r="L119" s="119" t="s">
        <v>100</v>
      </c>
      <c r="M119" s="119" t="s">
        <v>101</v>
      </c>
      <c r="N119" s="119" t="s">
        <v>102</v>
      </c>
      <c r="O119" s="119" t="s">
        <v>103</v>
      </c>
    </row>
    <row r="120" spans="2:15" x14ac:dyDescent="0.2">
      <c r="C120" s="119" t="s">
        <v>126</v>
      </c>
      <c r="D120">
        <f>D109*pricing!D33*2000</f>
        <v>3334284.196226337</v>
      </c>
      <c r="E120">
        <f>E109*pricing!E33*2000</f>
        <v>2176058.089489311</v>
      </c>
      <c r="F120">
        <f>F109*pricing!F33*2000</f>
        <v>2052784.7979747157</v>
      </c>
      <c r="G120">
        <f>G109*pricing!G33*2000</f>
        <v>1967241.3107459499</v>
      </c>
      <c r="H120">
        <f>H109*pricing!H33*2000</f>
        <v>2627407.3930800762</v>
      </c>
      <c r="I120">
        <f>I109*pricing!I33*2000</f>
        <v>2662297.7546036923</v>
      </c>
      <c r="J120">
        <f>J109*pricing!J33*2000</f>
        <v>2007797.0675333405</v>
      </c>
      <c r="K120">
        <f>K109*pricing!K33*2000</f>
        <v>2484113.4692094945</v>
      </c>
      <c r="L120">
        <f>L109*pricing!L33*2000</f>
        <v>2288845.1005493505</v>
      </c>
      <c r="M120">
        <f>M109*pricing!M33*2000</f>
        <v>2563795.2871853192</v>
      </c>
      <c r="N120">
        <f>N109*pricing!N33*2000</f>
        <v>2397539.5761360303</v>
      </c>
      <c r="O120">
        <f>O109*pricing!O33*2000</f>
        <v>2370756.9508036631</v>
      </c>
    </row>
    <row r="121" spans="2:15" x14ac:dyDescent="0.2">
      <c r="C121" s="119" t="s">
        <v>127</v>
      </c>
      <c r="D121">
        <f>D110*pricing!D34*2000</f>
        <v>3732166.9196968032</v>
      </c>
      <c r="E121">
        <f>E110*pricing!E34*2000</f>
        <v>1963095.3399859197</v>
      </c>
      <c r="F121">
        <f>F110*pricing!F34*2000</f>
        <v>1929696.2773871403</v>
      </c>
      <c r="G121">
        <f>G110*pricing!G34*2000</f>
        <v>2196641.5640459913</v>
      </c>
      <c r="H121">
        <f>H110*pricing!H34*2000</f>
        <v>1980724.8013765409</v>
      </c>
      <c r="I121">
        <f>I110*pricing!I34*2000</f>
        <v>2033480.7513976388</v>
      </c>
      <c r="J121">
        <f>J110*pricing!J34*2000</f>
        <v>2312737.0670977281</v>
      </c>
      <c r="K121">
        <f>K110*pricing!K34*2000</f>
        <v>2247924.9523604615</v>
      </c>
      <c r="L121">
        <f>L110*pricing!L34*2000</f>
        <v>2204198.5258690217</v>
      </c>
      <c r="M121">
        <f>M110*pricing!M34*2000</f>
        <v>1974993.6222200957</v>
      </c>
      <c r="N121">
        <f>N110*pricing!N34*2000</f>
        <v>2115734.990756114</v>
      </c>
      <c r="O121">
        <f>O110*pricing!O34*2000</f>
        <v>2024892.0957740014</v>
      </c>
    </row>
    <row r="122" spans="2:15" x14ac:dyDescent="0.2">
      <c r="C122" s="119" t="s">
        <v>128</v>
      </c>
      <c r="D122">
        <f>D111*pricing!D35*2000</f>
        <v>4274184.4417785984</v>
      </c>
      <c r="E122">
        <f>E111*pricing!E35*2000</f>
        <v>2808538.4929214041</v>
      </c>
      <c r="F122">
        <f>F111*pricing!F35*2000</f>
        <v>2434190.9851821186</v>
      </c>
      <c r="G122">
        <f>G111*pricing!G35*2000</f>
        <v>2734955.7856732463</v>
      </c>
      <c r="H122">
        <f>H111*pricing!H35*2000</f>
        <v>2389913.8794281962</v>
      </c>
      <c r="I122">
        <f>I111*pricing!I35*2000</f>
        <v>2151283.8991664993</v>
      </c>
      <c r="J122">
        <f>J111*pricing!J35*2000</f>
        <v>2653828.4840187375</v>
      </c>
      <c r="K122">
        <f>K111*pricing!K35*2000</f>
        <v>2371340.9426345117</v>
      </c>
      <c r="L122">
        <f>L111*pricing!L35*2000</f>
        <v>2528389.5872256546</v>
      </c>
      <c r="M122">
        <f>M111*pricing!M35*2000</f>
        <v>2694739.8865827895</v>
      </c>
      <c r="N122">
        <f>N111*pricing!N35*2000</f>
        <v>2736187.8679902372</v>
      </c>
      <c r="O122">
        <f>O111*pricing!O35*2000</f>
        <v>2625516.8650199827</v>
      </c>
    </row>
    <row r="123" spans="2:15" x14ac:dyDescent="0.2">
      <c r="C123" s="119" t="s">
        <v>129</v>
      </c>
      <c r="D123">
        <f>D112*pricing!D36*2000</f>
        <v>4683334.4509290941</v>
      </c>
      <c r="E123">
        <f>E112*pricing!E36*2000</f>
        <v>2981337.6403486305</v>
      </c>
      <c r="F123">
        <f>F112*pricing!F36*2000</f>
        <v>3743999.470540138</v>
      </c>
      <c r="G123">
        <f>G112*pricing!G36*2000</f>
        <v>3048788.2981352583</v>
      </c>
      <c r="H123">
        <f>H112*pricing!H36*2000</f>
        <v>2891239.1575575182</v>
      </c>
      <c r="I123">
        <f>I112*pricing!I36*2000</f>
        <v>3178777.8042211412</v>
      </c>
      <c r="J123">
        <f>J112*pricing!J36*2000</f>
        <v>2989251.0908057764</v>
      </c>
      <c r="K123">
        <f>K112*pricing!K36*2000</f>
        <v>2798567.1571813733</v>
      </c>
      <c r="L123">
        <f>L112*pricing!L36*2000</f>
        <v>2980995.677856518</v>
      </c>
      <c r="M123">
        <f>M112*pricing!M36*2000</f>
        <v>2578497.1880848003</v>
      </c>
      <c r="N123">
        <f>N112*pricing!N36*2000</f>
        <v>2581657.5800833749</v>
      </c>
      <c r="O123">
        <f>O112*pricing!O36*2000</f>
        <v>2968191.6880515716</v>
      </c>
    </row>
    <row r="124" spans="2:15" x14ac:dyDescent="0.2">
      <c r="C124" s="119" t="s">
        <v>130</v>
      </c>
      <c r="D124">
        <f>D113*pricing!D37*2000</f>
        <v>4630041.4572135108</v>
      </c>
      <c r="E124">
        <f>E113*pricing!E37*2000</f>
        <v>4878833.2674624985</v>
      </c>
      <c r="F124">
        <f>F113*pricing!F37*2000</f>
        <v>4961161.3416749984</v>
      </c>
      <c r="G124">
        <f>G113*pricing!G37*2000</f>
        <v>4306116.2294624988</v>
      </c>
      <c r="H124">
        <f>H113*pricing!H37*2000</f>
        <v>4767869.3413499994</v>
      </c>
      <c r="I124">
        <f>I113*pricing!I37*2000</f>
        <v>4263162.4516124995</v>
      </c>
      <c r="J124">
        <f>J113*pricing!J37*2000</f>
        <v>5014853.5639874991</v>
      </c>
      <c r="K124">
        <f>K113*pricing!K37*2000</f>
        <v>3740558.1544374996</v>
      </c>
      <c r="L124">
        <f>L113*pricing!L37*2000</f>
        <v>3955327.0436874996</v>
      </c>
      <c r="M124">
        <f>M113*pricing!M37*2000</f>
        <v>4474351.859375</v>
      </c>
      <c r="N124">
        <f>N113*pricing!N37*2000</f>
        <v>4481510.8223499991</v>
      </c>
      <c r="O124">
        <f>O113*pricing!O37*2000</f>
        <v>5490924.6018249989</v>
      </c>
    </row>
    <row r="125" spans="2:15" x14ac:dyDescent="0.2">
      <c r="C125" s="119" t="s">
        <v>131</v>
      </c>
      <c r="D125">
        <f>D114*pricing!D38*2000</f>
        <v>1864686.3814031526</v>
      </c>
      <c r="E125">
        <f>E114*pricing!E38*2000</f>
        <v>2051095.9161125002</v>
      </c>
      <c r="F125">
        <f>F114*pricing!F38*2000</f>
        <v>1594863.5545437501</v>
      </c>
      <c r="G125">
        <f>G114*pricing!G38*2000</f>
        <v>2035498.2285374999</v>
      </c>
      <c r="H125">
        <f>H114*pricing!H38*2000</f>
        <v>1856124.821425</v>
      </c>
      <c r="I125">
        <f>I114*pricing!I38*2000</f>
        <v>2312357.1829937501</v>
      </c>
      <c r="J125">
        <f>J114*pricing!J38*2000</f>
        <v>2039397.65043125</v>
      </c>
      <c r="K125">
        <f>K114*pricing!K38*2000</f>
        <v>2043297.0723250001</v>
      </c>
      <c r="L125">
        <f>L114*pricing!L38*2000</f>
        <v>1793734.071125</v>
      </c>
      <c r="M125">
        <f>M114*pricing!M38*2000</f>
        <v>2054995.3380062503</v>
      </c>
      <c r="N125">
        <f>N114*pricing!N38*2000</f>
        <v>1926314.4155125001</v>
      </c>
      <c r="O125">
        <f>O114*pricing!O38*2000</f>
        <v>2199273.9480750002</v>
      </c>
    </row>
    <row r="126" spans="2:15" x14ac:dyDescent="0.2">
      <c r="C126" s="119" t="s">
        <v>132</v>
      </c>
      <c r="D126">
        <f>D115*pricing!D39*2000</f>
        <v>2950928.1120878314</v>
      </c>
      <c r="E126">
        <f>E115*pricing!E39*2000</f>
        <v>3029082.8840727746</v>
      </c>
      <c r="F126">
        <f>F115*pricing!F39*2000</f>
        <v>2703118.5842119246</v>
      </c>
      <c r="G126">
        <f>G115*pricing!G39*2000</f>
        <v>3176164.3364490112</v>
      </c>
      <c r="H126">
        <f>H115*pricing!H39*2000</f>
        <v>3144362.9413406355</v>
      </c>
      <c r="I126">
        <f>I115*pricing!I39*2000</f>
        <v>2730944.8049317533</v>
      </c>
      <c r="J126">
        <f>J115*pricing!J39*2000</f>
        <v>2965480.0938560232</v>
      </c>
      <c r="K126">
        <f>K115*pricing!K39*2000</f>
        <v>3673061.1350173801</v>
      </c>
      <c r="L126">
        <f>L115*pricing!L39*2000</f>
        <v>3561756.2521380656</v>
      </c>
      <c r="M126">
        <f>M115*pricing!M39*2000</f>
        <v>2901877.3036392722</v>
      </c>
      <c r="N126">
        <f>N115*pricing!N39*2000</f>
        <v>3601507.9960235348</v>
      </c>
      <c r="O126">
        <f>O115*pricing!O39*2000</f>
        <v>2870075.9085308965</v>
      </c>
    </row>
    <row r="127" spans="2:15" x14ac:dyDescent="0.2">
      <c r="C127" s="119" t="s">
        <v>278</v>
      </c>
      <c r="D127">
        <f>SUM(D$120:D$126)</f>
        <v>25469625.959335327</v>
      </c>
      <c r="E127">
        <f t="shared" ref="E127:O127" si="1">SUM(E$120:E$126)</f>
        <v>19888041.630393039</v>
      </c>
      <c r="F127">
        <f t="shared" si="1"/>
        <v>19419815.011514787</v>
      </c>
      <c r="G127">
        <f t="shared" si="1"/>
        <v>19465405.753049456</v>
      </c>
      <c r="H127">
        <f t="shared" si="1"/>
        <v>19657642.335557967</v>
      </c>
      <c r="I127">
        <f t="shared" si="1"/>
        <v>19332304.648926973</v>
      </c>
      <c r="J127">
        <f t="shared" si="1"/>
        <v>19983345.017730355</v>
      </c>
      <c r="K127">
        <f t="shared" si="1"/>
        <v>19358862.883165721</v>
      </c>
      <c r="L127">
        <f t="shared" si="1"/>
        <v>19313246.258451112</v>
      </c>
      <c r="M127">
        <f t="shared" si="1"/>
        <v>19243250.485093527</v>
      </c>
      <c r="N127">
        <f t="shared" si="1"/>
        <v>19840453.248851791</v>
      </c>
      <c r="O127">
        <f t="shared" si="1"/>
        <v>20549632.058080114</v>
      </c>
    </row>
    <row r="129" spans="2:15" x14ac:dyDescent="0.2">
      <c r="B129" s="121" t="s">
        <v>280</v>
      </c>
    </row>
    <row r="130" spans="2:15" x14ac:dyDescent="0.2">
      <c r="C130" s="123" t="s">
        <v>277</v>
      </c>
      <c r="D130" s="123" t="s">
        <v>92</v>
      </c>
      <c r="E130" s="123" t="s">
        <v>93</v>
      </c>
      <c r="F130" s="123" t="s">
        <v>94</v>
      </c>
      <c r="G130" s="123" t="s">
        <v>95</v>
      </c>
      <c r="H130" s="123" t="s">
        <v>96</v>
      </c>
      <c r="I130" s="123" t="s">
        <v>97</v>
      </c>
      <c r="J130" s="123" t="s">
        <v>98</v>
      </c>
      <c r="K130" s="123" t="s">
        <v>99</v>
      </c>
      <c r="L130" s="123" t="s">
        <v>100</v>
      </c>
      <c r="M130" s="123" t="s">
        <v>101</v>
      </c>
      <c r="N130" s="123" t="s">
        <v>102</v>
      </c>
      <c r="O130" s="123" t="s">
        <v>103</v>
      </c>
    </row>
    <row r="131" spans="2:15" x14ac:dyDescent="0.2">
      <c r="C131" s="123" t="s">
        <v>126</v>
      </c>
      <c r="D131" s="124">
        <f>SUM(E$6:E$19)+SUM(G$6:G$19)+SUM(I$6:I$19)+SUM(K$6:K$19)</f>
        <v>460626.30263329792</v>
      </c>
      <c r="E131" s="124">
        <f>SUM(M$6:M$19)+SUM(O$6:O$19)+SUM(Q$6:Q$19)+SUM(S$6:S$19)</f>
        <v>301522.57647954911</v>
      </c>
      <c r="F131" s="124">
        <f>SUM(U$6:U$19)+SUM(W$6:W$19)+SUM(Y$6:Y$19)+SUM(AA$6:AA$19)</f>
        <v>284539.60595124174</v>
      </c>
      <c r="G131" s="124">
        <f>SUM(AC$6:AC$19)+SUM(AE$6:AE$19)+SUM(AG$6:AG$19)+SUM(AI$6:AI$19)</f>
        <v>272514.95177260664</v>
      </c>
      <c r="H131" s="124">
        <f>SUM(AK$6:AK$19)+SUM(AM$6:AM$19)+SUM(AO$6:AO$19)+SUM(AQ$6:AQ$19)</f>
        <v>364004.21253702336</v>
      </c>
      <c r="I131" s="124">
        <f>SUM(AS$6:AS$19)+SUM(AU$6:AU$19)+SUM(AW$6:AW$19)+SUM(AY$6:AY$19)</f>
        <v>369738.93954119203</v>
      </c>
      <c r="J131" s="124">
        <f>SUM(BA$6:BA$19)+SUM(BC$6:BC$19)+SUM(BE$6:BE$19)+SUM(BG$6:BG$19)</f>
        <v>277449.74519612576</v>
      </c>
      <c r="K131" s="124">
        <f>SUM(BI$6:BI$19)+SUM(BK$6:BK$19)+SUM(BM$6:BM$19)+SUM(BO$6:BO$19)</f>
        <v>343962.83404575096</v>
      </c>
      <c r="L131" s="124">
        <f>SUM(BQ$6:BQ$19)+SUM(BS$6:BS$19)+SUM(BU$6:BU$19)+SUM(BW$6:BW$19)</f>
        <v>317756.81465211092</v>
      </c>
      <c r="M131" s="124">
        <f>SUM(BY$6:BY$19)+SUM(CA$6:CA$19)+SUM(CC$6:CC$19)+SUM(CE$6:CE$19)</f>
        <v>354332.14317969704</v>
      </c>
      <c r="N131" s="124">
        <f>SUM(CG$6:CG$19)+SUM(CI$6:CI$19)+SUM(CK$6:CK$19)+SUM(CM$6:CM$19)</f>
        <v>331689.14913476584</v>
      </c>
      <c r="O131" s="124">
        <f>SUM(CO$6:CO$19)+SUM(CQ$6:CQ$19)+SUM(CS$6:CS$19)+SUM(CU$6:CU$19)</f>
        <v>326795.633997973</v>
      </c>
    </row>
    <row r="132" spans="2:15" x14ac:dyDescent="0.2">
      <c r="C132" s="123" t="s">
        <v>127</v>
      </c>
      <c r="D132" s="124">
        <f>SUM(E$20:E$36)+SUM(G$20:G$36)+SUM(I$20:I$36)+SUM(K$20:K$36)</f>
        <v>406484.4743099403</v>
      </c>
      <c r="E132" s="124">
        <f>SUM(M$20:M$36)+SUM(O$20:O$36)+SUM(Q$20:Q$36)+SUM(S$20:S$36)</f>
        <v>213579.13543406501</v>
      </c>
      <c r="F132" s="124">
        <f>SUM(U$20:U$36)+SUM(W$20:W$36)+SUM(Y$20:Y$36)+SUM(AA$20:AA$36)</f>
        <v>207876.40427096901</v>
      </c>
      <c r="G132" s="124">
        <f>SUM(AC$20:AC$36)+SUM(AE$20:AE$36)+SUM(AG$20:AG$36)+SUM(AI$20:AI$36)</f>
        <v>239516.17710059677</v>
      </c>
      <c r="H132" s="124">
        <f>SUM(AK$20:AK$36)+SUM(AM$20:AM$36)+SUM(AO$20:AO$36)+SUM(AQ$20:AQ$36)</f>
        <v>214478.7981574412</v>
      </c>
      <c r="I132" s="124">
        <f>SUM(AS$20:AS$36)+SUM(AU$20:AU$36)+SUM(AW$20:AW$36)+SUM(AY$20:AY$36)</f>
        <v>219547.68814729596</v>
      </c>
      <c r="J132" s="124">
        <f>SUM(BA$20:BA$36)+SUM(BC$20:BC$36)+SUM(BE$20:BE$36)+SUM(BG$20:BG$36)</f>
        <v>250217.1625437552</v>
      </c>
      <c r="K132" s="124">
        <f>SUM(BI$20:BI$36)+SUM(BK$20:BK$36)+SUM(BM$20:BM$36)+SUM(BO$20:BO$36)</f>
        <v>243815.30090533468</v>
      </c>
      <c r="L132" s="124">
        <f>SUM(BQ$20:BQ$36)+SUM(BS$20:BS$36)+SUM(BU$20:BU$36)+SUM(BW$20:BW$36)</f>
        <v>238010.22958200099</v>
      </c>
      <c r="M132" s="124">
        <f>SUM(BY$20:BY$36)+SUM(CA$20:CA$36)+SUM(CC$20:CC$36)+SUM(CE$20:CE$36)</f>
        <v>213826.84242278436</v>
      </c>
      <c r="N132" s="124">
        <f>SUM(CG$20:CG$36)+SUM(CI$20:CI$36)+SUM(CK$20:CK$36)+SUM(CM$20:CM$36)</f>
        <v>229898.10719311587</v>
      </c>
      <c r="O132" s="124">
        <f>SUM(CO$20:CO$36)+SUM(CQ$20:CQ$36)+SUM(CS$20:CS$36)+SUM(CU$20:CU$36)</f>
        <v>218962.63415154384</v>
      </c>
    </row>
    <row r="133" spans="2:15" x14ac:dyDescent="0.2">
      <c r="C133" s="123" t="s">
        <v>128</v>
      </c>
      <c r="D133" s="124">
        <f>SUM(E$37:E$48)+SUM(G$37:G$48)+SUM(I$37:I$48)+SUM(K$37:K$48)</f>
        <v>1202493.3684750481</v>
      </c>
      <c r="E133" s="124">
        <f>SUM(M$37:M$48)+SUM(O$37:O$48)+SUM(Q$37:Q$48)+SUM(S$37:S$48)</f>
        <v>790455.21397260774</v>
      </c>
      <c r="F133" s="124">
        <f>SUM(U$37:U$48)+SUM(W$37:W$48)+SUM(Y$37:Y$48)+SUM(AA$37:AA$48)</f>
        <v>684494.15594071301</v>
      </c>
      <c r="G133" s="124">
        <f>SUM(AC$37:AC$48)+SUM(AE$37:AE$48)+SUM(AG$37:AG$48)+SUM(AI$37:AI$48)</f>
        <v>771566.78798917402</v>
      </c>
      <c r="H133" s="124">
        <f>SUM(AK$37:AK$48)+SUM(AM$37:AM$48)+SUM(AO$37:AO$48)+SUM(AQ$37:AQ$48)</f>
        <v>672245.25077937951</v>
      </c>
      <c r="I133" s="124">
        <f>SUM(AS$37:AS$48)+SUM(AU$37:AU$48)+SUM(AW$37:AW$48)+SUM(AY$37:AY$48)</f>
        <v>604905.97864370234</v>
      </c>
      <c r="J133" s="124">
        <f>SUM(BA$37:BA$48)+SUM(BC$37:BC$48)+SUM(BE$37:BE$48)+SUM(BG$37:BG$48)</f>
        <v>749102.23564908118</v>
      </c>
      <c r="K133" s="124">
        <f>SUM(BI$37:BI$48)+SUM(BK$37:BK$48)+SUM(BM$37:BM$48)+SUM(BO$37:BO$48)</f>
        <v>666702.42765360803</v>
      </c>
      <c r="L133" s="124">
        <f>SUM(BQ$37:BQ$48)+SUM(BS$37:BS$48)+SUM(BU$37:BU$48)+SUM(BW$37:BW$48)</f>
        <v>710697.71494660177</v>
      </c>
      <c r="M133" s="124">
        <f>SUM(BY$37:BY$48)+SUM(CA$37:CA$48)+SUM(CC$37:CC$48)+SUM(CE$37:CE$48)</f>
        <v>758123.94350659091</v>
      </c>
      <c r="N133" s="124">
        <f>SUM(CG$37:CG$48)+SUM(CI$37:CI$48)+SUM(CK$37:CK$48)+SUM(CM$37:CM$48)</f>
        <v>772115.4464330019</v>
      </c>
      <c r="O133" s="124">
        <f>SUM(CO$37:CO$48)+SUM(CQ$37:CQ$48)+SUM(CS$37:CS$48)+SUM(CU$37:CU$48)</f>
        <v>738035.91553457372</v>
      </c>
    </row>
    <row r="134" spans="2:15" x14ac:dyDescent="0.2">
      <c r="C134" s="123" t="s">
        <v>129</v>
      </c>
      <c r="D134" s="124">
        <f>SUM(E$49:E$70)+SUM(G$49:G$70)+SUM(I$49:I$70)+SUM(K$49:K$70)</f>
        <v>928929.91055466456</v>
      </c>
      <c r="E134" s="124">
        <f>SUM(M$49:M$70)+SUM(O$49:O$70)+SUM(Q$49:Q$70)+SUM(S$49:S$70)</f>
        <v>605260.24890914175</v>
      </c>
      <c r="F134" s="124">
        <f>SUM(U$49:U$70)+SUM(W$49:W$70)+SUM(Y$49:Y$70)+SUM(AA$49:AA$70)</f>
        <v>761019.60733833443</v>
      </c>
      <c r="G134" s="124">
        <f>SUM(AC$49:AC$70)+SUM(AE$49:AE$70)+SUM(AG$49:AG$70)+SUM(AI$49:AI$70)</f>
        <v>622418.98133907642</v>
      </c>
      <c r="H134" s="124">
        <f>SUM(AK$49:AK$70)+SUM(AM$49:AM$70)+SUM(AO$49:AO$70)+SUM(AQ$49:AQ$70)</f>
        <v>590841.44744978705</v>
      </c>
      <c r="I134" s="124">
        <f>SUM(AS$49:AS$70)+SUM(AU$49:AU$70)+SUM(AW$49:AW$70)+SUM(AY$49:AY$70)</f>
        <v>651882.07622878021</v>
      </c>
      <c r="J134" s="124">
        <f>SUM(BA$49:BA$70)+SUM(BC$49:BC$70)+SUM(BE$49:BE$70)+SUM(BG$49:BG$70)</f>
        <v>611446.95989082567</v>
      </c>
      <c r="K134" s="124">
        <f>SUM(BI$49:BI$70)+SUM(BK$49:BK$70)+SUM(BM$49:BM$70)+SUM(BO$49:BO$70)</f>
        <v>572610.71375633113</v>
      </c>
      <c r="L134" s="124">
        <f>SUM(BQ$49:BQ$70)+SUM(BS$49:BS$70)+SUM(BU$49:BU$70)+SUM(BW$49:BW$70)</f>
        <v>613882.58967972989</v>
      </c>
      <c r="M134" s="124">
        <f>SUM(BY$49:BY$70)+SUM(CA$49:CA$70)+SUM(CC$49:CC$70)+SUM(CE$49:CE$70)</f>
        <v>527145.58868672443</v>
      </c>
      <c r="N134" s="124">
        <f>SUM(CG$49:CG$70)+SUM(CI$49:CI$70)+SUM(CK$49:CK$70)+SUM(CM$49:CM$70)</f>
        <v>531100.29796306312</v>
      </c>
      <c r="O134" s="124">
        <f>SUM(CO$49:CO$70)+SUM(CQ$49:CQ$70)+SUM(CS$49:CS$70)+SUM(CU$49:CU$70)</f>
        <v>611702.10568986111</v>
      </c>
    </row>
    <row r="135" spans="2:15" x14ac:dyDescent="0.2">
      <c r="C135" s="123" t="s">
        <v>130</v>
      </c>
      <c r="D135" s="124">
        <f>SUM(E$71:E$86)+SUM(G$71:G$86)+SUM(I$71:I$86)+SUM(K$71:K$86)</f>
        <v>720574.79859212576</v>
      </c>
      <c r="E135" s="124">
        <f>SUM(M$71:M$86)+SUM(O$71:O$86)+SUM(Q$71:Q$86)+SUM(S$71:S$86)</f>
        <v>755138.39999999991</v>
      </c>
      <c r="F135" s="124">
        <f>SUM(U$71:U$86)+SUM(W$71:W$86)+SUM(Y$71:Y$86)+SUM(AA$71:AA$86)</f>
        <v>775182</v>
      </c>
      <c r="G135" s="124">
        <f>SUM(AC$71:AC$86)+SUM(AE$71:AE$86)+SUM(AG$71:AG$86)+SUM(AI$71:AI$86)</f>
        <v>669582</v>
      </c>
      <c r="H135" s="124">
        <f>SUM(AK$71:AK$86)+SUM(AM$71:AM$86)+SUM(AO$71:AO$86)+SUM(AQ$71:AQ$86)</f>
        <v>739525.2</v>
      </c>
      <c r="I135" s="124">
        <f>SUM(AS$71:AS$86)+SUM(AU$71:AU$86)+SUM(AW$71:AW$86)+SUM(AY$71:AY$86)</f>
        <v>662620.79999999993</v>
      </c>
      <c r="J135" s="124">
        <f>SUM(BA$71:BA$86)+SUM(BC$71:BC$86)+SUM(BE$71:BE$86)+SUM(BG$71:BG$86)</f>
        <v>779484</v>
      </c>
      <c r="K135" s="124">
        <f>SUM(BI$71:BI$86)+SUM(BK$71:BK$86)+SUM(BM$71:BM$86)+SUM(BO$71:BO$86)</f>
        <v>579909.6</v>
      </c>
      <c r="L135" s="124">
        <f>SUM(BQ$71:BQ$86)+SUM(BS$71:BS$86)+SUM(BU$71:BU$86)+SUM(BW$71:BW$86)</f>
        <v>612460.79999999993</v>
      </c>
      <c r="M135" s="124">
        <f>SUM(BY$71:BY$86)+SUM(CA$71:CA$86)+SUM(CC$71:CC$86)+SUM(CE$71:CE$86)</f>
        <v>693946.79999999993</v>
      </c>
      <c r="N135" s="124">
        <f>SUM(CG$71:CG$86)+SUM(CI$71:CI$86)+SUM(CK$71:CK$86)+SUM(CM$71:CM$86)</f>
        <v>695547.59999999986</v>
      </c>
      <c r="O135" s="124">
        <f>SUM(CO$71:CO$86)+SUM(CQ$71:CQ$86)+SUM(CS$71:CS$86)+SUM(CU$71:CU$86)</f>
        <v>854641.20000000007</v>
      </c>
    </row>
    <row r="136" spans="2:15" x14ac:dyDescent="0.2">
      <c r="C136" s="123" t="s">
        <v>131</v>
      </c>
      <c r="D136" s="124">
        <f>SUM(E$87:E$94)+SUM(G$87:G$94)+SUM(I$87:I$94)+SUM(K$87:K$94)</f>
        <v>968520.06623854418</v>
      </c>
      <c r="E136" s="124">
        <f>SUM(M$87:M$94)+SUM(O$87:O$94)+SUM(Q$87:Q$94)+SUM(S$87:S$94)</f>
        <v>1069426.7999999998</v>
      </c>
      <c r="F136" s="124">
        <f>SUM(U$87:U$94)+SUM(W$87:W$94)+SUM(Y$87:Y$94)+SUM(AA$87:AA$94)</f>
        <v>827914.8</v>
      </c>
      <c r="G136" s="124">
        <f>SUM(AC$87:AC$94)+SUM(AE$87:AE$94)+SUM(AG$87:AG$94)+SUM(AI$87:AI$94)</f>
        <v>1060638</v>
      </c>
      <c r="H136" s="124">
        <f>SUM(AK$87:AK$94)+SUM(AM$87:AM$94)+SUM(AO$87:AO$94)+SUM(AQ$87:AQ$94)</f>
        <v>965401.19999999984</v>
      </c>
      <c r="I136" s="124">
        <f>SUM(AS$87:AS$94)+SUM(AU$87:AU$94)+SUM(AW$87:AW$94)+SUM(AY$87:AY$94)</f>
        <v>1205449.2</v>
      </c>
      <c r="J136" s="124">
        <f>SUM(BA$87:BA$94)+SUM(BC$87:BC$94)+SUM(BE$87:BE$94)+SUM(BG$87:BG$94)</f>
        <v>1062524.3999999999</v>
      </c>
      <c r="K136" s="124">
        <f>SUM(BI$87:BI$94)+SUM(BK$87:BK$94)+SUM(BM$87:BM$94)+SUM(BO$87:BO$94)</f>
        <v>1063834.8</v>
      </c>
      <c r="L136" s="124">
        <f>SUM(BQ$87:BQ$94)+SUM(BS$87:BS$94)+SUM(BU$87:BU$94)+SUM(BW$87:BW$94)</f>
        <v>936097.2</v>
      </c>
      <c r="M136" s="124">
        <f>SUM(BY$87:BY$94)+SUM(CA$87:CA$94)+SUM(CC$87:CC$94)+SUM(CE$87:CE$94)</f>
        <v>1069603.2</v>
      </c>
      <c r="N136" s="124">
        <f>SUM(CG$87:CG$94)+SUM(CI$87:CI$94)+SUM(CK$87:CK$94)+SUM(CM$87:CM$94)</f>
        <v>1006239.5999999999</v>
      </c>
      <c r="O136" s="124">
        <f>SUM(CO$87:CO$94)+SUM(CQ$87:CQ$94)+SUM(CS$87:CS$94)+SUM(CU$87:CU$94)</f>
        <v>1144317.5999999999</v>
      </c>
    </row>
    <row r="137" spans="2:15" x14ac:dyDescent="0.2">
      <c r="C137" s="123" t="s">
        <v>132</v>
      </c>
      <c r="D137" s="124">
        <f>SUM(E$95:E$105)+SUM(G$95:G$105)+SUM(I$95:I$105)+SUM(K$95:K$105)</f>
        <v>1388604.8571770659</v>
      </c>
      <c r="E137" s="124">
        <f>SUM(M$95:M$105)+SUM(O$95:O$105)+SUM(Q$95:Q$105)+SUM(S$95:S$105)</f>
        <v>1424094</v>
      </c>
      <c r="F137" s="124">
        <f>SUM(U$95:U$105)+SUM(W$95:W$105)+SUM(Y$95:Y$105)+SUM(AA$95:AA$105)</f>
        <v>1272253.2</v>
      </c>
      <c r="G137" s="124">
        <f>SUM(AC$95:AC$105)+SUM(AE$95:AE$105)+SUM(AG$95:AG$105)+SUM(AI$95:AI$105)</f>
        <v>1503492</v>
      </c>
      <c r="H137" s="124">
        <f>SUM(AK$95:AK$105)+SUM(AM$95:AM$105)+SUM(AO$95:AO$105)+SUM(AQ$95:AQ$105)</f>
        <v>1489675.1999999997</v>
      </c>
      <c r="I137" s="124">
        <f>SUM(AS$95:AS$105)+SUM(AU$95:AU$105)+SUM(AW$95:AW$105)+SUM(AY$95:AY$105)</f>
        <v>1285732.7999999998</v>
      </c>
      <c r="J137" s="124">
        <f>SUM(BA$95:BA$105)+SUM(BC$95:BC$105)+SUM(BE$95:BE$105)+SUM(BG$95:BG$105)</f>
        <v>1393434</v>
      </c>
      <c r="K137" s="124">
        <f>SUM(BI$95:BI$105)+SUM(BK$95:BK$105)+SUM(BM$95:BM$105)+SUM(BO$95:BO$105)</f>
        <v>1739924.4</v>
      </c>
      <c r="L137" s="124">
        <f>SUM(BQ$95:BQ$105)+SUM(BS$95:BS$105)+SUM(BU$95:BU$105)+SUM(BW$95:BW$105)</f>
        <v>1679013.5999999999</v>
      </c>
      <c r="M137" s="124">
        <f>SUM(BY$95:BY$105)+SUM(CA$95:CA$105)+SUM(CC$95:CC$105)+SUM(CE$95:CE$105)</f>
        <v>1374634.7999999998</v>
      </c>
      <c r="N137" s="124">
        <f>SUM(CG$95:CG$105)+SUM(CI$95:CI$105)+SUM(CK$95:CK$105)+SUM(CM$95:CM$105)</f>
        <v>1696142.4</v>
      </c>
      <c r="O137" s="124">
        <f>SUM(CO$95:CO$105)+SUM(CQ$95:CQ$105)+SUM(CS$95:CS$105)+SUM(CU$95:CU$105)</f>
        <v>1353481.1999999997</v>
      </c>
    </row>
    <row r="138" spans="2:15" x14ac:dyDescent="0.2">
      <c r="C138" s="123" t="s">
        <v>278</v>
      </c>
      <c r="D138">
        <f t="shared" ref="D138:O138" si="2">SUM(D$131:D$137)</f>
        <v>6076233.7779806862</v>
      </c>
      <c r="E138">
        <f t="shared" si="2"/>
        <v>5159476.3747953633</v>
      </c>
      <c r="F138">
        <f t="shared" si="2"/>
        <v>4813279.7735012583</v>
      </c>
      <c r="G138">
        <f t="shared" si="2"/>
        <v>5139728.8982014544</v>
      </c>
      <c r="H138">
        <f t="shared" si="2"/>
        <v>5036171.30892363</v>
      </c>
      <c r="I138">
        <f t="shared" si="2"/>
        <v>4999877.4825609699</v>
      </c>
      <c r="J138">
        <f t="shared" si="2"/>
        <v>5123658.5032797884</v>
      </c>
      <c r="K138">
        <f t="shared" si="2"/>
        <v>5210760.0763610248</v>
      </c>
      <c r="L138">
        <f t="shared" si="2"/>
        <v>5107918.9488604432</v>
      </c>
      <c r="M138">
        <f t="shared" si="2"/>
        <v>4991613.3177957963</v>
      </c>
      <c r="N138">
        <f t="shared" si="2"/>
        <v>5262732.6007239465</v>
      </c>
      <c r="O138">
        <f t="shared" si="2"/>
        <v>5247936.289373951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3" max="3" width="14.5703125" bestFit="1" customWidth="1"/>
    <col min="4" max="4" width="16.85546875" bestFit="1" customWidth="1"/>
    <col min="5" max="5" width="22.85546875" bestFit="1" customWidth="1"/>
  </cols>
  <sheetData>
    <row r="1" spans="1:5" x14ac:dyDescent="0.2">
      <c r="A1" s="119" t="s">
        <v>167</v>
      </c>
      <c r="B1" s="119" t="s">
        <v>168</v>
      </c>
      <c r="C1" s="119" t="s">
        <v>169</v>
      </c>
      <c r="D1" s="119" t="s">
        <v>170</v>
      </c>
      <c r="E1" s="119" t="s">
        <v>171</v>
      </c>
    </row>
    <row r="2" spans="1:5" x14ac:dyDescent="0.2">
      <c r="A2" s="119" t="s">
        <v>126</v>
      </c>
      <c r="B2" s="119" t="s">
        <v>172</v>
      </c>
      <c r="C2" t="s">
        <v>59</v>
      </c>
      <c r="D2">
        <v>482</v>
      </c>
      <c r="E2">
        <v>578.4</v>
      </c>
    </row>
    <row r="3" spans="1:5" x14ac:dyDescent="0.2">
      <c r="B3" s="119" t="s">
        <v>173</v>
      </c>
      <c r="C3" t="s">
        <v>59</v>
      </c>
      <c r="D3">
        <v>657</v>
      </c>
      <c r="E3">
        <v>788.4</v>
      </c>
    </row>
    <row r="4" spans="1:5" x14ac:dyDescent="0.2">
      <c r="B4" s="119" t="s">
        <v>174</v>
      </c>
      <c r="C4" t="s">
        <v>59</v>
      </c>
      <c r="D4">
        <v>258</v>
      </c>
      <c r="E4">
        <v>309.59999999999997</v>
      </c>
    </row>
    <row r="5" spans="1:5" x14ac:dyDescent="0.2">
      <c r="B5" s="119" t="s">
        <v>175</v>
      </c>
      <c r="C5" t="s">
        <v>59</v>
      </c>
      <c r="D5">
        <v>585</v>
      </c>
      <c r="E5">
        <v>702</v>
      </c>
    </row>
    <row r="6" spans="1:5" x14ac:dyDescent="0.2">
      <c r="B6" s="119" t="s">
        <v>176</v>
      </c>
      <c r="C6" t="s">
        <v>59</v>
      </c>
      <c r="D6">
        <v>454</v>
      </c>
      <c r="E6">
        <v>544.79999999999995</v>
      </c>
    </row>
    <row r="7" spans="1:5" x14ac:dyDescent="0.2">
      <c r="B7" s="119" t="s">
        <v>177</v>
      </c>
      <c r="C7" t="s">
        <v>59</v>
      </c>
      <c r="D7">
        <v>444</v>
      </c>
      <c r="E7">
        <v>532.79999999999995</v>
      </c>
    </row>
    <row r="8" spans="1:5" x14ac:dyDescent="0.2">
      <c r="B8" s="119" t="s">
        <v>178</v>
      </c>
      <c r="C8" t="s">
        <v>59</v>
      </c>
      <c r="D8">
        <v>469</v>
      </c>
      <c r="E8">
        <v>562.79999999999995</v>
      </c>
    </row>
    <row r="9" spans="1:5" x14ac:dyDescent="0.2">
      <c r="B9" s="119" t="s">
        <v>179</v>
      </c>
      <c r="C9" t="s">
        <v>59</v>
      </c>
      <c r="D9">
        <v>71</v>
      </c>
      <c r="E9">
        <v>85.2</v>
      </c>
    </row>
    <row r="10" spans="1:5" x14ac:dyDescent="0.2">
      <c r="B10" s="119" t="s">
        <v>180</v>
      </c>
      <c r="C10" t="s">
        <v>59</v>
      </c>
      <c r="D10">
        <v>407</v>
      </c>
      <c r="E10">
        <v>488.4</v>
      </c>
    </row>
    <row r="11" spans="1:5" x14ac:dyDescent="0.2">
      <c r="B11" s="119" t="s">
        <v>181</v>
      </c>
      <c r="C11" t="s">
        <v>59</v>
      </c>
      <c r="D11">
        <v>636</v>
      </c>
      <c r="E11">
        <v>763.19999999999993</v>
      </c>
    </row>
    <row r="12" spans="1:5" x14ac:dyDescent="0.2">
      <c r="B12" s="119" t="s">
        <v>182</v>
      </c>
      <c r="C12" t="s">
        <v>59</v>
      </c>
      <c r="D12">
        <v>284</v>
      </c>
      <c r="E12">
        <v>340.8</v>
      </c>
    </row>
    <row r="13" spans="1:5" x14ac:dyDescent="0.2">
      <c r="B13" s="119" t="s">
        <v>183</v>
      </c>
      <c r="C13" t="s">
        <v>59</v>
      </c>
      <c r="D13">
        <v>352</v>
      </c>
      <c r="E13">
        <v>422.4</v>
      </c>
    </row>
    <row r="14" spans="1:5" x14ac:dyDescent="0.2">
      <c r="B14" s="119" t="s">
        <v>184</v>
      </c>
      <c r="C14" t="s">
        <v>59</v>
      </c>
      <c r="D14">
        <v>544</v>
      </c>
      <c r="E14">
        <v>652.79999999999995</v>
      </c>
    </row>
    <row r="15" spans="1:5" x14ac:dyDescent="0.2">
      <c r="B15" s="119" t="s">
        <v>185</v>
      </c>
      <c r="C15" t="s">
        <v>59</v>
      </c>
      <c r="D15">
        <v>275</v>
      </c>
      <c r="E15">
        <v>330</v>
      </c>
    </row>
    <row r="16" spans="1:5" x14ac:dyDescent="0.2">
      <c r="A16" s="119" t="s">
        <v>127</v>
      </c>
      <c r="B16" s="119" t="s">
        <v>186</v>
      </c>
      <c r="C16" t="s">
        <v>59</v>
      </c>
      <c r="D16">
        <v>239</v>
      </c>
      <c r="E16">
        <v>286.8</v>
      </c>
    </row>
    <row r="17" spans="2:5" x14ac:dyDescent="0.2">
      <c r="B17" s="119" t="s">
        <v>187</v>
      </c>
      <c r="C17" t="s">
        <v>59</v>
      </c>
      <c r="D17">
        <v>52</v>
      </c>
      <c r="E17">
        <v>62.4</v>
      </c>
    </row>
    <row r="18" spans="2:5" x14ac:dyDescent="0.2">
      <c r="B18" s="119" t="s">
        <v>188</v>
      </c>
      <c r="C18" t="s">
        <v>59</v>
      </c>
      <c r="D18">
        <v>156</v>
      </c>
      <c r="E18">
        <v>187.2</v>
      </c>
    </row>
    <row r="19" spans="2:5" x14ac:dyDescent="0.2">
      <c r="B19" s="119" t="s">
        <v>189</v>
      </c>
      <c r="C19" t="s">
        <v>59</v>
      </c>
      <c r="D19">
        <v>245</v>
      </c>
      <c r="E19">
        <v>294</v>
      </c>
    </row>
    <row r="20" spans="2:5" x14ac:dyDescent="0.2">
      <c r="B20" s="119" t="s">
        <v>190</v>
      </c>
      <c r="C20" t="s">
        <v>59</v>
      </c>
      <c r="D20">
        <v>306</v>
      </c>
      <c r="E20">
        <v>367.2</v>
      </c>
    </row>
    <row r="21" spans="2:5" x14ac:dyDescent="0.2">
      <c r="B21" s="119" t="s">
        <v>191</v>
      </c>
      <c r="C21" t="s">
        <v>59</v>
      </c>
      <c r="D21">
        <v>442</v>
      </c>
      <c r="E21">
        <v>530.4</v>
      </c>
    </row>
    <row r="22" spans="2:5" x14ac:dyDescent="0.2">
      <c r="B22" s="119" t="s">
        <v>192</v>
      </c>
      <c r="C22" t="s">
        <v>59</v>
      </c>
      <c r="D22">
        <v>405</v>
      </c>
      <c r="E22">
        <v>486</v>
      </c>
    </row>
    <row r="23" spans="2:5" x14ac:dyDescent="0.2">
      <c r="B23" s="119" t="s">
        <v>193</v>
      </c>
      <c r="C23" t="s">
        <v>59</v>
      </c>
      <c r="D23">
        <v>356</v>
      </c>
      <c r="E23">
        <v>427.2</v>
      </c>
    </row>
    <row r="24" spans="2:5" x14ac:dyDescent="0.2">
      <c r="B24" s="119" t="s">
        <v>194</v>
      </c>
      <c r="C24" t="s">
        <v>59</v>
      </c>
      <c r="D24">
        <v>615</v>
      </c>
      <c r="E24">
        <v>738</v>
      </c>
    </row>
    <row r="25" spans="2:5" x14ac:dyDescent="0.2">
      <c r="B25" s="119" t="s">
        <v>195</v>
      </c>
      <c r="C25" t="s">
        <v>59</v>
      </c>
      <c r="D25">
        <v>282</v>
      </c>
      <c r="E25">
        <v>338.4</v>
      </c>
    </row>
    <row r="26" spans="2:5" x14ac:dyDescent="0.2">
      <c r="B26" s="119" t="s">
        <v>196</v>
      </c>
      <c r="C26" t="s">
        <v>59</v>
      </c>
      <c r="D26">
        <v>116</v>
      </c>
      <c r="E26">
        <v>139.19999999999999</v>
      </c>
    </row>
    <row r="27" spans="2:5" x14ac:dyDescent="0.2">
      <c r="B27" s="119" t="s">
        <v>197</v>
      </c>
      <c r="C27" t="s">
        <v>59</v>
      </c>
      <c r="D27">
        <v>284</v>
      </c>
      <c r="E27">
        <v>340.8</v>
      </c>
    </row>
    <row r="28" spans="2:5" x14ac:dyDescent="0.2">
      <c r="B28" s="119" t="s">
        <v>198</v>
      </c>
      <c r="C28" t="s">
        <v>59</v>
      </c>
      <c r="D28">
        <v>700</v>
      </c>
      <c r="E28">
        <v>840</v>
      </c>
    </row>
    <row r="29" spans="2:5" x14ac:dyDescent="0.2">
      <c r="B29" s="119" t="s">
        <v>199</v>
      </c>
      <c r="C29" t="s">
        <v>59</v>
      </c>
      <c r="D29">
        <v>395</v>
      </c>
      <c r="E29">
        <v>474</v>
      </c>
    </row>
    <row r="30" spans="2:5" x14ac:dyDescent="0.2">
      <c r="B30" s="119" t="s">
        <v>200</v>
      </c>
      <c r="C30" t="s">
        <v>59</v>
      </c>
      <c r="D30">
        <v>457</v>
      </c>
      <c r="E30">
        <v>548.4</v>
      </c>
    </row>
    <row r="31" spans="2:5" x14ac:dyDescent="0.2">
      <c r="B31" s="119" t="s">
        <v>201</v>
      </c>
      <c r="C31" t="s">
        <v>59</v>
      </c>
      <c r="D31">
        <v>419</v>
      </c>
      <c r="E31">
        <v>502.7999999999999</v>
      </c>
    </row>
    <row r="32" spans="2:5" x14ac:dyDescent="0.2">
      <c r="B32" s="119" t="s">
        <v>202</v>
      </c>
      <c r="C32" t="s">
        <v>59</v>
      </c>
      <c r="D32">
        <v>634</v>
      </c>
      <c r="E32">
        <v>760.8</v>
      </c>
    </row>
    <row r="33" spans="1:5" x14ac:dyDescent="0.2">
      <c r="A33" s="119" t="s">
        <v>128</v>
      </c>
      <c r="B33" s="119" t="s">
        <v>203</v>
      </c>
      <c r="C33" t="s">
        <v>59</v>
      </c>
      <c r="D33">
        <v>717</v>
      </c>
      <c r="E33">
        <v>860.4</v>
      </c>
    </row>
    <row r="34" spans="1:5" x14ac:dyDescent="0.2">
      <c r="B34" s="119" t="s">
        <v>204</v>
      </c>
      <c r="C34" t="s">
        <v>59</v>
      </c>
      <c r="D34">
        <v>1035</v>
      </c>
      <c r="E34">
        <v>1242</v>
      </c>
    </row>
    <row r="35" spans="1:5" x14ac:dyDescent="0.2">
      <c r="B35" s="119" t="s">
        <v>205</v>
      </c>
      <c r="C35" t="s">
        <v>59</v>
      </c>
      <c r="D35">
        <v>1186</v>
      </c>
      <c r="E35">
        <v>1423.2</v>
      </c>
    </row>
    <row r="36" spans="1:5" x14ac:dyDescent="0.2">
      <c r="B36" s="119" t="s">
        <v>206</v>
      </c>
      <c r="C36" t="s">
        <v>59</v>
      </c>
      <c r="D36">
        <v>604</v>
      </c>
      <c r="E36">
        <v>724.8</v>
      </c>
    </row>
    <row r="37" spans="1:5" x14ac:dyDescent="0.2">
      <c r="B37" s="119" t="s">
        <v>207</v>
      </c>
      <c r="C37" t="s">
        <v>59</v>
      </c>
      <c r="D37">
        <v>550</v>
      </c>
      <c r="E37">
        <v>660</v>
      </c>
    </row>
    <row r="38" spans="1:5" x14ac:dyDescent="0.2">
      <c r="B38" s="119" t="s">
        <v>208</v>
      </c>
      <c r="C38" t="s">
        <v>59</v>
      </c>
      <c r="D38">
        <v>705</v>
      </c>
      <c r="E38">
        <v>846</v>
      </c>
    </row>
    <row r="39" spans="1:5" x14ac:dyDescent="0.2">
      <c r="B39" s="119" t="s">
        <v>209</v>
      </c>
      <c r="C39" t="s">
        <v>59</v>
      </c>
      <c r="D39">
        <v>852</v>
      </c>
      <c r="E39">
        <v>1022.4</v>
      </c>
    </row>
    <row r="40" spans="1:5" x14ac:dyDescent="0.2">
      <c r="B40" s="119" t="s">
        <v>210</v>
      </c>
      <c r="C40" t="s">
        <v>59</v>
      </c>
      <c r="D40">
        <v>852</v>
      </c>
      <c r="E40">
        <v>1022.4</v>
      </c>
    </row>
    <row r="41" spans="1:5" x14ac:dyDescent="0.2">
      <c r="B41" s="119" t="s">
        <v>211</v>
      </c>
      <c r="C41" t="s">
        <v>59</v>
      </c>
      <c r="D41">
        <v>1041</v>
      </c>
      <c r="E41">
        <v>1249.2</v>
      </c>
    </row>
    <row r="42" spans="1:5" x14ac:dyDescent="0.2">
      <c r="B42" s="119" t="s">
        <v>212</v>
      </c>
      <c r="C42" t="s">
        <v>59</v>
      </c>
      <c r="D42">
        <v>1010</v>
      </c>
      <c r="E42">
        <v>1212</v>
      </c>
    </row>
    <row r="43" spans="1:5" x14ac:dyDescent="0.2">
      <c r="B43" s="119" t="s">
        <v>213</v>
      </c>
      <c r="C43" t="s">
        <v>59</v>
      </c>
      <c r="D43">
        <v>1273</v>
      </c>
      <c r="E43">
        <v>1527.6</v>
      </c>
    </row>
    <row r="44" spans="1:5" x14ac:dyDescent="0.2">
      <c r="B44" s="119" t="s">
        <v>214</v>
      </c>
      <c r="C44" t="s">
        <v>59</v>
      </c>
      <c r="D44">
        <v>723</v>
      </c>
      <c r="E44">
        <v>867.6</v>
      </c>
    </row>
    <row r="45" spans="1:5" x14ac:dyDescent="0.2">
      <c r="A45" s="119" t="s">
        <v>129</v>
      </c>
      <c r="B45" s="119" t="s">
        <v>215</v>
      </c>
      <c r="C45" t="s">
        <v>22</v>
      </c>
      <c r="D45">
        <v>821</v>
      </c>
      <c r="E45">
        <v>985.19999999999993</v>
      </c>
    </row>
    <row r="46" spans="1:5" x14ac:dyDescent="0.2">
      <c r="B46" s="119" t="s">
        <v>216</v>
      </c>
      <c r="C46" t="s">
        <v>59</v>
      </c>
      <c r="D46">
        <v>235</v>
      </c>
      <c r="E46">
        <v>282</v>
      </c>
    </row>
    <row r="47" spans="1:5" x14ac:dyDescent="0.2">
      <c r="B47" s="119" t="s">
        <v>217</v>
      </c>
      <c r="C47" t="s">
        <v>59</v>
      </c>
      <c r="D47">
        <v>712</v>
      </c>
      <c r="E47">
        <v>854.4</v>
      </c>
    </row>
    <row r="48" spans="1:5" x14ac:dyDescent="0.2">
      <c r="B48" s="119" t="s">
        <v>218</v>
      </c>
      <c r="C48" t="s">
        <v>59</v>
      </c>
      <c r="D48">
        <v>450</v>
      </c>
      <c r="E48">
        <v>540</v>
      </c>
    </row>
    <row r="49" spans="2:5" x14ac:dyDescent="0.2">
      <c r="B49" s="119" t="s">
        <v>219</v>
      </c>
      <c r="C49" t="s">
        <v>59</v>
      </c>
      <c r="D49">
        <v>339</v>
      </c>
      <c r="E49">
        <v>406.8</v>
      </c>
    </row>
    <row r="50" spans="2:5" x14ac:dyDescent="0.2">
      <c r="B50" s="119" t="s">
        <v>220</v>
      </c>
      <c r="C50" t="s">
        <v>59</v>
      </c>
      <c r="D50">
        <v>279</v>
      </c>
      <c r="E50">
        <v>334.8</v>
      </c>
    </row>
    <row r="51" spans="2:5" x14ac:dyDescent="0.2">
      <c r="B51" s="119" t="s">
        <v>221</v>
      </c>
      <c r="C51" t="s">
        <v>59</v>
      </c>
      <c r="D51">
        <v>553</v>
      </c>
      <c r="E51">
        <v>663.6</v>
      </c>
    </row>
    <row r="52" spans="2:5" x14ac:dyDescent="0.2">
      <c r="B52" s="119" t="s">
        <v>222</v>
      </c>
      <c r="C52" t="s">
        <v>22</v>
      </c>
      <c r="D52">
        <v>959</v>
      </c>
      <c r="E52">
        <v>1150.8</v>
      </c>
    </row>
    <row r="53" spans="2:5" x14ac:dyDescent="0.2">
      <c r="B53" s="119" t="s">
        <v>223</v>
      </c>
      <c r="C53" t="s">
        <v>59</v>
      </c>
      <c r="D53">
        <v>1176</v>
      </c>
      <c r="E53">
        <v>1411.2</v>
      </c>
    </row>
    <row r="54" spans="2:5" x14ac:dyDescent="0.2">
      <c r="B54" s="119" t="s">
        <v>224</v>
      </c>
      <c r="C54" t="s">
        <v>22</v>
      </c>
      <c r="D54">
        <v>981</v>
      </c>
      <c r="E54">
        <v>1177.2</v>
      </c>
    </row>
    <row r="55" spans="2:5" x14ac:dyDescent="0.2">
      <c r="B55" s="119" t="s">
        <v>225</v>
      </c>
      <c r="C55" t="s">
        <v>59</v>
      </c>
      <c r="D55">
        <v>253</v>
      </c>
      <c r="E55">
        <v>303.59999999999997</v>
      </c>
    </row>
    <row r="56" spans="2:5" x14ac:dyDescent="0.2">
      <c r="B56" s="119" t="s">
        <v>226</v>
      </c>
      <c r="C56" t="s">
        <v>59</v>
      </c>
      <c r="D56">
        <v>543</v>
      </c>
      <c r="E56">
        <v>651.6</v>
      </c>
    </row>
    <row r="57" spans="2:5" x14ac:dyDescent="0.2">
      <c r="B57" s="119" t="s">
        <v>227</v>
      </c>
      <c r="C57" t="s">
        <v>59</v>
      </c>
      <c r="D57">
        <v>793</v>
      </c>
      <c r="E57">
        <v>951.59999999999991</v>
      </c>
    </row>
    <row r="58" spans="2:5" x14ac:dyDescent="0.2">
      <c r="B58" s="119" t="s">
        <v>228</v>
      </c>
      <c r="C58" t="s">
        <v>59</v>
      </c>
      <c r="D58">
        <v>1421</v>
      </c>
      <c r="E58">
        <v>1705.2</v>
      </c>
    </row>
    <row r="59" spans="2:5" x14ac:dyDescent="0.2">
      <c r="B59" s="119" t="s">
        <v>229</v>
      </c>
      <c r="C59" t="s">
        <v>59</v>
      </c>
      <c r="D59">
        <v>663</v>
      </c>
      <c r="E59">
        <v>795.6</v>
      </c>
    </row>
    <row r="60" spans="2:5" x14ac:dyDescent="0.2">
      <c r="B60" s="119" t="s">
        <v>230</v>
      </c>
      <c r="C60" t="s">
        <v>59</v>
      </c>
      <c r="D60">
        <v>841</v>
      </c>
      <c r="E60">
        <v>1009.1999999999998</v>
      </c>
    </row>
    <row r="61" spans="2:5" x14ac:dyDescent="0.2">
      <c r="B61" s="119" t="s">
        <v>231</v>
      </c>
      <c r="C61" t="s">
        <v>59</v>
      </c>
      <c r="D61">
        <v>855</v>
      </c>
      <c r="E61">
        <v>1026</v>
      </c>
    </row>
    <row r="62" spans="2:5" x14ac:dyDescent="0.2">
      <c r="B62" s="119" t="s">
        <v>232</v>
      </c>
      <c r="C62" t="s">
        <v>59</v>
      </c>
      <c r="D62">
        <v>992</v>
      </c>
      <c r="E62">
        <v>1190.3999999999999</v>
      </c>
    </row>
    <row r="63" spans="2:5" x14ac:dyDescent="0.2">
      <c r="B63" s="119" t="s">
        <v>233</v>
      </c>
      <c r="C63" t="s">
        <v>59</v>
      </c>
      <c r="D63">
        <v>936</v>
      </c>
      <c r="E63">
        <v>1123.2</v>
      </c>
    </row>
    <row r="64" spans="2:5" x14ac:dyDescent="0.2">
      <c r="B64" s="119" t="s">
        <v>234</v>
      </c>
      <c r="C64" t="s">
        <v>59</v>
      </c>
      <c r="D64">
        <v>861</v>
      </c>
      <c r="E64">
        <v>1033.2</v>
      </c>
    </row>
    <row r="65" spans="1:5" x14ac:dyDescent="0.2">
      <c r="B65" s="119" t="s">
        <v>235</v>
      </c>
      <c r="C65" t="s">
        <v>59</v>
      </c>
      <c r="D65">
        <v>632</v>
      </c>
      <c r="E65">
        <v>758.4</v>
      </c>
    </row>
    <row r="66" spans="1:5" x14ac:dyDescent="0.2">
      <c r="B66" s="119" t="s">
        <v>236</v>
      </c>
      <c r="C66" t="s">
        <v>59</v>
      </c>
      <c r="D66">
        <v>446</v>
      </c>
      <c r="E66">
        <v>535.19999999999993</v>
      </c>
    </row>
    <row r="67" spans="1:5" x14ac:dyDescent="0.2">
      <c r="A67" s="119" t="s">
        <v>130</v>
      </c>
      <c r="B67" s="119" t="s">
        <v>237</v>
      </c>
      <c r="C67" t="s">
        <v>22</v>
      </c>
      <c r="D67">
        <v>470</v>
      </c>
      <c r="E67">
        <v>564</v>
      </c>
    </row>
    <row r="68" spans="1:5" x14ac:dyDescent="0.2">
      <c r="B68" s="119" t="s">
        <v>238</v>
      </c>
      <c r="C68" t="s">
        <v>22</v>
      </c>
      <c r="D68">
        <v>62</v>
      </c>
      <c r="E68">
        <v>74.399999999999991</v>
      </c>
    </row>
    <row r="69" spans="1:5" x14ac:dyDescent="0.2">
      <c r="B69" s="119" t="s">
        <v>239</v>
      </c>
      <c r="C69" t="s">
        <v>22</v>
      </c>
      <c r="D69">
        <v>466</v>
      </c>
      <c r="E69">
        <v>559.19999999999993</v>
      </c>
    </row>
    <row r="70" spans="1:5" x14ac:dyDescent="0.2">
      <c r="B70" s="119" t="s">
        <v>240</v>
      </c>
      <c r="C70" t="s">
        <v>22</v>
      </c>
      <c r="D70">
        <v>336</v>
      </c>
      <c r="E70">
        <v>403.2</v>
      </c>
    </row>
    <row r="71" spans="1:5" x14ac:dyDescent="0.2">
      <c r="B71" s="119" t="s">
        <v>241</v>
      </c>
      <c r="C71" t="s">
        <v>22</v>
      </c>
      <c r="D71">
        <v>536</v>
      </c>
      <c r="E71">
        <v>643.19999999999993</v>
      </c>
    </row>
    <row r="72" spans="1:5" x14ac:dyDescent="0.2">
      <c r="B72" s="119" t="s">
        <v>242</v>
      </c>
      <c r="C72" t="s">
        <v>22</v>
      </c>
      <c r="D72">
        <v>649</v>
      </c>
      <c r="E72">
        <v>778.8</v>
      </c>
    </row>
    <row r="73" spans="1:5" x14ac:dyDescent="0.2">
      <c r="B73" s="119" t="s">
        <v>243</v>
      </c>
      <c r="C73" t="s">
        <v>22</v>
      </c>
      <c r="D73">
        <v>232</v>
      </c>
      <c r="E73">
        <v>278.39999999999998</v>
      </c>
    </row>
    <row r="74" spans="1:5" x14ac:dyDescent="0.2">
      <c r="B74" s="119" t="s">
        <v>244</v>
      </c>
      <c r="C74" t="s">
        <v>22</v>
      </c>
      <c r="D74">
        <v>460</v>
      </c>
      <c r="E74">
        <v>552</v>
      </c>
    </row>
    <row r="75" spans="1:5" x14ac:dyDescent="0.2">
      <c r="B75" s="119" t="s">
        <v>245</v>
      </c>
      <c r="C75" t="s">
        <v>22</v>
      </c>
      <c r="D75">
        <v>631</v>
      </c>
      <c r="E75">
        <v>757.19999999999993</v>
      </c>
    </row>
    <row r="76" spans="1:5" x14ac:dyDescent="0.2">
      <c r="B76" s="119" t="s">
        <v>246</v>
      </c>
      <c r="C76" t="s">
        <v>22</v>
      </c>
      <c r="D76">
        <v>671</v>
      </c>
      <c r="E76">
        <v>805.19999999999993</v>
      </c>
    </row>
    <row r="77" spans="1:5" x14ac:dyDescent="0.2">
      <c r="B77" s="119" t="s">
        <v>247</v>
      </c>
      <c r="C77" t="s">
        <v>22</v>
      </c>
      <c r="D77">
        <v>628</v>
      </c>
      <c r="E77">
        <v>753.6</v>
      </c>
    </row>
    <row r="78" spans="1:5" x14ac:dyDescent="0.2">
      <c r="B78" s="119" t="s">
        <v>248</v>
      </c>
      <c r="C78" t="s">
        <v>22</v>
      </c>
      <c r="D78">
        <v>424</v>
      </c>
      <c r="E78">
        <v>508.7999999999999</v>
      </c>
    </row>
    <row r="79" spans="1:5" x14ac:dyDescent="0.2">
      <c r="B79" s="119" t="s">
        <v>249</v>
      </c>
      <c r="C79" t="s">
        <v>22</v>
      </c>
      <c r="D79">
        <v>717</v>
      </c>
      <c r="E79">
        <v>860.4</v>
      </c>
    </row>
    <row r="80" spans="1:5" x14ac:dyDescent="0.2">
      <c r="B80" s="119" t="s">
        <v>250</v>
      </c>
      <c r="C80" t="s">
        <v>22</v>
      </c>
      <c r="D80">
        <v>651</v>
      </c>
      <c r="E80">
        <v>781.19999999999993</v>
      </c>
    </row>
    <row r="81" spans="1:5" x14ac:dyDescent="0.2">
      <c r="B81" s="119" t="s">
        <v>251</v>
      </c>
      <c r="C81" t="s">
        <v>22</v>
      </c>
      <c r="D81">
        <v>125</v>
      </c>
      <c r="E81">
        <v>150</v>
      </c>
    </row>
    <row r="82" spans="1:5" x14ac:dyDescent="0.2">
      <c r="B82" s="119" t="s">
        <v>252</v>
      </c>
      <c r="C82" t="s">
        <v>22</v>
      </c>
      <c r="D82">
        <v>450</v>
      </c>
      <c r="E82">
        <v>540</v>
      </c>
    </row>
    <row r="83" spans="1:5" x14ac:dyDescent="0.2">
      <c r="A83" s="119" t="s">
        <v>131</v>
      </c>
      <c r="B83" s="119" t="s">
        <v>253</v>
      </c>
      <c r="C83" t="s">
        <v>22</v>
      </c>
      <c r="D83">
        <v>1629</v>
      </c>
      <c r="E83">
        <v>1954.8</v>
      </c>
    </row>
    <row r="84" spans="1:5" x14ac:dyDescent="0.2">
      <c r="B84" s="119" t="s">
        <v>254</v>
      </c>
      <c r="C84" t="s">
        <v>22</v>
      </c>
      <c r="D84">
        <v>1577</v>
      </c>
      <c r="E84">
        <v>1892.3999999999999</v>
      </c>
    </row>
    <row r="85" spans="1:5" x14ac:dyDescent="0.2">
      <c r="B85" s="119" t="s">
        <v>255</v>
      </c>
      <c r="C85" t="s">
        <v>22</v>
      </c>
      <c r="D85">
        <v>1998</v>
      </c>
      <c r="E85">
        <v>2397.6</v>
      </c>
    </row>
    <row r="86" spans="1:5" x14ac:dyDescent="0.2">
      <c r="B86" s="119" t="s">
        <v>256</v>
      </c>
      <c r="C86" t="s">
        <v>22</v>
      </c>
      <c r="D86">
        <v>1831</v>
      </c>
      <c r="E86">
        <v>2197.1999999999998</v>
      </c>
    </row>
    <row r="87" spans="1:5" x14ac:dyDescent="0.2">
      <c r="B87" s="119" t="s">
        <v>257</v>
      </c>
      <c r="C87" t="s">
        <v>22</v>
      </c>
      <c r="D87">
        <v>1914</v>
      </c>
      <c r="E87">
        <v>2296.7999999999997</v>
      </c>
    </row>
    <row r="88" spans="1:5" x14ac:dyDescent="0.2">
      <c r="B88" s="119" t="s">
        <v>258</v>
      </c>
      <c r="C88" t="s">
        <v>22</v>
      </c>
      <c r="D88">
        <v>1184</v>
      </c>
      <c r="E88">
        <v>1420.8</v>
      </c>
    </row>
    <row r="89" spans="1:5" x14ac:dyDescent="0.2">
      <c r="B89" s="119" t="s">
        <v>259</v>
      </c>
      <c r="C89" t="s">
        <v>22</v>
      </c>
      <c r="D89">
        <v>1477</v>
      </c>
      <c r="E89">
        <v>1772.3999999999999</v>
      </c>
    </row>
    <row r="90" spans="1:5" x14ac:dyDescent="0.2">
      <c r="B90" s="119" t="s">
        <v>260</v>
      </c>
      <c r="C90" t="s">
        <v>22</v>
      </c>
      <c r="D90">
        <v>1996</v>
      </c>
      <c r="E90">
        <v>2395.1999999999998</v>
      </c>
    </row>
    <row r="91" spans="1:5" x14ac:dyDescent="0.2">
      <c r="A91" s="119" t="s">
        <v>132</v>
      </c>
      <c r="B91" s="119" t="s">
        <v>261</v>
      </c>
      <c r="C91" t="s">
        <v>22</v>
      </c>
      <c r="D91">
        <v>1444</v>
      </c>
      <c r="E91">
        <v>1732.8</v>
      </c>
    </row>
    <row r="92" spans="1:5" x14ac:dyDescent="0.2">
      <c r="B92" s="119" t="s">
        <v>262</v>
      </c>
      <c r="C92" t="s">
        <v>22</v>
      </c>
      <c r="D92">
        <v>686</v>
      </c>
      <c r="E92">
        <v>823.19999999999993</v>
      </c>
    </row>
    <row r="93" spans="1:5" x14ac:dyDescent="0.2">
      <c r="B93" s="119" t="s">
        <v>263</v>
      </c>
      <c r="C93" t="s">
        <v>22</v>
      </c>
      <c r="D93">
        <v>1524</v>
      </c>
      <c r="E93">
        <v>1828.8</v>
      </c>
    </row>
    <row r="94" spans="1:5" x14ac:dyDescent="0.2">
      <c r="B94" s="119" t="s">
        <v>264</v>
      </c>
      <c r="C94" t="s">
        <v>22</v>
      </c>
      <c r="D94">
        <v>1053</v>
      </c>
      <c r="E94">
        <v>1263.5999999999999</v>
      </c>
    </row>
    <row r="95" spans="1:5" x14ac:dyDescent="0.2">
      <c r="B95" s="119" t="s">
        <v>265</v>
      </c>
      <c r="C95" t="s">
        <v>22</v>
      </c>
      <c r="D95">
        <v>4568</v>
      </c>
      <c r="E95">
        <v>5481.5999999999995</v>
      </c>
    </row>
    <row r="96" spans="1:5" x14ac:dyDescent="0.2">
      <c r="B96" s="119" t="s">
        <v>266</v>
      </c>
      <c r="C96" t="s">
        <v>22</v>
      </c>
      <c r="D96">
        <v>1352</v>
      </c>
      <c r="E96">
        <v>1622.3999999999999</v>
      </c>
    </row>
    <row r="97" spans="2:5" x14ac:dyDescent="0.2">
      <c r="B97" s="119" t="s">
        <v>267</v>
      </c>
      <c r="C97" t="s">
        <v>22</v>
      </c>
      <c r="D97">
        <v>992</v>
      </c>
      <c r="E97">
        <v>1190.3999999999999</v>
      </c>
    </row>
    <row r="98" spans="2:5" x14ac:dyDescent="0.2">
      <c r="B98" s="119" t="s">
        <v>268</v>
      </c>
      <c r="C98" t="s">
        <v>22</v>
      </c>
      <c r="D98">
        <v>1616</v>
      </c>
      <c r="E98">
        <v>1939.1999999999998</v>
      </c>
    </row>
    <row r="99" spans="2:5" x14ac:dyDescent="0.2">
      <c r="B99" s="119" t="s">
        <v>269</v>
      </c>
      <c r="C99" t="s">
        <v>22</v>
      </c>
      <c r="D99">
        <v>1690</v>
      </c>
      <c r="E99">
        <v>2028</v>
      </c>
    </row>
    <row r="100" spans="2:5" x14ac:dyDescent="0.2">
      <c r="B100" s="119" t="s">
        <v>270</v>
      </c>
      <c r="C100" t="s">
        <v>22</v>
      </c>
      <c r="D100">
        <v>1727</v>
      </c>
      <c r="E100">
        <v>2072.4</v>
      </c>
    </row>
    <row r="101" spans="2:5" x14ac:dyDescent="0.2">
      <c r="B101" s="119" t="s">
        <v>271</v>
      </c>
      <c r="C101" t="s">
        <v>22</v>
      </c>
      <c r="D101">
        <v>1665</v>
      </c>
      <c r="E101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Jeff</cp:lastModifiedBy>
  <dcterms:created xsi:type="dcterms:W3CDTF">2003-07-09T21:14:27Z</dcterms:created>
  <dcterms:modified xsi:type="dcterms:W3CDTF">2015-09-29T20:14:13Z</dcterms:modified>
</cp:coreProperties>
</file>