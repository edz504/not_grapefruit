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6" i="20" l="1"/>
  <c r="S16" i="20"/>
  <c r="S15" i="20"/>
  <c r="T19" i="20" s="1"/>
  <c r="S14" i="20"/>
  <c r="H40" i="20"/>
  <c r="H39" i="20"/>
  <c r="H38" i="20"/>
  <c r="H35" i="20"/>
  <c r="S42" i="20" s="1"/>
  <c r="H34" i="20"/>
  <c r="S39" i="20" s="1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D122" i="10" s="1"/>
  <c r="E111" i="10"/>
  <c r="F111" i="10"/>
  <c r="G111" i="10"/>
  <c r="H111" i="10"/>
  <c r="I111" i="10"/>
  <c r="J111" i="10"/>
  <c r="K111" i="10"/>
  <c r="K122" i="10" s="1"/>
  <c r="L111" i="10"/>
  <c r="L122" i="10" s="1"/>
  <c r="M111" i="10"/>
  <c r="N111" i="10"/>
  <c r="O111" i="10"/>
  <c r="D112" i="10"/>
  <c r="E112" i="10"/>
  <c r="F112" i="10"/>
  <c r="G112" i="10"/>
  <c r="G123" i="10" s="1"/>
  <c r="H112" i="10"/>
  <c r="H123" i="10" s="1"/>
  <c r="I112" i="10"/>
  <c r="J112" i="10"/>
  <c r="K112" i="10"/>
  <c r="L112" i="10"/>
  <c r="M112" i="10"/>
  <c r="N112" i="10"/>
  <c r="O112" i="10"/>
  <c r="O123" i="10" s="1"/>
  <c r="D113" i="10"/>
  <c r="D124" i="10" s="1"/>
  <c r="E113" i="10"/>
  <c r="F113" i="10"/>
  <c r="G113" i="10"/>
  <c r="H113" i="10"/>
  <c r="I113" i="10"/>
  <c r="J113" i="10"/>
  <c r="K113" i="10"/>
  <c r="K124" i="10" s="1"/>
  <c r="L113" i="10"/>
  <c r="L124" i="10" s="1"/>
  <c r="M113" i="10"/>
  <c r="N113" i="10"/>
  <c r="O113" i="10"/>
  <c r="D114" i="10"/>
  <c r="E114" i="10"/>
  <c r="F114" i="10"/>
  <c r="G114" i="10"/>
  <c r="G125" i="10" s="1"/>
  <c r="H114" i="10"/>
  <c r="H125" i="10" s="1"/>
  <c r="I114" i="10"/>
  <c r="J114" i="10"/>
  <c r="K114" i="10"/>
  <c r="L114" i="10"/>
  <c r="M114" i="10"/>
  <c r="N114" i="10"/>
  <c r="O114" i="10"/>
  <c r="O125" i="10" s="1"/>
  <c r="D115" i="10"/>
  <c r="D126" i="10" s="1"/>
  <c r="E115" i="10"/>
  <c r="F115" i="10"/>
  <c r="G115" i="10"/>
  <c r="H115" i="10"/>
  <c r="I115" i="10"/>
  <c r="J115" i="10"/>
  <c r="K115" i="10"/>
  <c r="K126" i="10" s="1"/>
  <c r="L115" i="10"/>
  <c r="L126" i="10" s="1"/>
  <c r="M115" i="10"/>
  <c r="N115" i="10"/>
  <c r="O115" i="10"/>
  <c r="E116" i="10"/>
  <c r="F116" i="10"/>
  <c r="M116" i="10"/>
  <c r="N116" i="10"/>
  <c r="E120" i="10"/>
  <c r="F120" i="10"/>
  <c r="G120" i="10"/>
  <c r="H120" i="10"/>
  <c r="I120" i="10"/>
  <c r="J120" i="10"/>
  <c r="J127" i="10" s="1"/>
  <c r="M120" i="10"/>
  <c r="N120" i="10"/>
  <c r="O120" i="10"/>
  <c r="D121" i="10"/>
  <c r="E121" i="10"/>
  <c r="F121" i="10"/>
  <c r="I121" i="10"/>
  <c r="J121" i="10"/>
  <c r="K121" i="10"/>
  <c r="L121" i="10"/>
  <c r="M121" i="10"/>
  <c r="M127" i="10" s="1"/>
  <c r="N121" i="10"/>
  <c r="E122" i="10"/>
  <c r="F122" i="10"/>
  <c r="G122" i="10"/>
  <c r="H122" i="10"/>
  <c r="I122" i="10"/>
  <c r="J122" i="10"/>
  <c r="M122" i="10"/>
  <c r="N122" i="10"/>
  <c r="O122" i="10"/>
  <c r="D123" i="10"/>
  <c r="E123" i="10"/>
  <c r="F123" i="10"/>
  <c r="I123" i="10"/>
  <c r="J123" i="10"/>
  <c r="K123" i="10"/>
  <c r="L123" i="10"/>
  <c r="M123" i="10"/>
  <c r="N123" i="10"/>
  <c r="E124" i="10"/>
  <c r="F124" i="10"/>
  <c r="G124" i="10"/>
  <c r="H124" i="10"/>
  <c r="I124" i="10"/>
  <c r="J124" i="10"/>
  <c r="M124" i="10"/>
  <c r="N124" i="10"/>
  <c r="O124" i="10"/>
  <c r="D125" i="10"/>
  <c r="E125" i="10"/>
  <c r="F125" i="10"/>
  <c r="I125" i="10"/>
  <c r="J125" i="10"/>
  <c r="K125" i="10"/>
  <c r="L125" i="10"/>
  <c r="M125" i="10"/>
  <c r="N125" i="10"/>
  <c r="E126" i="10"/>
  <c r="F126" i="10"/>
  <c r="G126" i="10"/>
  <c r="H126" i="10"/>
  <c r="I126" i="10"/>
  <c r="J126" i="10"/>
  <c r="M126" i="10"/>
  <c r="N126" i="10"/>
  <c r="O126" i="10"/>
  <c r="E127" i="10"/>
  <c r="F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E138" i="10"/>
  <c r="F138" i="10"/>
  <c r="D109" i="11"/>
  <c r="D120" i="11" s="1"/>
  <c r="E109" i="11"/>
  <c r="F109" i="11"/>
  <c r="G109" i="11"/>
  <c r="H109" i="11"/>
  <c r="H116" i="11" s="1"/>
  <c r="I109" i="11"/>
  <c r="J109" i="11"/>
  <c r="K109" i="11"/>
  <c r="L109" i="11"/>
  <c r="L120" i="11" s="1"/>
  <c r="M109" i="11"/>
  <c r="N109" i="11"/>
  <c r="O109" i="11"/>
  <c r="D110" i="11"/>
  <c r="E110" i="11"/>
  <c r="F110" i="11"/>
  <c r="G110" i="11"/>
  <c r="H110" i="11"/>
  <c r="H121" i="11" s="1"/>
  <c r="I110" i="11"/>
  <c r="J110" i="11"/>
  <c r="K110" i="11"/>
  <c r="L110" i="11"/>
  <c r="M110" i="11"/>
  <c r="N110" i="11"/>
  <c r="O110" i="11"/>
  <c r="D111" i="11"/>
  <c r="D122" i="11" s="1"/>
  <c r="E111" i="11"/>
  <c r="F111" i="11"/>
  <c r="G111" i="11"/>
  <c r="H111" i="11"/>
  <c r="H122" i="11" s="1"/>
  <c r="I111" i="11"/>
  <c r="J111" i="11"/>
  <c r="K111" i="11"/>
  <c r="L111" i="11"/>
  <c r="L122" i="11" s="1"/>
  <c r="M111" i="11"/>
  <c r="N111" i="11"/>
  <c r="O111" i="11"/>
  <c r="D112" i="11"/>
  <c r="E112" i="11"/>
  <c r="F112" i="11"/>
  <c r="G112" i="11"/>
  <c r="H112" i="11"/>
  <c r="H123" i="11" s="1"/>
  <c r="I112" i="11"/>
  <c r="J112" i="11"/>
  <c r="K112" i="11"/>
  <c r="L112" i="11"/>
  <c r="M112" i="11"/>
  <c r="N112" i="11"/>
  <c r="O112" i="11"/>
  <c r="D113" i="11"/>
  <c r="D124" i="11" s="1"/>
  <c r="E113" i="11"/>
  <c r="F113" i="11"/>
  <c r="G113" i="11"/>
  <c r="H113" i="11"/>
  <c r="I113" i="11"/>
  <c r="J113" i="11"/>
  <c r="K113" i="11"/>
  <c r="L113" i="11"/>
  <c r="L124" i="11" s="1"/>
  <c r="M113" i="11"/>
  <c r="N113" i="11"/>
  <c r="O113" i="11"/>
  <c r="D114" i="11"/>
  <c r="E114" i="11"/>
  <c r="F114" i="11"/>
  <c r="G114" i="11"/>
  <c r="H114" i="11"/>
  <c r="H125" i="11" s="1"/>
  <c r="I114" i="11"/>
  <c r="J114" i="11"/>
  <c r="K114" i="11"/>
  <c r="L114" i="11"/>
  <c r="L125" i="11" s="1"/>
  <c r="M114" i="11"/>
  <c r="N114" i="11"/>
  <c r="O114" i="11"/>
  <c r="D115" i="11"/>
  <c r="D126" i="11" s="1"/>
  <c r="E115" i="11"/>
  <c r="F115" i="11"/>
  <c r="G115" i="11"/>
  <c r="H115" i="11"/>
  <c r="I115" i="11"/>
  <c r="J115" i="11"/>
  <c r="K115" i="11"/>
  <c r="L115" i="11"/>
  <c r="L126" i="11" s="1"/>
  <c r="M115" i="11"/>
  <c r="N115" i="11"/>
  <c r="O115" i="11"/>
  <c r="D116" i="11"/>
  <c r="E116" i="11"/>
  <c r="F116" i="11"/>
  <c r="G116" i="11"/>
  <c r="L116" i="11"/>
  <c r="M116" i="11"/>
  <c r="N116" i="11"/>
  <c r="O116" i="11"/>
  <c r="E120" i="11"/>
  <c r="F120" i="11"/>
  <c r="G120" i="11"/>
  <c r="I120" i="11"/>
  <c r="J120" i="11"/>
  <c r="J127" i="11" s="1"/>
  <c r="K120" i="11"/>
  <c r="M120" i="11"/>
  <c r="N120" i="11"/>
  <c r="O120" i="11"/>
  <c r="D121" i="11"/>
  <c r="E121" i="11"/>
  <c r="F121" i="11"/>
  <c r="G121" i="11"/>
  <c r="G127" i="11" s="1"/>
  <c r="I121" i="11"/>
  <c r="J121" i="11"/>
  <c r="K121" i="11"/>
  <c r="L121" i="11"/>
  <c r="M121" i="11"/>
  <c r="N121" i="11"/>
  <c r="O121" i="11"/>
  <c r="E122" i="11"/>
  <c r="F122" i="11"/>
  <c r="G122" i="11"/>
  <c r="I122" i="11"/>
  <c r="J122" i="11"/>
  <c r="K122" i="11"/>
  <c r="M122" i="11"/>
  <c r="N122" i="11"/>
  <c r="O122" i="11"/>
  <c r="D123" i="11"/>
  <c r="E123" i="11"/>
  <c r="F123" i="11"/>
  <c r="G123" i="11"/>
  <c r="I123" i="11"/>
  <c r="J123" i="11"/>
  <c r="K123" i="11"/>
  <c r="L123" i="11"/>
  <c r="M123" i="11"/>
  <c r="N123" i="11"/>
  <c r="O123" i="11"/>
  <c r="E124" i="11"/>
  <c r="F124" i="11"/>
  <c r="G124" i="11"/>
  <c r="H124" i="11"/>
  <c r="I124" i="11"/>
  <c r="J124" i="11"/>
  <c r="K124" i="11"/>
  <c r="M124" i="11"/>
  <c r="N124" i="11"/>
  <c r="O124" i="11"/>
  <c r="D125" i="11"/>
  <c r="E125" i="11"/>
  <c r="E127" i="11" s="1"/>
  <c r="F125" i="11"/>
  <c r="G125" i="11"/>
  <c r="I125" i="11"/>
  <c r="J125" i="11"/>
  <c r="K125" i="11"/>
  <c r="M125" i="11"/>
  <c r="N125" i="11"/>
  <c r="N127" i="11" s="1"/>
  <c r="O125" i="11"/>
  <c r="E126" i="11"/>
  <c r="F126" i="11"/>
  <c r="G126" i="11"/>
  <c r="H126" i="11"/>
  <c r="I126" i="11"/>
  <c r="J126" i="11"/>
  <c r="K126" i="11"/>
  <c r="M126" i="11"/>
  <c r="N126" i="11"/>
  <c r="O126" i="11"/>
  <c r="D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E138" i="11"/>
  <c r="F138" i="11"/>
  <c r="H138" i="11"/>
  <c r="L138" i="11"/>
  <c r="M138" i="11"/>
  <c r="D109" i="12"/>
  <c r="E109" i="12"/>
  <c r="F109" i="12"/>
  <c r="G109" i="12"/>
  <c r="H109" i="12"/>
  <c r="H120" i="12" s="1"/>
  <c r="I109" i="12"/>
  <c r="J109" i="12"/>
  <c r="K109" i="12"/>
  <c r="L109" i="12"/>
  <c r="M109" i="12"/>
  <c r="N109" i="12"/>
  <c r="O109" i="12"/>
  <c r="D110" i="12"/>
  <c r="D121" i="12" s="1"/>
  <c r="E110" i="12"/>
  <c r="F110" i="12"/>
  <c r="G110" i="12"/>
  <c r="H110" i="12"/>
  <c r="I110" i="12"/>
  <c r="J110" i="12"/>
  <c r="K110" i="12"/>
  <c r="L110" i="12"/>
  <c r="L116" i="12" s="1"/>
  <c r="M110" i="12"/>
  <c r="N110" i="12"/>
  <c r="O110" i="12"/>
  <c r="D111" i="12"/>
  <c r="E111" i="12"/>
  <c r="F111" i="12"/>
  <c r="G111" i="12"/>
  <c r="H111" i="12"/>
  <c r="H122" i="12" s="1"/>
  <c r="I111" i="12"/>
  <c r="J111" i="12"/>
  <c r="K111" i="12"/>
  <c r="L111" i="12"/>
  <c r="M111" i="12"/>
  <c r="N111" i="12"/>
  <c r="O111" i="12"/>
  <c r="D112" i="12"/>
  <c r="D123" i="12" s="1"/>
  <c r="E112" i="12"/>
  <c r="F112" i="12"/>
  <c r="G112" i="12"/>
  <c r="H112" i="12"/>
  <c r="I112" i="12"/>
  <c r="J112" i="12"/>
  <c r="K112" i="12"/>
  <c r="L112" i="12"/>
  <c r="L123" i="12" s="1"/>
  <c r="M112" i="12"/>
  <c r="N112" i="12"/>
  <c r="O112" i="12"/>
  <c r="D113" i="12"/>
  <c r="E113" i="12"/>
  <c r="F113" i="12"/>
  <c r="G113" i="12"/>
  <c r="H113" i="12"/>
  <c r="H124" i="12" s="1"/>
  <c r="I113" i="12"/>
  <c r="J113" i="12"/>
  <c r="K113" i="12"/>
  <c r="L113" i="12"/>
  <c r="M113" i="12"/>
  <c r="N113" i="12"/>
  <c r="O113" i="12"/>
  <c r="D114" i="12"/>
  <c r="D125" i="12" s="1"/>
  <c r="E114" i="12"/>
  <c r="F114" i="12"/>
  <c r="G114" i="12"/>
  <c r="H114" i="12"/>
  <c r="I114" i="12"/>
  <c r="J114" i="12"/>
  <c r="K114" i="12"/>
  <c r="L114" i="12"/>
  <c r="L125" i="12" s="1"/>
  <c r="M114" i="12"/>
  <c r="N114" i="12"/>
  <c r="O114" i="12"/>
  <c r="D115" i="12"/>
  <c r="E115" i="12"/>
  <c r="F115" i="12"/>
  <c r="G115" i="12"/>
  <c r="H115" i="12"/>
  <c r="H126" i="12" s="1"/>
  <c r="I115" i="12"/>
  <c r="J115" i="12"/>
  <c r="K115" i="12"/>
  <c r="L115" i="12"/>
  <c r="M115" i="12"/>
  <c r="N115" i="12"/>
  <c r="O115" i="12"/>
  <c r="D116" i="12"/>
  <c r="E116" i="12"/>
  <c r="F116" i="12"/>
  <c r="G116" i="12"/>
  <c r="M116" i="12"/>
  <c r="N116" i="12"/>
  <c r="O116" i="12"/>
  <c r="D120" i="12"/>
  <c r="D127" i="12" s="1"/>
  <c r="E120" i="12"/>
  <c r="F120" i="12"/>
  <c r="G120" i="12"/>
  <c r="I120" i="12"/>
  <c r="J120" i="12"/>
  <c r="K120" i="12"/>
  <c r="L120" i="12"/>
  <c r="M120" i="12"/>
  <c r="N120" i="12"/>
  <c r="O120" i="12"/>
  <c r="E121" i="12"/>
  <c r="F121" i="12"/>
  <c r="G121" i="12"/>
  <c r="H121" i="12"/>
  <c r="I121" i="12"/>
  <c r="J121" i="12"/>
  <c r="K121" i="12"/>
  <c r="M121" i="12"/>
  <c r="N121" i="12"/>
  <c r="O121" i="12"/>
  <c r="D122" i="12"/>
  <c r="E122" i="12"/>
  <c r="F122" i="12"/>
  <c r="G122" i="12"/>
  <c r="I122" i="12"/>
  <c r="J122" i="12"/>
  <c r="K122" i="12"/>
  <c r="L122" i="12"/>
  <c r="M122" i="12"/>
  <c r="N122" i="12"/>
  <c r="O122" i="12"/>
  <c r="E123" i="12"/>
  <c r="F123" i="12"/>
  <c r="G123" i="12"/>
  <c r="H123" i="12"/>
  <c r="I123" i="12"/>
  <c r="J123" i="12"/>
  <c r="K123" i="12"/>
  <c r="M123" i="12"/>
  <c r="N123" i="12"/>
  <c r="O123" i="12"/>
  <c r="D124" i="12"/>
  <c r="E124" i="12"/>
  <c r="F124" i="12"/>
  <c r="G124" i="12"/>
  <c r="I124" i="12"/>
  <c r="J124" i="12"/>
  <c r="K124" i="12"/>
  <c r="L124" i="12"/>
  <c r="M124" i="12"/>
  <c r="N124" i="12"/>
  <c r="O124" i="12"/>
  <c r="E125" i="12"/>
  <c r="F125" i="12"/>
  <c r="G125" i="12"/>
  <c r="H125" i="12"/>
  <c r="I125" i="12"/>
  <c r="J125" i="12"/>
  <c r="K125" i="12"/>
  <c r="M125" i="12"/>
  <c r="N125" i="12"/>
  <c r="O125" i="12"/>
  <c r="D126" i="12"/>
  <c r="E126" i="12"/>
  <c r="F126" i="12"/>
  <c r="G126" i="12"/>
  <c r="I126" i="12"/>
  <c r="J126" i="12"/>
  <c r="K126" i="12"/>
  <c r="L126" i="12"/>
  <c r="M126" i="12"/>
  <c r="N126" i="12"/>
  <c r="O126" i="12"/>
  <c r="F127" i="12"/>
  <c r="G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F138" i="12"/>
  <c r="H138" i="12"/>
  <c r="L138" i="12"/>
  <c r="M138" i="12"/>
  <c r="N138" i="12"/>
  <c r="D109" i="13"/>
  <c r="E109" i="13"/>
  <c r="F109" i="13"/>
  <c r="G109" i="13"/>
  <c r="H109" i="13"/>
  <c r="I109" i="13"/>
  <c r="J109" i="13"/>
  <c r="K109" i="13"/>
  <c r="L109" i="13"/>
  <c r="L116" i="13" s="1"/>
  <c r="M109" i="13"/>
  <c r="N109" i="13"/>
  <c r="O109" i="13"/>
  <c r="D110" i="13"/>
  <c r="D121" i="13" s="1"/>
  <c r="E110" i="13"/>
  <c r="E121" i="13" s="1"/>
  <c r="F110" i="13"/>
  <c r="G110" i="13"/>
  <c r="H110" i="13"/>
  <c r="I110" i="13"/>
  <c r="J110" i="13"/>
  <c r="K110" i="13"/>
  <c r="L110" i="13"/>
  <c r="L121" i="13" s="1"/>
  <c r="M110" i="13"/>
  <c r="N110" i="13"/>
  <c r="O110" i="13"/>
  <c r="D111" i="13"/>
  <c r="E111" i="13"/>
  <c r="F111" i="13"/>
  <c r="G111" i="13"/>
  <c r="H111" i="13"/>
  <c r="H122" i="13" s="1"/>
  <c r="I111" i="13"/>
  <c r="J111" i="13"/>
  <c r="K111" i="13"/>
  <c r="L111" i="13"/>
  <c r="M111" i="13"/>
  <c r="N111" i="13"/>
  <c r="O111" i="13"/>
  <c r="D112" i="13"/>
  <c r="D123" i="13" s="1"/>
  <c r="E112" i="13"/>
  <c r="F112" i="13"/>
  <c r="G112" i="13"/>
  <c r="H112" i="13"/>
  <c r="I112" i="13"/>
  <c r="J112" i="13"/>
  <c r="K112" i="13"/>
  <c r="L112" i="13"/>
  <c r="L123" i="13" s="1"/>
  <c r="M112" i="13"/>
  <c r="N112" i="13"/>
  <c r="O112" i="13"/>
  <c r="D113" i="13"/>
  <c r="E113" i="13"/>
  <c r="F113" i="13"/>
  <c r="G113" i="13"/>
  <c r="H113" i="13"/>
  <c r="H124" i="13" s="1"/>
  <c r="I113" i="13"/>
  <c r="I124" i="13" s="1"/>
  <c r="J113" i="13"/>
  <c r="K113" i="13"/>
  <c r="L113" i="13"/>
  <c r="M113" i="13"/>
  <c r="N113" i="13"/>
  <c r="O113" i="13"/>
  <c r="D114" i="13"/>
  <c r="D125" i="13" s="1"/>
  <c r="E114" i="13"/>
  <c r="F114" i="13"/>
  <c r="G114" i="13"/>
  <c r="H114" i="13"/>
  <c r="I114" i="13"/>
  <c r="J114" i="13"/>
  <c r="K114" i="13"/>
  <c r="L114" i="13"/>
  <c r="L125" i="13" s="1"/>
  <c r="M114" i="13"/>
  <c r="N114" i="13"/>
  <c r="N116" i="13" s="1"/>
  <c r="O114" i="13"/>
  <c r="D115" i="13"/>
  <c r="E115" i="13"/>
  <c r="F115" i="13"/>
  <c r="G115" i="13"/>
  <c r="H115" i="13"/>
  <c r="H126" i="13" s="1"/>
  <c r="I115" i="13"/>
  <c r="I126" i="13" s="1"/>
  <c r="J115" i="13"/>
  <c r="K115" i="13"/>
  <c r="L115" i="13"/>
  <c r="M115" i="13"/>
  <c r="N115" i="13"/>
  <c r="O115" i="13"/>
  <c r="D116" i="13"/>
  <c r="E116" i="13"/>
  <c r="F116" i="13"/>
  <c r="G116" i="13"/>
  <c r="M116" i="13"/>
  <c r="O116" i="13"/>
  <c r="D120" i="13"/>
  <c r="E120" i="13"/>
  <c r="F120" i="13"/>
  <c r="G120" i="13"/>
  <c r="I120" i="13"/>
  <c r="J120" i="13"/>
  <c r="K120" i="13"/>
  <c r="L120" i="13"/>
  <c r="M120" i="13"/>
  <c r="N120" i="13"/>
  <c r="O120" i="13"/>
  <c r="F121" i="13"/>
  <c r="F127" i="13" s="1"/>
  <c r="G121" i="13"/>
  <c r="H121" i="13"/>
  <c r="I121" i="13"/>
  <c r="J121" i="13"/>
  <c r="K121" i="13"/>
  <c r="M121" i="13"/>
  <c r="N121" i="13"/>
  <c r="O121" i="13"/>
  <c r="O127" i="13" s="1"/>
  <c r="D122" i="13"/>
  <c r="E122" i="13"/>
  <c r="F122" i="13"/>
  <c r="G122" i="13"/>
  <c r="I122" i="13"/>
  <c r="J122" i="13"/>
  <c r="K122" i="13"/>
  <c r="L122" i="13"/>
  <c r="M122" i="13"/>
  <c r="N122" i="13"/>
  <c r="O122" i="13"/>
  <c r="E123" i="13"/>
  <c r="F123" i="13"/>
  <c r="G123" i="13"/>
  <c r="H123" i="13"/>
  <c r="I123" i="13"/>
  <c r="J123" i="13"/>
  <c r="K123" i="13"/>
  <c r="M123" i="13"/>
  <c r="N123" i="13"/>
  <c r="O123" i="13"/>
  <c r="D124" i="13"/>
  <c r="E124" i="13"/>
  <c r="F124" i="13"/>
  <c r="G124" i="13"/>
  <c r="J124" i="13"/>
  <c r="K124" i="13"/>
  <c r="L124" i="13"/>
  <c r="M124" i="13"/>
  <c r="N124" i="13"/>
  <c r="O124" i="13"/>
  <c r="E125" i="13"/>
  <c r="F125" i="13"/>
  <c r="G125" i="13"/>
  <c r="H125" i="13"/>
  <c r="I125" i="13"/>
  <c r="J125" i="13"/>
  <c r="K125" i="13"/>
  <c r="M125" i="13"/>
  <c r="N125" i="13"/>
  <c r="O125" i="13"/>
  <c r="D126" i="13"/>
  <c r="E126" i="13"/>
  <c r="F126" i="13"/>
  <c r="G126" i="13"/>
  <c r="J126" i="13"/>
  <c r="K126" i="13"/>
  <c r="L126" i="13"/>
  <c r="M126" i="13"/>
  <c r="N126" i="13"/>
  <c r="O126" i="13"/>
  <c r="G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F138" i="13"/>
  <c r="G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X260" i="14"/>
  <c r="AX259" i="14"/>
  <c r="AY14" i="14"/>
  <c r="AX181" i="14"/>
  <c r="AX179" i="14"/>
  <c r="AX177" i="14"/>
  <c r="AX175" i="14"/>
  <c r="AW260" i="14"/>
  <c r="AX14" i="14"/>
  <c r="AW259" i="14" s="1"/>
  <c r="AW181" i="14"/>
  <c r="AW179" i="14"/>
  <c r="AW177" i="14"/>
  <c r="AW175" i="14"/>
  <c r="AV259" i="14"/>
  <c r="AW14" i="14"/>
  <c r="AV181" i="14"/>
  <c r="AV260" i="14" s="1"/>
  <c r="AV179" i="14"/>
  <c r="AV177" i="14"/>
  <c r="AV175" i="14"/>
  <c r="AU259" i="14"/>
  <c r="AV14" i="14"/>
  <c r="AU181" i="14"/>
  <c r="AU179" i="14"/>
  <c r="AU177" i="14"/>
  <c r="AU175" i="14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S14" i="14"/>
  <c r="AR259" i="14" s="1"/>
  <c r="AR181" i="14"/>
  <c r="AR179" i="14"/>
  <c r="AR177" i="14"/>
  <c r="AR175" i="14"/>
  <c r="AR14" i="14"/>
  <c r="AQ259" i="14" s="1"/>
  <c r="AQ181" i="14"/>
  <c r="AQ179" i="14"/>
  <c r="AQ177" i="14"/>
  <c r="AQ175" i="14"/>
  <c r="AP259" i="14"/>
  <c r="AQ14" i="14"/>
  <c r="AP181" i="14"/>
  <c r="AP179" i="14"/>
  <c r="AP177" i="14"/>
  <c r="AP175" i="14"/>
  <c r="AP14" i="14"/>
  <c r="AO259" i="14" s="1"/>
  <c r="AO181" i="14"/>
  <c r="AO179" i="14"/>
  <c r="AO177" i="14"/>
  <c r="AO175" i="14"/>
  <c r="AO260" i="14" s="1"/>
  <c r="AN260" i="14"/>
  <c r="AN259" i="14"/>
  <c r="AO14" i="14"/>
  <c r="AN181" i="14"/>
  <c r="AN179" i="14"/>
  <c r="AN177" i="14"/>
  <c r="AN175" i="14"/>
  <c r="AM260" i="14"/>
  <c r="AM259" i="14"/>
  <c r="AN14" i="14"/>
  <c r="AM181" i="14"/>
  <c r="AM179" i="14"/>
  <c r="AM177" i="14"/>
  <c r="AM175" i="14"/>
  <c r="AM14" i="14"/>
  <c r="AL259" i="14" s="1"/>
  <c r="AL181" i="14"/>
  <c r="AL179" i="14"/>
  <c r="AL177" i="14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J260" i="14" s="1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F259" i="14"/>
  <c r="AG14" i="14"/>
  <c r="AF181" i="14"/>
  <c r="AF260" i="14" s="1"/>
  <c r="AF179" i="14"/>
  <c r="AF177" i="14"/>
  <c r="AF175" i="14"/>
  <c r="AF14" i="14"/>
  <c r="AE259" i="14" s="1"/>
  <c r="AE181" i="14"/>
  <c r="AE179" i="14"/>
  <c r="AE260" i="14" s="1"/>
  <c r="AE177" i="14"/>
  <c r="AE175" i="14"/>
  <c r="AD259" i="14"/>
  <c r="AE14" i="14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14" i="14"/>
  <c r="AB259" i="14" s="1"/>
  <c r="AB181" i="14"/>
  <c r="AB179" i="14"/>
  <c r="AB177" i="14"/>
  <c r="AB175" i="14"/>
  <c r="AB14" i="14"/>
  <c r="AA259" i="14" s="1"/>
  <c r="AA181" i="14"/>
  <c r="AA179" i="14"/>
  <c r="AA177" i="14"/>
  <c r="AA175" i="14"/>
  <c r="AA260" i="14" s="1"/>
  <c r="Z260" i="14"/>
  <c r="Z259" i="14"/>
  <c r="AA14" i="14"/>
  <c r="Z181" i="14"/>
  <c r="Z179" i="14"/>
  <c r="Z177" i="14"/>
  <c r="Z175" i="14"/>
  <c r="Y260" i="14"/>
  <c r="Z14" i="14"/>
  <c r="Y259" i="14" s="1"/>
  <c r="Y181" i="14"/>
  <c r="Y179" i="14"/>
  <c r="Y177" i="14"/>
  <c r="Y175" i="14"/>
  <c r="X259" i="14"/>
  <c r="Y14" i="14"/>
  <c r="X181" i="14"/>
  <c r="X260" i="14" s="1"/>
  <c r="X179" i="14"/>
  <c r="X177" i="14"/>
  <c r="X175" i="14"/>
  <c r="X14" i="14"/>
  <c r="W259" i="14" s="1"/>
  <c r="W181" i="14"/>
  <c r="W179" i="14"/>
  <c r="W260" i="14" s="1"/>
  <c r="W177" i="14"/>
  <c r="W175" i="14"/>
  <c r="W14" i="14"/>
  <c r="V259" i="14" s="1"/>
  <c r="V181" i="14"/>
  <c r="V179" i="14"/>
  <c r="V177" i="14"/>
  <c r="V175" i="14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T14" i="14"/>
  <c r="S259" i="14" s="1"/>
  <c r="S181" i="14"/>
  <c r="S179" i="14"/>
  <c r="S177" i="14"/>
  <c r="S175" i="14"/>
  <c r="R259" i="14"/>
  <c r="S14" i="14"/>
  <c r="R181" i="14"/>
  <c r="R179" i="14"/>
  <c r="R177" i="14"/>
  <c r="R175" i="14"/>
  <c r="R260" i="14" s="1"/>
  <c r="R14" i="14"/>
  <c r="Q259" i="14" s="1"/>
  <c r="Q181" i="14"/>
  <c r="Q179" i="14"/>
  <c r="Q177" i="14"/>
  <c r="Q175" i="14"/>
  <c r="Q260" i="14" s="1"/>
  <c r="P259" i="14"/>
  <c r="Q14" i="14"/>
  <c r="P181" i="14"/>
  <c r="P260" i="14" s="1"/>
  <c r="P179" i="14"/>
  <c r="P177" i="14"/>
  <c r="P175" i="14"/>
  <c r="O260" i="14"/>
  <c r="P14" i="14"/>
  <c r="O259" i="14" s="1"/>
  <c r="O181" i="14"/>
  <c r="O179" i="14"/>
  <c r="O177" i="14"/>
  <c r="O175" i="14"/>
  <c r="O14" i="14"/>
  <c r="N259" i="14" s="1"/>
  <c r="N181" i="14"/>
  <c r="N179" i="14"/>
  <c r="N177" i="14"/>
  <c r="N260" i="14" s="1"/>
  <c r="N175" i="14"/>
  <c r="N14" i="14"/>
  <c r="M259" i="14" s="1"/>
  <c r="M181" i="14"/>
  <c r="M179" i="14"/>
  <c r="M177" i="14"/>
  <c r="M175" i="14"/>
  <c r="M14" i="14"/>
  <c r="L259" i="14" s="1"/>
  <c r="L181" i="14"/>
  <c r="L179" i="14"/>
  <c r="L177" i="14"/>
  <c r="L175" i="14"/>
  <c r="L14" i="14"/>
  <c r="K259" i="14" s="1"/>
  <c r="K181" i="14"/>
  <c r="K179" i="14"/>
  <c r="K177" i="14"/>
  <c r="K175" i="14"/>
  <c r="K260" i="14" s="1"/>
  <c r="J259" i="14"/>
  <c r="K14" i="14"/>
  <c r="J181" i="14"/>
  <c r="J179" i="14"/>
  <c r="J177" i="14"/>
  <c r="J175" i="14"/>
  <c r="I260" i="14"/>
  <c r="J14" i="14"/>
  <c r="I259" i="14" s="1"/>
  <c r="I181" i="14"/>
  <c r="I179" i="14"/>
  <c r="I177" i="14"/>
  <c r="I175" i="14"/>
  <c r="H260" i="14"/>
  <c r="H259" i="14"/>
  <c r="I14" i="14"/>
  <c r="H181" i="14"/>
  <c r="H179" i="14"/>
  <c r="H177" i="14"/>
  <c r="H175" i="14"/>
  <c r="G260" i="14"/>
  <c r="G259" i="14"/>
  <c r="H14" i="14"/>
  <c r="G181" i="14"/>
  <c r="G179" i="14"/>
  <c r="G177" i="14"/>
  <c r="G175" i="14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260" i="14" s="1"/>
  <c r="E14" i="14"/>
  <c r="D259" i="14" s="1"/>
  <c r="D181" i="14"/>
  <c r="D179" i="14"/>
  <c r="D177" i="14"/>
  <c r="D175" i="14"/>
  <c r="D260" i="14" s="1"/>
  <c r="AZ14" i="15"/>
  <c r="AY259" i="15" s="1"/>
  <c r="AY181" i="15"/>
  <c r="AY179" i="15"/>
  <c r="AY260" i="15" s="1"/>
  <c r="AY177" i="15"/>
  <c r="AY175" i="15"/>
  <c r="AX259" i="15"/>
  <c r="AY14" i="15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W260" i="15" s="1"/>
  <c r="AV259" i="15"/>
  <c r="AW14" i="15"/>
  <c r="AV181" i="15"/>
  <c r="AV260" i="15" s="1"/>
  <c r="AV179" i="15"/>
  <c r="AV177" i="15"/>
  <c r="AV175" i="15"/>
  <c r="AV14" i="15"/>
  <c r="AU259" i="15" s="1"/>
  <c r="AU181" i="15"/>
  <c r="AU179" i="15"/>
  <c r="AU260" i="15" s="1"/>
  <c r="AU177" i="15"/>
  <c r="AU175" i="15"/>
  <c r="AT259" i="15"/>
  <c r="AU14" i="15"/>
  <c r="AT181" i="15"/>
  <c r="AT179" i="15"/>
  <c r="AT177" i="15"/>
  <c r="AT175" i="15"/>
  <c r="AT260" i="15" s="1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R14" i="15"/>
  <c r="AQ259" i="15" s="1"/>
  <c r="AQ181" i="15"/>
  <c r="AQ179" i="15"/>
  <c r="AQ177" i="15"/>
  <c r="AQ175" i="15"/>
  <c r="AQ260" i="15" s="1"/>
  <c r="AP260" i="15"/>
  <c r="AP259" i="15"/>
  <c r="AQ14" i="15"/>
  <c r="AP181" i="15"/>
  <c r="AP179" i="15"/>
  <c r="AP177" i="15"/>
  <c r="AP175" i="15"/>
  <c r="AO260" i="15"/>
  <c r="AO259" i="15"/>
  <c r="AP14" i="15"/>
  <c r="AO181" i="15"/>
  <c r="AO179" i="15"/>
  <c r="AO177" i="15"/>
  <c r="AO175" i="15"/>
  <c r="AO14" i="15"/>
  <c r="AN259" i="15" s="1"/>
  <c r="AN181" i="15"/>
  <c r="AN260" i="15" s="1"/>
  <c r="AN179" i="15"/>
  <c r="AN177" i="15"/>
  <c r="AN175" i="15"/>
  <c r="AM260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L260" i="15" s="1"/>
  <c r="AL14" i="15"/>
  <c r="AK259" i="15" s="1"/>
  <c r="AK181" i="15"/>
  <c r="AK179" i="15"/>
  <c r="AK177" i="15"/>
  <c r="AK175" i="15"/>
  <c r="AK14" i="15"/>
  <c r="AJ259" i="15" s="1"/>
  <c r="AJ181" i="15"/>
  <c r="AJ179" i="15"/>
  <c r="AJ177" i="15"/>
  <c r="AJ175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260" i="15" s="1"/>
  <c r="AH175" i="15"/>
  <c r="AH14" i="15"/>
  <c r="AG259" i="15" s="1"/>
  <c r="AG181" i="15"/>
  <c r="AG179" i="15"/>
  <c r="AG177" i="15"/>
  <c r="AG175" i="15"/>
  <c r="AG260" i="15" s="1"/>
  <c r="AF259" i="15"/>
  <c r="AG14" i="15"/>
  <c r="AF181" i="15"/>
  <c r="AF260" i="15" s="1"/>
  <c r="AF179" i="15"/>
  <c r="AF177" i="15"/>
  <c r="AF175" i="15"/>
  <c r="AF14" i="15"/>
  <c r="AE259" i="15" s="1"/>
  <c r="AE181" i="15"/>
  <c r="AE179" i="15"/>
  <c r="AE177" i="15"/>
  <c r="AE175" i="15"/>
  <c r="AE14" i="15"/>
  <c r="AD259" i="15" s="1"/>
  <c r="AD181" i="15"/>
  <c r="AD179" i="15"/>
  <c r="AD177" i="15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14" i="15"/>
  <c r="AA259" i="15" s="1"/>
  <c r="AA181" i="15"/>
  <c r="AA179" i="15"/>
  <c r="AA177" i="15"/>
  <c r="AA175" i="15"/>
  <c r="AA260" i="15" s="1"/>
  <c r="Z260" i="15"/>
  <c r="Z259" i="15"/>
  <c r="AA14" i="15"/>
  <c r="Z181" i="15"/>
  <c r="Z179" i="15"/>
  <c r="Z177" i="15"/>
  <c r="Z175" i="15"/>
  <c r="Y260" i="15"/>
  <c r="Y259" i="15"/>
  <c r="Z14" i="15"/>
  <c r="Y181" i="15"/>
  <c r="Y179" i="15"/>
  <c r="Y177" i="15"/>
  <c r="Y175" i="15"/>
  <c r="Y14" i="15"/>
  <c r="X259" i="15" s="1"/>
  <c r="X181" i="15"/>
  <c r="X260" i="15" s="1"/>
  <c r="X179" i="15"/>
  <c r="X177" i="15"/>
  <c r="X175" i="15"/>
  <c r="X14" i="15"/>
  <c r="W259" i="15" s="1"/>
  <c r="W181" i="15"/>
  <c r="W179" i="15"/>
  <c r="W177" i="15"/>
  <c r="W175" i="15"/>
  <c r="V259" i="15"/>
  <c r="W14" i="15"/>
  <c r="V181" i="15"/>
  <c r="V179" i="15"/>
  <c r="V177" i="15"/>
  <c r="V175" i="15"/>
  <c r="V14" i="15"/>
  <c r="U259" i="15" s="1"/>
  <c r="U181" i="15"/>
  <c r="U179" i="15"/>
  <c r="U177" i="15"/>
  <c r="U175" i="15"/>
  <c r="U14" i="15"/>
  <c r="T259" i="15" s="1"/>
  <c r="T181" i="15"/>
  <c r="T179" i="15"/>
  <c r="T177" i="15"/>
  <c r="T175" i="15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260" i="15" s="1"/>
  <c r="Q260" i="15"/>
  <c r="R14" i="15"/>
  <c r="Q259" i="15" s="1"/>
  <c r="Q181" i="15"/>
  <c r="Q179" i="15"/>
  <c r="Q177" i="15"/>
  <c r="Q175" i="15"/>
  <c r="P259" i="15"/>
  <c r="Q14" i="15"/>
  <c r="P181" i="15"/>
  <c r="P260" i="15" s="1"/>
  <c r="P179" i="15"/>
  <c r="P177" i="15"/>
  <c r="P175" i="15"/>
  <c r="P14" i="15"/>
  <c r="O259" i="15" s="1"/>
  <c r="O181" i="15"/>
  <c r="O179" i="15"/>
  <c r="O260" i="15" s="1"/>
  <c r="O177" i="15"/>
  <c r="O175" i="15"/>
  <c r="N259" i="15"/>
  <c r="O14" i="15"/>
  <c r="N181" i="15"/>
  <c r="N179" i="15"/>
  <c r="N177" i="15"/>
  <c r="N175" i="15"/>
  <c r="N260" i="15" s="1"/>
  <c r="N14" i="15"/>
  <c r="M259" i="15" s="1"/>
  <c r="M181" i="15"/>
  <c r="M179" i="15"/>
  <c r="M177" i="15"/>
  <c r="M175" i="15"/>
  <c r="M14" i="15"/>
  <c r="L259" i="15" s="1"/>
  <c r="L181" i="15"/>
  <c r="L179" i="15"/>
  <c r="L177" i="15"/>
  <c r="L175" i="15"/>
  <c r="K260" i="15"/>
  <c r="L14" i="15"/>
  <c r="K259" i="15" s="1"/>
  <c r="K181" i="15"/>
  <c r="K179" i="15"/>
  <c r="K177" i="15"/>
  <c r="K175" i="15"/>
  <c r="J260" i="15"/>
  <c r="J259" i="15"/>
  <c r="K14" i="15"/>
  <c r="J181" i="15"/>
  <c r="J179" i="15"/>
  <c r="J177" i="15"/>
  <c r="J175" i="15"/>
  <c r="I260" i="15"/>
  <c r="I259" i="15"/>
  <c r="J14" i="15"/>
  <c r="I181" i="15"/>
  <c r="I179" i="15"/>
  <c r="I177" i="15"/>
  <c r="I175" i="15"/>
  <c r="I14" i="15"/>
  <c r="H259" i="15" s="1"/>
  <c r="H181" i="15"/>
  <c r="H260" i="15" s="1"/>
  <c r="H179" i="15"/>
  <c r="H177" i="15"/>
  <c r="H175" i="15"/>
  <c r="H14" i="15"/>
  <c r="G259" i="15" s="1"/>
  <c r="G181" i="15"/>
  <c r="G179" i="15"/>
  <c r="G177" i="15"/>
  <c r="G175" i="15"/>
  <c r="F259" i="15"/>
  <c r="G14" i="15"/>
  <c r="F181" i="15"/>
  <c r="F179" i="15"/>
  <c r="F177" i="15"/>
  <c r="F175" i="15"/>
  <c r="F14" i="15"/>
  <c r="E181" i="15"/>
  <c r="E179" i="15"/>
  <c r="E177" i="15"/>
  <c r="E175" i="15"/>
  <c r="E14" i="15"/>
  <c r="D259" i="15" s="1"/>
  <c r="D181" i="15"/>
  <c r="D179" i="15"/>
  <c r="D177" i="15"/>
  <c r="D175" i="15"/>
  <c r="AY14" i="16"/>
  <c r="AY10" i="16" s="1"/>
  <c r="AY15" i="16"/>
  <c r="AY16" i="16"/>
  <c r="AY13" i="16"/>
  <c r="AY17" i="16"/>
  <c r="AY29" i="16"/>
  <c r="AX14" i="16"/>
  <c r="AX10" i="16" s="1"/>
  <c r="AX13" i="16" s="1"/>
  <c r="AX15" i="16"/>
  <c r="AX16" i="16"/>
  <c r="AX17" i="16"/>
  <c r="AX29" i="16"/>
  <c r="AW14" i="16"/>
  <c r="AW15" i="16"/>
  <c r="AW16" i="16"/>
  <c r="AW17" i="16"/>
  <c r="AW29" i="16"/>
  <c r="AV14" i="16"/>
  <c r="AV15" i="16"/>
  <c r="AV16" i="16"/>
  <c r="AV17" i="16"/>
  <c r="AV29" i="16"/>
  <c r="AU14" i="16"/>
  <c r="AU10" i="16" s="1"/>
  <c r="AU13" i="16" s="1"/>
  <c r="AU15" i="16"/>
  <c r="AU16" i="16"/>
  <c r="AU17" i="16"/>
  <c r="AU29" i="16"/>
  <c r="AT14" i="16"/>
  <c r="AT15" i="16"/>
  <c r="AT16" i="16"/>
  <c r="AT10" i="16"/>
  <c r="AT13" i="16" s="1"/>
  <c r="AT17" i="16"/>
  <c r="AT29" i="16"/>
  <c r="AS14" i="16"/>
  <c r="AS15" i="16"/>
  <c r="AS16" i="16"/>
  <c r="AS10" i="16"/>
  <c r="AS13" i="16"/>
  <c r="AS17" i="16"/>
  <c r="AS29" i="16"/>
  <c r="AR14" i="16"/>
  <c r="AR15" i="16"/>
  <c r="AR16" i="16"/>
  <c r="AR10" i="16"/>
  <c r="AR13" i="16"/>
  <c r="AR17" i="16"/>
  <c r="AR29" i="16"/>
  <c r="AQ14" i="16"/>
  <c r="AQ10" i="16" s="1"/>
  <c r="AQ15" i="16"/>
  <c r="AQ16" i="16"/>
  <c r="AQ13" i="16"/>
  <c r="AQ17" i="16"/>
  <c r="AQ29" i="16"/>
  <c r="AP14" i="16"/>
  <c r="AP15" i="16"/>
  <c r="AP16" i="16"/>
  <c r="AP17" i="16"/>
  <c r="AP29" i="16"/>
  <c r="AO14" i="16"/>
  <c r="AO15" i="16"/>
  <c r="AO16" i="16"/>
  <c r="AO17" i="16"/>
  <c r="AO29" i="16"/>
  <c r="AN14" i="16"/>
  <c r="AN15" i="16"/>
  <c r="AN10" i="16" s="1"/>
  <c r="AN13" i="16" s="1"/>
  <c r="AN16" i="16"/>
  <c r="AN17" i="16"/>
  <c r="AN22" i="16"/>
  <c r="AN29" i="16"/>
  <c r="AM14" i="16"/>
  <c r="AM15" i="16"/>
  <c r="AM16" i="16"/>
  <c r="AM10" i="16"/>
  <c r="AM13" i="16" s="1"/>
  <c r="AM17" i="16"/>
  <c r="AM29" i="16"/>
  <c r="AL14" i="16"/>
  <c r="AL15" i="16"/>
  <c r="AL10" i="16" s="1"/>
  <c r="AL13" i="16" s="1"/>
  <c r="AL16" i="16"/>
  <c r="AL17" i="16"/>
  <c r="AL29" i="16"/>
  <c r="AK14" i="16"/>
  <c r="AK15" i="16"/>
  <c r="AK16" i="16"/>
  <c r="AK10" i="16"/>
  <c r="AK13" i="16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3" i="16" s="1"/>
  <c r="AI15" i="16"/>
  <c r="AI16" i="16"/>
  <c r="AI17" i="16"/>
  <c r="AI29" i="16"/>
  <c r="AH14" i="16"/>
  <c r="AH15" i="16"/>
  <c r="AH16" i="16"/>
  <c r="AH17" i="16"/>
  <c r="AH29" i="16"/>
  <c r="AG14" i="16"/>
  <c r="AG15" i="16"/>
  <c r="AG16" i="16"/>
  <c r="AG17" i="16"/>
  <c r="AG29" i="16"/>
  <c r="AF14" i="16"/>
  <c r="AF15" i="16"/>
  <c r="AF16" i="16"/>
  <c r="AF17" i="16"/>
  <c r="AF29" i="16"/>
  <c r="AE14" i="16"/>
  <c r="AE15" i="16"/>
  <c r="AE16" i="16"/>
  <c r="AE10" i="16" s="1"/>
  <c r="AE13" i="16" s="1"/>
  <c r="AE17" i="16"/>
  <c r="AE29" i="16"/>
  <c r="AD14" i="16"/>
  <c r="AD15" i="16"/>
  <c r="AD16" i="16"/>
  <c r="AD10" i="16"/>
  <c r="AD13" i="16" s="1"/>
  <c r="AD17" i="16"/>
  <c r="AD29" i="16"/>
  <c r="AC14" i="16"/>
  <c r="AC15" i="16"/>
  <c r="AC16" i="16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0" i="16" s="1"/>
  <c r="AA13" i="16" s="1"/>
  <c r="AA17" i="16"/>
  <c r="AA29" i="16"/>
  <c r="Z14" i="16"/>
  <c r="Z15" i="16"/>
  <c r="Z16" i="16"/>
  <c r="Z10" i="16"/>
  <c r="Z13" i="16"/>
  <c r="Z17" i="16"/>
  <c r="Z29" i="16"/>
  <c r="Y14" i="16"/>
  <c r="Y10" i="16" s="1"/>
  <c r="Y13" i="16" s="1"/>
  <c r="Y15" i="16"/>
  <c r="Y16" i="16"/>
  <c r="Y17" i="16"/>
  <c r="Y29" i="16"/>
  <c r="X14" i="16"/>
  <c r="X15" i="16"/>
  <c r="X16" i="16"/>
  <c r="X10" i="16"/>
  <c r="X13" i="16" s="1"/>
  <c r="X17" i="16"/>
  <c r="X29" i="16"/>
  <c r="W14" i="16"/>
  <c r="W10" i="16" s="1"/>
  <c r="W15" i="16"/>
  <c r="W16" i="16"/>
  <c r="W13" i="16"/>
  <c r="W17" i="16"/>
  <c r="W21" i="16"/>
  <c r="W29" i="16"/>
  <c r="V14" i="16"/>
  <c r="V10" i="16" s="1"/>
  <c r="V13" i="16" s="1"/>
  <c r="V15" i="16"/>
  <c r="V16" i="16"/>
  <c r="V17" i="16"/>
  <c r="V29" i="16"/>
  <c r="U14" i="16"/>
  <c r="U15" i="16"/>
  <c r="U16" i="16"/>
  <c r="U10" i="16" s="1"/>
  <c r="U13" i="16" s="1"/>
  <c r="U17" i="16"/>
  <c r="U29" i="16"/>
  <c r="T14" i="16"/>
  <c r="T15" i="16"/>
  <c r="T16" i="16"/>
  <c r="T10" i="16" s="1"/>
  <c r="T13" i="16" s="1"/>
  <c r="T17" i="16"/>
  <c r="T29" i="16"/>
  <c r="S14" i="16"/>
  <c r="S15" i="16"/>
  <c r="S10" i="16" s="1"/>
  <c r="S13" i="16" s="1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/>
  <c r="Q17" i="16"/>
  <c r="Q29" i="16"/>
  <c r="P14" i="16"/>
  <c r="P15" i="16"/>
  <c r="P16" i="16"/>
  <c r="P17" i="16"/>
  <c r="P29" i="16"/>
  <c r="O14" i="16"/>
  <c r="O15" i="16"/>
  <c r="O10" i="16" s="1"/>
  <c r="O13" i="16" s="1"/>
  <c r="O16" i="16"/>
  <c r="O17" i="16"/>
  <c r="O29" i="16"/>
  <c r="N14" i="16"/>
  <c r="N15" i="16"/>
  <c r="N10" i="16" s="1"/>
  <c r="N13" i="16" s="1"/>
  <c r="N16" i="16"/>
  <c r="N17" i="16"/>
  <c r="N29" i="16"/>
  <c r="M14" i="16"/>
  <c r="M10" i="16" s="1"/>
  <c r="M13" i="16" s="1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5" i="16"/>
  <c r="K10" i="16" s="1"/>
  <c r="K13" i="16" s="1"/>
  <c r="K16" i="16"/>
  <c r="K17" i="16"/>
  <c r="K29" i="16"/>
  <c r="J14" i="16"/>
  <c r="J15" i="16"/>
  <c r="J16" i="16"/>
  <c r="J10" i="16" s="1"/>
  <c r="J13" i="16" s="1"/>
  <c r="J17" i="16"/>
  <c r="J29" i="16"/>
  <c r="I14" i="16"/>
  <c r="I15" i="16"/>
  <c r="I10" i="16" s="1"/>
  <c r="I13" i="16" s="1"/>
  <c r="I16" i="16"/>
  <c r="I17" i="16"/>
  <c r="I29" i="16"/>
  <c r="H14" i="16"/>
  <c r="H15" i="16"/>
  <c r="H16" i="16"/>
  <c r="H21" i="16"/>
  <c r="H22" i="16"/>
  <c r="H45" i="16" s="1"/>
  <c r="H51" i="16" s="1"/>
  <c r="H23" i="16"/>
  <c r="H24" i="16"/>
  <c r="H29" i="16"/>
  <c r="H33" i="16"/>
  <c r="H35" i="16" s="1"/>
  <c r="H34" i="16"/>
  <c r="H40" i="16"/>
  <c r="H44" i="16"/>
  <c r="H46" i="16" s="1"/>
  <c r="H50" i="16"/>
  <c r="G14" i="16"/>
  <c r="G15" i="16"/>
  <c r="G10" i="16" s="1"/>
  <c r="G13" i="16" s="1"/>
  <c r="G16" i="16"/>
  <c r="H17" i="16" s="1"/>
  <c r="G17" i="16"/>
  <c r="G21" i="16"/>
  <c r="G29" i="16"/>
  <c r="F14" i="16"/>
  <c r="F15" i="16"/>
  <c r="F16" i="16"/>
  <c r="F10" i="16" s="1"/>
  <c r="F13" i="16"/>
  <c r="F17" i="16"/>
  <c r="F27" i="16"/>
  <c r="F29" i="16"/>
  <c r="E14" i="16"/>
  <c r="E15" i="16"/>
  <c r="E16" i="16"/>
  <c r="E10" i="16"/>
  <c r="E13" i="16" s="1"/>
  <c r="E17" i="16"/>
  <c r="E29" i="16"/>
  <c r="E30" i="16"/>
  <c r="D14" i="16"/>
  <c r="D15" i="16"/>
  <c r="D16" i="16"/>
  <c r="D17" i="16"/>
  <c r="D27" i="16"/>
  <c r="E27" i="16" s="1"/>
  <c r="D29" i="16"/>
  <c r="D30" i="16"/>
  <c r="AY14" i="17"/>
  <c r="AY15" i="17"/>
  <c r="AY16" i="17"/>
  <c r="AY17" i="17"/>
  <c r="AY29" i="17"/>
  <c r="AX14" i="17"/>
  <c r="AX15" i="17"/>
  <c r="AX16" i="17"/>
  <c r="AX10" i="17"/>
  <c r="AX13" i="17" s="1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7" i="17"/>
  <c r="AV29" i="17"/>
  <c r="AU14" i="17"/>
  <c r="AU15" i="17"/>
  <c r="AU16" i="17"/>
  <c r="AU10" i="17"/>
  <c r="AU13" i="17" s="1"/>
  <c r="AU17" i="17"/>
  <c r="AU29" i="17"/>
  <c r="AT14" i="17"/>
  <c r="AT10" i="17" s="1"/>
  <c r="AT13" i="17" s="1"/>
  <c r="AT15" i="17"/>
  <c r="AT16" i="17"/>
  <c r="AT17" i="17"/>
  <c r="AT29" i="17"/>
  <c r="AS14" i="17"/>
  <c r="AS15" i="17"/>
  <c r="AS16" i="17"/>
  <c r="AS10" i="17"/>
  <c r="AS13" i="17"/>
  <c r="AS17" i="17"/>
  <c r="AS29" i="17"/>
  <c r="AR14" i="17"/>
  <c r="AR10" i="17" s="1"/>
  <c r="AR15" i="17"/>
  <c r="AR16" i="17"/>
  <c r="AR13" i="17"/>
  <c r="AR17" i="17"/>
  <c r="AR29" i="17"/>
  <c r="AQ14" i="17"/>
  <c r="AQ15" i="17"/>
  <c r="AQ10" i="17" s="1"/>
  <c r="AQ13" i="17" s="1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0" i="17"/>
  <c r="AL13" i="17" s="1"/>
  <c r="AL17" i="17"/>
  <c r="AL29" i="17"/>
  <c r="AK14" i="17"/>
  <c r="AK15" i="17"/>
  <c r="AK16" i="17"/>
  <c r="AK17" i="17"/>
  <c r="AK29" i="17"/>
  <c r="AJ14" i="17"/>
  <c r="AJ10" i="17" s="1"/>
  <c r="AJ13" i="17" s="1"/>
  <c r="AJ15" i="17"/>
  <c r="AJ16" i="17"/>
  <c r="AJ17" i="17"/>
  <c r="AJ29" i="17"/>
  <c r="AI14" i="17"/>
  <c r="AI15" i="17"/>
  <c r="AI16" i="17"/>
  <c r="AI17" i="17"/>
  <c r="AI29" i="17"/>
  <c r="AH14" i="17"/>
  <c r="AH15" i="17"/>
  <c r="AH16" i="17"/>
  <c r="AH17" i="17"/>
  <c r="AH29" i="17"/>
  <c r="AG14" i="17"/>
  <c r="AG15" i="17"/>
  <c r="AG16" i="17"/>
  <c r="AG17" i="17"/>
  <c r="AG29" i="17"/>
  <c r="AF14" i="17"/>
  <c r="AF15" i="17"/>
  <c r="AF16" i="17"/>
  <c r="AF10" i="17" s="1"/>
  <c r="AF13" i="17" s="1"/>
  <c r="AF17" i="17"/>
  <c r="AF21" i="17"/>
  <c r="AF29" i="17"/>
  <c r="AE14" i="17"/>
  <c r="AE15" i="17"/>
  <c r="AE16" i="17"/>
  <c r="AE10" i="17"/>
  <c r="AE13" i="17"/>
  <c r="AE17" i="17"/>
  <c r="AE29" i="17"/>
  <c r="AD14" i="17"/>
  <c r="AD10" i="17" s="1"/>
  <c r="AD15" i="17"/>
  <c r="AD16" i="17"/>
  <c r="AD13" i="17"/>
  <c r="AD17" i="17"/>
  <c r="AD29" i="17"/>
  <c r="AC14" i="17"/>
  <c r="AC15" i="17"/>
  <c r="AC10" i="17" s="1"/>
  <c r="AC13" i="17" s="1"/>
  <c r="AC16" i="17"/>
  <c r="AC17" i="17"/>
  <c r="AC21" i="17"/>
  <c r="AC29" i="17"/>
  <c r="AB14" i="17"/>
  <c r="AB10" i="17" s="1"/>
  <c r="AB15" i="17"/>
  <c r="AB16" i="17"/>
  <c r="AB13" i="17"/>
  <c r="AB17" i="17"/>
  <c r="AB29" i="17"/>
  <c r="AA14" i="17"/>
  <c r="AA15" i="17"/>
  <c r="AA16" i="17"/>
  <c r="AA17" i="17"/>
  <c r="AA29" i="17"/>
  <c r="Z14" i="17"/>
  <c r="Z15" i="17"/>
  <c r="Z16" i="17"/>
  <c r="Z10" i="17"/>
  <c r="Z13" i="17" s="1"/>
  <c r="Z17" i="17"/>
  <c r="Z29" i="17"/>
  <c r="Y14" i="17"/>
  <c r="Y15" i="17"/>
  <c r="Y10" i="17" s="1"/>
  <c r="Y16" i="17"/>
  <c r="Y13" i="17"/>
  <c r="Y17" i="17"/>
  <c r="Y29" i="17"/>
  <c r="X14" i="17"/>
  <c r="X15" i="17"/>
  <c r="X16" i="17"/>
  <c r="X10" i="17"/>
  <c r="X13" i="17"/>
  <c r="X17" i="17"/>
  <c r="X29" i="17"/>
  <c r="W14" i="17"/>
  <c r="W10" i="17" s="1"/>
  <c r="W15" i="17"/>
  <c r="W16" i="17"/>
  <c r="W13" i="17"/>
  <c r="W17" i="17"/>
  <c r="W29" i="17"/>
  <c r="V14" i="17"/>
  <c r="V15" i="17"/>
  <c r="V16" i="17"/>
  <c r="V17" i="17"/>
  <c r="V29" i="17"/>
  <c r="U14" i="17"/>
  <c r="U15" i="17"/>
  <c r="U10" i="17" s="1"/>
  <c r="U13" i="17" s="1"/>
  <c r="U16" i="17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5" i="17"/>
  <c r="R16" i="17"/>
  <c r="R17" i="17"/>
  <c r="R29" i="17"/>
  <c r="Q14" i="17"/>
  <c r="Q15" i="17"/>
  <c r="Q16" i="17"/>
  <c r="Q10" i="17"/>
  <c r="Q13" i="17" s="1"/>
  <c r="Q17" i="17"/>
  <c r="Q29" i="17"/>
  <c r="P14" i="17"/>
  <c r="P15" i="17"/>
  <c r="P16" i="17"/>
  <c r="P10" i="17"/>
  <c r="P13" i="17" s="1"/>
  <c r="P17" i="17"/>
  <c r="P29" i="17"/>
  <c r="O14" i="17"/>
  <c r="O15" i="17"/>
  <c r="O10" i="17" s="1"/>
  <c r="O13" i="17" s="1"/>
  <c r="O16" i="17"/>
  <c r="O17" i="17"/>
  <c r="O29" i="17"/>
  <c r="N14" i="17"/>
  <c r="N10" i="17" s="1"/>
  <c r="N13" i="17" s="1"/>
  <c r="N15" i="17"/>
  <c r="N16" i="17"/>
  <c r="N17" i="17"/>
  <c r="N29" i="17"/>
  <c r="M14" i="17"/>
  <c r="M15" i="17"/>
  <c r="M16" i="17"/>
  <c r="M10" i="17"/>
  <c r="M13" i="17" s="1"/>
  <c r="M17" i="17"/>
  <c r="M29" i="17"/>
  <c r="L14" i="17"/>
  <c r="L10" i="17" s="1"/>
  <c r="L15" i="17"/>
  <c r="L16" i="17"/>
  <c r="L13" i="17"/>
  <c r="L17" i="17"/>
  <c r="L29" i="17"/>
  <c r="K14" i="17"/>
  <c r="K15" i="17"/>
  <c r="K16" i="17"/>
  <c r="K10" i="17" s="1"/>
  <c r="K13" i="17" s="1"/>
  <c r="K17" i="17"/>
  <c r="K29" i="17"/>
  <c r="J14" i="17"/>
  <c r="J15" i="17"/>
  <c r="J16" i="17"/>
  <c r="J10" i="17" s="1"/>
  <c r="J13" i="17" s="1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0" i="17" s="1"/>
  <c r="G13" i="17" s="1"/>
  <c r="G15" i="17"/>
  <c r="G16" i="17"/>
  <c r="G17" i="17"/>
  <c r="G29" i="17"/>
  <c r="F14" i="17"/>
  <c r="F10" i="17" s="1"/>
  <c r="F13" i="17" s="1"/>
  <c r="F15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30" i="17" s="1"/>
  <c r="D29" i="17"/>
  <c r="AY14" i="18"/>
  <c r="AY10" i="18" s="1"/>
  <c r="AY13" i="18" s="1"/>
  <c r="AY15" i="18"/>
  <c r="AY16" i="18"/>
  <c r="AY17" i="18"/>
  <c r="AY29" i="18"/>
  <c r="AX14" i="18"/>
  <c r="AX10" i="18" s="1"/>
  <c r="AX15" i="18"/>
  <c r="AX16" i="18"/>
  <c r="AX13" i="18"/>
  <c r="AX17" i="18"/>
  <c r="AX29" i="18"/>
  <c r="AW14" i="18"/>
  <c r="AW15" i="18"/>
  <c r="AW16" i="18"/>
  <c r="AW10" i="18"/>
  <c r="AW13" i="18" s="1"/>
  <c r="AW17" i="18"/>
  <c r="AW29" i="18"/>
  <c r="AV14" i="18"/>
  <c r="AV15" i="18"/>
  <c r="AV16" i="18"/>
  <c r="AV10" i="18" s="1"/>
  <c r="AV13" i="18" s="1"/>
  <c r="AV17" i="18"/>
  <c r="AV29" i="18"/>
  <c r="AU14" i="18"/>
  <c r="AU15" i="18"/>
  <c r="AU10" i="18" s="1"/>
  <c r="AU13" i="18" s="1"/>
  <c r="AU16" i="18"/>
  <c r="AU17" i="18"/>
  <c r="AU29" i="18"/>
  <c r="AT14" i="18"/>
  <c r="AT15" i="18"/>
  <c r="AT16" i="18"/>
  <c r="AT17" i="18"/>
  <c r="AT29" i="18"/>
  <c r="AS14" i="18"/>
  <c r="AS15" i="18"/>
  <c r="AS16" i="18"/>
  <c r="AS10" i="18"/>
  <c r="AS13" i="18" s="1"/>
  <c r="AS17" i="18"/>
  <c r="AS29" i="18"/>
  <c r="AR14" i="18"/>
  <c r="AR15" i="18"/>
  <c r="AR16" i="18"/>
  <c r="AR17" i="18"/>
  <c r="AR29" i="18"/>
  <c r="AQ14" i="18"/>
  <c r="AQ15" i="18"/>
  <c r="AQ16" i="18"/>
  <c r="AQ10" i="18" s="1"/>
  <c r="AQ13" i="18"/>
  <c r="AQ17" i="18"/>
  <c r="AQ29" i="18"/>
  <c r="AP14" i="18"/>
  <c r="AP15" i="18"/>
  <c r="AP16" i="18"/>
  <c r="AP10" i="18" s="1"/>
  <c r="AP13" i="18" s="1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0" i="18"/>
  <c r="AN13" i="18" s="1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0" i="18"/>
  <c r="AL13" i="18" s="1"/>
  <c r="AM21" i="18" s="1"/>
  <c r="AL17" i="18"/>
  <c r="AL29" i="18"/>
  <c r="AK14" i="18"/>
  <c r="AK15" i="18"/>
  <c r="AK16" i="18"/>
  <c r="AK17" i="18"/>
  <c r="AK29" i="18"/>
  <c r="AJ14" i="18"/>
  <c r="AJ15" i="18"/>
  <c r="AJ10" i="18" s="1"/>
  <c r="AJ13" i="18" s="1"/>
  <c r="AJ16" i="18"/>
  <c r="AJ17" i="18"/>
  <c r="AJ29" i="18"/>
  <c r="AI14" i="18"/>
  <c r="AI10" i="18" s="1"/>
  <c r="AI13" i="18" s="1"/>
  <c r="AI15" i="18"/>
  <c r="AI16" i="18"/>
  <c r="AI17" i="18"/>
  <c r="AI29" i="18"/>
  <c r="AH14" i="18"/>
  <c r="AH15" i="18"/>
  <c r="AH16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0" i="18" s="1"/>
  <c r="AF13" i="18" s="1"/>
  <c r="AF16" i="18"/>
  <c r="AF17" i="18"/>
  <c r="AF29" i="18"/>
  <c r="AE14" i="18"/>
  <c r="AE15" i="18"/>
  <c r="AE16" i="18"/>
  <c r="AE10" i="18" s="1"/>
  <c r="AE13" i="18" s="1"/>
  <c r="AE17" i="18"/>
  <c r="AE29" i="18"/>
  <c r="AD17" i="18"/>
  <c r="AD21" i="18"/>
  <c r="AD44" i="18" s="1"/>
  <c r="AD50" i="18" s="1"/>
  <c r="AD22" i="18"/>
  <c r="AD23" i="18"/>
  <c r="AD29" i="18"/>
  <c r="AD33" i="18"/>
  <c r="AD39" i="18"/>
  <c r="AD45" i="18"/>
  <c r="AC14" i="18"/>
  <c r="AC15" i="18"/>
  <c r="AD16" i="18" s="1"/>
  <c r="AC16" i="18"/>
  <c r="AC17" i="18"/>
  <c r="AC29" i="18"/>
  <c r="AB14" i="18"/>
  <c r="AB15" i="18"/>
  <c r="AB16" i="18"/>
  <c r="AB10" i="18"/>
  <c r="AB13" i="18" s="1"/>
  <c r="AB17" i="18"/>
  <c r="AB29" i="18"/>
  <c r="AA14" i="18"/>
  <c r="AA15" i="18"/>
  <c r="AA16" i="18"/>
  <c r="AA10" i="18"/>
  <c r="AA13" i="18" s="1"/>
  <c r="AA17" i="18"/>
  <c r="AA29" i="18"/>
  <c r="Z14" i="18"/>
  <c r="Z15" i="18"/>
  <c r="Z16" i="18"/>
  <c r="Z10" i="18"/>
  <c r="Z13" i="18" s="1"/>
  <c r="Z17" i="18"/>
  <c r="Z29" i="18"/>
  <c r="Y14" i="18"/>
  <c r="Y15" i="18"/>
  <c r="Y16" i="18"/>
  <c r="Y17" i="18"/>
  <c r="Y29" i="18"/>
  <c r="X14" i="18"/>
  <c r="X15" i="18"/>
  <c r="X16" i="18"/>
  <c r="X10" i="18"/>
  <c r="X13" i="18" s="1"/>
  <c r="X17" i="18"/>
  <c r="X29" i="18"/>
  <c r="W14" i="18"/>
  <c r="W15" i="18"/>
  <c r="W16" i="18"/>
  <c r="W10" i="18"/>
  <c r="W13" i="18" s="1"/>
  <c r="W17" i="18"/>
  <c r="W29" i="18"/>
  <c r="V14" i="18"/>
  <c r="V15" i="18"/>
  <c r="V16" i="18"/>
  <c r="V10" i="18"/>
  <c r="V13" i="18" s="1"/>
  <c r="V17" i="18"/>
  <c r="V29" i="18"/>
  <c r="U14" i="18"/>
  <c r="U15" i="18"/>
  <c r="U16" i="18"/>
  <c r="U17" i="18"/>
  <c r="U29" i="18"/>
  <c r="T14" i="18"/>
  <c r="T15" i="18"/>
  <c r="T16" i="18"/>
  <c r="T10" i="18"/>
  <c r="T13" i="18" s="1"/>
  <c r="T17" i="18"/>
  <c r="T29" i="18"/>
  <c r="S14" i="18"/>
  <c r="S15" i="18"/>
  <c r="S16" i="18"/>
  <c r="S17" i="18"/>
  <c r="S29" i="18"/>
  <c r="R14" i="18"/>
  <c r="R15" i="18"/>
  <c r="R16" i="18"/>
  <c r="R10" i="18" s="1"/>
  <c r="R13" i="18" s="1"/>
  <c r="R17" i="18"/>
  <c r="R29" i="18"/>
  <c r="Q14" i="18"/>
  <c r="Q15" i="18"/>
  <c r="Q16" i="18"/>
  <c r="Q10" i="18"/>
  <c r="Q13" i="18" s="1"/>
  <c r="Q17" i="18"/>
  <c r="Q29" i="18"/>
  <c r="P14" i="18"/>
  <c r="P10" i="18" s="1"/>
  <c r="P13" i="18" s="1"/>
  <c r="P15" i="18"/>
  <c r="P16" i="18"/>
  <c r="P17" i="18"/>
  <c r="P29" i="18"/>
  <c r="O14" i="18"/>
  <c r="O15" i="18"/>
  <c r="O16" i="18"/>
  <c r="O17" i="18"/>
  <c r="O29" i="18"/>
  <c r="N14" i="18"/>
  <c r="N15" i="18"/>
  <c r="N10" i="18" s="1"/>
  <c r="N13" i="18" s="1"/>
  <c r="N16" i="18"/>
  <c r="N17" i="18"/>
  <c r="N29" i="18"/>
  <c r="M14" i="18"/>
  <c r="M10" i="18" s="1"/>
  <c r="M13" i="18" s="1"/>
  <c r="M15" i="18"/>
  <c r="M16" i="18"/>
  <c r="M17" i="18"/>
  <c r="M29" i="18"/>
  <c r="L14" i="18"/>
  <c r="L15" i="18"/>
  <c r="L16" i="18"/>
  <c r="L17" i="18"/>
  <c r="L29" i="18"/>
  <c r="K14" i="18"/>
  <c r="K10" i="18" s="1"/>
  <c r="K13" i="18" s="1"/>
  <c r="K15" i="18"/>
  <c r="K16" i="18"/>
  <c r="K17" i="18"/>
  <c r="K29" i="18"/>
  <c r="J14" i="18"/>
  <c r="J15" i="18"/>
  <c r="J10" i="18" s="1"/>
  <c r="J13" i="18" s="1"/>
  <c r="J16" i="18"/>
  <c r="J17" i="18"/>
  <c r="J29" i="18"/>
  <c r="I14" i="18"/>
  <c r="I15" i="18"/>
  <c r="I16" i="18"/>
  <c r="I10" i="18" s="1"/>
  <c r="I13" i="18" s="1"/>
  <c r="I17" i="18"/>
  <c r="I29" i="18"/>
  <c r="H14" i="18"/>
  <c r="H10" i="18" s="1"/>
  <c r="H13" i="18" s="1"/>
  <c r="H15" i="18"/>
  <c r="H16" i="18"/>
  <c r="H17" i="18"/>
  <c r="H29" i="18"/>
  <c r="G14" i="18"/>
  <c r="G10" i="18" s="1"/>
  <c r="G13" i="18" s="1"/>
  <c r="G15" i="18"/>
  <c r="G16" i="18"/>
  <c r="G17" i="18"/>
  <c r="G29" i="18"/>
  <c r="F14" i="18"/>
  <c r="F15" i="18"/>
  <c r="F16" i="18"/>
  <c r="F17" i="18"/>
  <c r="F27" i="18"/>
  <c r="F29" i="18"/>
  <c r="E14" i="18"/>
  <c r="E15" i="18"/>
  <c r="E16" i="18"/>
  <c r="E10" i="18"/>
  <c r="E13" i="18" s="1"/>
  <c r="E17" i="18"/>
  <c r="E29" i="18"/>
  <c r="D14" i="18"/>
  <c r="D15" i="18"/>
  <c r="D16" i="18"/>
  <c r="D10" i="18"/>
  <c r="D17" i="18"/>
  <c r="D27" i="18"/>
  <c r="D29" i="18"/>
  <c r="E27" i="18" s="1"/>
  <c r="E30" i="18" s="1"/>
  <c r="D30" i="18"/>
  <c r="B21" i="16"/>
  <c r="D21" i="16" s="1"/>
  <c r="D23" i="16" s="1"/>
  <c r="B21" i="17"/>
  <c r="D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6"/>
  <c r="AM23" i="18" l="1"/>
  <c r="AM33" i="18"/>
  <c r="AM44" i="18"/>
  <c r="L21" i="17"/>
  <c r="I21" i="18"/>
  <c r="I22" i="18"/>
  <c r="H21" i="17"/>
  <c r="S21" i="18"/>
  <c r="S22" i="18"/>
  <c r="D21" i="18"/>
  <c r="B22" i="18"/>
  <c r="AN22" i="18"/>
  <c r="AN21" i="18"/>
  <c r="AG21" i="17"/>
  <c r="W44" i="16"/>
  <c r="W33" i="16"/>
  <c r="W23" i="16"/>
  <c r="F21" i="18"/>
  <c r="AA22" i="18"/>
  <c r="AA21" i="18"/>
  <c r="AB21" i="18"/>
  <c r="AK22" i="18"/>
  <c r="AK21" i="18"/>
  <c r="N21" i="17"/>
  <c r="N22" i="17"/>
  <c r="AC44" i="17"/>
  <c r="AC23" i="17"/>
  <c r="AY22" i="17"/>
  <c r="U21" i="16"/>
  <c r="U22" i="16"/>
  <c r="G27" i="18"/>
  <c r="F30" i="18"/>
  <c r="J22" i="18"/>
  <c r="O22" i="18"/>
  <c r="O21" i="18"/>
  <c r="U21" i="18"/>
  <c r="U22" i="18"/>
  <c r="AJ21" i="18"/>
  <c r="AP22" i="18"/>
  <c r="S10" i="17"/>
  <c r="S13" i="17" s="1"/>
  <c r="AX21" i="17"/>
  <c r="AB21" i="16"/>
  <c r="AB22" i="16"/>
  <c r="H21" i="18"/>
  <c r="H22" i="18"/>
  <c r="K21" i="18"/>
  <c r="K22" i="18"/>
  <c r="L10" i="18"/>
  <c r="L13" i="18" s="1"/>
  <c r="N21" i="18"/>
  <c r="AF22" i="18"/>
  <c r="X22" i="17"/>
  <c r="X21" i="17"/>
  <c r="Y21" i="17"/>
  <c r="AC22" i="17"/>
  <c r="N22" i="16"/>
  <c r="N21" i="16"/>
  <c r="E259" i="15"/>
  <c r="AZ259" i="15" s="1"/>
  <c r="BA14" i="15"/>
  <c r="AD260" i="15"/>
  <c r="AJ260" i="15"/>
  <c r="H127" i="12"/>
  <c r="H121" i="10"/>
  <c r="H116" i="10"/>
  <c r="L120" i="10"/>
  <c r="L127" i="10" s="1"/>
  <c r="L116" i="10"/>
  <c r="D116" i="10"/>
  <c r="H10" i="20" s="1"/>
  <c r="D120" i="10"/>
  <c r="D127" i="10" s="1"/>
  <c r="AT21" i="17"/>
  <c r="D13" i="18"/>
  <c r="R22" i="18"/>
  <c r="R21" i="18"/>
  <c r="K21" i="17"/>
  <c r="O116" i="10"/>
  <c r="O121" i="10"/>
  <c r="O127" i="10" s="1"/>
  <c r="K116" i="10"/>
  <c r="K120" i="10"/>
  <c r="K127" i="10" s="1"/>
  <c r="Q21" i="18"/>
  <c r="W21" i="18"/>
  <c r="W22" i="18"/>
  <c r="AA21" i="17"/>
  <c r="AD51" i="18"/>
  <c r="AD46" i="18"/>
  <c r="AP21" i="18"/>
  <c r="AW21" i="18"/>
  <c r="AW22" i="18"/>
  <c r="AX22" i="18"/>
  <c r="AX21" i="18"/>
  <c r="AF23" i="17"/>
  <c r="AF44" i="17"/>
  <c r="AF33" i="17"/>
  <c r="AP21" i="17"/>
  <c r="AP22" i="17"/>
  <c r="AY21" i="17"/>
  <c r="AZ17" i="16"/>
  <c r="J21" i="18"/>
  <c r="AF21" i="18"/>
  <c r="L21" i="18"/>
  <c r="L22" i="18"/>
  <c r="AV21" i="18"/>
  <c r="O22" i="17"/>
  <c r="Z21" i="17"/>
  <c r="AM21" i="17"/>
  <c r="AM22" i="17"/>
  <c r="L127" i="13"/>
  <c r="G121" i="10"/>
  <c r="G127" i="10" s="1"/>
  <c r="G116" i="10"/>
  <c r="X21" i="18"/>
  <c r="X22" i="18"/>
  <c r="Y21" i="18"/>
  <c r="AM22" i="18"/>
  <c r="AR22" i="18"/>
  <c r="G21" i="17"/>
  <c r="O21" i="17"/>
  <c r="Q21" i="17"/>
  <c r="R21" i="17"/>
  <c r="AC33" i="17"/>
  <c r="O10" i="18"/>
  <c r="O13" i="18" s="1"/>
  <c r="AD15" i="18"/>
  <c r="AC10" i="18"/>
  <c r="AC13" i="18" s="1"/>
  <c r="AD14" i="18" s="1"/>
  <c r="AD10" i="18" s="1"/>
  <c r="AD13" i="18" s="1"/>
  <c r="AD24" i="18"/>
  <c r="AD34" i="18"/>
  <c r="AD40" i="18" s="1"/>
  <c r="AH10" i="18"/>
  <c r="AH13" i="18" s="1"/>
  <c r="AO21" i="18"/>
  <c r="AO22" i="18"/>
  <c r="M21" i="17"/>
  <c r="P21" i="17"/>
  <c r="AQ21" i="17"/>
  <c r="AS21" i="17"/>
  <c r="K21" i="16"/>
  <c r="K22" i="16"/>
  <c r="Y22" i="16"/>
  <c r="Y21" i="16"/>
  <c r="AY22" i="16"/>
  <c r="D22" i="16"/>
  <c r="AR22" i="16"/>
  <c r="AE22" i="16"/>
  <c r="S10" i="18"/>
  <c r="S13" i="18" s="1"/>
  <c r="AC22" i="18"/>
  <c r="AG21" i="18"/>
  <c r="AG22" i="18"/>
  <c r="AQ21" i="18"/>
  <c r="AQ22" i="18"/>
  <c r="AR10" i="18"/>
  <c r="AR13" i="18" s="1"/>
  <c r="AT22" i="18"/>
  <c r="AT21" i="18"/>
  <c r="AY21" i="18"/>
  <c r="AY22" i="18"/>
  <c r="D10" i="17"/>
  <c r="P22" i="17"/>
  <c r="T10" i="17"/>
  <c r="T13" i="17" s="1"/>
  <c r="P22" i="16"/>
  <c r="Y22" i="18"/>
  <c r="Y10" i="18"/>
  <c r="Y13" i="18" s="1"/>
  <c r="E10" i="17"/>
  <c r="E13" i="17" s="1"/>
  <c r="AG10" i="17"/>
  <c r="AG13" i="17" s="1"/>
  <c r="AH10" i="17"/>
  <c r="AH13" i="17" s="1"/>
  <c r="AK21" i="17"/>
  <c r="AK10" i="17"/>
  <c r="AK13" i="17" s="1"/>
  <c r="G23" i="16"/>
  <c r="G33" i="16"/>
  <c r="G44" i="16"/>
  <c r="J21" i="16"/>
  <c r="J22" i="16"/>
  <c r="O22" i="16"/>
  <c r="O21" i="16"/>
  <c r="AN34" i="16"/>
  <c r="AN40" i="16" s="1"/>
  <c r="AN24" i="16"/>
  <c r="AN45" i="16"/>
  <c r="AN51" i="16" s="1"/>
  <c r="D44" i="16"/>
  <c r="F10" i="18"/>
  <c r="F13" i="18" s="1"/>
  <c r="AC21" i="18"/>
  <c r="AD35" i="18"/>
  <c r="AU21" i="17"/>
  <c r="AU22" i="17"/>
  <c r="AS22" i="16"/>
  <c r="AS21" i="16"/>
  <c r="D33" i="17"/>
  <c r="D23" i="17"/>
  <c r="D44" i="17"/>
  <c r="AB22" i="18"/>
  <c r="AR21" i="18"/>
  <c r="AH21" i="18"/>
  <c r="AD21" i="17"/>
  <c r="AD22" i="17"/>
  <c r="AE21" i="17"/>
  <c r="D33" i="16"/>
  <c r="G22" i="16"/>
  <c r="M21" i="16"/>
  <c r="M22" i="16"/>
  <c r="Z22" i="16"/>
  <c r="S37" i="20"/>
  <c r="T43" i="20" s="1"/>
  <c r="U10" i="18"/>
  <c r="U13" i="18" s="1"/>
  <c r="AK10" i="18"/>
  <c r="AK13" i="18" s="1"/>
  <c r="H10" i="17"/>
  <c r="H13" i="17" s="1"/>
  <c r="H10" i="16"/>
  <c r="H13" i="16" s="1"/>
  <c r="L21" i="16"/>
  <c r="L22" i="16"/>
  <c r="W22" i="16"/>
  <c r="X21" i="16"/>
  <c r="AC21" i="16"/>
  <c r="R22" i="16"/>
  <c r="AA22" i="16"/>
  <c r="AN21" i="16"/>
  <c r="AT10" i="18"/>
  <c r="AT13" i="18" s="1"/>
  <c r="E27" i="17"/>
  <c r="I10" i="17"/>
  <c r="I13" i="17" s="1"/>
  <c r="R10" i="17"/>
  <c r="R13" i="17" s="1"/>
  <c r="AA10" i="17"/>
  <c r="AA13" i="17" s="1"/>
  <c r="F21" i="16"/>
  <c r="F22" i="16"/>
  <c r="F30" i="16"/>
  <c r="G27" i="16"/>
  <c r="R21" i="16"/>
  <c r="AC22" i="16"/>
  <c r="AN22" i="17"/>
  <c r="AN21" i="17"/>
  <c r="P21" i="16"/>
  <c r="AZ17" i="18"/>
  <c r="V21" i="17"/>
  <c r="AI10" i="17"/>
  <c r="AI13" i="17" s="1"/>
  <c r="AV21" i="17"/>
  <c r="AV22" i="17"/>
  <c r="Z21" i="16"/>
  <c r="AN10" i="17"/>
  <c r="AN13" i="17" s="1"/>
  <c r="AR21" i="17"/>
  <c r="V21" i="16"/>
  <c r="V22" i="16"/>
  <c r="AK22" i="16"/>
  <c r="AK21" i="16"/>
  <c r="AV21" i="16"/>
  <c r="AV22" i="16"/>
  <c r="AU260" i="14"/>
  <c r="AY10" i="17"/>
  <c r="AY13" i="17" s="1"/>
  <c r="R10" i="16"/>
  <c r="R13" i="16" s="1"/>
  <c r="AR21" i="16"/>
  <c r="AT21" i="16"/>
  <c r="AT22" i="16"/>
  <c r="V10" i="17"/>
  <c r="V13" i="17" s="1"/>
  <c r="T21" i="16"/>
  <c r="T22" i="16"/>
  <c r="X22" i="16"/>
  <c r="AA21" i="16"/>
  <c r="AM21" i="16"/>
  <c r="AM22" i="16"/>
  <c r="AZ17" i="17"/>
  <c r="AV10" i="17"/>
  <c r="AV13" i="17" s="1"/>
  <c r="H39" i="16"/>
  <c r="P10" i="16"/>
  <c r="P13" i="16" s="1"/>
  <c r="AU21" i="16"/>
  <c r="AU22" i="16"/>
  <c r="S260" i="15"/>
  <c r="AZ259" i="14"/>
  <c r="J260" i="14"/>
  <c r="M260" i="14"/>
  <c r="I127" i="12"/>
  <c r="AF21" i="16"/>
  <c r="AL21" i="16"/>
  <c r="AL22" i="16"/>
  <c r="H116" i="13"/>
  <c r="H7" i="20" s="1"/>
  <c r="H120" i="13"/>
  <c r="H127" i="13" s="1"/>
  <c r="E127" i="12"/>
  <c r="O138" i="11"/>
  <c r="G138" i="11"/>
  <c r="K138" i="11"/>
  <c r="D10" i="16"/>
  <c r="AF22" i="16"/>
  <c r="AJ22" i="16"/>
  <c r="AJ21" i="16"/>
  <c r="AO22" i="16"/>
  <c r="AO21" i="16"/>
  <c r="AE260" i="15"/>
  <c r="H138" i="10"/>
  <c r="L138" i="10"/>
  <c r="D138" i="10"/>
  <c r="AH10" i="16"/>
  <c r="AH13" i="16" s="1"/>
  <c r="V260" i="15"/>
  <c r="W260" i="15"/>
  <c r="T260" i="14"/>
  <c r="H138" i="13"/>
  <c r="M127" i="12"/>
  <c r="I116" i="12"/>
  <c r="AV10" i="16"/>
  <c r="AV13" i="16" s="1"/>
  <c r="AB260" i="15"/>
  <c r="I127" i="13"/>
  <c r="F127" i="11"/>
  <c r="S9" i="20" s="1"/>
  <c r="I127" i="11"/>
  <c r="O138" i="10"/>
  <c r="G138" i="10"/>
  <c r="K138" i="10"/>
  <c r="N127" i="10"/>
  <c r="AE21" i="16"/>
  <c r="AY21" i="16"/>
  <c r="AI260" i="15"/>
  <c r="AB260" i="14"/>
  <c r="E127" i="13"/>
  <c r="O138" i="12"/>
  <c r="G138" i="12"/>
  <c r="K138" i="12"/>
  <c r="AC10" i="16"/>
  <c r="AC13" i="16" s="1"/>
  <c r="AF10" i="16"/>
  <c r="AF13" i="16" s="1"/>
  <c r="AG10" i="16"/>
  <c r="AG13" i="16" s="1"/>
  <c r="AP10" i="16"/>
  <c r="AP13" i="16" s="1"/>
  <c r="F260" i="15"/>
  <c r="G260" i="15"/>
  <c r="AR260" i="15"/>
  <c r="J127" i="13"/>
  <c r="L121" i="12"/>
  <c r="L127" i="12" s="1"/>
  <c r="K127" i="11"/>
  <c r="I127" i="10"/>
  <c r="D138" i="13"/>
  <c r="H116" i="12"/>
  <c r="H8" i="20" s="1"/>
  <c r="N138" i="11"/>
  <c r="J138" i="11"/>
  <c r="M127" i="11"/>
  <c r="S260" i="14"/>
  <c r="V260" i="14"/>
  <c r="AQ260" i="14"/>
  <c r="D127" i="13"/>
  <c r="K127" i="12"/>
  <c r="AO10" i="16"/>
  <c r="AO13" i="16" s="1"/>
  <c r="M260" i="15"/>
  <c r="U260" i="15"/>
  <c r="AH260" i="14"/>
  <c r="AP260" i="14"/>
  <c r="AS260" i="14"/>
  <c r="K127" i="13"/>
  <c r="N127" i="12"/>
  <c r="J127" i="12"/>
  <c r="H120" i="11"/>
  <c r="H127" i="11" s="1"/>
  <c r="L127" i="11"/>
  <c r="AW10" i="16"/>
  <c r="AW13" i="16" s="1"/>
  <c r="D260" i="15"/>
  <c r="L260" i="15"/>
  <c r="T260" i="15"/>
  <c r="N127" i="13"/>
  <c r="J116" i="13"/>
  <c r="N138" i="10"/>
  <c r="J138" i="10"/>
  <c r="H127" i="10"/>
  <c r="M127" i="13"/>
  <c r="I116" i="13"/>
  <c r="D138" i="12"/>
  <c r="D138" i="11"/>
  <c r="M138" i="10"/>
  <c r="I138" i="10"/>
  <c r="E260" i="15"/>
  <c r="AK260" i="15"/>
  <c r="U260" i="14"/>
  <c r="K138" i="13"/>
  <c r="J138" i="12"/>
  <c r="I138" i="11"/>
  <c r="K116" i="11"/>
  <c r="J116" i="10"/>
  <c r="F260" i="14"/>
  <c r="AZ260" i="14" s="1"/>
  <c r="L260" i="14"/>
  <c r="AL260" i="14"/>
  <c r="AR260" i="14"/>
  <c r="J138" i="13"/>
  <c r="I138" i="12"/>
  <c r="K116" i="12"/>
  <c r="J116" i="11"/>
  <c r="I116" i="10"/>
  <c r="AS260" i="15"/>
  <c r="AC260" i="14"/>
  <c r="I138" i="13"/>
  <c r="K116" i="13"/>
  <c r="J116" i="12"/>
  <c r="I116" i="11"/>
  <c r="H9" i="20" s="1"/>
  <c r="BA14" i="14"/>
  <c r="S40" i="20"/>
  <c r="B22" i="17"/>
  <c r="S8" i="20" l="1"/>
  <c r="AT34" i="16"/>
  <c r="AT40" i="16" s="1"/>
  <c r="AT24" i="16"/>
  <c r="AT45" i="16"/>
  <c r="AT51" i="16" s="1"/>
  <c r="AV45" i="17"/>
  <c r="AV51" i="17" s="1"/>
  <c r="AV24" i="17"/>
  <c r="AV34" i="17"/>
  <c r="AV40" i="17" s="1"/>
  <c r="V22" i="18"/>
  <c r="V21" i="18"/>
  <c r="D39" i="17"/>
  <c r="O24" i="16"/>
  <c r="O45" i="16"/>
  <c r="O51" i="16" s="1"/>
  <c r="O34" i="16"/>
  <c r="O40" i="16" s="1"/>
  <c r="P24" i="17"/>
  <c r="P34" i="17"/>
  <c r="P40" i="17" s="1"/>
  <c r="P45" i="17"/>
  <c r="P51" i="17" s="1"/>
  <c r="AY24" i="16"/>
  <c r="AY45" i="16"/>
  <c r="AY51" i="16" s="1"/>
  <c r="AY34" i="16"/>
  <c r="AY40" i="16" s="1"/>
  <c r="Q23" i="17"/>
  <c r="Q33" i="17"/>
  <c r="Q44" i="17"/>
  <c r="O45" i="17"/>
  <c r="O51" i="17" s="1"/>
  <c r="O24" i="17"/>
  <c r="O34" i="17"/>
  <c r="O40" i="17" s="1"/>
  <c r="AW23" i="18"/>
  <c r="AW44" i="18"/>
  <c r="AW33" i="18"/>
  <c r="W44" i="18"/>
  <c r="W23" i="18"/>
  <c r="W33" i="18"/>
  <c r="X24" i="17"/>
  <c r="X45" i="17"/>
  <c r="X51" i="17" s="1"/>
  <c r="X34" i="17"/>
  <c r="X40" i="17" s="1"/>
  <c r="AB24" i="16"/>
  <c r="AB34" i="16"/>
  <c r="AB40" i="16" s="1"/>
  <c r="AB45" i="16"/>
  <c r="AB51" i="16" s="1"/>
  <c r="U33" i="18"/>
  <c r="U44" i="18"/>
  <c r="U23" i="18"/>
  <c r="U33" i="16"/>
  <c r="U44" i="16"/>
  <c r="U23" i="16"/>
  <c r="H33" i="17"/>
  <c r="H44" i="17"/>
  <c r="H23" i="17"/>
  <c r="S7" i="20"/>
  <c r="AF24" i="16"/>
  <c r="AF34" i="16"/>
  <c r="AF40" i="16" s="1"/>
  <c r="AF45" i="16"/>
  <c r="AF51" i="16" s="1"/>
  <c r="AM34" i="16"/>
  <c r="AM40" i="16" s="1"/>
  <c r="AM45" i="16"/>
  <c r="AM51" i="16" s="1"/>
  <c r="AM24" i="16"/>
  <c r="AT23" i="16"/>
  <c r="AT33" i="16"/>
  <c r="AT44" i="16"/>
  <c r="AK24" i="16"/>
  <c r="AK45" i="16"/>
  <c r="AK51" i="16" s="1"/>
  <c r="AK34" i="16"/>
  <c r="AK40" i="16" s="1"/>
  <c r="AV44" i="17"/>
  <c r="AV33" i="17"/>
  <c r="AV23" i="17"/>
  <c r="AC45" i="16"/>
  <c r="AC51" i="16" s="1"/>
  <c r="AC34" i="16"/>
  <c r="AC40" i="16" s="1"/>
  <c r="AC24" i="16"/>
  <c r="S21" i="17"/>
  <c r="S22" i="17"/>
  <c r="X44" i="16"/>
  <c r="X33" i="16"/>
  <c r="X23" i="16"/>
  <c r="AD24" i="17"/>
  <c r="AD45" i="17"/>
  <c r="AD51" i="17" s="1"/>
  <c r="AD34" i="17"/>
  <c r="AD40" i="17" s="1"/>
  <c r="G22" i="18"/>
  <c r="G21" i="18"/>
  <c r="J24" i="16"/>
  <c r="J45" i="16"/>
  <c r="J51" i="16" s="1"/>
  <c r="J34" i="16"/>
  <c r="J40" i="16" s="1"/>
  <c r="AH21" i="17"/>
  <c r="AH22" i="17"/>
  <c r="D13" i="17"/>
  <c r="AZ10" i="17"/>
  <c r="AG34" i="18"/>
  <c r="AG40" i="18" s="1"/>
  <c r="AG45" i="18"/>
  <c r="AG51" i="18" s="1"/>
  <c r="AG24" i="18"/>
  <c r="Y33" i="16"/>
  <c r="Y44" i="16"/>
  <c r="Y23" i="16"/>
  <c r="P33" i="17"/>
  <c r="P44" i="17"/>
  <c r="P23" i="17"/>
  <c r="AE22" i="18"/>
  <c r="AE21" i="18"/>
  <c r="O44" i="17"/>
  <c r="O23" i="17"/>
  <c r="O33" i="17"/>
  <c r="AV23" i="18"/>
  <c r="AV44" i="18"/>
  <c r="AV33" i="18"/>
  <c r="AP33" i="17"/>
  <c r="AP23" i="17"/>
  <c r="AP44" i="17"/>
  <c r="AP33" i="18"/>
  <c r="AP44" i="18"/>
  <c r="AP23" i="18"/>
  <c r="Q23" i="18"/>
  <c r="Q33" i="18"/>
  <c r="Q44" i="18"/>
  <c r="R23" i="18"/>
  <c r="R44" i="18"/>
  <c r="R33" i="18"/>
  <c r="AF34" i="18"/>
  <c r="AF40" i="18" s="1"/>
  <c r="AF24" i="18"/>
  <c r="AF45" i="18"/>
  <c r="AF51" i="18" s="1"/>
  <c r="AB23" i="16"/>
  <c r="AB44" i="16"/>
  <c r="AB33" i="16"/>
  <c r="O44" i="18"/>
  <c r="O33" i="18"/>
  <c r="O23" i="18"/>
  <c r="AY45" i="17"/>
  <c r="AY51" i="17" s="1"/>
  <c r="AY24" i="17"/>
  <c r="AY34" i="17"/>
  <c r="AY40" i="17" s="1"/>
  <c r="AA33" i="18"/>
  <c r="AA44" i="18"/>
  <c r="AA23" i="18"/>
  <c r="AN23" i="18"/>
  <c r="AN44" i="18"/>
  <c r="AN33" i="18"/>
  <c r="I24" i="18"/>
  <c r="I34" i="18"/>
  <c r="I40" i="18" s="1"/>
  <c r="I45" i="18"/>
  <c r="I51" i="18" s="1"/>
  <c r="D22" i="17"/>
  <c r="AK22" i="17"/>
  <c r="AZ10" i="16"/>
  <c r="D13" i="16"/>
  <c r="AL34" i="16"/>
  <c r="AL40" i="16" s="1"/>
  <c r="AL45" i="16"/>
  <c r="AL51" i="16" s="1"/>
  <c r="AL24" i="16"/>
  <c r="AU34" i="16"/>
  <c r="AU40" i="16" s="1"/>
  <c r="AU24" i="16"/>
  <c r="AU45" i="16"/>
  <c r="AU51" i="16" s="1"/>
  <c r="AM33" i="16"/>
  <c r="AM44" i="16"/>
  <c r="AM23" i="16"/>
  <c r="AR23" i="16"/>
  <c r="AR44" i="16"/>
  <c r="AR33" i="16"/>
  <c r="V45" i="16"/>
  <c r="V51" i="16" s="1"/>
  <c r="V34" i="16"/>
  <c r="V40" i="16" s="1"/>
  <c r="V24" i="16"/>
  <c r="AJ22" i="17"/>
  <c r="AJ21" i="17"/>
  <c r="R23" i="16"/>
  <c r="R44" i="16"/>
  <c r="R33" i="16"/>
  <c r="J22" i="17"/>
  <c r="J21" i="17"/>
  <c r="W45" i="16"/>
  <c r="W51" i="16" s="1"/>
  <c r="W24" i="16"/>
  <c r="W34" i="16"/>
  <c r="W40" i="16" s="1"/>
  <c r="Z45" i="16"/>
  <c r="Z51" i="16" s="1"/>
  <c r="Z34" i="16"/>
  <c r="Z40" i="16" s="1"/>
  <c r="Z24" i="16"/>
  <c r="AD44" i="17"/>
  <c r="AD33" i="17"/>
  <c r="AD23" i="17"/>
  <c r="AS23" i="16"/>
  <c r="AS33" i="16"/>
  <c r="AS44" i="16"/>
  <c r="D50" i="16"/>
  <c r="J33" i="16"/>
  <c r="J44" i="16"/>
  <c r="J23" i="16"/>
  <c r="F21" i="17"/>
  <c r="F22" i="17"/>
  <c r="AY34" i="18"/>
  <c r="AY40" i="18" s="1"/>
  <c r="AY24" i="18"/>
  <c r="AY45" i="18"/>
  <c r="AY51" i="18" s="1"/>
  <c r="AG33" i="18"/>
  <c r="AG44" i="18"/>
  <c r="AG23" i="18"/>
  <c r="Y24" i="16"/>
  <c r="Y45" i="16"/>
  <c r="Y51" i="16" s="1"/>
  <c r="Y34" i="16"/>
  <c r="Y40" i="16" s="1"/>
  <c r="M22" i="17"/>
  <c r="G22" i="17"/>
  <c r="L34" i="18"/>
  <c r="L40" i="18" s="1"/>
  <c r="L45" i="18"/>
  <c r="L51" i="18" s="1"/>
  <c r="L24" i="18"/>
  <c r="AF39" i="17"/>
  <c r="R45" i="18"/>
  <c r="R51" i="18" s="1"/>
  <c r="R24" i="18"/>
  <c r="R34" i="18"/>
  <c r="R40" i="18" s="1"/>
  <c r="N23" i="16"/>
  <c r="N44" i="16"/>
  <c r="N33" i="16"/>
  <c r="N23" i="18"/>
  <c r="N33" i="18"/>
  <c r="N44" i="18"/>
  <c r="AX33" i="17"/>
  <c r="AX23" i="17"/>
  <c r="AX44" i="17"/>
  <c r="O45" i="18"/>
  <c r="O51" i="18" s="1"/>
  <c r="O34" i="18"/>
  <c r="O40" i="18" s="1"/>
  <c r="O24" i="18"/>
  <c r="AA24" i="18"/>
  <c r="AA45" i="18"/>
  <c r="AA51" i="18" s="1"/>
  <c r="AA34" i="18"/>
  <c r="AA40" i="18" s="1"/>
  <c r="AN45" i="18"/>
  <c r="AN51" i="18" s="1"/>
  <c r="AN34" i="18"/>
  <c r="AN40" i="18" s="1"/>
  <c r="AN24" i="18"/>
  <c r="I23" i="18"/>
  <c r="I33" i="18"/>
  <c r="I44" i="18"/>
  <c r="AZ260" i="15"/>
  <c r="AL23" i="16"/>
  <c r="AL33" i="16"/>
  <c r="AL44" i="16"/>
  <c r="AU33" i="16"/>
  <c r="AU44" i="16"/>
  <c r="AU23" i="16"/>
  <c r="AA33" i="16"/>
  <c r="AA44" i="16"/>
  <c r="AA23" i="16"/>
  <c r="S22" i="16"/>
  <c r="S21" i="16"/>
  <c r="V23" i="16"/>
  <c r="V44" i="16"/>
  <c r="V33" i="16"/>
  <c r="V44" i="17"/>
  <c r="V33" i="17"/>
  <c r="V23" i="17"/>
  <c r="G30" i="16"/>
  <c r="H27" i="16"/>
  <c r="E30" i="17"/>
  <c r="F27" i="17"/>
  <c r="L24" i="16"/>
  <c r="L45" i="16"/>
  <c r="L51" i="16" s="1"/>
  <c r="L34" i="16"/>
  <c r="L40" i="16" s="1"/>
  <c r="M24" i="16"/>
  <c r="M34" i="16"/>
  <c r="M40" i="16" s="1"/>
  <c r="M45" i="16"/>
  <c r="M51" i="16" s="1"/>
  <c r="AH33" i="18"/>
  <c r="AH44" i="18"/>
  <c r="AH23" i="18"/>
  <c r="AS24" i="16"/>
  <c r="AS45" i="16"/>
  <c r="AS51" i="16" s="1"/>
  <c r="AS34" i="16"/>
  <c r="AS40" i="16" s="1"/>
  <c r="G50" i="16"/>
  <c r="Z21" i="18"/>
  <c r="Z22" i="18"/>
  <c r="AY23" i="18"/>
  <c r="AY44" i="18"/>
  <c r="AY33" i="18"/>
  <c r="AC45" i="18"/>
  <c r="AC51" i="18" s="1"/>
  <c r="AC34" i="18"/>
  <c r="AC40" i="18" s="1"/>
  <c r="AC24" i="18"/>
  <c r="K45" i="16"/>
  <c r="K51" i="16" s="1"/>
  <c r="K24" i="16"/>
  <c r="K34" i="16"/>
  <c r="K40" i="16" s="1"/>
  <c r="M23" i="17"/>
  <c r="M44" i="17"/>
  <c r="M33" i="17"/>
  <c r="P21" i="18"/>
  <c r="P22" i="18"/>
  <c r="G44" i="17"/>
  <c r="G33" i="17"/>
  <c r="G23" i="17"/>
  <c r="L33" i="18"/>
  <c r="L44" i="18"/>
  <c r="L23" i="18"/>
  <c r="AF50" i="17"/>
  <c r="E21" i="18"/>
  <c r="E22" i="18"/>
  <c r="N45" i="16"/>
  <c r="N51" i="16" s="1"/>
  <c r="N24" i="16"/>
  <c r="N34" i="16"/>
  <c r="N40" i="16" s="1"/>
  <c r="M22" i="18"/>
  <c r="M21" i="18"/>
  <c r="AX22" i="17"/>
  <c r="J34" i="18"/>
  <c r="J40" i="18" s="1"/>
  <c r="J24" i="18"/>
  <c r="J45" i="18"/>
  <c r="J51" i="18" s="1"/>
  <c r="AC50" i="17"/>
  <c r="F23" i="18"/>
  <c r="F33" i="18"/>
  <c r="F44" i="18"/>
  <c r="AH22" i="18"/>
  <c r="N22" i="18"/>
  <c r="AJ22" i="18"/>
  <c r="F22" i="18"/>
  <c r="AV22" i="18"/>
  <c r="Q22" i="18"/>
  <c r="D22" i="18"/>
  <c r="L22" i="17"/>
  <c r="AW21" i="16"/>
  <c r="AW22" i="16"/>
  <c r="AJ24" i="16"/>
  <c r="AJ34" i="16"/>
  <c r="AJ40" i="16" s="1"/>
  <c r="AJ45" i="16"/>
  <c r="AJ51" i="16" s="1"/>
  <c r="AK23" i="16"/>
  <c r="AK33" i="16"/>
  <c r="AK44" i="16"/>
  <c r="AN45" i="17"/>
  <c r="AN51" i="17" s="1"/>
  <c r="AN34" i="17"/>
  <c r="AN40" i="17" s="1"/>
  <c r="AN24" i="17"/>
  <c r="AC33" i="16"/>
  <c r="AC23" i="16"/>
  <c r="AC44" i="16"/>
  <c r="AE23" i="17"/>
  <c r="AE44" i="17"/>
  <c r="AE33" i="17"/>
  <c r="AI21" i="17"/>
  <c r="AI22" i="17"/>
  <c r="AQ44" i="18"/>
  <c r="AQ33" i="18"/>
  <c r="AQ23" i="18"/>
  <c r="AQ23" i="17"/>
  <c r="AQ33" i="17"/>
  <c r="AQ44" i="17"/>
  <c r="X23" i="18"/>
  <c r="X44" i="18"/>
  <c r="X33" i="18"/>
  <c r="AP24" i="17"/>
  <c r="AP45" i="17"/>
  <c r="AP51" i="17" s="1"/>
  <c r="AP34" i="17"/>
  <c r="AP40" i="17" s="1"/>
  <c r="K33" i="17"/>
  <c r="K44" i="17"/>
  <c r="K23" i="17"/>
  <c r="AG23" i="17"/>
  <c r="AG44" i="17"/>
  <c r="AG33" i="17"/>
  <c r="AX22" i="16"/>
  <c r="AX21" i="16"/>
  <c r="S31" i="20"/>
  <c r="T32" i="20" s="1"/>
  <c r="AF23" i="16"/>
  <c r="AF33" i="16"/>
  <c r="AF44" i="16"/>
  <c r="AU21" i="18"/>
  <c r="AU22" i="18"/>
  <c r="L44" i="16"/>
  <c r="L23" i="16"/>
  <c r="L33" i="16"/>
  <c r="AR33" i="18"/>
  <c r="AR23" i="18"/>
  <c r="AR44" i="18"/>
  <c r="AU34" i="17"/>
  <c r="AU40" i="17" s="1"/>
  <c r="AU45" i="17"/>
  <c r="AU51" i="17" s="1"/>
  <c r="AU24" i="17"/>
  <c r="G39" i="16"/>
  <c r="AT23" i="18"/>
  <c r="AT33" i="18"/>
  <c r="AT44" i="18"/>
  <c r="K23" i="16"/>
  <c r="K44" i="16"/>
  <c r="K33" i="16"/>
  <c r="AC39" i="17"/>
  <c r="AM45" i="17"/>
  <c r="AM51" i="17" s="1"/>
  <c r="AM34" i="17"/>
  <c r="AM40" i="17" s="1"/>
  <c r="AM24" i="17"/>
  <c r="AZ10" i="18"/>
  <c r="AC34" i="17"/>
  <c r="AC40" i="17" s="1"/>
  <c r="AC24" i="17"/>
  <c r="AC45" i="17"/>
  <c r="AC51" i="17" s="1"/>
  <c r="T22" i="17"/>
  <c r="T21" i="17"/>
  <c r="N45" i="17"/>
  <c r="N51" i="17" s="1"/>
  <c r="N24" i="17"/>
  <c r="N34" i="17"/>
  <c r="N40" i="17" s="1"/>
  <c r="L33" i="17"/>
  <c r="L44" i="17"/>
  <c r="L23" i="17"/>
  <c r="T34" i="16"/>
  <c r="T40" i="16" s="1"/>
  <c r="T24" i="16"/>
  <c r="T45" i="16"/>
  <c r="T51" i="16" s="1"/>
  <c r="I21" i="16"/>
  <c r="I22" i="16"/>
  <c r="AB34" i="18"/>
  <c r="AB40" i="18" s="1"/>
  <c r="AB45" i="18"/>
  <c r="AB51" i="18" s="1"/>
  <c r="AB24" i="18"/>
  <c r="AE24" i="16"/>
  <c r="AE45" i="16"/>
  <c r="AE51" i="16" s="1"/>
  <c r="AE34" i="16"/>
  <c r="AE40" i="16" s="1"/>
  <c r="AO23" i="18"/>
  <c r="AO44" i="18"/>
  <c r="AO33" i="18"/>
  <c r="AM24" i="18"/>
  <c r="AM34" i="18"/>
  <c r="AM40" i="18" s="1"/>
  <c r="AM45" i="18"/>
  <c r="AM51" i="18" s="1"/>
  <c r="J23" i="18"/>
  <c r="J44" i="18"/>
  <c r="J33" i="18"/>
  <c r="AA22" i="17"/>
  <c r="AT22" i="17"/>
  <c r="K33" i="18"/>
  <c r="K44" i="18"/>
  <c r="K23" i="18"/>
  <c r="H27" i="18"/>
  <c r="G30" i="18"/>
  <c r="W39" i="16"/>
  <c r="AM50" i="18"/>
  <c r="AG22" i="16"/>
  <c r="AG21" i="16"/>
  <c r="AY44" i="16"/>
  <c r="AY33" i="16"/>
  <c r="AY23" i="16"/>
  <c r="AO45" i="16"/>
  <c r="AO51" i="16" s="1"/>
  <c r="AO24" i="16"/>
  <c r="AO34" i="16"/>
  <c r="AO40" i="16" s="1"/>
  <c r="T33" i="16"/>
  <c r="T23" i="16"/>
  <c r="T44" i="16"/>
  <c r="AV34" i="16"/>
  <c r="AV40" i="16" s="1"/>
  <c r="AV24" i="16"/>
  <c r="AV45" i="16"/>
  <c r="AV51" i="16" s="1"/>
  <c r="AO21" i="17"/>
  <c r="AO22" i="17"/>
  <c r="P33" i="16"/>
  <c r="P44" i="16"/>
  <c r="P23" i="16"/>
  <c r="F23" i="16"/>
  <c r="F33" i="16"/>
  <c r="F44" i="16"/>
  <c r="AA34" i="16"/>
  <c r="AA40" i="16" s="1"/>
  <c r="AA24" i="16"/>
  <c r="AA45" i="16"/>
  <c r="AA51" i="16" s="1"/>
  <c r="I22" i="17"/>
  <c r="I21" i="17"/>
  <c r="D35" i="16"/>
  <c r="D39" i="16"/>
  <c r="D50" i="17"/>
  <c r="V22" i="17"/>
  <c r="AL21" i="17"/>
  <c r="AL22" i="17"/>
  <c r="P34" i="16"/>
  <c r="P40" i="16" s="1"/>
  <c r="P24" i="16"/>
  <c r="P45" i="16"/>
  <c r="P51" i="16" s="1"/>
  <c r="AS22" i="18"/>
  <c r="AS21" i="18"/>
  <c r="AR24" i="16"/>
  <c r="AR45" i="16"/>
  <c r="AR51" i="16" s="1"/>
  <c r="AR34" i="16"/>
  <c r="AR40" i="16" s="1"/>
  <c r="AS44" i="17"/>
  <c r="AS23" i="17"/>
  <c r="AS33" i="17"/>
  <c r="AI21" i="18"/>
  <c r="AI22" i="18"/>
  <c r="R22" i="17"/>
  <c r="Y33" i="18"/>
  <c r="Y44" i="18"/>
  <c r="Y23" i="18"/>
  <c r="Z33" i="17"/>
  <c r="Z44" i="17"/>
  <c r="Z23" i="17"/>
  <c r="AX45" i="18"/>
  <c r="AX51" i="18" s="1"/>
  <c r="AX34" i="18"/>
  <c r="AX40" i="18" s="1"/>
  <c r="AX24" i="18"/>
  <c r="AA23" i="17"/>
  <c r="AA44" i="17"/>
  <c r="AA33" i="17"/>
  <c r="AT33" i="17"/>
  <c r="AT44" i="17"/>
  <c r="AT23" i="17"/>
  <c r="Y23" i="17"/>
  <c r="Y33" i="17"/>
  <c r="Y44" i="17"/>
  <c r="H24" i="18"/>
  <c r="H34" i="18"/>
  <c r="H40" i="18" s="1"/>
  <c r="H45" i="18"/>
  <c r="H51" i="18" s="1"/>
  <c r="AJ23" i="18"/>
  <c r="AJ44" i="18"/>
  <c r="AJ33" i="18"/>
  <c r="AK44" i="18"/>
  <c r="AK33" i="18"/>
  <c r="AK23" i="18"/>
  <c r="W46" i="16"/>
  <c r="W50" i="16"/>
  <c r="S23" i="18"/>
  <c r="S44" i="18"/>
  <c r="S33" i="18"/>
  <c r="AM39" i="18"/>
  <c r="AM35" i="18"/>
  <c r="AB22" i="17"/>
  <c r="AB21" i="17"/>
  <c r="AC44" i="18"/>
  <c r="AC33" i="18"/>
  <c r="AC23" i="18"/>
  <c r="AB23" i="18"/>
  <c r="AB33" i="18"/>
  <c r="AB44" i="18"/>
  <c r="AQ22" i="16"/>
  <c r="AQ21" i="16"/>
  <c r="Q22" i="16"/>
  <c r="Q21" i="16"/>
  <c r="X34" i="16"/>
  <c r="X40" i="16" s="1"/>
  <c r="X24" i="16"/>
  <c r="X45" i="16"/>
  <c r="X51" i="16" s="1"/>
  <c r="AR23" i="17"/>
  <c r="AR44" i="17"/>
  <c r="AR33" i="17"/>
  <c r="M44" i="16"/>
  <c r="M23" i="16"/>
  <c r="M33" i="16"/>
  <c r="Y45" i="18"/>
  <c r="Y51" i="18" s="1"/>
  <c r="Y24" i="18"/>
  <c r="Y34" i="18"/>
  <c r="Y40" i="18" s="1"/>
  <c r="T21" i="18"/>
  <c r="T22" i="18"/>
  <c r="AO34" i="18"/>
  <c r="AO40" i="18" s="1"/>
  <c r="AO45" i="18"/>
  <c r="AO51" i="18" s="1"/>
  <c r="AO24" i="18"/>
  <c r="AR34" i="18"/>
  <c r="AR40" i="18" s="1"/>
  <c r="AR45" i="18"/>
  <c r="AR51" i="18" s="1"/>
  <c r="AR24" i="18"/>
  <c r="AF23" i="18"/>
  <c r="AF33" i="18"/>
  <c r="AF44" i="18"/>
  <c r="K34" i="18"/>
  <c r="K40" i="18" s="1"/>
  <c r="K45" i="18"/>
  <c r="K51" i="18" s="1"/>
  <c r="K24" i="18"/>
  <c r="D33" i="18"/>
  <c r="D44" i="18"/>
  <c r="D23" i="18"/>
  <c r="AH22" i="16"/>
  <c r="AH21" i="16"/>
  <c r="AO33" i="16"/>
  <c r="AO44" i="16"/>
  <c r="AO23" i="16"/>
  <c r="AR22" i="17"/>
  <c r="F24" i="16"/>
  <c r="F34" i="16"/>
  <c r="F40" i="16" s="1"/>
  <c r="F45" i="16"/>
  <c r="F51" i="16" s="1"/>
  <c r="AN33" i="16"/>
  <c r="AN44" i="16"/>
  <c r="AN23" i="16"/>
  <c r="G34" i="16"/>
  <c r="G40" i="16" s="1"/>
  <c r="G45" i="16"/>
  <c r="G51" i="16" s="1"/>
  <c r="G24" i="16"/>
  <c r="AU23" i="17"/>
  <c r="AU44" i="17"/>
  <c r="AU33" i="17"/>
  <c r="AT45" i="18"/>
  <c r="AT51" i="18" s="1"/>
  <c r="AT24" i="18"/>
  <c r="AT34" i="18"/>
  <c r="AT40" i="18" s="1"/>
  <c r="AS22" i="17"/>
  <c r="R23" i="17"/>
  <c r="R33" i="17"/>
  <c r="R44" i="17"/>
  <c r="AM23" i="17"/>
  <c r="AM33" i="17"/>
  <c r="AM44" i="17"/>
  <c r="AX23" i="18"/>
  <c r="AX44" i="18"/>
  <c r="AX33" i="18"/>
  <c r="Y22" i="17"/>
  <c r="AP34" i="18"/>
  <c r="AP40" i="18" s="1"/>
  <c r="AP24" i="18"/>
  <c r="AP45" i="18"/>
  <c r="AP51" i="18" s="1"/>
  <c r="N23" i="17"/>
  <c r="N44" i="17"/>
  <c r="N33" i="17"/>
  <c r="S34" i="18"/>
  <c r="S40" i="18" s="1"/>
  <c r="S45" i="18"/>
  <c r="S51" i="18" s="1"/>
  <c r="S24" i="18"/>
  <c r="AP22" i="16"/>
  <c r="AP21" i="16"/>
  <c r="AD21" i="16"/>
  <c r="AD22" i="16"/>
  <c r="AE44" i="16"/>
  <c r="AE33" i="16"/>
  <c r="AE23" i="16"/>
  <c r="AI22" i="16"/>
  <c r="AI21" i="16"/>
  <c r="AJ23" i="16"/>
  <c r="AJ44" i="16"/>
  <c r="AJ33" i="16"/>
  <c r="AW21" i="17"/>
  <c r="AW22" i="17"/>
  <c r="W21" i="17"/>
  <c r="W22" i="17"/>
  <c r="AV33" i="16"/>
  <c r="AV23" i="16"/>
  <c r="AV44" i="16"/>
  <c r="Z23" i="16"/>
  <c r="Z33" i="16"/>
  <c r="Z44" i="16"/>
  <c r="AN33" i="17"/>
  <c r="AN23" i="17"/>
  <c r="AN44" i="17"/>
  <c r="AF22" i="17"/>
  <c r="R34" i="16"/>
  <c r="R40" i="16" s="1"/>
  <c r="R45" i="16"/>
  <c r="R51" i="16" s="1"/>
  <c r="R24" i="16"/>
  <c r="AL21" i="18"/>
  <c r="AL22" i="18"/>
  <c r="AE22" i="17"/>
  <c r="O23" i="16"/>
  <c r="O44" i="16"/>
  <c r="O33" i="16"/>
  <c r="AK44" i="17"/>
  <c r="AK33" i="17"/>
  <c r="AK23" i="17"/>
  <c r="U21" i="17"/>
  <c r="U22" i="17"/>
  <c r="AQ34" i="18"/>
  <c r="AQ40" i="18" s="1"/>
  <c r="AQ24" i="18"/>
  <c r="AQ45" i="18"/>
  <c r="AQ51" i="18" s="1"/>
  <c r="D45" i="16"/>
  <c r="D51" i="16" s="1"/>
  <c r="D24" i="16"/>
  <c r="D34" i="16"/>
  <c r="D40" i="16" s="1"/>
  <c r="AQ22" i="17"/>
  <c r="Q22" i="17"/>
  <c r="X24" i="18"/>
  <c r="X45" i="18"/>
  <c r="X51" i="18" s="1"/>
  <c r="X34" i="18"/>
  <c r="X40" i="18" s="1"/>
  <c r="Z22" i="17"/>
  <c r="AY23" i="17"/>
  <c r="AY44" i="17"/>
  <c r="AY33" i="17"/>
  <c r="AW34" i="18"/>
  <c r="AW40" i="18" s="1"/>
  <c r="AW45" i="18"/>
  <c r="AW51" i="18" s="1"/>
  <c r="AW24" i="18"/>
  <c r="W24" i="18"/>
  <c r="W34" i="18"/>
  <c r="W40" i="18" s="1"/>
  <c r="W45" i="18"/>
  <c r="W51" i="18" s="1"/>
  <c r="K22" i="17"/>
  <c r="S10" i="20"/>
  <c r="X23" i="17"/>
  <c r="X44" i="17"/>
  <c r="X33" i="17"/>
  <c r="H44" i="18"/>
  <c r="H33" i="18"/>
  <c r="H23" i="18"/>
  <c r="U24" i="18"/>
  <c r="U45" i="18"/>
  <c r="U51" i="18" s="1"/>
  <c r="U34" i="18"/>
  <c r="U40" i="18" s="1"/>
  <c r="U24" i="16"/>
  <c r="U34" i="16"/>
  <c r="U40" i="16" s="1"/>
  <c r="U45" i="16"/>
  <c r="U51" i="16" s="1"/>
  <c r="AK45" i="18"/>
  <c r="AK51" i="18" s="1"/>
  <c r="AK34" i="18"/>
  <c r="AK40" i="18" s="1"/>
  <c r="AK24" i="18"/>
  <c r="AG22" i="17"/>
  <c r="H22" i="17"/>
  <c r="AW34" i="17" l="1"/>
  <c r="AW40" i="17" s="1"/>
  <c r="AW45" i="17"/>
  <c r="AW51" i="17" s="1"/>
  <c r="AW24" i="17"/>
  <c r="AX35" i="18"/>
  <c r="AX39" i="18"/>
  <c r="D50" i="18"/>
  <c r="D46" i="18"/>
  <c r="AB45" i="17"/>
  <c r="AB51" i="17" s="1"/>
  <c r="AB34" i="17"/>
  <c r="AB40" i="17" s="1"/>
  <c r="AB24" i="17"/>
  <c r="I23" i="17"/>
  <c r="I33" i="17"/>
  <c r="I44" i="17"/>
  <c r="AY46" i="16"/>
  <c r="AY50" i="16"/>
  <c r="AE39" i="17"/>
  <c r="E33" i="18"/>
  <c r="E23" i="18"/>
  <c r="E44" i="18"/>
  <c r="AD39" i="17"/>
  <c r="AD35" i="17"/>
  <c r="O50" i="18"/>
  <c r="O46" i="18"/>
  <c r="AP50" i="17"/>
  <c r="AP46" i="17"/>
  <c r="Y35" i="16"/>
  <c r="Y39" i="16"/>
  <c r="U39" i="18"/>
  <c r="U35" i="18"/>
  <c r="Q50" i="17"/>
  <c r="H46" i="18"/>
  <c r="H50" i="18"/>
  <c r="AE46" i="16"/>
  <c r="AE50" i="16"/>
  <c r="AB46" i="18"/>
  <c r="AB50" i="18"/>
  <c r="AK35" i="18"/>
  <c r="AK39" i="18"/>
  <c r="Y46" i="18"/>
  <c r="Y50" i="18"/>
  <c r="AL24" i="17"/>
  <c r="AL45" i="17"/>
  <c r="AL51" i="17" s="1"/>
  <c r="AL34" i="17"/>
  <c r="AL40" i="17" s="1"/>
  <c r="I24" i="17"/>
  <c r="I34" i="17"/>
  <c r="I40" i="17" s="1"/>
  <c r="I45" i="17"/>
  <c r="I51" i="17" s="1"/>
  <c r="P50" i="16"/>
  <c r="P46" i="16"/>
  <c r="AG44" i="16"/>
  <c r="AG33" i="16"/>
  <c r="AG23" i="16"/>
  <c r="T45" i="17"/>
  <c r="T51" i="17" s="1"/>
  <c r="T24" i="17"/>
  <c r="T34" i="17"/>
  <c r="T40" i="17" s="1"/>
  <c r="L39" i="16"/>
  <c r="L35" i="16"/>
  <c r="K35" i="17"/>
  <c r="K39" i="17"/>
  <c r="AQ39" i="17"/>
  <c r="AQ35" i="17"/>
  <c r="AE50" i="17"/>
  <c r="AK46" i="16"/>
  <c r="AK50" i="16"/>
  <c r="L24" i="17"/>
  <c r="L45" i="17"/>
  <c r="L51" i="17" s="1"/>
  <c r="L34" i="17"/>
  <c r="L40" i="17" s="1"/>
  <c r="F46" i="18"/>
  <c r="F50" i="18"/>
  <c r="AX24" i="17"/>
  <c r="AX45" i="17"/>
  <c r="AX51" i="17" s="1"/>
  <c r="AX34" i="17"/>
  <c r="AX40" i="17" s="1"/>
  <c r="P24" i="18"/>
  <c r="P34" i="18"/>
  <c r="P40" i="18" s="1"/>
  <c r="P45" i="18"/>
  <c r="P51" i="18" s="1"/>
  <c r="I27" i="16"/>
  <c r="H30" i="16"/>
  <c r="S44" i="16"/>
  <c r="S23" i="16"/>
  <c r="S33" i="16"/>
  <c r="AL46" i="16"/>
  <c r="AL50" i="16"/>
  <c r="AX46" i="17"/>
  <c r="AX50" i="17"/>
  <c r="AG35" i="18"/>
  <c r="AG39" i="18"/>
  <c r="J39" i="16"/>
  <c r="J35" i="16"/>
  <c r="AD46" i="17"/>
  <c r="AD50" i="17"/>
  <c r="J24" i="17"/>
  <c r="J45" i="17"/>
  <c r="J51" i="17" s="1"/>
  <c r="J34" i="17"/>
  <c r="J40" i="17" s="1"/>
  <c r="D24" i="17"/>
  <c r="D34" i="17"/>
  <c r="D45" i="17"/>
  <c r="AA50" i="18"/>
  <c r="AA46" i="18"/>
  <c r="AB39" i="16"/>
  <c r="AB35" i="16"/>
  <c r="AE23" i="18"/>
  <c r="AE33" i="18"/>
  <c r="AE44" i="18"/>
  <c r="X39" i="16"/>
  <c r="X35" i="16"/>
  <c r="AV35" i="17"/>
  <c r="AV39" i="17"/>
  <c r="H50" i="17"/>
  <c r="W46" i="18"/>
  <c r="W50" i="18"/>
  <c r="Q39" i="17"/>
  <c r="X35" i="17"/>
  <c r="X39" i="17"/>
  <c r="O35" i="16"/>
  <c r="O39" i="16"/>
  <c r="AJ39" i="16"/>
  <c r="AJ35" i="16"/>
  <c r="AD24" i="16"/>
  <c r="AD45" i="16"/>
  <c r="AD51" i="16" s="1"/>
  <c r="AD34" i="16"/>
  <c r="AD40" i="16" s="1"/>
  <c r="N46" i="17"/>
  <c r="N50" i="17"/>
  <c r="AZ21" i="18"/>
  <c r="AB39" i="18"/>
  <c r="AB35" i="18"/>
  <c r="AK46" i="18"/>
  <c r="AK50" i="18"/>
  <c r="Y39" i="17"/>
  <c r="Y35" i="17"/>
  <c r="Y35" i="18"/>
  <c r="Y39" i="18"/>
  <c r="AL33" i="17"/>
  <c r="AL44" i="17"/>
  <c r="AL23" i="17"/>
  <c r="P35" i="16"/>
  <c r="P39" i="16"/>
  <c r="T35" i="16"/>
  <c r="T39" i="16"/>
  <c r="AG24" i="16"/>
  <c r="AG34" i="16"/>
  <c r="AG40" i="16" s="1"/>
  <c r="AG45" i="16"/>
  <c r="AG51" i="16" s="1"/>
  <c r="K46" i="18"/>
  <c r="K50" i="18"/>
  <c r="AC35" i="17"/>
  <c r="G35" i="16"/>
  <c r="AX44" i="16"/>
  <c r="AX33" i="16"/>
  <c r="AX23" i="16"/>
  <c r="AK35" i="16"/>
  <c r="AK39" i="16"/>
  <c r="AZ22" i="18"/>
  <c r="D34" i="18"/>
  <c r="D40" i="18" s="1"/>
  <c r="D24" i="18"/>
  <c r="D45" i="18"/>
  <c r="D51" i="18" s="1"/>
  <c r="F39" i="18"/>
  <c r="F35" i="18"/>
  <c r="M33" i="18"/>
  <c r="M23" i="18"/>
  <c r="M44" i="18"/>
  <c r="P44" i="18"/>
  <c r="P23" i="18"/>
  <c r="P33" i="18"/>
  <c r="G46" i="16"/>
  <c r="S24" i="16"/>
  <c r="S45" i="16"/>
  <c r="S51" i="16" s="1"/>
  <c r="S34" i="16"/>
  <c r="S40" i="16" s="1"/>
  <c r="AL35" i="16"/>
  <c r="AL39" i="16"/>
  <c r="G24" i="17"/>
  <c r="G45" i="17"/>
  <c r="G51" i="17" s="1"/>
  <c r="G34" i="17"/>
  <c r="G40" i="17" s="1"/>
  <c r="D46" i="16"/>
  <c r="R35" i="16"/>
  <c r="R39" i="16"/>
  <c r="AR39" i="16"/>
  <c r="AR35" i="16"/>
  <c r="AA35" i="18"/>
  <c r="AA39" i="18"/>
  <c r="AB46" i="16"/>
  <c r="AB50" i="16"/>
  <c r="Q50" i="18"/>
  <c r="Q46" i="18"/>
  <c r="AP35" i="17"/>
  <c r="AP39" i="17"/>
  <c r="AE24" i="18"/>
  <c r="AE34" i="18"/>
  <c r="AE40" i="18" s="1"/>
  <c r="AE45" i="18"/>
  <c r="AE51" i="18" s="1"/>
  <c r="X50" i="16"/>
  <c r="X46" i="16"/>
  <c r="AV46" i="17"/>
  <c r="AV50" i="17"/>
  <c r="H35" i="17"/>
  <c r="H39" i="17"/>
  <c r="AW39" i="18"/>
  <c r="AW35" i="18"/>
  <c r="X46" i="17"/>
  <c r="X50" i="17"/>
  <c r="O46" i="16"/>
  <c r="O50" i="16"/>
  <c r="AV46" i="16"/>
  <c r="AV50" i="16"/>
  <c r="AJ50" i="16"/>
  <c r="AJ46" i="16"/>
  <c r="AD44" i="16"/>
  <c r="AD33" i="16"/>
  <c r="AD23" i="16"/>
  <c r="AM46" i="17"/>
  <c r="AM50" i="17"/>
  <c r="AO46" i="16"/>
  <c r="AO50" i="16"/>
  <c r="S35" i="18"/>
  <c r="S39" i="18"/>
  <c r="AJ39" i="18"/>
  <c r="AJ35" i="18"/>
  <c r="R34" i="17"/>
  <c r="R40" i="17" s="1"/>
  <c r="R45" i="17"/>
  <c r="R51" i="17" s="1"/>
  <c r="R24" i="17"/>
  <c r="V45" i="17"/>
  <c r="V51" i="17" s="1"/>
  <c r="V24" i="17"/>
  <c r="V34" i="17"/>
  <c r="V40" i="17" s="1"/>
  <c r="AO34" i="17"/>
  <c r="AO40" i="17" s="1"/>
  <c r="AO45" i="17"/>
  <c r="AO51" i="17" s="1"/>
  <c r="AO24" i="17"/>
  <c r="AM46" i="18"/>
  <c r="K35" i="18"/>
  <c r="K39" i="18"/>
  <c r="L50" i="17"/>
  <c r="L46" i="17"/>
  <c r="K39" i="16"/>
  <c r="K35" i="16"/>
  <c r="L46" i="16"/>
  <c r="L50" i="16"/>
  <c r="AX45" i="16"/>
  <c r="AX51" i="16" s="1"/>
  <c r="AX24" i="16"/>
  <c r="AX34" i="16"/>
  <c r="AX40" i="16" s="1"/>
  <c r="AC50" i="16"/>
  <c r="AC46" i="16"/>
  <c r="Q24" i="18"/>
  <c r="Q45" i="18"/>
  <c r="Q51" i="18" s="1"/>
  <c r="Q34" i="18"/>
  <c r="Q40" i="18" s="1"/>
  <c r="M24" i="18"/>
  <c r="M34" i="18"/>
  <c r="M40" i="18" s="1"/>
  <c r="M45" i="18"/>
  <c r="M51" i="18" s="1"/>
  <c r="M35" i="17"/>
  <c r="M39" i="17"/>
  <c r="AX39" i="17"/>
  <c r="M45" i="17"/>
  <c r="M51" i="17" s="1"/>
  <c r="M24" i="17"/>
  <c r="M34" i="17"/>
  <c r="M40" i="17" s="1"/>
  <c r="R46" i="16"/>
  <c r="R50" i="16"/>
  <c r="AR50" i="16"/>
  <c r="AR46" i="16"/>
  <c r="Q39" i="18"/>
  <c r="Q35" i="18"/>
  <c r="AV39" i="18"/>
  <c r="G44" i="18"/>
  <c r="G33" i="18"/>
  <c r="G23" i="18"/>
  <c r="S34" i="17"/>
  <c r="S40" i="17" s="1"/>
  <c r="S45" i="17"/>
  <c r="S51" i="17" s="1"/>
  <c r="S24" i="17"/>
  <c r="AW46" i="18"/>
  <c r="AW50" i="18"/>
  <c r="AK39" i="17"/>
  <c r="Z50" i="16"/>
  <c r="Z46" i="16"/>
  <c r="AR50" i="17"/>
  <c r="T46" i="16"/>
  <c r="T50" i="16"/>
  <c r="T33" i="17"/>
  <c r="T23" i="17"/>
  <c r="T44" i="17"/>
  <c r="AR35" i="18"/>
  <c r="AR39" i="18"/>
  <c r="K50" i="17"/>
  <c r="K46" i="17"/>
  <c r="AH34" i="18"/>
  <c r="AH40" i="18" s="1"/>
  <c r="AH24" i="18"/>
  <c r="AH45" i="18"/>
  <c r="AH51" i="18" s="1"/>
  <c r="G46" i="17"/>
  <c r="G50" i="17"/>
  <c r="Z44" i="18"/>
  <c r="Z23" i="18"/>
  <c r="Z33" i="18"/>
  <c r="AU35" i="16"/>
  <c r="AU39" i="16"/>
  <c r="N46" i="16"/>
  <c r="N50" i="16"/>
  <c r="J46" i="16"/>
  <c r="J50" i="16"/>
  <c r="J44" i="17"/>
  <c r="J23" i="17"/>
  <c r="J33" i="17"/>
  <c r="AK34" i="17"/>
  <c r="AK40" i="17" s="1"/>
  <c r="AK45" i="17"/>
  <c r="AK51" i="17" s="1"/>
  <c r="AK24" i="17"/>
  <c r="R46" i="18"/>
  <c r="R50" i="18"/>
  <c r="O46" i="17"/>
  <c r="O50" i="17"/>
  <c r="AW33" i="17"/>
  <c r="AW44" i="17"/>
  <c r="AW23" i="17"/>
  <c r="AX46" i="18"/>
  <c r="AX50" i="18"/>
  <c r="D39" i="18"/>
  <c r="H24" i="17"/>
  <c r="H45" i="17"/>
  <c r="H51" i="17" s="1"/>
  <c r="H34" i="17"/>
  <c r="H40" i="17" s="1"/>
  <c r="Q45" i="17"/>
  <c r="Q51" i="17" s="1"/>
  <c r="Q24" i="17"/>
  <c r="Q34" i="17"/>
  <c r="Q40" i="17" s="1"/>
  <c r="AF24" i="17"/>
  <c r="AF34" i="17"/>
  <c r="AF45" i="17"/>
  <c r="S46" i="18"/>
  <c r="S50" i="18"/>
  <c r="AS33" i="18"/>
  <c r="AS23" i="18"/>
  <c r="AS44" i="18"/>
  <c r="AT24" i="17"/>
  <c r="AT34" i="17"/>
  <c r="AT40" i="17" s="1"/>
  <c r="AT45" i="17"/>
  <c r="AT51" i="17" s="1"/>
  <c r="L39" i="17"/>
  <c r="AU24" i="18"/>
  <c r="AU45" i="18"/>
  <c r="AU51" i="18" s="1"/>
  <c r="AU34" i="18"/>
  <c r="AU40" i="18" s="1"/>
  <c r="AV24" i="18"/>
  <c r="AV45" i="18"/>
  <c r="AV51" i="18" s="1"/>
  <c r="AV34" i="18"/>
  <c r="AV40" i="18" s="1"/>
  <c r="L50" i="18"/>
  <c r="L46" i="18"/>
  <c r="M50" i="17"/>
  <c r="V35" i="17"/>
  <c r="V39" i="17"/>
  <c r="AA50" i="16"/>
  <c r="AA46" i="16"/>
  <c r="AS50" i="16"/>
  <c r="AS46" i="16"/>
  <c r="S23" i="17"/>
  <c r="S33" i="17"/>
  <c r="S44" i="17"/>
  <c r="AG34" i="17"/>
  <c r="AG40" i="17" s="1"/>
  <c r="AG24" i="17"/>
  <c r="AG45" i="17"/>
  <c r="AG51" i="17" s="1"/>
  <c r="AY39" i="17"/>
  <c r="AY35" i="17"/>
  <c r="U34" i="17"/>
  <c r="U40" i="17" s="1"/>
  <c r="U24" i="17"/>
  <c r="U45" i="17"/>
  <c r="U51" i="17" s="1"/>
  <c r="AN46" i="17"/>
  <c r="AN50" i="17"/>
  <c r="AI44" i="16"/>
  <c r="AI23" i="16"/>
  <c r="AI33" i="16"/>
  <c r="AN39" i="16"/>
  <c r="AN35" i="16"/>
  <c r="AC35" i="18"/>
  <c r="AC39" i="18"/>
  <c r="AT50" i="17"/>
  <c r="AT46" i="17"/>
  <c r="AI33" i="18"/>
  <c r="AI23" i="18"/>
  <c r="AI44" i="18"/>
  <c r="AO46" i="18"/>
  <c r="AO50" i="18"/>
  <c r="AU44" i="18"/>
  <c r="AU33" i="18"/>
  <c r="AU23" i="18"/>
  <c r="X39" i="18"/>
  <c r="X35" i="18"/>
  <c r="AQ46" i="18"/>
  <c r="AQ50" i="18"/>
  <c r="F45" i="18"/>
  <c r="F51" i="18" s="1"/>
  <c r="F34" i="18"/>
  <c r="F40" i="18" s="1"/>
  <c r="F24" i="18"/>
  <c r="AC46" i="17"/>
  <c r="L35" i="18"/>
  <c r="L39" i="18"/>
  <c r="AY50" i="18"/>
  <c r="AY46" i="18"/>
  <c r="V50" i="17"/>
  <c r="AA35" i="16"/>
  <c r="AA39" i="16"/>
  <c r="I50" i="18"/>
  <c r="I46" i="18"/>
  <c r="N39" i="18"/>
  <c r="N35" i="18"/>
  <c r="F45" i="17"/>
  <c r="F51" i="17" s="1"/>
  <c r="F34" i="17"/>
  <c r="F40" i="17" s="1"/>
  <c r="F24" i="17"/>
  <c r="AJ33" i="17"/>
  <c r="AJ23" i="17"/>
  <c r="AJ44" i="17"/>
  <c r="AN35" i="18"/>
  <c r="AN39" i="18"/>
  <c r="P35" i="17"/>
  <c r="P39" i="17"/>
  <c r="E22" i="17"/>
  <c r="E21" i="17"/>
  <c r="U35" i="16"/>
  <c r="U39" i="16"/>
  <c r="K34" i="17"/>
  <c r="K40" i="17" s="1"/>
  <c r="K45" i="17"/>
  <c r="K51" i="17" s="1"/>
  <c r="K24" i="17"/>
  <c r="AY46" i="17"/>
  <c r="AY50" i="17"/>
  <c r="U33" i="17"/>
  <c r="U44" i="17"/>
  <c r="U23" i="17"/>
  <c r="AE24" i="17"/>
  <c r="AE34" i="17"/>
  <c r="AE40" i="17" s="1"/>
  <c r="AE45" i="17"/>
  <c r="AE51" i="17" s="1"/>
  <c r="W34" i="17"/>
  <c r="W40" i="17" s="1"/>
  <c r="W45" i="17"/>
  <c r="W51" i="17" s="1"/>
  <c r="W24" i="17"/>
  <c r="AI24" i="16"/>
  <c r="AI45" i="16"/>
  <c r="AI51" i="16" s="1"/>
  <c r="AI34" i="16"/>
  <c r="AI40" i="16" s="1"/>
  <c r="R50" i="17"/>
  <c r="R46" i="17"/>
  <c r="AU46" i="17"/>
  <c r="AU50" i="17"/>
  <c r="AH45" i="16"/>
  <c r="AH51" i="16" s="1"/>
  <c r="AH24" i="16"/>
  <c r="AH34" i="16"/>
  <c r="AH40" i="16" s="1"/>
  <c r="AF46" i="18"/>
  <c r="AF50" i="18"/>
  <c r="M46" i="16"/>
  <c r="M50" i="16"/>
  <c r="Q24" i="16"/>
  <c r="Q34" i="16"/>
  <c r="Q40" i="16" s="1"/>
  <c r="Q45" i="16"/>
  <c r="Q51" i="16" s="1"/>
  <c r="AC50" i="18"/>
  <c r="AC46" i="18"/>
  <c r="AT35" i="17"/>
  <c r="AT39" i="17"/>
  <c r="Z50" i="17"/>
  <c r="Z46" i="17"/>
  <c r="AS39" i="17"/>
  <c r="F39" i="16"/>
  <c r="F35" i="16"/>
  <c r="W35" i="16"/>
  <c r="J35" i="18"/>
  <c r="J39" i="18"/>
  <c r="I33" i="16"/>
  <c r="I44" i="16"/>
  <c r="I23" i="16"/>
  <c r="AT50" i="18"/>
  <c r="AT46" i="18"/>
  <c r="AR50" i="18"/>
  <c r="AR46" i="18"/>
  <c r="AF50" i="16"/>
  <c r="AF46" i="16"/>
  <c r="X46" i="18"/>
  <c r="X50" i="18"/>
  <c r="AI34" i="17"/>
  <c r="AI40" i="17" s="1"/>
  <c r="AI45" i="17"/>
  <c r="AI51" i="17" s="1"/>
  <c r="AI24" i="17"/>
  <c r="AJ45" i="18"/>
  <c r="AJ51" i="18" s="1"/>
  <c r="AJ34" i="18"/>
  <c r="AJ40" i="18" s="1"/>
  <c r="AJ24" i="18"/>
  <c r="V35" i="16"/>
  <c r="V39" i="16"/>
  <c r="I39" i="18"/>
  <c r="I35" i="18"/>
  <c r="F33" i="17"/>
  <c r="F44" i="17"/>
  <c r="F23" i="17"/>
  <c r="AJ45" i="17"/>
  <c r="AJ51" i="17" s="1"/>
  <c r="AJ24" i="17"/>
  <c r="AJ34" i="17"/>
  <c r="AJ40" i="17" s="1"/>
  <c r="AM50" i="16"/>
  <c r="AM46" i="16"/>
  <c r="E21" i="16"/>
  <c r="E22" i="16"/>
  <c r="AN46" i="18"/>
  <c r="AN50" i="18"/>
  <c r="AP50" i="18"/>
  <c r="AP46" i="18"/>
  <c r="O39" i="17"/>
  <c r="O35" i="17"/>
  <c r="AH34" i="17"/>
  <c r="AH40" i="17" s="1"/>
  <c r="AH24" i="17"/>
  <c r="AH45" i="17"/>
  <c r="AH51" i="17" s="1"/>
  <c r="AT46" i="16"/>
  <c r="AT50" i="16"/>
  <c r="V44" i="18"/>
  <c r="V23" i="18"/>
  <c r="V33" i="18"/>
  <c r="H35" i="18"/>
  <c r="H39" i="18"/>
  <c r="Z45" i="17"/>
  <c r="Z51" i="17" s="1"/>
  <c r="Z24" i="17"/>
  <c r="Z34" i="17"/>
  <c r="Z40" i="17" s="1"/>
  <c r="AL44" i="18"/>
  <c r="AL23" i="18"/>
  <c r="AL33" i="18"/>
  <c r="AE35" i="16"/>
  <c r="AE39" i="16"/>
  <c r="T33" i="18"/>
  <c r="T44" i="18"/>
  <c r="T23" i="18"/>
  <c r="AQ24" i="16"/>
  <c r="AQ45" i="16"/>
  <c r="AQ51" i="16" s="1"/>
  <c r="AQ34" i="16"/>
  <c r="AQ40" i="16" s="1"/>
  <c r="AA50" i="17"/>
  <c r="AS50" i="17"/>
  <c r="H30" i="18"/>
  <c r="I27" i="18"/>
  <c r="AQ50" i="17"/>
  <c r="AW33" i="16"/>
  <c r="AW23" i="16"/>
  <c r="AW44" i="16"/>
  <c r="AH35" i="18"/>
  <c r="AH39" i="18"/>
  <c r="AG50" i="18"/>
  <c r="AG46" i="18"/>
  <c r="AK46" i="17"/>
  <c r="AK50" i="17"/>
  <c r="Z39" i="16"/>
  <c r="Z35" i="16"/>
  <c r="N39" i="17"/>
  <c r="N35" i="17"/>
  <c r="AS34" i="17"/>
  <c r="AS40" i="17" s="1"/>
  <c r="AS45" i="17"/>
  <c r="AS51" i="17" s="1"/>
  <c r="AS24" i="17"/>
  <c r="AR45" i="17"/>
  <c r="AR51" i="17" s="1"/>
  <c r="AR24" i="17"/>
  <c r="AR34" i="17"/>
  <c r="AR40" i="17" s="1"/>
  <c r="Y50" i="17"/>
  <c r="AP44" i="16"/>
  <c r="AP23" i="16"/>
  <c r="AP33" i="16"/>
  <c r="AM39" i="17"/>
  <c r="AM35" i="17"/>
  <c r="AN46" i="16"/>
  <c r="AN50" i="16"/>
  <c r="AO39" i="16"/>
  <c r="AO35" i="16"/>
  <c r="M35" i="16"/>
  <c r="M39" i="16"/>
  <c r="AJ50" i="18"/>
  <c r="AI24" i="18"/>
  <c r="AI34" i="18"/>
  <c r="AI40" i="18" s="1"/>
  <c r="AI45" i="18"/>
  <c r="AI51" i="18" s="1"/>
  <c r="AO44" i="17"/>
  <c r="AO23" i="17"/>
  <c r="AO33" i="17"/>
  <c r="AO35" i="18"/>
  <c r="AO39" i="18"/>
  <c r="K46" i="16"/>
  <c r="K50" i="16"/>
  <c r="AG35" i="17"/>
  <c r="AG39" i="17"/>
  <c r="AQ35" i="18"/>
  <c r="AQ39" i="18"/>
  <c r="AY39" i="18"/>
  <c r="AY35" i="18"/>
  <c r="N50" i="18"/>
  <c r="AV46" i="18"/>
  <c r="AV50" i="18"/>
  <c r="P50" i="17"/>
  <c r="P46" i="17"/>
  <c r="G45" i="18"/>
  <c r="G51" i="18" s="1"/>
  <c r="G34" i="18"/>
  <c r="G40" i="18" s="1"/>
  <c r="G24" i="18"/>
  <c r="U50" i="16"/>
  <c r="U46" i="16"/>
  <c r="AQ34" i="17"/>
  <c r="AQ40" i="17" s="1"/>
  <c r="AQ24" i="17"/>
  <c r="AQ45" i="17"/>
  <c r="AQ51" i="17" s="1"/>
  <c r="AV39" i="16"/>
  <c r="AV35" i="16"/>
  <c r="AP45" i="16"/>
  <c r="AP51" i="16" s="1"/>
  <c r="AP24" i="16"/>
  <c r="AP34" i="16"/>
  <c r="AP40" i="16" s="1"/>
  <c r="AU39" i="17"/>
  <c r="AU35" i="17"/>
  <c r="AH44" i="16"/>
  <c r="AH23" i="16"/>
  <c r="AH33" i="16"/>
  <c r="Q33" i="16"/>
  <c r="Q23" i="16"/>
  <c r="Q44" i="16"/>
  <c r="AS45" i="18"/>
  <c r="AS51" i="18" s="1"/>
  <c r="AS34" i="18"/>
  <c r="AS40" i="18" s="1"/>
  <c r="AS24" i="18"/>
  <c r="F50" i="16"/>
  <c r="F46" i="16"/>
  <c r="AA34" i="17"/>
  <c r="AA40" i="17" s="1"/>
  <c r="AA24" i="17"/>
  <c r="AA45" i="17"/>
  <c r="AA51" i="17" s="1"/>
  <c r="I34" i="16"/>
  <c r="I40" i="16" s="1"/>
  <c r="I45" i="16"/>
  <c r="I51" i="16" s="1"/>
  <c r="I24" i="16"/>
  <c r="AG50" i="17"/>
  <c r="AC39" i="16"/>
  <c r="AC35" i="16"/>
  <c r="AS35" i="16"/>
  <c r="AS39" i="16"/>
  <c r="AL24" i="18"/>
  <c r="AL34" i="18"/>
  <c r="AL40" i="18" s="1"/>
  <c r="AL45" i="18"/>
  <c r="AL51" i="18" s="1"/>
  <c r="AN35" i="17"/>
  <c r="AN39" i="17"/>
  <c r="W44" i="17"/>
  <c r="W33" i="17"/>
  <c r="W23" i="17"/>
  <c r="Y34" i="17"/>
  <c r="Y40" i="17" s="1"/>
  <c r="Y24" i="17"/>
  <c r="Y45" i="17"/>
  <c r="Y51" i="17" s="1"/>
  <c r="R35" i="17"/>
  <c r="R39" i="17"/>
  <c r="AZ23" i="18"/>
  <c r="AF35" i="18"/>
  <c r="AF39" i="18"/>
  <c r="T34" i="18"/>
  <c r="T40" i="18" s="1"/>
  <c r="T45" i="18"/>
  <c r="T51" i="18" s="1"/>
  <c r="T24" i="18"/>
  <c r="AR35" i="17"/>
  <c r="AR39" i="17"/>
  <c r="AQ44" i="16"/>
  <c r="AQ23" i="16"/>
  <c r="AQ33" i="16"/>
  <c r="AB33" i="17"/>
  <c r="AB44" i="17"/>
  <c r="AB23" i="17"/>
  <c r="AA35" i="17"/>
  <c r="AA39" i="17"/>
  <c r="Z35" i="17"/>
  <c r="Z39" i="17"/>
  <c r="AY39" i="16"/>
  <c r="AY35" i="16"/>
  <c r="J46" i="18"/>
  <c r="J50" i="18"/>
  <c r="AT35" i="18"/>
  <c r="AT39" i="18"/>
  <c r="AF39" i="16"/>
  <c r="AF35" i="16"/>
  <c r="AI33" i="17"/>
  <c r="AI23" i="17"/>
  <c r="AI44" i="17"/>
  <c r="AW45" i="16"/>
  <c r="AW51" i="16" s="1"/>
  <c r="AW34" i="16"/>
  <c r="AW40" i="16" s="1"/>
  <c r="AW24" i="16"/>
  <c r="N45" i="18"/>
  <c r="N51" i="18" s="1"/>
  <c r="N34" i="18"/>
  <c r="N40" i="18" s="1"/>
  <c r="N24" i="18"/>
  <c r="E24" i="18"/>
  <c r="E34" i="18"/>
  <c r="E40" i="18" s="1"/>
  <c r="E45" i="18"/>
  <c r="E51" i="18" s="1"/>
  <c r="G35" i="17"/>
  <c r="G39" i="17"/>
  <c r="Z34" i="18"/>
  <c r="Z40" i="18" s="1"/>
  <c r="Z45" i="18"/>
  <c r="Z51" i="18" s="1"/>
  <c r="Z24" i="18"/>
  <c r="AH50" i="18"/>
  <c r="AH46" i="18"/>
  <c r="G27" i="17"/>
  <c r="F30" i="17"/>
  <c r="V46" i="16"/>
  <c r="V50" i="16"/>
  <c r="AU50" i="16"/>
  <c r="AU46" i="16"/>
  <c r="N39" i="16"/>
  <c r="N35" i="16"/>
  <c r="AM35" i="16"/>
  <c r="AM39" i="16"/>
  <c r="O35" i="18"/>
  <c r="O39" i="18"/>
  <c r="R35" i="18"/>
  <c r="R39" i="18"/>
  <c r="AP39" i="18"/>
  <c r="AP35" i="18"/>
  <c r="Y50" i="16"/>
  <c r="Y46" i="16"/>
  <c r="AH33" i="17"/>
  <c r="AH23" i="17"/>
  <c r="AH44" i="17"/>
  <c r="AT35" i="16"/>
  <c r="AT39" i="16"/>
  <c r="T11" i="20"/>
  <c r="T45" i="20" s="1"/>
  <c r="U46" i="18"/>
  <c r="U50" i="18"/>
  <c r="W35" i="18"/>
  <c r="W39" i="18"/>
  <c r="V24" i="18"/>
  <c r="V45" i="18"/>
  <c r="V51" i="18" s="1"/>
  <c r="V34" i="18"/>
  <c r="V40" i="18" s="1"/>
  <c r="AH35" i="17" l="1"/>
  <c r="AH39" i="17"/>
  <c r="W46" i="17"/>
  <c r="W50" i="17"/>
  <c r="I50" i="16"/>
  <c r="I46" i="16"/>
  <c r="E23" i="17"/>
  <c r="AZ23" i="17" s="1"/>
  <c r="E44" i="17"/>
  <c r="E33" i="17"/>
  <c r="AZ21" i="17"/>
  <c r="AJ35" i="17"/>
  <c r="AJ39" i="17"/>
  <c r="AI46" i="16"/>
  <c r="AI50" i="16"/>
  <c r="AF51" i="17"/>
  <c r="AF46" i="17"/>
  <c r="Z35" i="18"/>
  <c r="Z39" i="18"/>
  <c r="AZ24" i="18"/>
  <c r="J27" i="16"/>
  <c r="I30" i="16"/>
  <c r="Y46" i="17"/>
  <c r="T50" i="18"/>
  <c r="T46" i="18"/>
  <c r="I39" i="16"/>
  <c r="I35" i="16"/>
  <c r="E24" i="17"/>
  <c r="E34" i="17"/>
  <c r="E40" i="17" s="1"/>
  <c r="E45" i="17"/>
  <c r="E51" i="17" s="1"/>
  <c r="AU35" i="18"/>
  <c r="AU39" i="18"/>
  <c r="AF40" i="17"/>
  <c r="AF35" i="17"/>
  <c r="J46" i="17"/>
  <c r="J50" i="17"/>
  <c r="P50" i="18"/>
  <c r="P46" i="18"/>
  <c r="H27" i="17"/>
  <c r="G30" i="17"/>
  <c r="Q39" i="16"/>
  <c r="Q35" i="16"/>
  <c r="N46" i="18"/>
  <c r="AW46" i="16"/>
  <c r="AW50" i="16"/>
  <c r="AS46" i="17"/>
  <c r="T39" i="18"/>
  <c r="T35" i="18"/>
  <c r="V46" i="17"/>
  <c r="AU50" i="18"/>
  <c r="AU46" i="18"/>
  <c r="D35" i="18"/>
  <c r="Z50" i="18"/>
  <c r="Z46" i="18"/>
  <c r="AR46" i="17"/>
  <c r="AX35" i="17"/>
  <c r="M46" i="18"/>
  <c r="M50" i="18"/>
  <c r="Q35" i="17"/>
  <c r="AG35" i="16"/>
  <c r="AG39" i="16"/>
  <c r="I50" i="17"/>
  <c r="I46" i="17"/>
  <c r="Q50" i="16"/>
  <c r="Q46" i="16"/>
  <c r="AS46" i="18"/>
  <c r="AS50" i="18"/>
  <c r="D51" i="17"/>
  <c r="D46" i="17"/>
  <c r="AW35" i="16"/>
  <c r="AW39" i="16"/>
  <c r="F35" i="17"/>
  <c r="F39" i="17"/>
  <c r="S35" i="17"/>
  <c r="S39" i="17"/>
  <c r="T50" i="17"/>
  <c r="T46" i="17"/>
  <c r="AD35" i="16"/>
  <c r="AD39" i="16"/>
  <c r="AL50" i="17"/>
  <c r="AL46" i="17"/>
  <c r="AE50" i="18"/>
  <c r="AE46" i="18"/>
  <c r="S35" i="16"/>
  <c r="S39" i="16"/>
  <c r="AI39" i="17"/>
  <c r="AI35" i="17"/>
  <c r="AB39" i="17"/>
  <c r="AB35" i="17"/>
  <c r="AH46" i="16"/>
  <c r="AH50" i="16"/>
  <c r="AO39" i="17"/>
  <c r="AO35" i="17"/>
  <c r="AP39" i="16"/>
  <c r="AP35" i="16"/>
  <c r="AL35" i="18"/>
  <c r="AL39" i="18"/>
  <c r="V35" i="18"/>
  <c r="V39" i="18"/>
  <c r="AI46" i="18"/>
  <c r="AI50" i="18"/>
  <c r="M46" i="17"/>
  <c r="AS39" i="18"/>
  <c r="AS35" i="18"/>
  <c r="G35" i="18"/>
  <c r="G39" i="18"/>
  <c r="AD50" i="16"/>
  <c r="AD46" i="16"/>
  <c r="AL39" i="17"/>
  <c r="AL35" i="17"/>
  <c r="AE39" i="18"/>
  <c r="AE35" i="18"/>
  <c r="AZ24" i="17"/>
  <c r="E39" i="18"/>
  <c r="E35" i="18"/>
  <c r="AH35" i="16"/>
  <c r="AH39" i="16"/>
  <c r="F46" i="17"/>
  <c r="F50" i="17"/>
  <c r="E46" i="18"/>
  <c r="E50" i="18"/>
  <c r="AH50" i="17"/>
  <c r="AH46" i="17"/>
  <c r="AQ35" i="16"/>
  <c r="AQ39" i="16"/>
  <c r="AQ46" i="17"/>
  <c r="AJ46" i="17"/>
  <c r="AJ50" i="17"/>
  <c r="AI35" i="16"/>
  <c r="AI39" i="16"/>
  <c r="AW50" i="17"/>
  <c r="AW46" i="17"/>
  <c r="T39" i="17"/>
  <c r="T35" i="17"/>
  <c r="AK35" i="17"/>
  <c r="G46" i="18"/>
  <c r="G50" i="18"/>
  <c r="AX35" i="16"/>
  <c r="AX39" i="16"/>
  <c r="H46" i="17"/>
  <c r="AZ22" i="17"/>
  <c r="S46" i="16"/>
  <c r="S50" i="16"/>
  <c r="AE35" i="17"/>
  <c r="AQ46" i="16"/>
  <c r="AQ50" i="16"/>
  <c r="U35" i="17"/>
  <c r="U39" i="17"/>
  <c r="AI46" i="17"/>
  <c r="AI50" i="17"/>
  <c r="AG46" i="17"/>
  <c r="E24" i="16"/>
  <c r="AZ24" i="16" s="1"/>
  <c r="E34" i="16"/>
  <c r="E40" i="16" s="1"/>
  <c r="E45" i="16"/>
  <c r="E51" i="16" s="1"/>
  <c r="AZ22" i="16"/>
  <c r="S46" i="17"/>
  <c r="S50" i="17"/>
  <c r="AG50" i="16"/>
  <c r="AG46" i="16"/>
  <c r="I39" i="17"/>
  <c r="I35" i="17"/>
  <c r="AB50" i="17"/>
  <c r="AB46" i="17"/>
  <c r="AJ46" i="18"/>
  <c r="AA46" i="17"/>
  <c r="E44" i="16"/>
  <c r="E33" i="16"/>
  <c r="E23" i="16"/>
  <c r="AZ23" i="16" s="1"/>
  <c r="AZ21" i="16"/>
  <c r="M35" i="18"/>
  <c r="M39" i="18"/>
  <c r="D40" i="17"/>
  <c r="D35" i="17"/>
  <c r="W35" i="17"/>
  <c r="W39" i="17"/>
  <c r="AO46" i="17"/>
  <c r="AO50" i="17"/>
  <c r="AP46" i="16"/>
  <c r="AP50" i="16"/>
  <c r="I30" i="18"/>
  <c r="J27" i="18"/>
  <c r="AL50" i="18"/>
  <c r="AL46" i="18"/>
  <c r="V46" i="18"/>
  <c r="V50" i="18"/>
  <c r="AS35" i="17"/>
  <c r="U46" i="17"/>
  <c r="U50" i="17"/>
  <c r="AI35" i="18"/>
  <c r="AI39" i="18"/>
  <c r="L35" i="17"/>
  <c r="AW39" i="17"/>
  <c r="AW35" i="17"/>
  <c r="J35" i="17"/>
  <c r="J39" i="17"/>
  <c r="AV35" i="18"/>
  <c r="P35" i="18"/>
  <c r="P39" i="18"/>
  <c r="AX46" i="16"/>
  <c r="AX50" i="16"/>
  <c r="AE46" i="17"/>
  <c r="Q46" i="17"/>
  <c r="E46" i="16" l="1"/>
  <c r="E50" i="16"/>
  <c r="J30" i="18"/>
  <c r="K27" i="18"/>
  <c r="J30" i="16"/>
  <c r="K27" i="16"/>
  <c r="E39" i="17"/>
  <c r="E35" i="17"/>
  <c r="E35" i="16"/>
  <c r="E39" i="16"/>
  <c r="H30" i="17"/>
  <c r="I27" i="17"/>
  <c r="E46" i="17"/>
  <c r="E50" i="17"/>
  <c r="L27" i="16" l="1"/>
  <c r="K30" i="16"/>
  <c r="I30" i="17"/>
  <c r="J27" i="17"/>
  <c r="L27" i="18"/>
  <c r="K30" i="18"/>
  <c r="L30" i="18" l="1"/>
  <c r="M27" i="18"/>
  <c r="M27" i="16"/>
  <c r="L30" i="16"/>
  <c r="K27" i="17"/>
  <c r="J30" i="17"/>
  <c r="L27" i="17" l="1"/>
  <c r="K30" i="17"/>
  <c r="M30" i="16"/>
  <c r="N27" i="16"/>
  <c r="M30" i="18"/>
  <c r="N27" i="18"/>
  <c r="N30" i="16" l="1"/>
  <c r="O27" i="16"/>
  <c r="L30" i="17"/>
  <c r="M27" i="17"/>
  <c r="O27" i="18"/>
  <c r="N30" i="18"/>
  <c r="P27" i="18" l="1"/>
  <c r="O30" i="18"/>
  <c r="M30" i="17"/>
  <c r="N27" i="17"/>
  <c r="O30" i="16"/>
  <c r="P27" i="16"/>
  <c r="P30" i="16" l="1"/>
  <c r="Q27" i="16"/>
  <c r="Q27" i="18"/>
  <c r="P30" i="18"/>
  <c r="O27" i="17"/>
  <c r="N30" i="17"/>
  <c r="P27" i="17" l="1"/>
  <c r="O30" i="17"/>
  <c r="R27" i="18"/>
  <c r="Q30" i="18"/>
  <c r="R27" i="16"/>
  <c r="Q30" i="16"/>
  <c r="Q27" i="17" l="1"/>
  <c r="P30" i="17"/>
  <c r="R30" i="16"/>
  <c r="S27" i="16"/>
  <c r="R30" i="18"/>
  <c r="S27" i="18"/>
  <c r="Q30" i="17" l="1"/>
  <c r="R27" i="17"/>
  <c r="T27" i="16"/>
  <c r="S30" i="16"/>
  <c r="T27" i="18"/>
  <c r="S30" i="18"/>
  <c r="U27" i="18" l="1"/>
  <c r="T30" i="18"/>
  <c r="T30" i="16"/>
  <c r="U27" i="16"/>
  <c r="R30" i="17"/>
  <c r="S27" i="17"/>
  <c r="V27" i="18" l="1"/>
  <c r="U30" i="18"/>
  <c r="S30" i="17"/>
  <c r="T27" i="17"/>
  <c r="U30" i="16"/>
  <c r="V27" i="16"/>
  <c r="W27" i="18" l="1"/>
  <c r="V30" i="18"/>
  <c r="V30" i="16"/>
  <c r="W27" i="16"/>
  <c r="T30" i="17"/>
  <c r="U27" i="17"/>
  <c r="U30" i="17" l="1"/>
  <c r="V27" i="17"/>
  <c r="X27" i="18"/>
  <c r="W30" i="18"/>
  <c r="X27" i="16"/>
  <c r="W30" i="16"/>
  <c r="Y27" i="16" l="1"/>
  <c r="X30" i="16"/>
  <c r="X30" i="18"/>
  <c r="Y27" i="18"/>
  <c r="W27" i="17"/>
  <c r="V30" i="17"/>
  <c r="X27" i="17" l="1"/>
  <c r="W30" i="17"/>
  <c r="Z27" i="16"/>
  <c r="Y30" i="16"/>
  <c r="Z27" i="18"/>
  <c r="Y30" i="18"/>
  <c r="Y27" i="17" l="1"/>
  <c r="X30" i="17"/>
  <c r="AA27" i="18"/>
  <c r="Z30" i="18"/>
  <c r="Z30" i="16"/>
  <c r="AA27" i="16"/>
  <c r="Y30" i="17" l="1"/>
  <c r="Z27" i="17"/>
  <c r="AA30" i="16"/>
  <c r="AB27" i="16"/>
  <c r="AB27" i="18"/>
  <c r="AA30" i="18"/>
  <c r="AC27" i="18" l="1"/>
  <c r="AB30" i="18"/>
  <c r="AB30" i="16"/>
  <c r="AC27" i="16"/>
  <c r="AA27" i="17"/>
  <c r="Z30" i="17"/>
  <c r="AA30" i="17" l="1"/>
  <c r="AB27" i="17"/>
  <c r="AD27" i="18"/>
  <c r="AC30" i="18"/>
  <c r="AD27" i="16"/>
  <c r="AC30" i="16"/>
  <c r="AE27" i="16" l="1"/>
  <c r="AD30" i="16"/>
  <c r="AD30" i="18"/>
  <c r="AE27" i="18"/>
  <c r="AC27" i="17"/>
  <c r="AB30" i="17"/>
  <c r="AE30" i="16" l="1"/>
  <c r="AF27" i="16"/>
  <c r="AD27" i="17"/>
  <c r="AC30" i="17"/>
  <c r="AE30" i="18"/>
  <c r="AF27" i="18"/>
  <c r="AF30" i="18" l="1"/>
  <c r="AG27" i="18"/>
  <c r="AE27" i="17"/>
  <c r="AD30" i="17"/>
  <c r="AF30" i="16"/>
  <c r="AG27" i="16"/>
  <c r="AH27" i="16" l="1"/>
  <c r="AG30" i="16"/>
  <c r="AF27" i="17"/>
  <c r="AE30" i="17"/>
  <c r="AH27" i="18"/>
  <c r="AG30" i="18"/>
  <c r="AI27" i="16" l="1"/>
  <c r="AH30" i="16"/>
  <c r="AH30" i="18"/>
  <c r="AI27" i="18"/>
  <c r="AG27" i="17"/>
  <c r="AF30" i="17"/>
  <c r="AH27" i="17" l="1"/>
  <c r="AG30" i="17"/>
  <c r="AJ27" i="16"/>
  <c r="AI30" i="16"/>
  <c r="AI30" i="18"/>
  <c r="AJ27" i="18"/>
  <c r="AH30" i="17" l="1"/>
  <c r="AI27" i="17"/>
  <c r="AK27" i="18"/>
  <c r="AJ30" i="18"/>
  <c r="AJ30" i="16"/>
  <c r="AK27" i="16"/>
  <c r="AL27" i="18" l="1"/>
  <c r="AK30" i="18"/>
  <c r="AL27" i="16"/>
  <c r="AK30" i="16"/>
  <c r="AI30" i="17"/>
  <c r="AJ27" i="17"/>
  <c r="AL30" i="18" l="1"/>
  <c r="AM27" i="18"/>
  <c r="AK27" i="17"/>
  <c r="AJ30" i="17"/>
  <c r="AM27" i="16"/>
  <c r="AL30" i="16"/>
  <c r="AN27" i="16" l="1"/>
  <c r="AM30" i="16"/>
  <c r="AL27" i="17"/>
  <c r="AK30" i="17"/>
  <c r="AN27" i="18"/>
  <c r="AM30" i="18"/>
  <c r="AN30" i="18" l="1"/>
  <c r="AO27" i="18"/>
  <c r="AM27" i="17"/>
  <c r="AL30" i="17"/>
  <c r="AN30" i="16"/>
  <c r="AO27" i="16"/>
  <c r="AP27" i="16" l="1"/>
  <c r="AO30" i="16"/>
  <c r="AM30" i="17"/>
  <c r="AN27" i="17"/>
  <c r="AP27" i="18"/>
  <c r="AO30" i="18"/>
  <c r="AQ27" i="16" l="1"/>
  <c r="AP30" i="16"/>
  <c r="AQ27" i="18"/>
  <c r="AP30" i="18"/>
  <c r="AO27" i="17"/>
  <c r="AN30" i="17"/>
  <c r="AR27" i="16" l="1"/>
  <c r="AQ30" i="16"/>
  <c r="AP27" i="17"/>
  <c r="AO30" i="17"/>
  <c r="AR27" i="18"/>
  <c r="AQ30" i="18"/>
  <c r="AS27" i="18" l="1"/>
  <c r="AR30" i="18"/>
  <c r="AR30" i="16"/>
  <c r="AS27" i="16"/>
  <c r="AP30" i="17"/>
  <c r="AQ27" i="17"/>
  <c r="AS30" i="18" l="1"/>
  <c r="AT27" i="18"/>
  <c r="AQ30" i="17"/>
  <c r="AR27" i="17"/>
  <c r="AT27" i="16"/>
  <c r="AS30" i="16"/>
  <c r="AT30" i="16" l="1"/>
  <c r="AU27" i="16"/>
  <c r="AS27" i="17"/>
  <c r="AR30" i="17"/>
  <c r="AU27" i="18"/>
  <c r="AT30" i="18"/>
  <c r="AU30" i="18" l="1"/>
  <c r="AV27" i="18"/>
  <c r="AS30" i="17"/>
  <c r="AT27" i="17"/>
  <c r="AU30" i="16"/>
  <c r="AV27" i="16"/>
  <c r="AV30" i="16" l="1"/>
  <c r="AW27" i="16"/>
  <c r="AT30" i="17"/>
  <c r="AU27" i="17"/>
  <c r="AV30" i="18"/>
  <c r="AW27" i="18"/>
  <c r="AW30" i="18" l="1"/>
  <c r="AX27" i="18"/>
  <c r="AU30" i="17"/>
  <c r="AV27" i="17"/>
  <c r="AX27" i="16"/>
  <c r="AW30" i="16"/>
  <c r="AY27" i="16" l="1"/>
  <c r="AY30" i="16" s="1"/>
  <c r="AZ30" i="16" s="1"/>
  <c r="AX30" i="16"/>
  <c r="AW27" i="17"/>
  <c r="AV30" i="17"/>
  <c r="AX30" i="18"/>
  <c r="AY27" i="18"/>
  <c r="AY30" i="18" s="1"/>
  <c r="AZ30" i="18" s="1"/>
  <c r="AX27" i="17" l="1"/>
  <c r="AW30" i="17"/>
  <c r="AX30" i="17" l="1"/>
  <c r="AY27" i="17"/>
  <c r="AY30" i="17" s="1"/>
  <c r="AZ30" i="17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 s="1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<sst xmlns="http://schemas.openxmlformats.org/spreadsheetml/2006/main" count="2526" uniqueCount="414">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</sst>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2014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4000</v>
      </c>
      <c r="D39" s="14">
        <v>46000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>
        <v>5000</v>
      </c>
      <c r="D76" s="15">
        <v>46000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1533.0132126095332</v>
      </c>
      <c r="D6" s="87">
        <v>1533.0132126095332</v>
      </c>
      <c r="E6" s="87">
        <v>1533.0132126095332</v>
      </c>
      <c r="F6" s="87">
        <v>1533.0132126095332</v>
      </c>
      <c r="G6" s="87">
        <v>1533.0132126095332</v>
      </c>
      <c r="H6" s="87">
        <v>1533.0132126095332</v>
      </c>
      <c r="I6" s="87">
        <v>1533.0132126095332</v>
      </c>
      <c r="J6" s="87">
        <v>1533.0132126095332</v>
      </c>
      <c r="K6" s="87">
        <v>1533.0132126095332</v>
      </c>
      <c r="L6" s="87">
        <v>1533.0132126095332</v>
      </c>
      <c r="M6" s="87">
        <v>1533.0132126095332</v>
      </c>
      <c r="N6" s="87">
        <v>1533.0132126095332</v>
      </c>
    </row>
    <row r="7" spans="2:14" x14ac:dyDescent="0.2">
      <c r="B7" s="36" t="s">
        <v>105</v>
      </c>
      <c r="C7" s="88">
        <v>1773.4978209017493</v>
      </c>
      <c r="D7" s="89">
        <v>1773.4978209017493</v>
      </c>
      <c r="E7" s="89">
        <v>1773.4978209017493</v>
      </c>
      <c r="F7" s="89">
        <v>1773.4978209017493</v>
      </c>
      <c r="G7" s="89">
        <v>1773.4978209017493</v>
      </c>
      <c r="H7" s="89">
        <v>1773.4978209017493</v>
      </c>
      <c r="I7" s="89">
        <v>1773.4978209017493</v>
      </c>
      <c r="J7" s="89">
        <v>1773.4978209017493</v>
      </c>
      <c r="K7" s="89">
        <v>1773.4978209017493</v>
      </c>
      <c r="L7" s="89">
        <v>1773.4978209017493</v>
      </c>
      <c r="M7" s="89">
        <v>1773.4978209017493</v>
      </c>
      <c r="N7" s="89">
        <v>1773.4978209017493</v>
      </c>
    </row>
    <row r="8" spans="2:14" x14ac:dyDescent="0.2">
      <c r="B8" s="36" t="s">
        <v>106</v>
      </c>
      <c r="C8" s="88">
        <v>1492.7924366725895</v>
      </c>
      <c r="D8" s="89">
        <v>1492.7924366725895</v>
      </c>
      <c r="E8" s="89">
        <v>1492.7924366725895</v>
      </c>
      <c r="F8" s="89">
        <v>1492.7924366725895</v>
      </c>
      <c r="G8" s="89">
        <v>1492.7924366725895</v>
      </c>
      <c r="H8" s="89">
        <v>1492.7924366725895</v>
      </c>
      <c r="I8" s="89">
        <v>1492.7924366725895</v>
      </c>
      <c r="J8" s="89">
        <v>1492.7924366725895</v>
      </c>
      <c r="K8" s="89">
        <v>1492.7924366725895</v>
      </c>
      <c r="L8" s="89">
        <v>1492.7924366725895</v>
      </c>
      <c r="M8" s="89">
        <v>1492.7924366725895</v>
      </c>
      <c r="N8" s="89">
        <v>1492.7924366725895</v>
      </c>
    </row>
    <row r="9" spans="2:14" x14ac:dyDescent="0.2">
      <c r="B9" s="36" t="s">
        <v>107</v>
      </c>
      <c r="C9" s="88">
        <v>1533.0132126095332</v>
      </c>
      <c r="D9" s="89">
        <v>1533.0132126095332</v>
      </c>
      <c r="E9" s="89">
        <v>1533.0132126095332</v>
      </c>
      <c r="F9" s="89">
        <v>1533.0132126095332</v>
      </c>
      <c r="G9" s="89">
        <v>1533.0132126095332</v>
      </c>
      <c r="H9" s="89">
        <v>1533.0132126095332</v>
      </c>
      <c r="I9" s="89">
        <v>1533.0132126095332</v>
      </c>
      <c r="J9" s="89">
        <v>1533.0132126095332</v>
      </c>
      <c r="K9" s="89">
        <v>1533.0132126095332</v>
      </c>
      <c r="L9" s="89">
        <v>1533.0132126095332</v>
      </c>
      <c r="M9" s="89">
        <v>1533.0132126095332</v>
      </c>
      <c r="N9" s="89">
        <v>1533.0132126095332</v>
      </c>
    </row>
    <row r="10" spans="2:14" x14ac:dyDescent="0.2">
      <c r="B10" s="36" t="s">
        <v>108</v>
      </c>
      <c r="C10" s="88">
        <v>1773.4978209017493</v>
      </c>
      <c r="D10" s="89">
        <v>1773.4978209017493</v>
      </c>
      <c r="E10" s="89">
        <v>1773.4978209017493</v>
      </c>
      <c r="F10" s="89">
        <v>1773.4978209017493</v>
      </c>
      <c r="G10" s="89">
        <v>1773.4978209017493</v>
      </c>
      <c r="H10" s="89">
        <v>1773.4978209017493</v>
      </c>
      <c r="I10" s="89">
        <v>1773.4978209017493</v>
      </c>
      <c r="J10" s="89">
        <v>1773.4978209017493</v>
      </c>
      <c r="K10" s="89">
        <v>1773.4978209017493</v>
      </c>
      <c r="L10" s="89">
        <v>1773.4978209017493</v>
      </c>
      <c r="M10" s="89">
        <v>1773.4978209017493</v>
      </c>
      <c r="N10" s="89">
        <v>1773.4978209017493</v>
      </c>
    </row>
    <row r="11" spans="2:14" x14ac:dyDescent="0.2">
      <c r="B11" s="37" t="s">
        <v>109</v>
      </c>
      <c r="C11" s="88">
        <v>1492.7924366725895</v>
      </c>
      <c r="D11" s="89">
        <v>1492.7924366725895</v>
      </c>
      <c r="E11" s="89">
        <v>1492.7924366725895</v>
      </c>
      <c r="F11" s="89">
        <v>1492.7924366725895</v>
      </c>
      <c r="G11" s="89">
        <v>1492.7924366725895</v>
      </c>
      <c r="H11" s="89">
        <v>1492.7924366725895</v>
      </c>
      <c r="I11" s="89">
        <v>1492.7924366725895</v>
      </c>
      <c r="J11" s="89">
        <v>1492.7924366725895</v>
      </c>
      <c r="K11" s="89">
        <v>1492.7924366725895</v>
      </c>
      <c r="L11" s="89">
        <v>1492.7924366725895</v>
      </c>
      <c r="M11" s="89">
        <v>1492.7924366725895</v>
      </c>
      <c r="N11" s="89">
        <v>1492.7924366725895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2014</v>
      </c>
      <c r="D30" s="44">
        <v>0.67398288510441784</v>
      </c>
      <c r="E30" s="35">
        <v>300000</v>
      </c>
      <c r="F30" s="47">
        <v>0.7025784495475329</v>
      </c>
      <c r="G30" s="46"/>
      <c r="H30" s="47">
        <v>0.75974471053693216</v>
      </c>
      <c r="I30" s="46"/>
      <c r="J30" s="47">
        <v>0.84022986680849976</v>
      </c>
      <c r="K30" s="46"/>
      <c r="L30" s="47">
        <v>0.83823708022259424</v>
      </c>
      <c r="M30" s="46"/>
      <c r="N30" s="60"/>
      <c r="O30" s="71" t="s">
        <v>162</v>
      </c>
      <c r="P30" s="41">
        <f>M30+K30+I30+E30+G30</f>
        <v>300000</v>
      </c>
      <c r="Q30" s="70"/>
    </row>
    <row r="31" spans="2:33" x14ac:dyDescent="0.2">
      <c r="B31" s="36"/>
      <c r="C31" s="47">
        <f>basic_info!$D$5+1</f>
        <v>2015</v>
      </c>
      <c r="D31" s="76"/>
      <c r="E31" s="75"/>
      <c r="F31" s="69">
        <v>0.71552384896278387</v>
      </c>
      <c r="G31" s="79"/>
      <c r="H31" s="61">
        <v>0.73352858177408109</v>
      </c>
      <c r="I31" s="62"/>
      <c r="J31" s="61">
        <v>0.80596927418180841</v>
      </c>
      <c r="K31" s="62"/>
      <c r="L31" s="61">
        <v>0.7928423142468306</v>
      </c>
      <c r="M31" s="62"/>
      <c r="N31" s="63">
        <v>0.71750585281449886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2016</v>
      </c>
      <c r="D32" s="76"/>
      <c r="E32" s="75"/>
      <c r="F32" s="75"/>
      <c r="G32" s="75"/>
      <c r="H32" s="69">
        <v>0.68859153167605403</v>
      </c>
      <c r="I32" s="79"/>
      <c r="J32" s="61">
        <v>0.76378054147734653</v>
      </c>
      <c r="K32" s="62"/>
      <c r="L32" s="61">
        <v>0.76345216251861092</v>
      </c>
      <c r="M32" s="62"/>
      <c r="N32" s="63">
        <v>0.71336651790549455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0.71205421746969233</v>
      </c>
      <c r="K33" s="79"/>
      <c r="L33" s="61">
        <v>0.71138841414852361</v>
      </c>
      <c r="M33" s="62"/>
      <c r="N33" s="63">
        <v>0.70385164023753377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0.64779822950959209</v>
      </c>
      <c r="M34" s="79"/>
      <c r="N34" s="63">
        <v>0.70324457323394596</v>
      </c>
      <c r="O34" s="89"/>
      <c r="P34" s="63">
        <f>O34+M34</f>
        <v>0</v>
      </c>
    </row>
    <row r="35" spans="2:17" x14ac:dyDescent="0.2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0.68883503439426419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2014</v>
      </c>
      <c r="D36" s="44">
        <v>0.92318454591929922</v>
      </c>
      <c r="E36" s="35">
        <v>200000</v>
      </c>
      <c r="F36" s="73">
        <v>1.0932932166591005</v>
      </c>
      <c r="G36" s="74"/>
      <c r="H36" s="73">
        <v>1.0797159727823964</v>
      </c>
      <c r="I36" s="74"/>
      <c r="J36" s="73">
        <v>1.0226750667195514</v>
      </c>
      <c r="K36" s="74"/>
      <c r="L36" s="66">
        <v>1.0004541227640709</v>
      </c>
      <c r="M36" s="67"/>
      <c r="N36" s="68"/>
      <c r="O36" s="71" t="s">
        <v>162</v>
      </c>
      <c r="P36" s="41">
        <f>M36+K36+I36+E36+G36</f>
        <v>200000</v>
      </c>
      <c r="Q36" s="70"/>
    </row>
    <row r="37" spans="2:17" x14ac:dyDescent="0.2">
      <c r="B37" s="36"/>
      <c r="C37" s="47">
        <f>basic_info!$D$5+1</f>
        <v>2015</v>
      </c>
      <c r="D37" s="76"/>
      <c r="E37" s="75"/>
      <c r="F37" s="69">
        <v>1.023757758513093</v>
      </c>
      <c r="G37" s="79"/>
      <c r="H37" s="61">
        <v>1.057380701748182</v>
      </c>
      <c r="I37" s="62"/>
      <c r="J37" s="61">
        <v>1.0326319130993309</v>
      </c>
      <c r="K37" s="62"/>
      <c r="L37" s="61">
        <v>0.98761410383669901</v>
      </c>
      <c r="M37" s="62"/>
      <c r="N37" s="61">
        <v>1.220323087273776</v>
      </c>
      <c r="O37" s="89"/>
      <c r="P37" s="63">
        <f>O37+M37+K37+I37+G37</f>
        <v>0</v>
      </c>
    </row>
    <row r="38" spans="2:17" x14ac:dyDescent="0.2">
      <c r="B38" s="36"/>
      <c r="C38" s="47">
        <f>basic_info!$D$5+2</f>
        <v>2016</v>
      </c>
      <c r="D38" s="76"/>
      <c r="E38" s="75"/>
      <c r="F38" s="75"/>
      <c r="G38" s="75"/>
      <c r="H38" s="69">
        <v>0.96417330466210838</v>
      </c>
      <c r="I38" s="79"/>
      <c r="J38" s="61">
        <v>1.0068793309599473</v>
      </c>
      <c r="K38" s="62"/>
      <c r="L38" s="61">
        <v>0.92888160054944402</v>
      </c>
      <c r="M38" s="62"/>
      <c r="N38" s="61">
        <v>1.1965873199126678</v>
      </c>
      <c r="O38" s="89"/>
      <c r="P38" s="63">
        <f>O38+M38+K38+I38</f>
        <v>0</v>
      </c>
    </row>
    <row r="39" spans="2:17" x14ac:dyDescent="0.2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0.98247019918262957</v>
      </c>
      <c r="K39" s="79"/>
      <c r="L39" s="61">
        <v>0.89159402523119113</v>
      </c>
      <c r="M39" s="62"/>
      <c r="N39" s="61">
        <v>1.0960048363700774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0.88621167258918288</v>
      </c>
      <c r="M40" s="79"/>
      <c r="N40" s="61">
        <v>1.056931589689706</v>
      </c>
      <c r="O40" s="89"/>
      <c r="P40" s="63">
        <f>O40+M40</f>
        <v>0</v>
      </c>
    </row>
    <row r="41" spans="2:17" x14ac:dyDescent="0.2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1.0197174708992243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6.1514075115444777</v>
      </c>
      <c r="D6" s="93">
        <v>0</v>
      </c>
      <c r="E6" s="93">
        <v>16.468523285245563</v>
      </c>
      <c r="F6" s="93">
        <v>20.797427550119647</v>
      </c>
      <c r="G6" s="93">
        <v>56.582641653090313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35.682010557853047</v>
      </c>
      <c r="E7" s="93">
        <v>0</v>
      </c>
      <c r="F7" s="93">
        <v>0</v>
      </c>
      <c r="G7" s="93">
        <v>64.317989442146953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20.933921710948479</v>
      </c>
      <c r="E8" s="93">
        <v>0</v>
      </c>
      <c r="F8" s="93">
        <v>0</v>
      </c>
      <c r="G8" s="93">
        <v>79.066078289051518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0</v>
      </c>
      <c r="D9" s="93">
        <v>20.933921710948479</v>
      </c>
      <c r="E9" s="93">
        <v>0</v>
      </c>
      <c r="F9" s="93">
        <v>0</v>
      </c>
      <c r="G9" s="93">
        <v>79.066078289051518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6.1514075115444777</v>
      </c>
      <c r="D10" s="93">
        <v>0</v>
      </c>
      <c r="E10" s="93">
        <v>16.468523285245563</v>
      </c>
      <c r="F10" s="93">
        <v>20.797427550119647</v>
      </c>
      <c r="G10" s="93">
        <v>56.582641653090313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6.1514075115444777</v>
      </c>
      <c r="D11" s="94">
        <v>0</v>
      </c>
      <c r="E11" s="94">
        <v>16.468523285245563</v>
      </c>
      <c r="F11" s="94">
        <v>20.797427550119647</v>
      </c>
      <c r="G11" s="94">
        <v>56.582641653090313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80</v>
      </c>
      <c r="D19" s="44">
        <f>100-$C$19</f>
        <v>20</v>
      </c>
      <c r="E19" s="94">
        <v>80</v>
      </c>
      <c r="F19" s="44">
        <f>100-$E$19</f>
        <v>20</v>
      </c>
      <c r="G19" s="94">
        <v>80</v>
      </c>
      <c r="H19" s="33">
        <f>100-$G$19</f>
        <v>20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79.681137340958401</v>
      </c>
      <c r="D27" s="93">
        <v>100</v>
      </c>
      <c r="E27" s="93">
        <v>100</v>
      </c>
      <c r="F27" s="93">
        <v>66.942399834518028</v>
      </c>
      <c r="G27" s="93">
        <v>100</v>
      </c>
      <c r="H27" s="93">
        <v>100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20.318862659041606</v>
      </c>
      <c r="D28" s="93">
        <v>0</v>
      </c>
      <c r="E28" s="93">
        <v>0</v>
      </c>
      <c r="F28" s="93">
        <v>33.057600165481979</v>
      </c>
      <c r="G28" s="93">
        <v>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38.306341113842322</v>
      </c>
      <c r="D36" s="93">
        <v>38.306341113842322</v>
      </c>
      <c r="E36" s="93">
        <v>38.306341113842322</v>
      </c>
      <c r="F36" s="93">
        <v>38.306341113842322</v>
      </c>
      <c r="G36" s="93">
        <v>38.306341113842322</v>
      </c>
      <c r="H36" s="93">
        <v>38.306341113842322</v>
      </c>
      <c r="I36" s="93">
        <v>38.306341113842322</v>
      </c>
      <c r="J36" s="93">
        <v>38.306341113842322</v>
      </c>
      <c r="K36" s="93">
        <v>38.306341113842322</v>
      </c>
      <c r="L36" s="93">
        <v>38.306341113842322</v>
      </c>
      <c r="M36" s="93">
        <v>38.306341113842322</v>
      </c>
      <c r="N36" s="95">
        <v>38.306341113842322</v>
      </c>
    </row>
    <row r="37" spans="2:14" x14ac:dyDescent="0.2">
      <c r="B37" s="45" t="s">
        <v>59</v>
      </c>
      <c r="C37" s="94">
        <v>33.1483782973865</v>
      </c>
      <c r="D37" s="94">
        <v>33.1483782973865</v>
      </c>
      <c r="E37" s="94">
        <v>33.1483782973865</v>
      </c>
      <c r="F37" s="94">
        <v>33.1483782973865</v>
      </c>
      <c r="G37" s="94">
        <v>33.1483782973865</v>
      </c>
      <c r="H37" s="94">
        <v>33.1483782973865</v>
      </c>
      <c r="I37" s="94">
        <v>33.1483782973865</v>
      </c>
      <c r="J37" s="94">
        <v>33.1483782973865</v>
      </c>
      <c r="K37" s="94">
        <v>33.1483782973865</v>
      </c>
      <c r="L37" s="94">
        <v>33.1483782973865</v>
      </c>
      <c r="M37" s="94">
        <v>33.1483782973865</v>
      </c>
      <c r="N37" s="89">
        <v>33.1483782973865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3.4853800894222946</v>
      </c>
      <c r="E6" s="89">
        <v>3.4853800894222946</v>
      </c>
      <c r="F6" s="89">
        <v>3.4853800894222946</v>
      </c>
      <c r="G6" s="89">
        <v>3.4853800894222946</v>
      </c>
      <c r="H6" s="89">
        <v>3.4853800894222946</v>
      </c>
      <c r="I6" s="89">
        <v>3.4853800894222946</v>
      </c>
      <c r="J6" s="89">
        <v>3.4853800894222946</v>
      </c>
      <c r="K6" s="89">
        <v>3.4853800894222946</v>
      </c>
      <c r="L6" s="89">
        <v>3.4853800894222946</v>
      </c>
      <c r="M6" s="89">
        <v>3.4853800894222946</v>
      </c>
      <c r="N6" s="89">
        <v>3.4853800894222946</v>
      </c>
      <c r="O6" s="89">
        <v>3.4853800894222946</v>
      </c>
    </row>
    <row r="7" spans="2:15" x14ac:dyDescent="0.2">
      <c r="C7" s="36" t="s">
        <v>127</v>
      </c>
      <c r="D7" s="89">
        <v>2.9011861165223229</v>
      </c>
      <c r="E7" s="89">
        <v>2.9011861165223229</v>
      </c>
      <c r="F7" s="89">
        <v>2.9011861165223229</v>
      </c>
      <c r="G7" s="89">
        <v>2.9011861165223229</v>
      </c>
      <c r="H7" s="89">
        <v>2.9011861165223229</v>
      </c>
      <c r="I7" s="89">
        <v>2.9011861165223229</v>
      </c>
      <c r="J7" s="89">
        <v>2.9011861165223229</v>
      </c>
      <c r="K7" s="89">
        <v>2.9011861165223229</v>
      </c>
      <c r="L7" s="89">
        <v>2.9011861165223229</v>
      </c>
      <c r="M7" s="89">
        <v>2.9011861165223229</v>
      </c>
      <c r="N7" s="89">
        <v>2.9011861165223229</v>
      </c>
      <c r="O7" s="89">
        <v>2.9011861165223229</v>
      </c>
    </row>
    <row r="8" spans="2:15" x14ac:dyDescent="0.2">
      <c r="C8" s="36" t="s">
        <v>128</v>
      </c>
      <c r="D8" s="89">
        <v>2.6607618264554058</v>
      </c>
      <c r="E8" s="89">
        <v>2.6607618264554058</v>
      </c>
      <c r="F8" s="89">
        <v>2.6607618264554058</v>
      </c>
      <c r="G8" s="89">
        <v>2.6607618264554058</v>
      </c>
      <c r="H8" s="89">
        <v>2.6607618264554058</v>
      </c>
      <c r="I8" s="89">
        <v>2.6607618264554058</v>
      </c>
      <c r="J8" s="89">
        <v>2.6607618264554058</v>
      </c>
      <c r="K8" s="89">
        <v>2.6607618264554058</v>
      </c>
      <c r="L8" s="89">
        <v>2.6607618264554058</v>
      </c>
      <c r="M8" s="89">
        <v>2.6607618264554058</v>
      </c>
      <c r="N8" s="89">
        <v>2.6607618264554058</v>
      </c>
      <c r="O8" s="89">
        <v>2.6607618264554058</v>
      </c>
    </row>
    <row r="9" spans="2:15" x14ac:dyDescent="0.2">
      <c r="C9" s="36" t="s">
        <v>129</v>
      </c>
      <c r="D9" s="89">
        <v>2.6237069377135533</v>
      </c>
      <c r="E9" s="89">
        <v>2.6237069377135533</v>
      </c>
      <c r="F9" s="89">
        <v>2.6237069377135533</v>
      </c>
      <c r="G9" s="89">
        <v>2.6237069377135533</v>
      </c>
      <c r="H9" s="89">
        <v>2.6237069377135533</v>
      </c>
      <c r="I9" s="89">
        <v>2.6237069377135533</v>
      </c>
      <c r="J9" s="89">
        <v>2.6237069377135533</v>
      </c>
      <c r="K9" s="89">
        <v>2.6237069377135533</v>
      </c>
      <c r="L9" s="89">
        <v>2.6237069377135533</v>
      </c>
      <c r="M9" s="89">
        <v>2.6237069377135533</v>
      </c>
      <c r="N9" s="89">
        <v>2.6237069377135533</v>
      </c>
      <c r="O9" s="89">
        <v>2.6237069377135533</v>
      </c>
    </row>
    <row r="10" spans="2:15" x14ac:dyDescent="0.2">
      <c r="C10" s="36" t="s">
        <v>130</v>
      </c>
      <c r="D10" s="89">
        <v>2.4100333784047572</v>
      </c>
      <c r="E10" s="89">
        <v>2.4100333784047572</v>
      </c>
      <c r="F10" s="89">
        <v>2.4100333784047572</v>
      </c>
      <c r="G10" s="89">
        <v>2.4100333784047572</v>
      </c>
      <c r="H10" s="89">
        <v>2.4100333784047572</v>
      </c>
      <c r="I10" s="89">
        <v>2.4100333784047572</v>
      </c>
      <c r="J10" s="89">
        <v>2.4100333784047572</v>
      </c>
      <c r="K10" s="89">
        <v>2.4100333784047572</v>
      </c>
      <c r="L10" s="89">
        <v>2.4100333784047572</v>
      </c>
      <c r="M10" s="89">
        <v>2.4100333784047572</v>
      </c>
      <c r="N10" s="89">
        <v>2.4100333784047572</v>
      </c>
      <c r="O10" s="89">
        <v>2.4100333784047572</v>
      </c>
    </row>
    <row r="11" spans="2:15" x14ac:dyDescent="0.2">
      <c r="C11" s="36" t="s">
        <v>131</v>
      </c>
      <c r="D11" s="89">
        <v>2.7</v>
      </c>
      <c r="E11" s="89">
        <v>2.7</v>
      </c>
      <c r="F11" s="89">
        <v>2.7</v>
      </c>
      <c r="G11" s="89">
        <v>2.7</v>
      </c>
      <c r="H11" s="89">
        <v>2.7</v>
      </c>
      <c r="I11" s="89">
        <v>2.7</v>
      </c>
      <c r="J11" s="89">
        <v>2.7</v>
      </c>
      <c r="K11" s="89">
        <v>2.7</v>
      </c>
      <c r="L11" s="89">
        <v>2.7</v>
      </c>
      <c r="M11" s="89">
        <v>2.7</v>
      </c>
      <c r="N11" s="89">
        <v>2.7</v>
      </c>
      <c r="O11" s="89">
        <v>2.7</v>
      </c>
    </row>
    <row r="12" spans="2:15" x14ac:dyDescent="0.2">
      <c r="C12" s="37" t="s">
        <v>132</v>
      </c>
      <c r="D12" s="89">
        <v>3.062505651111354</v>
      </c>
      <c r="E12" s="89">
        <v>3.062505651111354</v>
      </c>
      <c r="F12" s="89">
        <v>3.062505651111354</v>
      </c>
      <c r="G12" s="89">
        <v>3.062505651111354</v>
      </c>
      <c r="H12" s="89">
        <v>3.062505651111354</v>
      </c>
      <c r="I12" s="89">
        <v>3.062505651111354</v>
      </c>
      <c r="J12" s="89">
        <v>3.062505651111354</v>
      </c>
      <c r="K12" s="89">
        <v>3.062505651111354</v>
      </c>
      <c r="L12" s="89">
        <v>3.062505651111354</v>
      </c>
      <c r="M12" s="89">
        <v>3.062505651111354</v>
      </c>
      <c r="N12" s="89">
        <v>3.062505651111354</v>
      </c>
      <c r="O12" s="89">
        <v>3.062505651111354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3.95</v>
      </c>
      <c r="E15" s="89">
        <v>3.95</v>
      </c>
      <c r="F15" s="89">
        <v>3.95</v>
      </c>
      <c r="G15" s="89">
        <v>3.95</v>
      </c>
      <c r="H15" s="89">
        <v>3.95</v>
      </c>
      <c r="I15" s="89">
        <v>3.95</v>
      </c>
      <c r="J15" s="89">
        <v>3.95</v>
      </c>
      <c r="K15" s="89">
        <v>3.95</v>
      </c>
      <c r="L15" s="89">
        <v>3.95</v>
      </c>
      <c r="M15" s="89">
        <v>3.95</v>
      </c>
      <c r="N15" s="89">
        <v>3.95</v>
      </c>
      <c r="O15" s="89">
        <v>3.95</v>
      </c>
    </row>
    <row r="16" spans="2:15" x14ac:dyDescent="0.2">
      <c r="C16" s="36" t="s">
        <v>127</v>
      </c>
      <c r="D16" s="89">
        <v>3.8337898487811204</v>
      </c>
      <c r="E16" s="89">
        <v>3.8337898487811204</v>
      </c>
      <c r="F16" s="89">
        <v>3.8337898487811204</v>
      </c>
      <c r="G16" s="89">
        <v>3.8337898487811204</v>
      </c>
      <c r="H16" s="89">
        <v>3.8337898487811204</v>
      </c>
      <c r="I16" s="89">
        <v>3.8337898487811204</v>
      </c>
      <c r="J16" s="89">
        <v>3.8337898487811204</v>
      </c>
      <c r="K16" s="89">
        <v>3.8337898487811204</v>
      </c>
      <c r="L16" s="89">
        <v>3.8337898487811204</v>
      </c>
      <c r="M16" s="89">
        <v>3.8337898487811204</v>
      </c>
      <c r="N16" s="89">
        <v>3.8337898487811204</v>
      </c>
      <c r="O16" s="89">
        <v>3.8337898487811204</v>
      </c>
    </row>
    <row r="17" spans="2:15" x14ac:dyDescent="0.2">
      <c r="C17" s="36" t="s">
        <v>128</v>
      </c>
      <c r="D17" s="89">
        <v>3.0022604778535729</v>
      </c>
      <c r="E17" s="89">
        <v>3.0022604778535729</v>
      </c>
      <c r="F17" s="89">
        <v>3.0022604778535729</v>
      </c>
      <c r="G17" s="89">
        <v>3.0022604778535729</v>
      </c>
      <c r="H17" s="89">
        <v>3.0022604778535729</v>
      </c>
      <c r="I17" s="89">
        <v>3.0022604778535729</v>
      </c>
      <c r="J17" s="89">
        <v>3.0022604778535729</v>
      </c>
      <c r="K17" s="89">
        <v>3.0022604778535729</v>
      </c>
      <c r="L17" s="89">
        <v>3.0022604778535729</v>
      </c>
      <c r="M17" s="89">
        <v>3.0022604778535729</v>
      </c>
      <c r="N17" s="89">
        <v>3.0022604778535729</v>
      </c>
      <c r="O17" s="89">
        <v>3.0022604778535729</v>
      </c>
    </row>
    <row r="18" spans="2:15" x14ac:dyDescent="0.2">
      <c r="C18" s="36" t="s">
        <v>129</v>
      </c>
      <c r="D18" s="89">
        <v>3.1141301388125635</v>
      </c>
      <c r="E18" s="89">
        <v>3.1141301388125635</v>
      </c>
      <c r="F18" s="89">
        <v>3.1141301388125635</v>
      </c>
      <c r="G18" s="89">
        <v>3.1141301388125635</v>
      </c>
      <c r="H18" s="89">
        <v>3.1141301388125635</v>
      </c>
      <c r="I18" s="89">
        <v>3.1141301388125635</v>
      </c>
      <c r="J18" s="89">
        <v>3.1141301388125635</v>
      </c>
      <c r="K18" s="89">
        <v>3.1141301388125635</v>
      </c>
      <c r="L18" s="89">
        <v>3.1141301388125635</v>
      </c>
      <c r="M18" s="89">
        <v>3.1141301388125635</v>
      </c>
      <c r="N18" s="89">
        <v>3.1141301388125635</v>
      </c>
      <c r="O18" s="89">
        <v>3.1141301388125635</v>
      </c>
    </row>
    <row r="19" spans="2:15" x14ac:dyDescent="0.2">
      <c r="C19" s="36" t="s">
        <v>130</v>
      </c>
      <c r="D19" s="89">
        <v>2.8008500243250185</v>
      </c>
      <c r="E19" s="89">
        <v>2.8008500243250185</v>
      </c>
      <c r="F19" s="89">
        <v>2.8008500243250185</v>
      </c>
      <c r="G19" s="89">
        <v>2.8008500243250185</v>
      </c>
      <c r="H19" s="89">
        <v>2.8008500243250185</v>
      </c>
      <c r="I19" s="89">
        <v>2.8008500243250185</v>
      </c>
      <c r="J19" s="89">
        <v>2.8008500243250185</v>
      </c>
      <c r="K19" s="89">
        <v>2.8008500243250185</v>
      </c>
      <c r="L19" s="89">
        <v>2.8008500243250185</v>
      </c>
      <c r="M19" s="89">
        <v>2.8008500243250185</v>
      </c>
      <c r="N19" s="89">
        <v>2.8008500243250185</v>
      </c>
      <c r="O19" s="89">
        <v>2.8008500243250185</v>
      </c>
    </row>
    <row r="20" spans="2:15" x14ac:dyDescent="0.2">
      <c r="C20" s="36" t="s">
        <v>131</v>
      </c>
      <c r="D20" s="89">
        <v>2.9249999999999998</v>
      </c>
      <c r="E20" s="89">
        <v>2.9249999999999998</v>
      </c>
      <c r="F20" s="89">
        <v>2.9249999999999998</v>
      </c>
      <c r="G20" s="89">
        <v>2.9249999999999998</v>
      </c>
      <c r="H20" s="89">
        <v>2.9249999999999998</v>
      </c>
      <c r="I20" s="89">
        <v>2.9249999999999998</v>
      </c>
      <c r="J20" s="89">
        <v>2.9249999999999998</v>
      </c>
      <c r="K20" s="89">
        <v>2.9249999999999998</v>
      </c>
      <c r="L20" s="89">
        <v>2.9249999999999998</v>
      </c>
      <c r="M20" s="89">
        <v>2.9249999999999998</v>
      </c>
      <c r="N20" s="89">
        <v>2.9249999999999998</v>
      </c>
      <c r="O20" s="89">
        <v>2.9249999999999998</v>
      </c>
    </row>
    <row r="21" spans="2:15" x14ac:dyDescent="0.2">
      <c r="C21" s="37" t="s">
        <v>132</v>
      </c>
      <c r="D21" s="89">
        <v>3.3833909680420562</v>
      </c>
      <c r="E21" s="89">
        <v>3.3833909680420562</v>
      </c>
      <c r="F21" s="89">
        <v>3.3833909680420562</v>
      </c>
      <c r="G21" s="89">
        <v>3.3833909680420562</v>
      </c>
      <c r="H21" s="89">
        <v>3.3833909680420562</v>
      </c>
      <c r="I21" s="89">
        <v>3.3833909680420562</v>
      </c>
      <c r="J21" s="89">
        <v>3.3833909680420562</v>
      </c>
      <c r="K21" s="89">
        <v>3.3833909680420562</v>
      </c>
      <c r="L21" s="89">
        <v>3.3833909680420562</v>
      </c>
      <c r="M21" s="89">
        <v>3.3833909680420562</v>
      </c>
      <c r="N21" s="89">
        <v>3.3833909680420562</v>
      </c>
      <c r="O21" s="89">
        <v>3.3833909680420562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2.4074999999999998</v>
      </c>
      <c r="E24" s="89">
        <v>2.4074999999999998</v>
      </c>
      <c r="F24" s="89">
        <v>2.4074999999999998</v>
      </c>
      <c r="G24" s="89">
        <v>2.4074999999999998</v>
      </c>
      <c r="H24" s="89">
        <v>2.4074999999999998</v>
      </c>
      <c r="I24" s="89">
        <v>2.4074999999999998</v>
      </c>
      <c r="J24" s="89">
        <v>2.4074999999999998</v>
      </c>
      <c r="K24" s="89">
        <v>2.4074999999999998</v>
      </c>
      <c r="L24" s="89">
        <v>2.4074999999999998</v>
      </c>
      <c r="M24" s="89">
        <v>2.4074999999999998</v>
      </c>
      <c r="N24" s="89">
        <v>2.4074999999999998</v>
      </c>
      <c r="O24" s="89">
        <v>2.4074999999999998</v>
      </c>
    </row>
    <row r="25" spans="2:15" x14ac:dyDescent="0.2">
      <c r="C25" s="36" t="s">
        <v>127</v>
      </c>
      <c r="D25" s="89">
        <v>2.4074999999999998</v>
      </c>
      <c r="E25" s="89">
        <v>2.4074999999999998</v>
      </c>
      <c r="F25" s="89">
        <v>2.4074999999999998</v>
      </c>
      <c r="G25" s="89">
        <v>2.4074999999999998</v>
      </c>
      <c r="H25" s="89">
        <v>2.4074999999999998</v>
      </c>
      <c r="I25" s="89">
        <v>2.4074999999999998</v>
      </c>
      <c r="J25" s="89">
        <v>2.4074999999999998</v>
      </c>
      <c r="K25" s="89">
        <v>2.4074999999999998</v>
      </c>
      <c r="L25" s="89">
        <v>2.4074999999999998</v>
      </c>
      <c r="M25" s="89">
        <v>2.4074999999999998</v>
      </c>
      <c r="N25" s="89">
        <v>2.4074999999999998</v>
      </c>
      <c r="O25" s="89">
        <v>2.4074999999999998</v>
      </c>
    </row>
    <row r="26" spans="2:15" x14ac:dyDescent="0.2">
      <c r="C26" s="36" t="s">
        <v>128</v>
      </c>
      <c r="D26" s="89">
        <v>2.7637499999999999</v>
      </c>
      <c r="E26" s="89">
        <v>2.7637499999999999</v>
      </c>
      <c r="F26" s="89">
        <v>2.7637499999999999</v>
      </c>
      <c r="G26" s="89">
        <v>2.7637499999999999</v>
      </c>
      <c r="H26" s="89">
        <v>2.7637499999999999</v>
      </c>
      <c r="I26" s="89">
        <v>2.7637499999999999</v>
      </c>
      <c r="J26" s="89">
        <v>2.7637499999999999</v>
      </c>
      <c r="K26" s="89">
        <v>2.7637499999999999</v>
      </c>
      <c r="L26" s="89">
        <v>2.7637499999999999</v>
      </c>
      <c r="M26" s="89">
        <v>2.7637499999999999</v>
      </c>
      <c r="N26" s="89">
        <v>2.7637499999999999</v>
      </c>
      <c r="O26" s="89">
        <v>2.7637499999999999</v>
      </c>
    </row>
    <row r="27" spans="2:15" x14ac:dyDescent="0.2">
      <c r="C27" s="36" t="s">
        <v>129</v>
      </c>
      <c r="D27" s="89">
        <v>2.835</v>
      </c>
      <c r="E27" s="89">
        <v>2.835</v>
      </c>
      <c r="F27" s="89">
        <v>2.835</v>
      </c>
      <c r="G27" s="89">
        <v>2.835</v>
      </c>
      <c r="H27" s="89">
        <v>2.835</v>
      </c>
      <c r="I27" s="89">
        <v>2.835</v>
      </c>
      <c r="J27" s="89">
        <v>2.835</v>
      </c>
      <c r="K27" s="89">
        <v>2.835</v>
      </c>
      <c r="L27" s="89">
        <v>2.835</v>
      </c>
      <c r="M27" s="89">
        <v>2.835</v>
      </c>
      <c r="N27" s="89">
        <v>2.835</v>
      </c>
      <c r="O27" s="89">
        <v>2.835</v>
      </c>
    </row>
    <row r="28" spans="2:15" x14ac:dyDescent="0.2">
      <c r="C28" s="36" t="s">
        <v>130</v>
      </c>
      <c r="D28" s="89">
        <v>2.835</v>
      </c>
      <c r="E28" s="89">
        <v>2.835</v>
      </c>
      <c r="F28" s="89">
        <v>2.835</v>
      </c>
      <c r="G28" s="89">
        <v>2.835</v>
      </c>
      <c r="H28" s="89">
        <v>2.835</v>
      </c>
      <c r="I28" s="89">
        <v>2.835</v>
      </c>
      <c r="J28" s="89">
        <v>2.835</v>
      </c>
      <c r="K28" s="89">
        <v>2.835</v>
      </c>
      <c r="L28" s="89">
        <v>2.835</v>
      </c>
      <c r="M28" s="89">
        <v>2.835</v>
      </c>
      <c r="N28" s="89">
        <v>2.835</v>
      </c>
      <c r="O28" s="89">
        <v>2.835</v>
      </c>
    </row>
    <row r="29" spans="2:15" x14ac:dyDescent="0.2">
      <c r="C29" s="36" t="s">
        <v>131</v>
      </c>
      <c r="D29" s="89">
        <v>3.2792023673613788</v>
      </c>
      <c r="E29" s="89">
        <v>3.2792023673613788</v>
      </c>
      <c r="F29" s="89">
        <v>3.2792023673613788</v>
      </c>
      <c r="G29" s="89">
        <v>3.2792023673613788</v>
      </c>
      <c r="H29" s="89">
        <v>3.2792023673613788</v>
      </c>
      <c r="I29" s="89">
        <v>3.2792023673613788</v>
      </c>
      <c r="J29" s="89">
        <v>3.2792023673613788</v>
      </c>
      <c r="K29" s="89">
        <v>3.2792023673613788</v>
      </c>
      <c r="L29" s="89">
        <v>3.2792023673613788</v>
      </c>
      <c r="M29" s="89">
        <v>3.2792023673613788</v>
      </c>
      <c r="N29" s="89">
        <v>3.2792023673613788</v>
      </c>
      <c r="O29" s="89">
        <v>3.2792023673613788</v>
      </c>
    </row>
    <row r="30" spans="2:15" x14ac:dyDescent="0.2">
      <c r="C30" s="37" t="s">
        <v>132</v>
      </c>
      <c r="D30" s="89">
        <v>2.625</v>
      </c>
      <c r="E30" s="89">
        <v>2.625</v>
      </c>
      <c r="F30" s="89">
        <v>2.625</v>
      </c>
      <c r="G30" s="89">
        <v>2.625</v>
      </c>
      <c r="H30" s="89">
        <v>2.625</v>
      </c>
      <c r="I30" s="89">
        <v>2.625</v>
      </c>
      <c r="J30" s="89">
        <v>2.625</v>
      </c>
      <c r="K30" s="89">
        <v>2.625</v>
      </c>
      <c r="L30" s="89">
        <v>2.625</v>
      </c>
      <c r="M30" s="89">
        <v>2.625</v>
      </c>
      <c r="N30" s="89">
        <v>2.625</v>
      </c>
      <c r="O30" s="89">
        <v>2.625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2.4258779705357143</v>
      </c>
      <c r="E33" s="89">
        <v>2.4258779705357143</v>
      </c>
      <c r="F33" s="89">
        <v>2.4258779705357143</v>
      </c>
      <c r="G33" s="89">
        <v>2.4258779705357143</v>
      </c>
      <c r="H33" s="89">
        <v>2.4258779705357143</v>
      </c>
      <c r="I33" s="89">
        <v>2.4258779705357143</v>
      </c>
      <c r="J33" s="89">
        <v>2.4258779705357143</v>
      </c>
      <c r="K33" s="89">
        <v>2.4258779705357143</v>
      </c>
      <c r="L33" s="89">
        <v>2.4258779705357143</v>
      </c>
      <c r="M33" s="89">
        <v>2.4258779705357143</v>
      </c>
      <c r="N33" s="89">
        <v>2.4258779705357143</v>
      </c>
      <c r="O33" s="89">
        <v>2.4258779705357143</v>
      </c>
    </row>
    <row r="34" spans="3:15" x14ac:dyDescent="0.2">
      <c r="C34" s="36" t="s">
        <v>127</v>
      </c>
      <c r="D34" s="89">
        <v>2.6440528500000005</v>
      </c>
      <c r="E34" s="89">
        <v>2.6440528500000005</v>
      </c>
      <c r="F34" s="89">
        <v>2.6440528500000005</v>
      </c>
      <c r="G34" s="89">
        <v>2.6440528500000005</v>
      </c>
      <c r="H34" s="89">
        <v>2.6440528500000005</v>
      </c>
      <c r="I34" s="89">
        <v>2.6440528500000005</v>
      </c>
      <c r="J34" s="89">
        <v>2.6440528500000005</v>
      </c>
      <c r="K34" s="89">
        <v>2.6440528500000005</v>
      </c>
      <c r="L34" s="89">
        <v>2.6440528500000005</v>
      </c>
      <c r="M34" s="89">
        <v>2.6440528500000005</v>
      </c>
      <c r="N34" s="89">
        <v>2.6440528500000005</v>
      </c>
      <c r="O34" s="89">
        <v>2.6440528500000005</v>
      </c>
    </row>
    <row r="35" spans="3:15" x14ac:dyDescent="0.2">
      <c r="C35" s="36" t="s">
        <v>128</v>
      </c>
      <c r="D35" s="89">
        <v>2.4876006156249999</v>
      </c>
      <c r="E35" s="89">
        <v>2.4876006156249999</v>
      </c>
      <c r="F35" s="89">
        <v>2.4876006156249999</v>
      </c>
      <c r="G35" s="89">
        <v>2.4876006156249999</v>
      </c>
      <c r="H35" s="89">
        <v>2.4876006156249999</v>
      </c>
      <c r="I35" s="89">
        <v>2.4876006156249999</v>
      </c>
      <c r="J35" s="89">
        <v>2.4876006156249999</v>
      </c>
      <c r="K35" s="89">
        <v>2.4876006156249999</v>
      </c>
      <c r="L35" s="89">
        <v>2.4876006156249999</v>
      </c>
      <c r="M35" s="89">
        <v>2.4876006156249999</v>
      </c>
      <c r="N35" s="89">
        <v>2.4876006156249999</v>
      </c>
      <c r="O35" s="89">
        <v>2.4876006156249999</v>
      </c>
    </row>
    <row r="36" spans="3:15" x14ac:dyDescent="0.2">
      <c r="C36" s="36" t="s">
        <v>129</v>
      </c>
      <c r="D36" s="89">
        <v>2.9108722789772723</v>
      </c>
      <c r="E36" s="89">
        <v>2.9108722789772723</v>
      </c>
      <c r="F36" s="89">
        <v>2.9108722789772723</v>
      </c>
      <c r="G36" s="89">
        <v>2.9108722789772723</v>
      </c>
      <c r="H36" s="89">
        <v>2.9108722789772723</v>
      </c>
      <c r="I36" s="89">
        <v>2.9108722789772723</v>
      </c>
      <c r="J36" s="89">
        <v>2.9108722789772723</v>
      </c>
      <c r="K36" s="89">
        <v>2.9108722789772723</v>
      </c>
      <c r="L36" s="89">
        <v>2.9108722789772723</v>
      </c>
      <c r="M36" s="89">
        <v>2.9108722789772723</v>
      </c>
      <c r="N36" s="89">
        <v>2.9108722789772723</v>
      </c>
      <c r="O36" s="89">
        <v>2.9108722789772723</v>
      </c>
    </row>
    <row r="37" spans="3:15" x14ac:dyDescent="0.2">
      <c r="C37" s="36" t="s">
        <v>130</v>
      </c>
      <c r="D37" s="89">
        <v>2.3846111156249998</v>
      </c>
      <c r="E37" s="89">
        <v>2.3846111156249998</v>
      </c>
      <c r="F37" s="89">
        <v>2.3846111156249998</v>
      </c>
      <c r="G37" s="89">
        <v>2.3846111156249998</v>
      </c>
      <c r="H37" s="89">
        <v>2.3846111156249998</v>
      </c>
      <c r="I37" s="89">
        <v>2.3846111156249998</v>
      </c>
      <c r="J37" s="89">
        <v>2.3846111156249998</v>
      </c>
      <c r="K37" s="89">
        <v>2.3846111156249998</v>
      </c>
      <c r="L37" s="89">
        <v>2.3846111156249998</v>
      </c>
      <c r="M37" s="89">
        <v>2.3846111156249998</v>
      </c>
      <c r="N37" s="89">
        <v>2.3846111156249998</v>
      </c>
      <c r="O37" s="89">
        <v>2.3846111156249998</v>
      </c>
    </row>
    <row r="38" spans="3:15" x14ac:dyDescent="0.2">
      <c r="C38" s="36" t="s">
        <v>131</v>
      </c>
      <c r="D38" s="89">
        <v>2.6245664203125001</v>
      </c>
      <c r="E38" s="89">
        <v>2.6245664203125001</v>
      </c>
      <c r="F38" s="89">
        <v>2.6245664203125001</v>
      </c>
      <c r="G38" s="89">
        <v>2.6245664203125001</v>
      </c>
      <c r="H38" s="89">
        <v>2.6245664203125001</v>
      </c>
      <c r="I38" s="89">
        <v>2.6245664203125001</v>
      </c>
      <c r="J38" s="89">
        <v>2.6245664203125001</v>
      </c>
      <c r="K38" s="89">
        <v>2.6245664203125001</v>
      </c>
      <c r="L38" s="89">
        <v>2.6245664203125001</v>
      </c>
      <c r="M38" s="89">
        <v>2.6245664203125001</v>
      </c>
      <c r="N38" s="89">
        <v>2.6245664203125001</v>
      </c>
      <c r="O38" s="89">
        <v>2.6245664203125001</v>
      </c>
    </row>
    <row r="39" spans="3:15" x14ac:dyDescent="0.2">
      <c r="C39" s="37" t="s">
        <v>132</v>
      </c>
      <c r="D39" s="89">
        <v>2.681380791410211</v>
      </c>
      <c r="E39" s="89">
        <v>2.681380791410211</v>
      </c>
      <c r="F39" s="89">
        <v>2.681380791410211</v>
      </c>
      <c r="G39" s="89">
        <v>2.681380791410211</v>
      </c>
      <c r="H39" s="89">
        <v>2.681380791410211</v>
      </c>
      <c r="I39" s="89">
        <v>2.681380791410211</v>
      </c>
      <c r="J39" s="89">
        <v>2.681380791410211</v>
      </c>
      <c r="K39" s="89">
        <v>2.681380791410211</v>
      </c>
      <c r="L39" s="89">
        <v>2.681380791410211</v>
      </c>
      <c r="M39" s="89">
        <v>2.681380791410211</v>
      </c>
      <c r="N39" s="89">
        <v>2.681380791410211</v>
      </c>
      <c r="O39" s="89">
        <v>2.681380791410211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80"/>
    </row>
    <row r="2" spans="1:20" ht="15.75" x14ac:dyDescent="0.25">
      <c r="C2" s="181" t="s">
        <v>165</v>
      </c>
      <c r="D2" s="181"/>
      <c r="E2" s="181"/>
      <c r="F2" s="181"/>
      <c r="G2" s="181"/>
      <c r="H2" s="181"/>
    </row>
    <row r="3" spans="1:20" ht="18.75" x14ac:dyDescent="0.25">
      <c r="C3" s="182" t="s">
        <v>413</v>
      </c>
      <c r="D3" s="182"/>
      <c r="E3" s="182"/>
      <c r="F3" s="182"/>
      <c r="G3" s="182"/>
    </row>
    <row r="5" spans="1:20" ht="15.75" x14ac:dyDescent="0.25">
      <c r="A5" s="183" t="s">
        <v>352</v>
      </c>
      <c r="B5" s="184"/>
      <c r="G5" s="185"/>
      <c r="L5" s="183" t="s">
        <v>353</v>
      </c>
      <c r="M5" s="184"/>
      <c r="R5" s="185"/>
    </row>
    <row r="6" spans="1:20" x14ac:dyDescent="0.2">
      <c r="A6" s="186" t="s">
        <v>354</v>
      </c>
      <c r="B6" s="184"/>
      <c r="G6" s="187"/>
      <c r="H6" s="114"/>
      <c r="L6" s="186" t="s">
        <v>355</v>
      </c>
      <c r="M6" s="184"/>
      <c r="S6" s="128"/>
    </row>
    <row r="7" spans="1:20" x14ac:dyDescent="0.2">
      <c r="A7" s="184"/>
      <c r="B7" s="184" t="s">
        <v>356</v>
      </c>
      <c r="G7" s="187"/>
      <c r="H7" s="188">
        <f>SUM(ORA!$D$116:$O$116)</f>
        <v>36100.297978536051</v>
      </c>
      <c r="L7" s="184"/>
      <c r="M7" s="184" t="s">
        <v>356</v>
      </c>
      <c r="S7" s="189">
        <f>SUM(ORA!$D$127:$O$127)</f>
        <v>199612598.88345641</v>
      </c>
    </row>
    <row r="8" spans="1:20" x14ac:dyDescent="0.2">
      <c r="A8" s="184"/>
      <c r="B8" s="184" t="s">
        <v>357</v>
      </c>
      <c r="G8" s="187"/>
      <c r="H8" s="190">
        <f>SUM(POJ!$D$116:$O$116)</f>
        <v>26017.523494848774</v>
      </c>
      <c r="L8" s="184"/>
      <c r="M8" s="184" t="s">
        <v>357</v>
      </c>
      <c r="S8" s="191">
        <f>SUM(POJ!$D$127:$O$127)</f>
        <v>161826258.57983157</v>
      </c>
    </row>
    <row r="9" spans="1:20" x14ac:dyDescent="0.2">
      <c r="A9" s="184"/>
      <c r="B9" s="184" t="s">
        <v>358</v>
      </c>
      <c r="G9" s="187"/>
      <c r="H9" s="190">
        <f>SUM(ROJ!$D$116:$O$116)</f>
        <v>39370.651925230515</v>
      </c>
      <c r="L9" s="184"/>
      <c r="M9" s="184" t="s">
        <v>358</v>
      </c>
      <c r="S9" s="191">
        <f>SUM(ROJ!$D$127:$O$127)</f>
        <v>206563584.33354405</v>
      </c>
    </row>
    <row r="10" spans="1:20" x14ac:dyDescent="0.2">
      <c r="A10" s="184"/>
      <c r="B10" s="184" t="s">
        <v>359</v>
      </c>
      <c r="G10" s="187"/>
      <c r="H10" s="192">
        <f>SUM(FCOJ!$D$116:$O$116)</f>
        <v>43517.868043442868</v>
      </c>
      <c r="L10" s="184"/>
      <c r="M10" s="184" t="s">
        <v>359</v>
      </c>
      <c r="S10" s="193">
        <f>SUM(FCOJ!$D$127:$O$127)</f>
        <v>224455187.85636356</v>
      </c>
    </row>
    <row r="11" spans="1:20" x14ac:dyDescent="0.2">
      <c r="A11" s="184"/>
      <c r="B11" s="184"/>
      <c r="G11" s="187"/>
      <c r="M11" s="184" t="s">
        <v>360</v>
      </c>
      <c r="T11" s="194">
        <f>SUM($S$7:$S$10)</f>
        <v>792457629.6531955</v>
      </c>
    </row>
    <row r="12" spans="1:20" x14ac:dyDescent="0.2">
      <c r="A12" s="186" t="s">
        <v>361</v>
      </c>
      <c r="B12" s="184"/>
      <c r="G12" s="187"/>
    </row>
    <row r="13" spans="1:20" x14ac:dyDescent="0.2">
      <c r="A13" s="184"/>
      <c r="B13" s="184" t="s">
        <v>362</v>
      </c>
      <c r="G13" s="187"/>
      <c r="H13" s="195">
        <f>SUM(grove!$C$48:$AX$53)</f>
        <v>457616.33051601151</v>
      </c>
      <c r="L13" s="186" t="s">
        <v>363</v>
      </c>
      <c r="M13" s="184"/>
    </row>
    <row r="14" spans="1:20" x14ac:dyDescent="0.2">
      <c r="A14" s="184"/>
      <c r="B14" s="184" t="s">
        <v>364</v>
      </c>
      <c r="G14" s="187"/>
      <c r="H14" s="188">
        <f>raw_materials!$P$30</f>
        <v>300000</v>
      </c>
      <c r="L14" s="184"/>
      <c r="M14" s="184" t="s">
        <v>365</v>
      </c>
      <c r="S14" s="189">
        <f>SUM(grove!$C$58:$AX$63)</f>
        <v>668183871.24886334</v>
      </c>
    </row>
    <row r="15" spans="1:20" x14ac:dyDescent="0.2">
      <c r="A15" s="184"/>
      <c r="B15" s="184" t="s">
        <v>366</v>
      </c>
      <c r="G15" s="187"/>
      <c r="H15" s="192">
        <f>raw_materials!$P$36</f>
        <v>200000</v>
      </c>
      <c r="L15" s="184"/>
      <c r="M15" s="184" t="s">
        <v>367</v>
      </c>
      <c r="S15" s="191">
        <f>(raw_materials!D30*raw_materials!E30+raw_materials!F30*raw_materials!G30+raw_materials!H30*raw_materials!I30+raw_materials!J30*raw_materials!K30+raw_materials!L30*raw_materials!M30)*2000</f>
        <v>404389731.06265068</v>
      </c>
    </row>
    <row r="16" spans="1:20" x14ac:dyDescent="0.2">
      <c r="A16" s="184"/>
      <c r="B16" s="184" t="s">
        <v>368</v>
      </c>
      <c r="G16" s="187"/>
      <c r="H16" s="196">
        <v>101457.63105010927</v>
      </c>
      <c r="L16" s="184"/>
      <c r="M16" s="184" t="s">
        <v>369</v>
      </c>
      <c r="S16" s="191">
        <f>(raw_materials!D36*raw_materials!E36+raw_materials!F36*raw_materials!G36+raw_materials!H36*raw_materials!I36+raw_materials!J36*raw_materials!K36+raw_materials!L36*raw_materials!M36)*2000</f>
        <v>369273818.36771971</v>
      </c>
    </row>
    <row r="17" spans="1:21" x14ac:dyDescent="0.2">
      <c r="A17" s="184"/>
      <c r="B17" s="184" t="s">
        <v>370</v>
      </c>
      <c r="G17" s="187"/>
      <c r="H17" s="197">
        <v>25364.407762527306</v>
      </c>
      <c r="L17" s="184"/>
      <c r="M17" s="184" t="s">
        <v>371</v>
      </c>
      <c r="S17" s="191">
        <v>224666979.68064794</v>
      </c>
    </row>
    <row r="18" spans="1:21" x14ac:dyDescent="0.2">
      <c r="A18" s="184"/>
      <c r="B18" s="184" t="s">
        <v>372</v>
      </c>
      <c r="G18" s="187"/>
      <c r="H18" s="198">
        <v>183951.51375587098</v>
      </c>
      <c r="L18" s="184"/>
      <c r="M18" s="184" t="s">
        <v>373</v>
      </c>
      <c r="S18" s="193">
        <v>61721462.34018711</v>
      </c>
    </row>
    <row r="19" spans="1:21" x14ac:dyDescent="0.2">
      <c r="A19" s="184"/>
      <c r="B19" s="184" t="s">
        <v>374</v>
      </c>
      <c r="G19" s="187"/>
      <c r="H19" s="197">
        <v>438364.35734451114</v>
      </c>
      <c r="L19" s="184"/>
      <c r="M19" s="184" t="s">
        <v>375</v>
      </c>
      <c r="S19" s="199" t="s">
        <v>376</v>
      </c>
      <c r="T19" s="200">
        <f>SUM($S$14:$S$18)</f>
        <v>1728235862.7000687</v>
      </c>
      <c r="U19" t="s">
        <v>377</v>
      </c>
    </row>
    <row r="20" spans="1:21" x14ac:dyDescent="0.2">
      <c r="A20" s="184"/>
      <c r="B20" s="184" t="s">
        <v>378</v>
      </c>
      <c r="G20" s="187"/>
      <c r="H20" s="192">
        <v>348454.91683203075</v>
      </c>
      <c r="L20" s="184"/>
      <c r="M20" s="184"/>
    </row>
    <row r="21" spans="1:21" x14ac:dyDescent="0.2">
      <c r="A21" s="184"/>
      <c r="B21" s="184"/>
      <c r="G21" s="187"/>
      <c r="L21" s="186" t="s">
        <v>379</v>
      </c>
      <c r="M21" s="184"/>
      <c r="S21" s="128"/>
    </row>
    <row r="22" spans="1:21" x14ac:dyDescent="0.2">
      <c r="A22" s="186" t="s">
        <v>380</v>
      </c>
      <c r="B22" s="184"/>
      <c r="G22" s="187"/>
      <c r="L22" s="184"/>
      <c r="M22" s="184" t="s">
        <v>381</v>
      </c>
      <c r="S22" s="191">
        <v>202915262.10021847</v>
      </c>
    </row>
    <row r="23" spans="1:21" x14ac:dyDescent="0.2">
      <c r="A23" s="184"/>
      <c r="B23" s="184" t="s">
        <v>382</v>
      </c>
      <c r="G23" s="187"/>
      <c r="H23" s="188">
        <f>SUM(raw_materials!$O$31:$O$35)</f>
        <v>0</v>
      </c>
      <c r="L23" s="184"/>
      <c r="M23" s="184" t="s">
        <v>383</v>
      </c>
      <c r="S23" s="191">
        <v>25364407.762527302</v>
      </c>
    </row>
    <row r="24" spans="1:21" x14ac:dyDescent="0.2">
      <c r="A24" s="184"/>
      <c r="B24" s="184" t="s">
        <v>384</v>
      </c>
      <c r="G24" s="187"/>
      <c r="H24" s="192">
        <f>SUM(raw_materials!$O$37:$O$41)</f>
        <v>0</v>
      </c>
      <c r="L24" s="184"/>
      <c r="M24" s="184" t="s">
        <v>385</v>
      </c>
      <c r="S24" s="193">
        <v>119568483.94131614</v>
      </c>
    </row>
    <row r="25" spans="1:21" x14ac:dyDescent="0.2">
      <c r="A25" s="184"/>
      <c r="B25" s="184"/>
      <c r="G25" s="187"/>
      <c r="L25" s="184"/>
      <c r="M25" s="184" t="s">
        <v>386</v>
      </c>
      <c r="S25" s="199" t="s">
        <v>376</v>
      </c>
      <c r="T25" s="200">
        <f>SUM($S$22:$S$24)</f>
        <v>347848153.80406189</v>
      </c>
      <c r="U25" t="s">
        <v>377</v>
      </c>
    </row>
    <row r="26" spans="1:21" x14ac:dyDescent="0.2">
      <c r="A26" s="186" t="s">
        <v>387</v>
      </c>
      <c r="B26" s="184"/>
      <c r="G26" s="187"/>
      <c r="L26" s="184"/>
      <c r="M26" s="184"/>
    </row>
    <row r="27" spans="1:21" x14ac:dyDescent="0.2">
      <c r="A27" s="184"/>
      <c r="B27" s="184" t="s">
        <v>388</v>
      </c>
      <c r="G27" s="187"/>
      <c r="H27" s="188">
        <f>SUMIF(facilities!$C$6:$C$15,"&gt;0",facilities!$C$6:$C$15)</f>
        <v>0</v>
      </c>
      <c r="L27" s="186" t="s">
        <v>389</v>
      </c>
      <c r="M27" s="184"/>
    </row>
    <row r="28" spans="1:21" x14ac:dyDescent="0.2">
      <c r="A28" s="184"/>
      <c r="B28" s="184" t="s">
        <v>390</v>
      </c>
      <c r="G28" s="187"/>
      <c r="H28" s="190">
        <f>SUMIF(facilities!$C$36:$C$106,"&gt;0",facilities!$C$36:$C$106)</f>
        <v>9000</v>
      </c>
      <c r="L28" s="184"/>
      <c r="M28" s="184" t="s">
        <v>391</v>
      </c>
      <c r="S28" s="189">
        <v>97796160</v>
      </c>
    </row>
    <row r="29" spans="1:21" x14ac:dyDescent="0.2">
      <c r="A29" s="184"/>
      <c r="B29" s="184" t="s">
        <v>392</v>
      </c>
      <c r="G29" s="187"/>
      <c r="H29" s="190">
        <f>SUMIF(facilities!$C$6:$C$15,"&lt;0",facilities!$C$6:$C$15)</f>
        <v>0</v>
      </c>
      <c r="L29" s="184"/>
      <c r="M29" s="184" t="s">
        <v>393</v>
      </c>
      <c r="S29" s="191">
        <v>55968790.703325734</v>
      </c>
    </row>
    <row r="30" spans="1:21" x14ac:dyDescent="0.2">
      <c r="A30" s="184"/>
      <c r="B30" s="184" t="s">
        <v>394</v>
      </c>
      <c r="G30" s="187"/>
      <c r="H30" s="192">
        <f>SUMIF(facilities!$C$36:$C$106,"&lt;0",facilities!$C$36:$C$106)</f>
        <v>0</v>
      </c>
      <c r="L30" s="184"/>
      <c r="M30" s="184" t="s">
        <v>395</v>
      </c>
      <c r="S30" s="191">
        <v>230622778.98267305</v>
      </c>
    </row>
    <row r="31" spans="1:21" x14ac:dyDescent="0.2">
      <c r="L31" s="184"/>
      <c r="M31" s="184" t="s">
        <v>396</v>
      </c>
      <c r="S31" s="193">
        <f>SUM(ORA!D138:O138)+SUM(POJ!D138:O138)+SUM(ROJ!D138:O138)+SUM(FCOJ!D138:O138)</f>
        <v>132191211.71234544</v>
      </c>
    </row>
    <row r="32" spans="1:21" x14ac:dyDescent="0.2">
      <c r="A32" s="186" t="s">
        <v>397</v>
      </c>
      <c r="B32" s="184"/>
      <c r="G32" s="187"/>
      <c r="L32" s="184"/>
      <c r="M32" s="184" t="s">
        <v>398</v>
      </c>
      <c r="S32" s="116" t="s">
        <v>376</v>
      </c>
      <c r="T32" s="200">
        <f>SUM($S$28:$S$31)</f>
        <v>516578941.39834422</v>
      </c>
      <c r="U32" t="s">
        <v>377</v>
      </c>
    </row>
    <row r="33" spans="1:21" x14ac:dyDescent="0.2">
      <c r="A33" s="184"/>
      <c r="B33" s="184" t="s">
        <v>399</v>
      </c>
      <c r="G33" s="187"/>
      <c r="H33" s="188">
        <f>COUNTIF(facilities!$H$6:$H$15,"=new")</f>
        <v>0</v>
      </c>
      <c r="M33" s="184"/>
    </row>
    <row r="34" spans="1:21" x14ac:dyDescent="0.2">
      <c r="A34" s="184"/>
      <c r="B34" s="184" t="s">
        <v>400</v>
      </c>
      <c r="G34" s="187"/>
      <c r="H34" s="190">
        <f>COUNTIF(facilities!$H$36:$H$106,"=new")</f>
        <v>0</v>
      </c>
      <c r="L34" s="186" t="s">
        <v>401</v>
      </c>
      <c r="M34" s="184"/>
    </row>
    <row r="35" spans="1:21" x14ac:dyDescent="0.2">
      <c r="B35" s="184" t="s">
        <v>18</v>
      </c>
      <c r="H35" s="192">
        <f>SUMIF(facilities!$C$21:$C$30,"&gt;0",facilities!$C$21:$C$30)</f>
        <v>0</v>
      </c>
      <c r="L35" s="184"/>
      <c r="M35" s="184" t="s">
        <v>402</v>
      </c>
      <c r="S35" s="189">
        <v>35085000</v>
      </c>
    </row>
    <row r="36" spans="1:21" x14ac:dyDescent="0.2">
      <c r="L36" s="184"/>
      <c r="M36" s="184" t="s">
        <v>403</v>
      </c>
      <c r="S36" s="191">
        <f>H33*12000000-H38*70/100*12000000</f>
        <v>0</v>
      </c>
    </row>
    <row r="37" spans="1:21" x14ac:dyDescent="0.2">
      <c r="A37" s="186" t="s">
        <v>404</v>
      </c>
      <c r="L37" s="184"/>
      <c r="M37" s="184" t="s">
        <v>405</v>
      </c>
      <c r="S37" s="191">
        <f>H27*8000+H29*70/100*8000</f>
        <v>0</v>
      </c>
    </row>
    <row r="38" spans="1:21" x14ac:dyDescent="0.2">
      <c r="B38" s="184" t="s">
        <v>399</v>
      </c>
      <c r="H38" s="188">
        <f>COUNTIF(facilities!$H$6:$H$15,"=sold")</f>
        <v>0</v>
      </c>
      <c r="L38" s="184"/>
      <c r="M38" s="184" t="s">
        <v>406</v>
      </c>
      <c r="S38" s="191">
        <v>74800000</v>
      </c>
    </row>
    <row r="39" spans="1:21" x14ac:dyDescent="0.2">
      <c r="B39" s="184" t="s">
        <v>400</v>
      </c>
      <c r="H39" s="190">
        <f>COUNTIF(facilities!$H$36:$H$106,"=sold")</f>
        <v>0</v>
      </c>
      <c r="L39" s="184"/>
      <c r="M39" s="184" t="s">
        <v>407</v>
      </c>
      <c r="S39" s="191">
        <f>H34*9000000-H39*80/100*9000000</f>
        <v>0</v>
      </c>
    </row>
    <row r="40" spans="1:21" x14ac:dyDescent="0.2">
      <c r="B40" s="184" t="s">
        <v>18</v>
      </c>
      <c r="H40" s="192">
        <f>-SUMIF(facilities!$C$21:$C$30,"&lt;0",facilities!$C$21:$C$30)</f>
        <v>0</v>
      </c>
      <c r="L40" s="184"/>
      <c r="M40" s="184" t="s">
        <v>408</v>
      </c>
      <c r="S40" s="191">
        <f>H28*6000+H30*80/100*6000</f>
        <v>54000000</v>
      </c>
    </row>
    <row r="41" spans="1:21" x14ac:dyDescent="0.2">
      <c r="L41" s="184"/>
      <c r="M41" s="184" t="s">
        <v>409</v>
      </c>
      <c r="S41" s="191">
        <v>21180</v>
      </c>
    </row>
    <row r="42" spans="1:21" x14ac:dyDescent="0.2">
      <c r="L42" s="184"/>
      <c r="M42" s="184" t="s">
        <v>410</v>
      </c>
      <c r="S42" s="193">
        <f>H35*100000-H40*60/100*100000</f>
        <v>0</v>
      </c>
    </row>
    <row r="43" spans="1:21" x14ac:dyDescent="0.2">
      <c r="L43" s="184"/>
      <c r="M43" s="184" t="s">
        <v>411</v>
      </c>
      <c r="S43" s="178" t="s">
        <v>376</v>
      </c>
      <c r="T43" s="200">
        <f>SUM($S$35:$S$42)</f>
        <v>163906180</v>
      </c>
      <c r="U43" t="s">
        <v>377</v>
      </c>
    </row>
    <row r="44" spans="1:21" x14ac:dyDescent="0.2">
      <c r="L44" s="184"/>
      <c r="S44" s="114"/>
    </row>
    <row r="45" spans="1:21" ht="14.25" thickBot="1" x14ac:dyDescent="0.3">
      <c r="L45" s="201" t="s">
        <v>412</v>
      </c>
      <c r="M45" s="184"/>
      <c r="T45" s="202">
        <f>$T$11-$T$19-$T$25-$T$32-$T$43</f>
        <v>-1964111508.2492793</v>
      </c>
    </row>
    <row r="46" spans="1:21" ht="13.5" thickTop="1" x14ac:dyDescent="0.2">
      <c r="M46" s="184"/>
    </row>
    <row r="316" spans="1:1" x14ac:dyDescent="0.2">
      <c r="A316" s="180"/>
    </row>
    <row r="317" spans="1:1" x14ac:dyDescent="0.2">
      <c r="A317" s="180"/>
    </row>
    <row r="318" spans="1:1" x14ac:dyDescent="0.2">
      <c r="A318" s="180"/>
    </row>
    <row r="319" spans="1:1" x14ac:dyDescent="0.2">
      <c r="A319" s="180"/>
    </row>
    <row r="320" spans="1:1" x14ac:dyDescent="0.2">
      <c r="A320" s="180"/>
    </row>
    <row r="321" spans="1:1" x14ac:dyDescent="0.2">
      <c r="A321" s="180"/>
    </row>
    <row r="322" spans="1:1" x14ac:dyDescent="0.2">
      <c r="A322" s="180"/>
    </row>
    <row r="323" spans="1:1" x14ac:dyDescent="0.2">
      <c r="A323" s="180"/>
    </row>
    <row r="325" spans="1:1" x14ac:dyDescent="0.2">
      <c r="A325" s="180"/>
    </row>
    <row r="326" spans="1:1" x14ac:dyDescent="0.2">
      <c r="A326" s="180"/>
    </row>
    <row r="327" spans="1:1" x14ac:dyDescent="0.2">
      <c r="A327" s="180"/>
    </row>
    <row r="328" spans="1:1" x14ac:dyDescent="0.2">
      <c r="A328" s="180"/>
    </row>
    <row r="329" spans="1:1" x14ac:dyDescent="0.2">
      <c r="A329" s="180"/>
    </row>
    <row r="330" spans="1:1" x14ac:dyDescent="0.2">
      <c r="A330" s="180"/>
    </row>
    <row r="331" spans="1:1" x14ac:dyDescent="0.2">
      <c r="A331" s="180"/>
    </row>
    <row r="332" spans="1:1" x14ac:dyDescent="0.2">
      <c r="A332" s="180"/>
    </row>
    <row r="334" spans="1:1" x14ac:dyDescent="0.2">
      <c r="A334" s="180"/>
    </row>
    <row r="335" spans="1:1" x14ac:dyDescent="0.2">
      <c r="A335" s="180"/>
    </row>
    <row r="336" spans="1:1" x14ac:dyDescent="0.2">
      <c r="A336" s="180"/>
    </row>
    <row r="337" spans="1:1" x14ac:dyDescent="0.2">
      <c r="A337" s="180"/>
    </row>
    <row r="338" spans="1:1" x14ac:dyDescent="0.2">
      <c r="A338" s="180"/>
    </row>
    <row r="339" spans="1:1" x14ac:dyDescent="0.2">
      <c r="A339" s="180"/>
    </row>
    <row r="340" spans="1:1" x14ac:dyDescent="0.2">
      <c r="A340" s="180"/>
    </row>
    <row r="341" spans="1:1" x14ac:dyDescent="0.2">
      <c r="A341" s="180"/>
    </row>
    <row r="343" spans="1:1" x14ac:dyDescent="0.2">
      <c r="A343" s="180"/>
    </row>
    <row r="344" spans="1:1" x14ac:dyDescent="0.2">
      <c r="A344" s="180"/>
    </row>
    <row r="345" spans="1:1" x14ac:dyDescent="0.2">
      <c r="A345" s="180"/>
    </row>
    <row r="346" spans="1:1" x14ac:dyDescent="0.2">
      <c r="A346" s="180"/>
    </row>
    <row r="347" spans="1:1" x14ac:dyDescent="0.2">
      <c r="A347" s="180"/>
    </row>
    <row r="348" spans="1:1" x14ac:dyDescent="0.2">
      <c r="A348" s="180"/>
    </row>
    <row r="349" spans="1:1" x14ac:dyDescent="0.2">
      <c r="A349" s="180"/>
    </row>
    <row r="350" spans="1:1" x14ac:dyDescent="0.2">
      <c r="A350" s="180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07" t="s">
        <v>314</v>
      </c>
    </row>
    <row r="4" spans="2:14" x14ac:dyDescent="0.2">
      <c r="B4" s="173" t="s">
        <v>91</v>
      </c>
      <c r="C4" s="173" t="s">
        <v>92</v>
      </c>
      <c r="D4" s="173" t="s">
        <v>93</v>
      </c>
      <c r="E4" s="173" t="s">
        <v>94</v>
      </c>
      <c r="F4" s="173" t="s">
        <v>95</v>
      </c>
      <c r="G4" s="173" t="s">
        <v>96</v>
      </c>
      <c r="H4" s="173" t="s">
        <v>97</v>
      </c>
      <c r="I4" s="173" t="s">
        <v>98</v>
      </c>
      <c r="J4" s="173" t="s">
        <v>99</v>
      </c>
      <c r="K4" s="173" t="s">
        <v>100</v>
      </c>
      <c r="L4" s="173" t="s">
        <v>101</v>
      </c>
      <c r="M4" s="173" t="s">
        <v>102</v>
      </c>
      <c r="N4" s="173" t="s">
        <v>103</v>
      </c>
    </row>
    <row r="5" spans="2:14" x14ac:dyDescent="0.2">
      <c r="B5" s="174" t="s">
        <v>104</v>
      </c>
      <c r="C5">
        <v>0.84279738959036588</v>
      </c>
      <c r="D5">
        <v>0.84130128707866458</v>
      </c>
      <c r="E5">
        <v>0.9753874913449514</v>
      </c>
      <c r="F5">
        <v>0.54234113984447585</v>
      </c>
      <c r="G5">
        <v>0.60759375175966268</v>
      </c>
      <c r="H5">
        <v>0.64676309793838871</v>
      </c>
      <c r="I5">
        <v>1.0909784422248763</v>
      </c>
      <c r="J5">
        <v>0.48103094830793963</v>
      </c>
      <c r="K5">
        <v>0.60242820656418805</v>
      </c>
      <c r="L5">
        <v>0.60141595471077414</v>
      </c>
      <c r="M5">
        <v>0.55153896743057784</v>
      </c>
      <c r="N5">
        <v>0.58900571968846183</v>
      </c>
    </row>
    <row r="6" spans="2:14" x14ac:dyDescent="0.2">
      <c r="B6" s="174" t="s">
        <v>105</v>
      </c>
      <c r="C6">
        <v>0.73234345306913129</v>
      </c>
      <c r="D6">
        <v>0.74031252349789589</v>
      </c>
      <c r="E6">
        <v>0.64222016468789345</v>
      </c>
      <c r="F6">
        <v>0.68425117097671295</v>
      </c>
      <c r="G6">
        <v>0.64477016419917954</v>
      </c>
      <c r="H6">
        <v>0.72180148587301651</v>
      </c>
      <c r="I6">
        <v>0.66074602279574512</v>
      </c>
      <c r="J6">
        <v>0.621641052510015</v>
      </c>
      <c r="K6">
        <v>0.66749622303438261</v>
      </c>
      <c r="L6">
        <v>0.66831769065318047</v>
      </c>
      <c r="M6">
        <v>0.77335820198597494</v>
      </c>
      <c r="N6">
        <v>0.64024881652003629</v>
      </c>
    </row>
    <row r="7" spans="2:14" x14ac:dyDescent="0.2">
      <c r="B7" s="174" t="s">
        <v>106</v>
      </c>
      <c r="C7">
        <v>0.77129878093603232</v>
      </c>
      <c r="D7">
        <v>0.78722740141033654</v>
      </c>
      <c r="E7">
        <v>0.84006710757499159</v>
      </c>
      <c r="F7">
        <v>0.72775353397699949</v>
      </c>
      <c r="G7">
        <v>0.78699278219159641</v>
      </c>
      <c r="H7">
        <v>0.77494637505125152</v>
      </c>
      <c r="I7">
        <v>0.75005305869384886</v>
      </c>
      <c r="J7">
        <v>0.70548266229991907</v>
      </c>
      <c r="K7">
        <v>0.70580388894614465</v>
      </c>
      <c r="L7">
        <v>0.71537295429978609</v>
      </c>
      <c r="M7">
        <v>0.76699449974674572</v>
      </c>
      <c r="N7">
        <v>0.74468895079021402</v>
      </c>
    </row>
    <row r="8" spans="2:14" x14ac:dyDescent="0.2">
      <c r="B8" s="174" t="s">
        <v>107</v>
      </c>
      <c r="C8">
        <v>0.75095521935617093</v>
      </c>
      <c r="D8">
        <v>0.71382371838215919</v>
      </c>
      <c r="E8">
        <v>0.76882861346193276</v>
      </c>
      <c r="F8">
        <v>0.72411391435367822</v>
      </c>
      <c r="G8">
        <v>0.72107854744128952</v>
      </c>
      <c r="H8">
        <v>0.69944821742974528</v>
      </c>
      <c r="I8">
        <v>0.68705664956030721</v>
      </c>
      <c r="J8">
        <v>0.68286165618799466</v>
      </c>
      <c r="K8">
        <v>0.77985868547760906</v>
      </c>
      <c r="L8">
        <v>0.72104848892720674</v>
      </c>
      <c r="M8">
        <v>0.688461021866562</v>
      </c>
      <c r="N8">
        <v>0.74889900086394579</v>
      </c>
    </row>
    <row r="9" spans="2:14" x14ac:dyDescent="0.2">
      <c r="B9" s="174" t="s">
        <v>108</v>
      </c>
      <c r="C9">
        <v>2.0122313356399535</v>
      </c>
      <c r="D9">
        <v>2.0243734395503998</v>
      </c>
      <c r="E9">
        <v>2.0229263758659362</v>
      </c>
      <c r="F9">
        <v>2.0410798227787019</v>
      </c>
      <c r="G9">
        <v>2.0889327144622802</v>
      </c>
      <c r="H9">
        <v>2.1071843421459198</v>
      </c>
      <c r="I9">
        <v>2.0607485508918764</v>
      </c>
      <c r="J9">
        <v>2.0938486492633821</v>
      </c>
      <c r="K9">
        <v>2.05692018032074</v>
      </c>
      <c r="L9">
        <v>2.0493401086330416</v>
      </c>
      <c r="M9">
        <v>2.0209267592430114</v>
      </c>
      <c r="N9">
        <v>2.0783775007724761</v>
      </c>
    </row>
    <row r="10" spans="2:14" x14ac:dyDescent="0.2">
      <c r="B10" s="174" t="s">
        <v>109</v>
      </c>
      <c r="C10">
        <v>0.62314319610595703</v>
      </c>
      <c r="D10">
        <v>0.64624235033988953</v>
      </c>
      <c r="E10">
        <v>0.60850616693496706</v>
      </c>
      <c r="F10">
        <v>0.64578087925910954</v>
      </c>
      <c r="G10">
        <v>0.60550825595855717</v>
      </c>
      <c r="H10">
        <v>0.68042158484458926</v>
      </c>
      <c r="I10">
        <v>0.68714522123336796</v>
      </c>
      <c r="J10">
        <v>0.69133344292640686</v>
      </c>
      <c r="K10">
        <v>0.64944138526916506</v>
      </c>
      <c r="L10">
        <v>0.6318497359752655</v>
      </c>
      <c r="M10">
        <v>0.60817815065383918</v>
      </c>
      <c r="N10">
        <v>0.62728250622749326</v>
      </c>
    </row>
    <row r="11" spans="2:14" x14ac:dyDescent="0.2">
      <c r="B11" s="175"/>
      <c r="C11" s="106"/>
      <c r="D11" s="106"/>
      <c r="E11" s="106"/>
      <c r="F11" s="106"/>
      <c r="G11" s="106"/>
    </row>
    <row r="12" spans="2:14" x14ac:dyDescent="0.2">
      <c r="B12" s="108" t="s">
        <v>315</v>
      </c>
      <c r="C12" s="106"/>
      <c r="D12" s="106"/>
      <c r="E12" s="106"/>
      <c r="F12" s="106"/>
      <c r="G12" s="106"/>
    </row>
    <row r="13" spans="2:14" x14ac:dyDescent="0.2">
      <c r="B13" s="174" t="s">
        <v>316</v>
      </c>
      <c r="C13" s="174" t="s">
        <v>92</v>
      </c>
      <c r="D13" s="174" t="s">
        <v>93</v>
      </c>
      <c r="E13" s="173" t="s">
        <v>94</v>
      </c>
      <c r="F13" s="173" t="s">
        <v>95</v>
      </c>
      <c r="G13" s="173" t="s">
        <v>96</v>
      </c>
      <c r="H13" s="173" t="s">
        <v>97</v>
      </c>
      <c r="I13" s="173" t="s">
        <v>98</v>
      </c>
      <c r="J13" s="173" t="s">
        <v>99</v>
      </c>
      <c r="K13" s="173" t="s">
        <v>100</v>
      </c>
      <c r="L13" s="173" t="s">
        <v>101</v>
      </c>
      <c r="M13" s="173" t="s">
        <v>102</v>
      </c>
      <c r="N13" s="173" t="s">
        <v>103</v>
      </c>
    </row>
    <row r="14" spans="2:14" x14ac:dyDescent="0.2">
      <c r="B14" s="173" t="s">
        <v>317</v>
      </c>
      <c r="C14" s="106">
        <v>0.35990603858784803</v>
      </c>
      <c r="D14" s="106">
        <v>0.36124196431200883</v>
      </c>
      <c r="E14" s="106">
        <v>0.36257413098528429</v>
      </c>
      <c r="F14" s="106">
        <v>0.36389879013407139</v>
      </c>
      <c r="G14" s="106">
        <v>0.36521221440956914</v>
      </c>
      <c r="H14">
        <v>0.36651070807585734</v>
      </c>
      <c r="I14">
        <v>0.36779061740902175</v>
      </c>
      <c r="J14">
        <v>0.36904834097806594</v>
      </c>
      <c r="K14">
        <v>0.37028033977867986</v>
      </c>
      <c r="L14">
        <v>0.37148314719135123</v>
      </c>
      <c r="M14">
        <v>0.37265337873579968</v>
      </c>
      <c r="N14">
        <v>0.37378774159428568</v>
      </c>
    </row>
    <row r="15" spans="2:14" x14ac:dyDescent="0.2">
      <c r="B15" s="173" t="s">
        <v>318</v>
      </c>
      <c r="C15">
        <v>1.1872999200077634</v>
      </c>
      <c r="D15">
        <v>1.1904478537447702</v>
      </c>
      <c r="E15">
        <v>1.1935869297714365</v>
      </c>
      <c r="F15">
        <v>1.1967083153014</v>
      </c>
      <c r="G15">
        <v>1.1998032273261239</v>
      </c>
      <c r="H15">
        <v>1.2028629573286778</v>
      </c>
      <c r="I15">
        <v>1.2058788957879132</v>
      </c>
      <c r="J15">
        <v>1.2088425564040823</v>
      </c>
      <c r="K15">
        <v>1.2117455999777365</v>
      </c>
      <c r="L15">
        <v>1.2145798578747082</v>
      </c>
      <c r="M15">
        <v>1.2173373550111548</v>
      </c>
      <c r="N15">
        <v>1.220010332293989</v>
      </c>
    </row>
    <row r="16" spans="2:14" x14ac:dyDescent="0.2">
      <c r="B16" s="106"/>
    </row>
    <row r="17" spans="2:14" x14ac:dyDescent="0.2">
      <c r="B17" s="107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6" t="s">
        <v>104</v>
      </c>
      <c r="C19">
        <f>C5</f>
        <v>0.84279738959036588</v>
      </c>
      <c r="D19">
        <f t="shared" ref="D19:N20" si="0">D5</f>
        <v>0.84130128707866458</v>
      </c>
      <c r="E19">
        <f t="shared" si="0"/>
        <v>0.9753874913449514</v>
      </c>
      <c r="F19">
        <f t="shared" si="0"/>
        <v>0.54234113984447585</v>
      </c>
      <c r="G19">
        <f t="shared" si="0"/>
        <v>0.60759375175966268</v>
      </c>
      <c r="H19">
        <f t="shared" si="0"/>
        <v>0.64676309793838871</v>
      </c>
      <c r="I19">
        <f t="shared" si="0"/>
        <v>1.0909784422248763</v>
      </c>
      <c r="J19">
        <f t="shared" si="0"/>
        <v>0.48103094830793963</v>
      </c>
      <c r="K19">
        <f t="shared" si="0"/>
        <v>0.60242820656418805</v>
      </c>
      <c r="L19">
        <f t="shared" si="0"/>
        <v>0.60141595471077414</v>
      </c>
      <c r="M19">
        <f t="shared" si="0"/>
        <v>0.55153896743057784</v>
      </c>
      <c r="N19">
        <f t="shared" si="0"/>
        <v>0.58900571968846183</v>
      </c>
    </row>
    <row r="20" spans="2:14" x14ac:dyDescent="0.2">
      <c r="B20" s="176" t="s">
        <v>105</v>
      </c>
      <c r="C20">
        <f>C6</f>
        <v>0.73234345306913129</v>
      </c>
      <c r="D20">
        <f t="shared" si="0"/>
        <v>0.74031252349789589</v>
      </c>
      <c r="E20">
        <f t="shared" si="0"/>
        <v>0.64222016468789345</v>
      </c>
      <c r="F20">
        <f t="shared" si="0"/>
        <v>0.68425117097671295</v>
      </c>
      <c r="G20">
        <f t="shared" si="0"/>
        <v>0.64477016419917954</v>
      </c>
      <c r="H20">
        <f t="shared" si="0"/>
        <v>0.72180148587301651</v>
      </c>
      <c r="I20">
        <f t="shared" si="0"/>
        <v>0.66074602279574512</v>
      </c>
      <c r="J20">
        <f t="shared" si="0"/>
        <v>0.621641052510015</v>
      </c>
      <c r="K20">
        <f t="shared" si="0"/>
        <v>0.66749622303438261</v>
      </c>
      <c r="L20">
        <f t="shared" si="0"/>
        <v>0.66831769065318047</v>
      </c>
      <c r="M20">
        <f t="shared" si="0"/>
        <v>0.77335820198597494</v>
      </c>
      <c r="N20">
        <f t="shared" si="0"/>
        <v>0.64024881652003629</v>
      </c>
    </row>
    <row r="21" spans="2:14" x14ac:dyDescent="0.2">
      <c r="B21" s="176" t="s">
        <v>106</v>
      </c>
      <c r="C21">
        <f t="shared" ref="C21:N22" si="1">C7</f>
        <v>0.77129878093603232</v>
      </c>
      <c r="D21">
        <f t="shared" si="1"/>
        <v>0.78722740141033654</v>
      </c>
      <c r="E21">
        <f t="shared" si="1"/>
        <v>0.84006710757499159</v>
      </c>
      <c r="F21">
        <f t="shared" si="1"/>
        <v>0.72775353397699949</v>
      </c>
      <c r="G21">
        <f t="shared" si="1"/>
        <v>0.78699278219159641</v>
      </c>
      <c r="H21">
        <f t="shared" si="1"/>
        <v>0.77494637505125152</v>
      </c>
      <c r="I21">
        <f t="shared" si="1"/>
        <v>0.75005305869384886</v>
      </c>
      <c r="J21">
        <f t="shared" si="1"/>
        <v>0.70548266229991907</v>
      </c>
      <c r="K21">
        <f t="shared" si="1"/>
        <v>0.70580388894614465</v>
      </c>
      <c r="L21">
        <f t="shared" si="1"/>
        <v>0.71537295429978609</v>
      </c>
      <c r="M21">
        <f t="shared" si="1"/>
        <v>0.76699449974674572</v>
      </c>
      <c r="N21">
        <f t="shared" si="1"/>
        <v>0.74468895079021402</v>
      </c>
    </row>
    <row r="22" spans="2:14" x14ac:dyDescent="0.2">
      <c r="B22" s="176" t="s">
        <v>107</v>
      </c>
      <c r="C22">
        <f t="shared" si="1"/>
        <v>0.75095521935617093</v>
      </c>
      <c r="D22">
        <f t="shared" si="1"/>
        <v>0.71382371838215919</v>
      </c>
      <c r="E22">
        <f t="shared" si="1"/>
        <v>0.76882861346193276</v>
      </c>
      <c r="F22">
        <f t="shared" si="1"/>
        <v>0.72411391435367822</v>
      </c>
      <c r="G22">
        <f t="shared" si="1"/>
        <v>0.72107854744128952</v>
      </c>
      <c r="H22">
        <f t="shared" si="1"/>
        <v>0.69944821742974528</v>
      </c>
      <c r="I22">
        <f t="shared" si="1"/>
        <v>0.68705664956030721</v>
      </c>
      <c r="J22">
        <f t="shared" si="1"/>
        <v>0.68286165618799466</v>
      </c>
      <c r="K22">
        <f t="shared" si="1"/>
        <v>0.77985868547760906</v>
      </c>
      <c r="L22">
        <f t="shared" si="1"/>
        <v>0.72104848892720674</v>
      </c>
      <c r="M22">
        <f t="shared" si="1"/>
        <v>0.688461021866562</v>
      </c>
      <c r="N22">
        <f t="shared" si="1"/>
        <v>0.74889900086394579</v>
      </c>
    </row>
    <row r="23" spans="2:14" x14ac:dyDescent="0.2">
      <c r="B23" s="176" t="s">
        <v>108</v>
      </c>
      <c r="C23">
        <f>C9*C14</f>
        <v>0.72421420873251008</v>
      </c>
      <c r="D23">
        <f t="shared" ref="D23:N24" si="2">D9*D14</f>
        <v>0.73128863780424413</v>
      </c>
      <c r="E23">
        <f t="shared" si="2"/>
        <v>0.73346077277680233</v>
      </c>
      <c r="F23">
        <f t="shared" si="2"/>
        <v>0.74274647807623451</v>
      </c>
      <c r="G23">
        <f t="shared" si="2"/>
        <v>0.76290374240136161</v>
      </c>
      <c r="H23">
        <f t="shared" si="2"/>
        <v>0.77230562528626068</v>
      </c>
      <c r="I23">
        <f t="shared" si="2"/>
        <v>0.75792398185727006</v>
      </c>
      <c r="J23">
        <f t="shared" si="2"/>
        <v>0.77273137026981542</v>
      </c>
      <c r="K23">
        <f t="shared" si="2"/>
        <v>0.76163710326678702</v>
      </c>
      <c r="L23">
        <f t="shared" si="2"/>
        <v>0.76129531322046795</v>
      </c>
      <c r="M23">
        <f t="shared" si="2"/>
        <v>0.75310518500949819</v>
      </c>
      <c r="N23">
        <f t="shared" si="2"/>
        <v>0.7768720321941196</v>
      </c>
    </row>
    <row r="24" spans="2:14" x14ac:dyDescent="0.2">
      <c r="B24" s="176" t="s">
        <v>109</v>
      </c>
      <c r="C24">
        <f>C10*C15</f>
        <v>0.73985786688998478</v>
      </c>
      <c r="D24">
        <f t="shared" si="2"/>
        <v>0.76931781896109741</v>
      </c>
      <c r="E24">
        <f t="shared" si="2"/>
        <v>0.7263050075388926</v>
      </c>
      <c r="F24">
        <f t="shared" si="2"/>
        <v>0.77281134807202578</v>
      </c>
      <c r="G24">
        <f t="shared" si="2"/>
        <v>0.72649075967168952</v>
      </c>
      <c r="H24">
        <f t="shared" si="2"/>
        <v>0.81845391977642845</v>
      </c>
      <c r="I24">
        <f t="shared" si="2"/>
        <v>0.82861392062683503</v>
      </c>
      <c r="J24">
        <f t="shared" si="2"/>
        <v>0.83571328647479337</v>
      </c>
      <c r="K24">
        <f t="shared" si="2"/>
        <v>0.7869577410433567</v>
      </c>
      <c r="L24">
        <f t="shared" si="2"/>
        <v>0.76743196251900991</v>
      </c>
      <c r="M24">
        <f t="shared" si="2"/>
        <v>0.74035798129252017</v>
      </c>
      <c r="N24">
        <f t="shared" si="2"/>
        <v>0.76529113886481026</v>
      </c>
    </row>
    <row r="25" spans="2:14" x14ac:dyDescent="0.2">
      <c r="B25" s="175"/>
    </row>
    <row r="26" spans="2:14" x14ac:dyDescent="0.2">
      <c r="B26" s="108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7" t="s">
        <v>322</v>
      </c>
    </row>
    <row r="36" spans="2:50" x14ac:dyDescent="0.2">
      <c r="B36" s="173" t="s">
        <v>274</v>
      </c>
      <c r="C36" s="173" t="s">
        <v>92</v>
      </c>
      <c r="D36" s="106"/>
      <c r="E36" s="106"/>
      <c r="F36" s="106"/>
      <c r="G36" s="173" t="s">
        <v>93</v>
      </c>
      <c r="H36" s="106"/>
      <c r="I36" s="106"/>
      <c r="J36" s="106"/>
      <c r="K36" s="173" t="s">
        <v>94</v>
      </c>
      <c r="L36" s="106"/>
      <c r="M36" s="106"/>
      <c r="N36" s="106"/>
      <c r="O36" s="173" t="s">
        <v>95</v>
      </c>
      <c r="P36" s="106"/>
      <c r="Q36" s="106"/>
      <c r="R36" s="106"/>
      <c r="S36" s="173" t="s">
        <v>96</v>
      </c>
      <c r="T36" s="106"/>
      <c r="U36" s="106"/>
      <c r="V36" s="106"/>
      <c r="W36" s="173" t="s">
        <v>97</v>
      </c>
      <c r="X36" s="106"/>
      <c r="Y36" s="106"/>
      <c r="Z36" s="106"/>
      <c r="AA36" s="173" t="s">
        <v>98</v>
      </c>
      <c r="AB36" s="106"/>
      <c r="AC36" s="106"/>
      <c r="AD36" s="106"/>
      <c r="AE36" s="173" t="s">
        <v>99</v>
      </c>
      <c r="AF36" s="106"/>
      <c r="AG36" s="106"/>
      <c r="AH36" s="106"/>
      <c r="AI36" s="173" t="s">
        <v>100</v>
      </c>
      <c r="AJ36" s="106"/>
      <c r="AK36" s="106"/>
      <c r="AL36" s="106"/>
      <c r="AM36" s="173" t="s">
        <v>101</v>
      </c>
      <c r="AN36" s="106"/>
      <c r="AO36" s="106"/>
      <c r="AP36" s="106"/>
      <c r="AQ36" s="173" t="s">
        <v>102</v>
      </c>
      <c r="AR36" s="106"/>
      <c r="AS36" s="106"/>
      <c r="AT36" s="106"/>
      <c r="AU36" s="173" t="s">
        <v>103</v>
      </c>
      <c r="AV36" s="106"/>
      <c r="AW36" s="106"/>
      <c r="AX36" s="106"/>
    </row>
    <row r="37" spans="2:50" x14ac:dyDescent="0.2">
      <c r="B37" s="173" t="s">
        <v>323</v>
      </c>
      <c r="C37" s="173">
        <v>1</v>
      </c>
      <c r="D37" s="173">
        <v>2</v>
      </c>
      <c r="E37" s="173">
        <v>3</v>
      </c>
      <c r="F37" s="173">
        <v>4</v>
      </c>
      <c r="G37" s="173">
        <v>1</v>
      </c>
      <c r="H37" s="173">
        <v>2</v>
      </c>
      <c r="I37" s="173">
        <v>3</v>
      </c>
      <c r="J37" s="173">
        <v>4</v>
      </c>
      <c r="K37" s="173">
        <v>1</v>
      </c>
      <c r="L37" s="173">
        <v>2</v>
      </c>
      <c r="M37" s="173">
        <v>3</v>
      </c>
      <c r="N37" s="173">
        <v>4</v>
      </c>
      <c r="O37" s="173">
        <v>1</v>
      </c>
      <c r="P37" s="173">
        <v>2</v>
      </c>
      <c r="Q37" s="173">
        <v>3</v>
      </c>
      <c r="R37" s="173">
        <v>4</v>
      </c>
      <c r="S37" s="173">
        <v>1</v>
      </c>
      <c r="T37" s="173">
        <v>2</v>
      </c>
      <c r="U37" s="173">
        <v>3</v>
      </c>
      <c r="V37" s="173">
        <v>4</v>
      </c>
      <c r="W37" s="173">
        <v>1</v>
      </c>
      <c r="X37" s="173">
        <v>2</v>
      </c>
      <c r="Y37" s="173">
        <v>3</v>
      </c>
      <c r="Z37" s="173">
        <v>4</v>
      </c>
      <c r="AA37" s="173">
        <v>1</v>
      </c>
      <c r="AB37" s="173">
        <v>2</v>
      </c>
      <c r="AC37" s="173">
        <v>3</v>
      </c>
      <c r="AD37" s="173">
        <v>4</v>
      </c>
      <c r="AE37" s="173">
        <v>1</v>
      </c>
      <c r="AF37" s="173">
        <v>2</v>
      </c>
      <c r="AG37" s="173">
        <v>3</v>
      </c>
      <c r="AH37" s="173">
        <v>4</v>
      </c>
      <c r="AI37" s="173">
        <v>1</v>
      </c>
      <c r="AJ37" s="173">
        <v>2</v>
      </c>
      <c r="AK37" s="173">
        <v>3</v>
      </c>
      <c r="AL37" s="173">
        <v>4</v>
      </c>
      <c r="AM37" s="173">
        <v>1</v>
      </c>
      <c r="AN37" s="173">
        <v>2</v>
      </c>
      <c r="AO37" s="173">
        <v>3</v>
      </c>
      <c r="AP37" s="173">
        <v>4</v>
      </c>
      <c r="AQ37" s="173">
        <v>1</v>
      </c>
      <c r="AR37" s="173">
        <v>2</v>
      </c>
      <c r="AS37" s="173">
        <v>3</v>
      </c>
      <c r="AT37" s="173">
        <v>4</v>
      </c>
      <c r="AU37" s="173">
        <v>1</v>
      </c>
      <c r="AV37" s="173">
        <v>2</v>
      </c>
      <c r="AW37" s="173">
        <v>3</v>
      </c>
      <c r="AX37" s="173">
        <v>4</v>
      </c>
    </row>
    <row r="38" spans="2:50" x14ac:dyDescent="0.2">
      <c r="B38" s="173" t="s">
        <v>104</v>
      </c>
      <c r="C38">
        <v>7623.5368578941971</v>
      </c>
      <c r="D38">
        <v>10656.425926379959</v>
      </c>
      <c r="E38">
        <v>7990.2422882896335</v>
      </c>
      <c r="F38">
        <v>17653.751630931863</v>
      </c>
      <c r="G38">
        <v>10109.816705940251</v>
      </c>
      <c r="H38">
        <v>2532.9414834349459</v>
      </c>
      <c r="I38">
        <v>25384.255583806131</v>
      </c>
      <c r="J38">
        <v>10175.622081269879</v>
      </c>
      <c r="K38">
        <v>10197.521954258855</v>
      </c>
      <c r="L38">
        <v>10219.398331680677</v>
      </c>
      <c r="M38">
        <v>10241.247695260481</v>
      </c>
      <c r="N38">
        <v>10263.066529876487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18187.998737515787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10500.058487180351</v>
      </c>
      <c r="Z38">
        <v>2630.3096964916222</v>
      </c>
      <c r="AA38">
        <v>2635.5858567616488</v>
      </c>
      <c r="AB38">
        <v>2640.8422510375026</v>
      </c>
      <c r="AC38">
        <v>2646.0780308405315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18844.938846722496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27215.752159530173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73" t="s">
        <v>105</v>
      </c>
      <c r="C39">
        <v>15032.941508406904</v>
      </c>
      <c r="D39">
        <v>15065.890051575743</v>
      </c>
      <c r="E39">
        <v>15098.84034768755</v>
      </c>
      <c r="F39">
        <v>6052.7148448909256</v>
      </c>
      <c r="G39">
        <v>1516.4725058910378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11002.746246145731</v>
      </c>
      <c r="Y39">
        <v>11025.061411539367</v>
      </c>
      <c r="Z39">
        <v>11047.300725264813</v>
      </c>
      <c r="AA39">
        <v>11069.460598398924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11243.453415662638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1635.821321696254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73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510.9699165840338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3637.5997475031577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5499.611079538382</v>
      </c>
    </row>
    <row r="41" spans="2:50" x14ac:dyDescent="0.2">
      <c r="B41" s="173" t="s">
        <v>107</v>
      </c>
      <c r="C41">
        <v>2104.6118111769665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1223.7026345110626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321.84968761252844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1313.2090283702314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73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73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07" t="s">
        <v>324</v>
      </c>
    </row>
    <row r="46" spans="2:50" x14ac:dyDescent="0.2">
      <c r="B46" s="105" t="s">
        <v>274</v>
      </c>
      <c r="C46" s="105" t="s">
        <v>92</v>
      </c>
      <c r="D46" s="106"/>
      <c r="E46" s="106"/>
      <c r="F46" s="106"/>
      <c r="G46" s="105" t="s">
        <v>93</v>
      </c>
      <c r="H46" s="106"/>
      <c r="I46" s="106"/>
      <c r="J46" s="106"/>
      <c r="K46" s="105" t="s">
        <v>94</v>
      </c>
      <c r="L46" s="106"/>
      <c r="M46" s="106"/>
      <c r="N46" s="106"/>
      <c r="O46" s="105" t="s">
        <v>95</v>
      </c>
      <c r="P46" s="106"/>
      <c r="Q46" s="106"/>
      <c r="R46" s="106"/>
      <c r="S46" s="105" t="s">
        <v>96</v>
      </c>
      <c r="T46" s="106"/>
      <c r="U46" s="106"/>
      <c r="V46" s="106"/>
      <c r="W46" s="105" t="s">
        <v>97</v>
      </c>
      <c r="X46" s="106"/>
      <c r="Y46" s="106"/>
      <c r="Z46" s="106"/>
      <c r="AA46" s="105" t="s">
        <v>98</v>
      </c>
      <c r="AB46" s="106"/>
      <c r="AC46" s="106"/>
      <c r="AD46" s="106"/>
      <c r="AE46" s="105" t="s">
        <v>99</v>
      </c>
      <c r="AF46" s="106"/>
      <c r="AG46" s="106"/>
      <c r="AH46" s="106"/>
      <c r="AI46" s="105" t="s">
        <v>100</v>
      </c>
      <c r="AJ46" s="106"/>
      <c r="AK46" s="106"/>
      <c r="AL46" s="106"/>
      <c r="AM46" s="105" t="s">
        <v>101</v>
      </c>
      <c r="AN46" s="106"/>
      <c r="AO46" s="106"/>
      <c r="AP46" s="106"/>
      <c r="AQ46" s="105" t="s">
        <v>102</v>
      </c>
      <c r="AR46" s="106"/>
      <c r="AS46" s="106"/>
      <c r="AT46" s="106"/>
      <c r="AU46" s="105" t="s">
        <v>103</v>
      </c>
      <c r="AV46" s="106"/>
      <c r="AW46" s="106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>
        <v>1533.0132126095332</v>
      </c>
      <c r="D48">
        <v>1533.0132126095332</v>
      </c>
      <c r="E48">
        <v>1533.0132126095332</v>
      </c>
      <c r="F48">
        <v>1533.0132126095332</v>
      </c>
      <c r="G48">
        <v>1533.0132126095332</v>
      </c>
      <c r="H48">
        <v>1533.0132126095332</v>
      </c>
      <c r="I48">
        <v>1533.0132126095332</v>
      </c>
      <c r="J48">
        <v>1533.0132126095332</v>
      </c>
      <c r="K48">
        <v>1533.0132126095332</v>
      </c>
      <c r="L48">
        <v>1533.0132126095332</v>
      </c>
      <c r="M48">
        <v>1533.0132126095332</v>
      </c>
      <c r="N48">
        <v>1533.0132126095332</v>
      </c>
      <c r="O48">
        <v>1533.0132126095332</v>
      </c>
      <c r="P48">
        <v>1533.0132126095332</v>
      </c>
      <c r="Q48">
        <v>1533.0132126095332</v>
      </c>
      <c r="R48">
        <v>1533.0132126095332</v>
      </c>
      <c r="S48">
        <v>1533.0132126095332</v>
      </c>
      <c r="T48">
        <v>1533.0132126095332</v>
      </c>
      <c r="U48">
        <v>1533.0132126095332</v>
      </c>
      <c r="V48">
        <v>1533.0132126095332</v>
      </c>
      <c r="W48">
        <v>1533.0132126095332</v>
      </c>
      <c r="X48">
        <v>1533.0132126095332</v>
      </c>
      <c r="Y48">
        <v>1533.0132126095332</v>
      </c>
      <c r="Z48">
        <v>1533.0132126095332</v>
      </c>
      <c r="AA48">
        <v>1533.0132126095332</v>
      </c>
      <c r="AB48">
        <v>1533.0132126095332</v>
      </c>
      <c r="AC48">
        <v>1533.0132126095332</v>
      </c>
      <c r="AD48">
        <v>1533.0132126095332</v>
      </c>
      <c r="AE48">
        <v>1533.0132126095332</v>
      </c>
      <c r="AF48">
        <v>1533.0132126095332</v>
      </c>
      <c r="AG48">
        <v>1533.0132126095332</v>
      </c>
      <c r="AH48">
        <v>1533.0132126095332</v>
      </c>
      <c r="AI48">
        <v>1533.0132126095332</v>
      </c>
      <c r="AJ48">
        <v>1533.0132126095332</v>
      </c>
      <c r="AK48">
        <v>1533.0132126095332</v>
      </c>
      <c r="AL48">
        <v>1533.0132126095332</v>
      </c>
      <c r="AM48">
        <v>1533.0132126095332</v>
      </c>
      <c r="AN48">
        <v>1533.0132126095332</v>
      </c>
      <c r="AO48">
        <v>1533.0132126095332</v>
      </c>
      <c r="AP48">
        <v>1533.0132126095332</v>
      </c>
      <c r="AQ48">
        <v>1533.0132126095332</v>
      </c>
      <c r="AR48">
        <v>1533.0132126095332</v>
      </c>
      <c r="AS48">
        <v>1533.0132126095332</v>
      </c>
      <c r="AT48">
        <v>1533.0132126095332</v>
      </c>
      <c r="AU48">
        <v>1533.0132126095332</v>
      </c>
      <c r="AV48">
        <v>1533.0132126095332</v>
      </c>
      <c r="AW48">
        <v>1533.0132126095332</v>
      </c>
      <c r="AX48">
        <v>1533.0132126095332</v>
      </c>
    </row>
    <row r="49" spans="2:51" x14ac:dyDescent="0.2">
      <c r="B49" s="105" t="s">
        <v>105</v>
      </c>
      <c r="C49">
        <v>1773.4978209017493</v>
      </c>
      <c r="D49">
        <v>1773.4978209017493</v>
      </c>
      <c r="E49">
        <v>1773.4978209017493</v>
      </c>
      <c r="F49">
        <v>1773.4978209017493</v>
      </c>
      <c r="G49">
        <v>1516.4725058910378</v>
      </c>
      <c r="H49">
        <v>1773.4978209017493</v>
      </c>
      <c r="I49">
        <v>1773.4978209017493</v>
      </c>
      <c r="J49">
        <v>1773.4978209017493</v>
      </c>
      <c r="K49">
        <v>1773.4978209017493</v>
      </c>
      <c r="L49">
        <v>1773.4978209017493</v>
      </c>
      <c r="M49">
        <v>1773.4978209017493</v>
      </c>
      <c r="N49">
        <v>1773.4978209017493</v>
      </c>
      <c r="O49">
        <v>1773.4978209017493</v>
      </c>
      <c r="P49">
        <v>1773.4978209017493</v>
      </c>
      <c r="Q49">
        <v>1773.4978209017493</v>
      </c>
      <c r="R49">
        <v>1773.4978209017493</v>
      </c>
      <c r="S49">
        <v>1773.4978209017493</v>
      </c>
      <c r="T49">
        <v>1773.4978209017493</v>
      </c>
      <c r="U49">
        <v>1773.4978209017493</v>
      </c>
      <c r="V49">
        <v>1773.4978209017493</v>
      </c>
      <c r="W49">
        <v>1773.4978209017493</v>
      </c>
      <c r="X49">
        <v>1773.4978209017493</v>
      </c>
      <c r="Y49">
        <v>1773.4978209017493</v>
      </c>
      <c r="Z49">
        <v>1773.4978209017493</v>
      </c>
      <c r="AA49">
        <v>1773.4978209017493</v>
      </c>
      <c r="AB49">
        <v>1773.4978209017493</v>
      </c>
      <c r="AC49">
        <v>1773.4978209017493</v>
      </c>
      <c r="AD49">
        <v>1773.4978209017493</v>
      </c>
      <c r="AE49">
        <v>1773.4978209017493</v>
      </c>
      <c r="AF49">
        <v>1773.4978209017493</v>
      </c>
      <c r="AG49">
        <v>1773.4978209017493</v>
      </c>
      <c r="AH49">
        <v>1773.4978209017493</v>
      </c>
      <c r="AI49">
        <v>1773.4978209017493</v>
      </c>
      <c r="AJ49">
        <v>1773.4978209017493</v>
      </c>
      <c r="AK49">
        <v>1773.4978209017493</v>
      </c>
      <c r="AL49">
        <v>1773.4978209017493</v>
      </c>
      <c r="AM49">
        <v>1773.4978209017493</v>
      </c>
      <c r="AN49">
        <v>1773.4978209017493</v>
      </c>
      <c r="AO49">
        <v>1773.4978209017493</v>
      </c>
      <c r="AP49">
        <v>1773.4978209017493</v>
      </c>
      <c r="AQ49">
        <v>1773.4978209017493</v>
      </c>
      <c r="AR49">
        <v>1773.4978209017493</v>
      </c>
      <c r="AS49">
        <v>1635.821321696254</v>
      </c>
      <c r="AT49">
        <v>1773.4978209017493</v>
      </c>
      <c r="AU49">
        <v>1773.4978209017493</v>
      </c>
      <c r="AV49">
        <v>1773.4978209017493</v>
      </c>
      <c r="AW49">
        <v>1773.4978209017493</v>
      </c>
      <c r="AX49">
        <v>1773.4978209017493</v>
      </c>
    </row>
    <row r="50" spans="2:51" x14ac:dyDescent="0.2">
      <c r="B50" s="105" t="s">
        <v>106</v>
      </c>
      <c r="C50">
        <v>1492.7924366725895</v>
      </c>
      <c r="D50">
        <v>1492.7924366725895</v>
      </c>
      <c r="E50">
        <v>1492.7924366725895</v>
      </c>
      <c r="F50">
        <v>1492.7924366725895</v>
      </c>
      <c r="G50">
        <v>1492.7924366725895</v>
      </c>
      <c r="H50">
        <v>1492.7924366725895</v>
      </c>
      <c r="I50">
        <v>1492.7924366725895</v>
      </c>
      <c r="J50">
        <v>1492.7924366725895</v>
      </c>
      <c r="K50">
        <v>1492.7924366725895</v>
      </c>
      <c r="L50">
        <v>510.9699165840338</v>
      </c>
      <c r="M50">
        <v>1492.7924366725895</v>
      </c>
      <c r="N50">
        <v>1492.7924366725895</v>
      </c>
      <c r="O50">
        <v>1492.7924366725895</v>
      </c>
      <c r="P50">
        <v>1492.7924366725895</v>
      </c>
      <c r="Q50">
        <v>1492.7924366725895</v>
      </c>
      <c r="R50">
        <v>1492.7924366725895</v>
      </c>
      <c r="S50">
        <v>1492.7924366725895</v>
      </c>
      <c r="T50">
        <v>1492.7924366725895</v>
      </c>
      <c r="U50">
        <v>1492.7924366725895</v>
      </c>
      <c r="V50">
        <v>1492.7924366725895</v>
      </c>
      <c r="W50">
        <v>1492.7924366725895</v>
      </c>
      <c r="X50">
        <v>1492.7924366725895</v>
      </c>
      <c r="Y50">
        <v>1492.7924366725895</v>
      </c>
      <c r="Z50">
        <v>1492.7924366725895</v>
      </c>
      <c r="AA50">
        <v>1492.7924366725895</v>
      </c>
      <c r="AB50">
        <v>1492.7924366725895</v>
      </c>
      <c r="AC50">
        <v>1492.7924366725895</v>
      </c>
      <c r="AD50">
        <v>1492.7924366725895</v>
      </c>
      <c r="AE50">
        <v>1492.7924366725895</v>
      </c>
      <c r="AF50">
        <v>1492.7924366725895</v>
      </c>
      <c r="AG50">
        <v>1492.7924366725895</v>
      </c>
      <c r="AH50">
        <v>1492.7924366725895</v>
      </c>
      <c r="AI50">
        <v>1492.7924366725895</v>
      </c>
      <c r="AJ50">
        <v>1492.7924366725895</v>
      </c>
      <c r="AK50">
        <v>1492.7924366725895</v>
      </c>
      <c r="AL50">
        <v>1492.7924366725895</v>
      </c>
      <c r="AM50">
        <v>1492.7924366725895</v>
      </c>
      <c r="AN50">
        <v>1492.7924366725895</v>
      </c>
      <c r="AO50">
        <v>1492.7924366725895</v>
      </c>
      <c r="AP50">
        <v>1492.7924366725895</v>
      </c>
      <c r="AQ50">
        <v>1492.7924366725895</v>
      </c>
      <c r="AR50">
        <v>1492.7924366725895</v>
      </c>
      <c r="AS50">
        <v>1492.7924366725895</v>
      </c>
      <c r="AT50">
        <v>1492.7924366725895</v>
      </c>
      <c r="AU50">
        <v>1492.7924366725895</v>
      </c>
      <c r="AV50">
        <v>1492.7924366725895</v>
      </c>
      <c r="AW50">
        <v>1492.7924366725895</v>
      </c>
      <c r="AX50">
        <v>1492.7924366725895</v>
      </c>
      <c r="AY50" s="115"/>
    </row>
    <row r="51" spans="2:51" x14ac:dyDescent="0.2">
      <c r="B51" s="105" t="s">
        <v>107</v>
      </c>
      <c r="C51">
        <v>1533.0132126095332</v>
      </c>
      <c r="D51">
        <v>1533.0132126095332</v>
      </c>
      <c r="E51">
        <v>1533.0132126095332</v>
      </c>
      <c r="F51">
        <v>1533.0132126095332</v>
      </c>
      <c r="G51">
        <v>1533.0132126095332</v>
      </c>
      <c r="H51">
        <v>1533.0132126095332</v>
      </c>
      <c r="I51">
        <v>1533.0132126095332</v>
      </c>
      <c r="J51">
        <v>1533.0132126095332</v>
      </c>
      <c r="K51">
        <v>1223.7026345110626</v>
      </c>
      <c r="L51">
        <v>1533.0132126095332</v>
      </c>
      <c r="M51">
        <v>1533.0132126095332</v>
      </c>
      <c r="N51">
        <v>1533.0132126095332</v>
      </c>
      <c r="O51">
        <v>1533.0132126095332</v>
      </c>
      <c r="P51">
        <v>1533.0132126095332</v>
      </c>
      <c r="Q51">
        <v>1533.0132126095332</v>
      </c>
      <c r="R51">
        <v>1533.0132126095332</v>
      </c>
      <c r="S51">
        <v>1533.0132126095332</v>
      </c>
      <c r="T51">
        <v>1533.0132126095332</v>
      </c>
      <c r="U51">
        <v>1533.0132126095332</v>
      </c>
      <c r="V51">
        <v>1533.0132126095332</v>
      </c>
      <c r="W51">
        <v>1533.0132126095332</v>
      </c>
      <c r="X51">
        <v>1533.0132126095332</v>
      </c>
      <c r="Y51">
        <v>1533.0132126095332</v>
      </c>
      <c r="Z51">
        <v>1533.0132126095332</v>
      </c>
      <c r="AA51">
        <v>1533.0132126095332</v>
      </c>
      <c r="AB51">
        <v>1533.0132126095332</v>
      </c>
      <c r="AC51">
        <v>1533.0132126095332</v>
      </c>
      <c r="AD51">
        <v>1533.0132126095332</v>
      </c>
      <c r="AE51">
        <v>1533.0132126095332</v>
      </c>
      <c r="AF51">
        <v>1533.0132126095332</v>
      </c>
      <c r="AG51">
        <v>1533.0132126095332</v>
      </c>
      <c r="AH51">
        <v>1533.0132126095332</v>
      </c>
      <c r="AI51">
        <v>1533.0132126095332</v>
      </c>
      <c r="AJ51">
        <v>321.84968761252844</v>
      </c>
      <c r="AK51">
        <v>1533.0132126095332</v>
      </c>
      <c r="AL51">
        <v>1533.0132126095332</v>
      </c>
      <c r="AM51">
        <v>1533.0132126095332</v>
      </c>
      <c r="AN51">
        <v>1533.0132126095332</v>
      </c>
      <c r="AO51">
        <v>1533.0132126095332</v>
      </c>
      <c r="AP51">
        <v>1533.0132126095332</v>
      </c>
      <c r="AQ51">
        <v>1533.0132126095332</v>
      </c>
      <c r="AR51">
        <v>1533.0132126095332</v>
      </c>
      <c r="AS51">
        <v>1533.0132126095332</v>
      </c>
      <c r="AT51">
        <v>1533.0132126095332</v>
      </c>
      <c r="AU51">
        <v>1313.2090283702314</v>
      </c>
      <c r="AV51">
        <v>1533.0132126095332</v>
      </c>
      <c r="AW51">
        <v>1533.0132126095332</v>
      </c>
      <c r="AX51">
        <v>1533.0132126095332</v>
      </c>
      <c r="AY51" s="9"/>
    </row>
    <row r="52" spans="2:51" x14ac:dyDescent="0.2">
      <c r="B52" s="105" t="s">
        <v>108</v>
      </c>
      <c r="C52">
        <v>1773.4978209017493</v>
      </c>
      <c r="D52">
        <v>1773.4978209017493</v>
      </c>
      <c r="E52">
        <v>1773.4978209017493</v>
      </c>
      <c r="F52">
        <v>1773.4978209017493</v>
      </c>
      <c r="G52">
        <v>1773.4978209017493</v>
      </c>
      <c r="H52">
        <v>1773.4978209017493</v>
      </c>
      <c r="I52">
        <v>1773.4978209017493</v>
      </c>
      <c r="J52">
        <v>1773.4978209017493</v>
      </c>
      <c r="K52">
        <v>1773.4978209017493</v>
      </c>
      <c r="L52">
        <v>1773.4978209017493</v>
      </c>
      <c r="M52">
        <v>1773.4978209017493</v>
      </c>
      <c r="N52">
        <v>1773.4978209017493</v>
      </c>
      <c r="O52">
        <v>1773.4978209017493</v>
      </c>
      <c r="P52">
        <v>1773.4978209017493</v>
      </c>
      <c r="Q52">
        <v>1773.4978209017493</v>
      </c>
      <c r="R52">
        <v>1773.4978209017493</v>
      </c>
      <c r="S52">
        <v>1773.4978209017493</v>
      </c>
      <c r="T52">
        <v>1773.4978209017493</v>
      </c>
      <c r="U52">
        <v>1773.4978209017493</v>
      </c>
      <c r="V52">
        <v>1773.4978209017493</v>
      </c>
      <c r="W52">
        <v>1773.4978209017493</v>
      </c>
      <c r="X52">
        <v>1773.4978209017493</v>
      </c>
      <c r="Y52">
        <v>1773.4978209017493</v>
      </c>
      <c r="Z52">
        <v>1773.4978209017493</v>
      </c>
      <c r="AA52">
        <v>1773.4978209017493</v>
      </c>
      <c r="AB52">
        <v>1773.4978209017493</v>
      </c>
      <c r="AC52">
        <v>1773.4978209017493</v>
      </c>
      <c r="AD52">
        <v>1773.4978209017493</v>
      </c>
      <c r="AE52">
        <v>1773.4978209017493</v>
      </c>
      <c r="AF52">
        <v>1773.4978209017493</v>
      </c>
      <c r="AG52">
        <v>1773.4978209017493</v>
      </c>
      <c r="AH52">
        <v>1773.4978209017493</v>
      </c>
      <c r="AI52">
        <v>1773.4978209017493</v>
      </c>
      <c r="AJ52">
        <v>1773.4978209017493</v>
      </c>
      <c r="AK52">
        <v>1773.4978209017493</v>
      </c>
      <c r="AL52">
        <v>1773.4978209017493</v>
      </c>
      <c r="AM52">
        <v>1773.4978209017493</v>
      </c>
      <c r="AN52">
        <v>1773.4978209017493</v>
      </c>
      <c r="AO52">
        <v>1773.4978209017493</v>
      </c>
      <c r="AP52">
        <v>1773.4978209017493</v>
      </c>
      <c r="AQ52">
        <v>1773.4978209017493</v>
      </c>
      <c r="AR52">
        <v>1773.4978209017493</v>
      </c>
      <c r="AS52">
        <v>1773.4978209017493</v>
      </c>
      <c r="AT52">
        <v>1773.4978209017493</v>
      </c>
      <c r="AU52">
        <v>1773.4978209017493</v>
      </c>
      <c r="AV52">
        <v>1773.4978209017493</v>
      </c>
      <c r="AW52">
        <v>1773.4978209017493</v>
      </c>
      <c r="AX52">
        <v>1773.4978209017493</v>
      </c>
    </row>
    <row r="53" spans="2:51" x14ac:dyDescent="0.2">
      <c r="B53" s="105" t="s">
        <v>109</v>
      </c>
      <c r="C53">
        <v>1492.7924366725895</v>
      </c>
      <c r="D53">
        <v>1492.7924366725895</v>
      </c>
      <c r="E53">
        <v>1492.7924366725895</v>
      </c>
      <c r="F53">
        <v>1492.7924366725895</v>
      </c>
      <c r="G53">
        <v>1492.7924366725895</v>
      </c>
      <c r="H53">
        <v>1492.7924366725895</v>
      </c>
      <c r="I53">
        <v>1492.7924366725895</v>
      </c>
      <c r="J53">
        <v>1492.7924366725895</v>
      </c>
      <c r="K53">
        <v>1492.7924366725895</v>
      </c>
      <c r="L53">
        <v>1492.7924366725895</v>
      </c>
      <c r="M53">
        <v>1492.7924366725895</v>
      </c>
      <c r="N53">
        <v>1492.7924366725895</v>
      </c>
      <c r="O53">
        <v>1492.7924366725895</v>
      </c>
      <c r="P53">
        <v>1492.7924366725895</v>
      </c>
      <c r="Q53">
        <v>1492.7924366725895</v>
      </c>
      <c r="R53">
        <v>1492.7924366725895</v>
      </c>
      <c r="S53">
        <v>1492.7924366725895</v>
      </c>
      <c r="T53">
        <v>1492.7924366725895</v>
      </c>
      <c r="U53">
        <v>1492.7924366725895</v>
      </c>
      <c r="V53">
        <v>1492.7924366725895</v>
      </c>
      <c r="W53">
        <v>1492.7924366725895</v>
      </c>
      <c r="X53">
        <v>1492.7924366725895</v>
      </c>
      <c r="Y53">
        <v>1492.7924366725895</v>
      </c>
      <c r="Z53">
        <v>1492.7924366725895</v>
      </c>
      <c r="AA53">
        <v>1492.7924366725895</v>
      </c>
      <c r="AB53">
        <v>1492.7924366725895</v>
      </c>
      <c r="AC53">
        <v>1492.7924366725895</v>
      </c>
      <c r="AD53">
        <v>1492.7924366725895</v>
      </c>
      <c r="AE53">
        <v>1492.7924366725895</v>
      </c>
      <c r="AF53">
        <v>1492.7924366725895</v>
      </c>
      <c r="AG53">
        <v>1492.7924366725895</v>
      </c>
      <c r="AH53">
        <v>1492.7924366725895</v>
      </c>
      <c r="AI53">
        <v>1492.7924366725895</v>
      </c>
      <c r="AJ53">
        <v>1492.7924366725895</v>
      </c>
      <c r="AK53">
        <v>1492.7924366725895</v>
      </c>
      <c r="AL53">
        <v>1492.7924366725895</v>
      </c>
      <c r="AM53">
        <v>1492.7924366725895</v>
      </c>
      <c r="AN53">
        <v>1492.7924366725895</v>
      </c>
      <c r="AO53">
        <v>1492.7924366725895</v>
      </c>
      <c r="AP53">
        <v>1492.7924366725895</v>
      </c>
      <c r="AQ53">
        <v>1492.7924366725895</v>
      </c>
      <c r="AR53">
        <v>1492.7924366725895</v>
      </c>
      <c r="AS53">
        <v>1492.7924366725895</v>
      </c>
      <c r="AT53">
        <v>1492.7924366725895</v>
      </c>
      <c r="AU53">
        <v>1492.7924366725895</v>
      </c>
      <c r="AV53">
        <v>1492.7924366725895</v>
      </c>
      <c r="AW53">
        <v>1492.7924366725895</v>
      </c>
      <c r="AX53">
        <v>1492.7924366725895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09" t="s">
        <v>274</v>
      </c>
      <c r="C56" s="109" t="s">
        <v>92</v>
      </c>
      <c r="D56" s="106"/>
      <c r="E56" s="106"/>
      <c r="F56" s="106"/>
      <c r="G56" s="109" t="s">
        <v>93</v>
      </c>
      <c r="H56" s="106"/>
      <c r="I56" s="106"/>
      <c r="J56" s="106"/>
      <c r="K56" s="109" t="s">
        <v>94</v>
      </c>
      <c r="L56" s="106"/>
      <c r="M56" s="106"/>
      <c r="N56" s="106"/>
      <c r="O56" s="109" t="s">
        <v>95</v>
      </c>
      <c r="P56" s="106"/>
      <c r="Q56" s="106"/>
      <c r="R56" s="106"/>
      <c r="S56" s="109" t="s">
        <v>96</v>
      </c>
      <c r="T56" s="106"/>
      <c r="U56" s="106"/>
      <c r="V56" s="106"/>
      <c r="W56" s="109" t="s">
        <v>97</v>
      </c>
      <c r="X56" s="106"/>
      <c r="Y56" s="106"/>
      <c r="Z56" s="106"/>
      <c r="AA56" s="109" t="s">
        <v>98</v>
      </c>
      <c r="AB56" s="106"/>
      <c r="AC56" s="106"/>
      <c r="AD56" s="106"/>
      <c r="AE56" s="109" t="s">
        <v>99</v>
      </c>
      <c r="AF56" s="106"/>
      <c r="AG56" s="106"/>
      <c r="AH56" s="106"/>
      <c r="AI56" s="109" t="s">
        <v>100</v>
      </c>
      <c r="AJ56" s="106"/>
      <c r="AK56" s="106"/>
      <c r="AL56" s="106"/>
      <c r="AM56" s="109" t="s">
        <v>101</v>
      </c>
      <c r="AN56" s="106"/>
      <c r="AO56" s="106"/>
      <c r="AP56" s="106"/>
      <c r="AQ56" s="109" t="s">
        <v>102</v>
      </c>
      <c r="AR56" s="106"/>
      <c r="AS56" s="106"/>
      <c r="AT56" s="106"/>
      <c r="AU56" s="109" t="s">
        <v>103</v>
      </c>
      <c r="AV56" s="106"/>
      <c r="AW56" s="106"/>
    </row>
    <row r="57" spans="2:51" x14ac:dyDescent="0.2">
      <c r="B57" s="109" t="s">
        <v>325</v>
      </c>
      <c r="C57" s="109">
        <v>1</v>
      </c>
      <c r="D57" s="109">
        <v>2</v>
      </c>
      <c r="E57" s="109">
        <v>3</v>
      </c>
      <c r="F57" s="109">
        <v>4</v>
      </c>
      <c r="G57" s="109">
        <v>1</v>
      </c>
      <c r="H57" s="109">
        <v>2</v>
      </c>
      <c r="I57" s="109">
        <v>3</v>
      </c>
      <c r="J57" s="109">
        <v>4</v>
      </c>
      <c r="K57" s="109">
        <v>1</v>
      </c>
      <c r="L57" s="109">
        <v>2</v>
      </c>
      <c r="M57" s="109">
        <v>3</v>
      </c>
      <c r="N57" s="109">
        <v>4</v>
      </c>
      <c r="O57" s="109">
        <v>1</v>
      </c>
      <c r="P57" s="109">
        <v>2</v>
      </c>
      <c r="Q57" s="109">
        <v>3</v>
      </c>
      <c r="R57" s="109">
        <v>4</v>
      </c>
      <c r="S57" s="109">
        <v>1</v>
      </c>
      <c r="T57" s="109">
        <v>2</v>
      </c>
      <c r="U57" s="109">
        <v>3</v>
      </c>
      <c r="V57" s="109">
        <v>4</v>
      </c>
      <c r="W57" s="109">
        <v>1</v>
      </c>
      <c r="X57" s="109">
        <v>2</v>
      </c>
      <c r="Y57" s="109">
        <v>3</v>
      </c>
      <c r="Z57" s="109">
        <v>4</v>
      </c>
      <c r="AA57" s="109">
        <v>1</v>
      </c>
      <c r="AB57" s="109">
        <v>2</v>
      </c>
      <c r="AC57" s="109">
        <v>3</v>
      </c>
      <c r="AD57" s="109">
        <v>4</v>
      </c>
      <c r="AE57" s="109">
        <v>1</v>
      </c>
      <c r="AF57" s="109">
        <v>2</v>
      </c>
      <c r="AG57" s="109">
        <v>3</v>
      </c>
      <c r="AH57" s="109">
        <v>4</v>
      </c>
      <c r="AI57" s="109">
        <v>1</v>
      </c>
      <c r="AJ57" s="109">
        <v>2</v>
      </c>
      <c r="AK57" s="109">
        <v>3</v>
      </c>
      <c r="AL57" s="109">
        <v>4</v>
      </c>
      <c r="AM57" s="109">
        <v>1</v>
      </c>
      <c r="AN57" s="109">
        <v>2</v>
      </c>
      <c r="AO57" s="109">
        <v>3</v>
      </c>
      <c r="AP57" s="109">
        <v>4</v>
      </c>
      <c r="AQ57" s="109">
        <v>1</v>
      </c>
      <c r="AR57" s="109">
        <v>2</v>
      </c>
      <c r="AS57" s="109">
        <v>3</v>
      </c>
      <c r="AT57" s="109">
        <v>4</v>
      </c>
      <c r="AU57" s="109">
        <v>1</v>
      </c>
      <c r="AV57" s="109">
        <v>2</v>
      </c>
      <c r="AW57" s="109">
        <v>3</v>
      </c>
      <c r="AX57" s="109">
        <v>4</v>
      </c>
    </row>
    <row r="58" spans="2:51" x14ac:dyDescent="0.2">
      <c r="B58" s="109" t="s">
        <v>104</v>
      </c>
      <c r="C58">
        <v>2584039.06758971</v>
      </c>
      <c r="D58">
        <v>2584039.06758971</v>
      </c>
      <c r="E58">
        <v>2584039.06758971</v>
      </c>
      <c r="F58">
        <v>2584039.06758971</v>
      </c>
      <c r="G58">
        <v>2579451.9777539978</v>
      </c>
      <c r="H58">
        <v>2579451.9777539978</v>
      </c>
      <c r="I58">
        <v>2579451.9777539978</v>
      </c>
      <c r="J58">
        <v>2579451.9777539978</v>
      </c>
      <c r="K58">
        <v>2990563.8232917544</v>
      </c>
      <c r="L58">
        <v>2990563.8232917544</v>
      </c>
      <c r="M58">
        <v>2990563.8232917544</v>
      </c>
      <c r="N58">
        <v>2990563.8232917544</v>
      </c>
      <c r="O58">
        <v>1662832.2662465922</v>
      </c>
      <c r="P58">
        <v>1662832.2662465922</v>
      </c>
      <c r="Q58">
        <v>1662832.2662465922</v>
      </c>
      <c r="R58">
        <v>1662832.2662465922</v>
      </c>
      <c r="S58">
        <v>1862898.4986931193</v>
      </c>
      <c r="T58">
        <v>1862898.4986931193</v>
      </c>
      <c r="U58">
        <v>1862898.4986931193</v>
      </c>
      <c r="V58">
        <v>1862898.4986931193</v>
      </c>
      <c r="W58">
        <v>1982992.7491356467</v>
      </c>
      <c r="X58">
        <v>1982992.7491356467</v>
      </c>
      <c r="Y58">
        <v>1982992.7491356467</v>
      </c>
      <c r="Z58">
        <v>1982992.7491356467</v>
      </c>
      <c r="AA58">
        <v>3344968.7332058032</v>
      </c>
      <c r="AB58">
        <v>3344968.7332058032</v>
      </c>
      <c r="AC58">
        <v>3344968.7332058032</v>
      </c>
      <c r="AD58">
        <v>3344968.7332058032</v>
      </c>
      <c r="AE58">
        <v>1474853.5988603297</v>
      </c>
      <c r="AF58">
        <v>1474853.5988603297</v>
      </c>
      <c r="AG58">
        <v>1474853.5988603297</v>
      </c>
      <c r="AH58">
        <v>1474853.5988603297</v>
      </c>
      <c r="AI58">
        <v>1847060.8006231308</v>
      </c>
      <c r="AJ58">
        <v>1847060.8006231308</v>
      </c>
      <c r="AK58">
        <v>1847060.8006231308</v>
      </c>
      <c r="AL58">
        <v>1847060.8006231308</v>
      </c>
      <c r="AM58">
        <v>1843957.2096915867</v>
      </c>
      <c r="AN58">
        <v>1843957.2096915867</v>
      </c>
      <c r="AO58">
        <v>1843957.2096915867</v>
      </c>
      <c r="AP58">
        <v>1843957.2096915867</v>
      </c>
      <c r="AQ58">
        <v>1691033.0486801898</v>
      </c>
      <c r="AR58">
        <v>1691033.0486801898</v>
      </c>
      <c r="AS58">
        <v>1691033.0486801898</v>
      </c>
      <c r="AT58">
        <v>1691033.0486801898</v>
      </c>
      <c r="AU58">
        <v>1805907.1011699981</v>
      </c>
      <c r="AV58">
        <v>1805907.1011699981</v>
      </c>
      <c r="AW58">
        <v>1805907.1011699981</v>
      </c>
      <c r="AX58">
        <v>1805907.1011699981</v>
      </c>
    </row>
    <row r="59" spans="2:51" x14ac:dyDescent="0.2">
      <c r="B59" s="109" t="s">
        <v>105</v>
      </c>
      <c r="C59">
        <v>2597619.0363395335</v>
      </c>
      <c r="D59">
        <v>2597619.0363395335</v>
      </c>
      <c r="E59">
        <v>2597619.0363395335</v>
      </c>
      <c r="F59">
        <v>2597619.0363395335</v>
      </c>
      <c r="G59">
        <v>2245327.1753027439</v>
      </c>
      <c r="H59">
        <v>2625885.2944195871</v>
      </c>
      <c r="I59">
        <v>2625885.2944195871</v>
      </c>
      <c r="J59">
        <v>2625885.2944195871</v>
      </c>
      <c r="K59">
        <v>2277952.125226283</v>
      </c>
      <c r="L59">
        <v>2277952.125226283</v>
      </c>
      <c r="M59">
        <v>2277952.125226283</v>
      </c>
      <c r="N59">
        <v>2277952.125226283</v>
      </c>
      <c r="O59">
        <v>2427035.9213533415</v>
      </c>
      <c r="P59">
        <v>2427035.9213533415</v>
      </c>
      <c r="Q59">
        <v>2427035.9213533415</v>
      </c>
      <c r="R59">
        <v>2427035.9213533415</v>
      </c>
      <c r="S59">
        <v>2286996.962379416</v>
      </c>
      <c r="T59">
        <v>2286996.962379416</v>
      </c>
      <c r="U59">
        <v>2286996.962379416</v>
      </c>
      <c r="V59">
        <v>2286996.962379416</v>
      </c>
      <c r="W59">
        <v>2560226.7246388793</v>
      </c>
      <c r="X59">
        <v>2560226.7246388793</v>
      </c>
      <c r="Y59">
        <v>2560226.7246388793</v>
      </c>
      <c r="Z59">
        <v>2560226.7246388793</v>
      </c>
      <c r="AA59">
        <v>2343663.263195503</v>
      </c>
      <c r="AB59">
        <v>2343663.263195503</v>
      </c>
      <c r="AC59">
        <v>2343663.263195503</v>
      </c>
      <c r="AD59">
        <v>2343663.263195503</v>
      </c>
      <c r="AE59">
        <v>2204958.1040191627</v>
      </c>
      <c r="AF59">
        <v>2204958.1040191627</v>
      </c>
      <c r="AG59">
        <v>2204958.1040191627</v>
      </c>
      <c r="AH59">
        <v>2204958.1040191627</v>
      </c>
      <c r="AI59">
        <v>2367606.1940232511</v>
      </c>
      <c r="AJ59">
        <v>2367606.1940232511</v>
      </c>
      <c r="AK59">
        <v>2367606.1940232511</v>
      </c>
      <c r="AL59">
        <v>2367606.1940232511</v>
      </c>
      <c r="AM59">
        <v>2370519.9360870095</v>
      </c>
      <c r="AN59">
        <v>2370519.9360870095</v>
      </c>
      <c r="AO59">
        <v>2370519.9360870095</v>
      </c>
      <c r="AP59">
        <v>2370519.9360870095</v>
      </c>
      <c r="AQ59">
        <v>2743098.1719972431</v>
      </c>
      <c r="AR59">
        <v>2743098.1719972431</v>
      </c>
      <c r="AS59">
        <v>2530151.6722346721</v>
      </c>
      <c r="AT59">
        <v>2743098.1719972431</v>
      </c>
      <c r="AU59">
        <v>2270959.7618664168</v>
      </c>
      <c r="AV59">
        <v>2270959.7618664168</v>
      </c>
      <c r="AW59">
        <v>2270959.7618664168</v>
      </c>
      <c r="AX59">
        <v>2270959.7618664168</v>
      </c>
    </row>
    <row r="60" spans="2:51" x14ac:dyDescent="0.2">
      <c r="B60" s="109" t="s">
        <v>106</v>
      </c>
      <c r="C60">
        <v>2302777.9731921949</v>
      </c>
      <c r="D60">
        <v>2302777.9731921949</v>
      </c>
      <c r="E60">
        <v>2302777.9731921949</v>
      </c>
      <c r="F60">
        <v>2302777.9731921949</v>
      </c>
      <c r="G60">
        <v>2350334.2215335337</v>
      </c>
      <c r="H60">
        <v>2350334.2215335337</v>
      </c>
      <c r="I60">
        <v>2350334.2215335337</v>
      </c>
      <c r="J60">
        <v>2350334.2215335337</v>
      </c>
      <c r="K60">
        <v>2508091.648970732</v>
      </c>
      <c r="L60">
        <v>858498.03976516798</v>
      </c>
      <c r="M60">
        <v>2508091.648970732</v>
      </c>
      <c r="N60">
        <v>2508091.648970732</v>
      </c>
      <c r="O60">
        <v>2172769.9425652265</v>
      </c>
      <c r="P60">
        <v>2172769.9425652265</v>
      </c>
      <c r="Q60">
        <v>2172769.9425652265</v>
      </c>
      <c r="R60">
        <v>2172769.9425652265</v>
      </c>
      <c r="S60">
        <v>2349633.7459430676</v>
      </c>
      <c r="T60">
        <v>2349633.7459430676</v>
      </c>
      <c r="U60">
        <v>2349633.7459430676</v>
      </c>
      <c r="V60">
        <v>2349633.7459430676</v>
      </c>
      <c r="W60">
        <v>2313668.1750066965</v>
      </c>
      <c r="X60">
        <v>2313668.1750066965</v>
      </c>
      <c r="Y60">
        <v>2313668.1750066965</v>
      </c>
      <c r="Z60">
        <v>2313668.1750066965</v>
      </c>
      <c r="AA60">
        <v>2239347.066242639</v>
      </c>
      <c r="AB60">
        <v>2239347.066242639</v>
      </c>
      <c r="AC60">
        <v>2239347.066242639</v>
      </c>
      <c r="AD60">
        <v>2239347.066242639</v>
      </c>
      <c r="AE60">
        <v>2106278.3649699236</v>
      </c>
      <c r="AF60">
        <v>2106278.3649699236</v>
      </c>
      <c r="AG60">
        <v>2106278.3649699236</v>
      </c>
      <c r="AH60">
        <v>2106278.3649699236</v>
      </c>
      <c r="AI60">
        <v>2107237.41438581</v>
      </c>
      <c r="AJ60">
        <v>2107237.41438581</v>
      </c>
      <c r="AK60">
        <v>2107237.41438581</v>
      </c>
      <c r="AL60">
        <v>2107237.41438581</v>
      </c>
      <c r="AM60">
        <v>2135806.6711576935</v>
      </c>
      <c r="AN60">
        <v>2135806.6711576935</v>
      </c>
      <c r="AO60">
        <v>2135806.6711576935</v>
      </c>
      <c r="AP60">
        <v>2135806.6711576935</v>
      </c>
      <c r="AQ60">
        <v>2289927.1763828364</v>
      </c>
      <c r="AR60">
        <v>2289927.1763828364</v>
      </c>
      <c r="AS60">
        <v>2289927.1763828364</v>
      </c>
      <c r="AT60">
        <v>2289927.1763828364</v>
      </c>
      <c r="AU60">
        <v>2223332.0668265554</v>
      </c>
      <c r="AV60">
        <v>2223332.0668265554</v>
      </c>
      <c r="AW60">
        <v>2223332.0668265554</v>
      </c>
      <c r="AX60">
        <v>2223332.0668265554</v>
      </c>
    </row>
    <row r="61" spans="2:51" x14ac:dyDescent="0.2">
      <c r="B61" s="109" t="s">
        <v>107</v>
      </c>
      <c r="C61">
        <v>2302448.5467022005</v>
      </c>
      <c r="D61">
        <v>2302448.5467022005</v>
      </c>
      <c r="E61">
        <v>2302448.5467022005</v>
      </c>
      <c r="F61">
        <v>2302448.5467022005</v>
      </c>
      <c r="G61">
        <v>2188602.3835078329</v>
      </c>
      <c r="H61">
        <v>2188602.3835078329</v>
      </c>
      <c r="I61">
        <v>2188602.3835078329</v>
      </c>
      <c r="J61">
        <v>2188602.3835078329</v>
      </c>
      <c r="K61">
        <v>1881635.1995617091</v>
      </c>
      <c r="L61">
        <v>2357248.8453388209</v>
      </c>
      <c r="M61">
        <v>2357248.8453388209</v>
      </c>
      <c r="N61">
        <v>2357248.8453388209</v>
      </c>
      <c r="O61">
        <v>2220152.396277193</v>
      </c>
      <c r="P61">
        <v>2220152.396277193</v>
      </c>
      <c r="Q61">
        <v>2220152.396277193</v>
      </c>
      <c r="R61">
        <v>2220152.396277193</v>
      </c>
      <c r="S61">
        <v>2210845.8811135739</v>
      </c>
      <c r="T61">
        <v>2210845.8811135739</v>
      </c>
      <c r="U61">
        <v>2210845.8811135739</v>
      </c>
      <c r="V61">
        <v>2210845.8811135739</v>
      </c>
      <c r="W61">
        <v>2144526.7177119702</v>
      </c>
      <c r="X61">
        <v>2144526.7177119702</v>
      </c>
      <c r="Y61">
        <v>2144526.7177119702</v>
      </c>
      <c r="Z61">
        <v>2144526.7177119702</v>
      </c>
      <c r="AA61">
        <v>2106533.8431743775</v>
      </c>
      <c r="AB61">
        <v>2106533.8431743775</v>
      </c>
      <c r="AC61">
        <v>2106533.8431743775</v>
      </c>
      <c r="AD61">
        <v>2106533.8431743775</v>
      </c>
      <c r="AE61">
        <v>2093671.8826412484</v>
      </c>
      <c r="AF61">
        <v>2093671.8826412484</v>
      </c>
      <c r="AG61">
        <v>2093671.8826412484</v>
      </c>
      <c r="AH61">
        <v>2093671.8826412484</v>
      </c>
      <c r="AI61">
        <v>2391067.337610954</v>
      </c>
      <c r="AJ61">
        <v>501994.5486057711</v>
      </c>
      <c r="AK61">
        <v>2391067.337610954</v>
      </c>
      <c r="AL61">
        <v>2391067.337610954</v>
      </c>
      <c r="AM61">
        <v>2210753.7209150931</v>
      </c>
      <c r="AN61">
        <v>2210753.7209150931</v>
      </c>
      <c r="AO61">
        <v>2210753.7209150931</v>
      </c>
      <c r="AP61">
        <v>2210753.7209150931</v>
      </c>
      <c r="AQ61">
        <v>2110839.6857762006</v>
      </c>
      <c r="AR61">
        <v>2110839.6857762006</v>
      </c>
      <c r="AS61">
        <v>2110839.6857762006</v>
      </c>
      <c r="AT61">
        <v>2110839.6857762006</v>
      </c>
      <c r="AU61">
        <v>1966921.8585439587</v>
      </c>
      <c r="AV61">
        <v>2296144.1264690142</v>
      </c>
      <c r="AW61">
        <v>2296144.1264690142</v>
      </c>
      <c r="AX61">
        <v>2296144.1264690142</v>
      </c>
    </row>
    <row r="62" spans="2:51" x14ac:dyDescent="0.2">
      <c r="B62" s="109" t="s">
        <v>108</v>
      </c>
      <c r="C62">
        <v>2568784.6421063822</v>
      </c>
      <c r="D62">
        <v>2568784.6421063822</v>
      </c>
      <c r="E62">
        <v>2568784.6421063822</v>
      </c>
      <c r="F62">
        <v>2568784.6421063822</v>
      </c>
      <c r="G62">
        <v>2593877.6111920709</v>
      </c>
      <c r="H62">
        <v>2593877.6111920709</v>
      </c>
      <c r="I62">
        <v>2593877.6111920709</v>
      </c>
      <c r="J62">
        <v>2593877.6111920709</v>
      </c>
      <c r="K62">
        <v>2601582.1644731439</v>
      </c>
      <c r="L62">
        <v>2601582.1644731439</v>
      </c>
      <c r="M62">
        <v>2601582.1644731439</v>
      </c>
      <c r="N62">
        <v>2601582.1644731439</v>
      </c>
      <c r="O62">
        <v>2634518.5207013013</v>
      </c>
      <c r="P62">
        <v>2634518.5207013013</v>
      </c>
      <c r="Q62">
        <v>2634518.5207013013</v>
      </c>
      <c r="R62">
        <v>2634518.5207013013</v>
      </c>
      <c r="S62">
        <v>2706016.2494132086</v>
      </c>
      <c r="T62">
        <v>2706016.2494132086</v>
      </c>
      <c r="U62">
        <v>2706016.2494132086</v>
      </c>
      <c r="V62">
        <v>2706016.2494132086</v>
      </c>
      <c r="W62">
        <v>2739364.6870306926</v>
      </c>
      <c r="X62">
        <v>2739364.6870306926</v>
      </c>
      <c r="Y62">
        <v>2739364.6870306926</v>
      </c>
      <c r="Z62">
        <v>2739364.6870306926</v>
      </c>
      <c r="AA62">
        <v>2688353.0604660911</v>
      </c>
      <c r="AB62">
        <v>2688353.0604660911</v>
      </c>
      <c r="AC62">
        <v>2688353.0604660911</v>
      </c>
      <c r="AD62">
        <v>2688353.0604660911</v>
      </c>
      <c r="AE62">
        <v>2740874.8026318806</v>
      </c>
      <c r="AF62">
        <v>2740874.8026318806</v>
      </c>
      <c r="AG62">
        <v>2740874.8026318806</v>
      </c>
      <c r="AH62">
        <v>2740874.8026318806</v>
      </c>
      <c r="AI62">
        <v>2701523.4859231347</v>
      </c>
      <c r="AJ62">
        <v>2701523.4859231347</v>
      </c>
      <c r="AK62">
        <v>2701523.4859231347</v>
      </c>
      <c r="AL62">
        <v>2701523.4859231347</v>
      </c>
      <c r="AM62">
        <v>2700311.1581184296</v>
      </c>
      <c r="AN62">
        <v>2700311.1581184296</v>
      </c>
      <c r="AO62">
        <v>2700311.1581184296</v>
      </c>
      <c r="AP62">
        <v>2700311.1581184296</v>
      </c>
      <c r="AQ62">
        <v>2671260.8090483076</v>
      </c>
      <c r="AR62">
        <v>2671260.8090483076</v>
      </c>
      <c r="AS62">
        <v>2671260.8090483076</v>
      </c>
      <c r="AT62">
        <v>2671260.8090483076</v>
      </c>
      <c r="AU62">
        <v>2755561.7124315696</v>
      </c>
      <c r="AV62">
        <v>2755561.7124315696</v>
      </c>
      <c r="AW62">
        <v>2755561.7124315696</v>
      </c>
      <c r="AX62">
        <v>2755561.7124315696</v>
      </c>
    </row>
    <row r="63" spans="2:51" x14ac:dyDescent="0.2">
      <c r="B63" s="109" t="s">
        <v>109</v>
      </c>
      <c r="C63">
        <v>2208908.4558121692</v>
      </c>
      <c r="D63">
        <v>2208908.4558121692</v>
      </c>
      <c r="E63">
        <v>2208908.4558121692</v>
      </c>
      <c r="F63">
        <v>2208908.4558121692</v>
      </c>
      <c r="G63">
        <v>2296863.6430851575</v>
      </c>
      <c r="H63">
        <v>2296863.6430851575</v>
      </c>
      <c r="I63">
        <v>2296863.6430851575</v>
      </c>
      <c r="J63">
        <v>2296863.6430851575</v>
      </c>
      <c r="K63">
        <v>2168445.2439429737</v>
      </c>
      <c r="L63">
        <v>2168445.2439429737</v>
      </c>
      <c r="M63">
        <v>2168445.2439429737</v>
      </c>
      <c r="N63">
        <v>2168445.2439429737</v>
      </c>
      <c r="O63">
        <v>2307293.8707533362</v>
      </c>
      <c r="P63">
        <v>2307293.8707533362</v>
      </c>
      <c r="Q63">
        <v>2307293.8707533362</v>
      </c>
      <c r="R63">
        <v>2307293.8707533362</v>
      </c>
      <c r="S63">
        <v>2168999.8227008441</v>
      </c>
      <c r="T63">
        <v>2168999.8227008441</v>
      </c>
      <c r="U63">
        <v>2168999.8227008441</v>
      </c>
      <c r="V63">
        <v>2168999.8227008441</v>
      </c>
      <c r="W63">
        <v>2443563.6424145731</v>
      </c>
      <c r="X63">
        <v>2443563.6424145731</v>
      </c>
      <c r="Y63">
        <v>2443563.6424145731</v>
      </c>
      <c r="Z63">
        <v>2443563.6424145731</v>
      </c>
      <c r="AA63">
        <v>2473897.1872667219</v>
      </c>
      <c r="AB63">
        <v>2473897.1872667219</v>
      </c>
      <c r="AC63">
        <v>2473897.1872667219</v>
      </c>
      <c r="AD63">
        <v>2473897.1872667219</v>
      </c>
      <c r="AE63">
        <v>2495092.9465527292</v>
      </c>
      <c r="AF63">
        <v>2495092.9465527292</v>
      </c>
      <c r="AG63">
        <v>2495092.9465527292</v>
      </c>
      <c r="AH63">
        <v>2495092.9465527292</v>
      </c>
      <c r="AI63">
        <v>2349529.1276209382</v>
      </c>
      <c r="AJ63">
        <v>2349529.1276209382</v>
      </c>
      <c r="AK63">
        <v>2349529.1276209382</v>
      </c>
      <c r="AL63">
        <v>2349529.1276209382</v>
      </c>
      <c r="AM63">
        <v>2291233.2586183604</v>
      </c>
      <c r="AN63">
        <v>2291233.2586183604</v>
      </c>
      <c r="AO63">
        <v>2291233.2586183604</v>
      </c>
      <c r="AP63">
        <v>2291233.2586183604</v>
      </c>
      <c r="AQ63">
        <v>2210401.5898073213</v>
      </c>
      <c r="AR63">
        <v>2210401.5898073213</v>
      </c>
      <c r="AS63">
        <v>2210401.5898073213</v>
      </c>
      <c r="AT63">
        <v>2210401.5898073213</v>
      </c>
      <c r="AU63">
        <v>2284841.6478998824</v>
      </c>
      <c r="AV63">
        <v>2284841.6478998824</v>
      </c>
      <c r="AW63">
        <v>2284841.6478998824</v>
      </c>
      <c r="AX63">
        <v>2284841.6478998824</v>
      </c>
    </row>
    <row r="64" spans="2:51" x14ac:dyDescent="0.2">
      <c r="B64" s="106"/>
    </row>
    <row r="65" spans="1:14" x14ac:dyDescent="0.2">
      <c r="B65" s="108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>
        <v>24999.999999999996</v>
      </c>
      <c r="D67">
        <v>24999.999999999996</v>
      </c>
      <c r="E67">
        <v>24999.999999999996</v>
      </c>
      <c r="F67">
        <v>24999.999999999996</v>
      </c>
      <c r="G67">
        <v>24999.999999999996</v>
      </c>
      <c r="H67">
        <v>24999.999999999996</v>
      </c>
      <c r="I67">
        <v>24999.999999999996</v>
      </c>
      <c r="J67">
        <v>24999.999999999996</v>
      </c>
      <c r="K67">
        <v>24999.999999999996</v>
      </c>
      <c r="L67">
        <v>24999.999999999996</v>
      </c>
      <c r="M67">
        <v>24999.999999999996</v>
      </c>
      <c r="N67">
        <v>24999.999999999996</v>
      </c>
    </row>
    <row r="68" spans="1:14" x14ac:dyDescent="0.2">
      <c r="B68" s="105" t="s">
        <v>330</v>
      </c>
      <c r="C68">
        <v>16666.666666666664</v>
      </c>
      <c r="D68">
        <v>16666.666666666664</v>
      </c>
      <c r="E68">
        <v>16666.666666666664</v>
      </c>
      <c r="F68">
        <v>16666.666666666664</v>
      </c>
      <c r="G68">
        <v>16666.666666666664</v>
      </c>
      <c r="H68">
        <v>16666.666666666664</v>
      </c>
      <c r="I68">
        <v>16666.666666666664</v>
      </c>
      <c r="J68">
        <v>16666.666666666664</v>
      </c>
      <c r="K68">
        <v>16666.666666666664</v>
      </c>
      <c r="L68">
        <v>16666.666666666664</v>
      </c>
      <c r="M68">
        <v>16666.666666666664</v>
      </c>
      <c r="N68">
        <v>16666.666666666664</v>
      </c>
    </row>
    <row r="70" spans="1:14" x14ac:dyDescent="0.2">
      <c r="B70" s="108" t="s">
        <v>331</v>
      </c>
    </row>
    <row r="71" spans="1:14" x14ac:dyDescent="0.2">
      <c r="A71" s="109" t="s">
        <v>121</v>
      </c>
      <c r="B71" s="109" t="s">
        <v>332</v>
      </c>
      <c r="C71" s="109" t="s">
        <v>22</v>
      </c>
      <c r="D71" s="109" t="s">
        <v>59</v>
      </c>
    </row>
    <row r="72" spans="1:14" x14ac:dyDescent="0.2">
      <c r="A72" s="109" t="s">
        <v>104</v>
      </c>
      <c r="B72" s="109" t="s">
        <v>92</v>
      </c>
      <c r="C72">
        <v>4291891.6609751554</v>
      </c>
      <c r="D72">
        <v>851563.53404043359</v>
      </c>
    </row>
    <row r="73" spans="1:14" x14ac:dyDescent="0.2">
      <c r="B73" s="109" t="s">
        <v>93</v>
      </c>
      <c r="C73">
        <v>4291891.6609751554</v>
      </c>
      <c r="D73">
        <v>851563.53404043359</v>
      </c>
    </row>
    <row r="74" spans="1:14" x14ac:dyDescent="0.2">
      <c r="B74" s="109" t="s">
        <v>94</v>
      </c>
      <c r="C74">
        <v>4291891.6609751554</v>
      </c>
      <c r="D74">
        <v>851563.53404043359</v>
      </c>
    </row>
    <row r="75" spans="1:14" x14ac:dyDescent="0.2">
      <c r="B75" s="109" t="s">
        <v>95</v>
      </c>
      <c r="C75">
        <v>4291891.6609751554</v>
      </c>
      <c r="D75">
        <v>851563.53404043359</v>
      </c>
    </row>
    <row r="76" spans="1:14" x14ac:dyDescent="0.2">
      <c r="B76" s="109" t="s">
        <v>96</v>
      </c>
      <c r="C76">
        <v>4291891.6609751554</v>
      </c>
      <c r="D76">
        <v>851563.53404043359</v>
      </c>
    </row>
    <row r="77" spans="1:14" x14ac:dyDescent="0.2">
      <c r="B77" s="109" t="s">
        <v>97</v>
      </c>
      <c r="C77">
        <v>4291891.6609751554</v>
      </c>
      <c r="D77">
        <v>851563.53404043359</v>
      </c>
    </row>
    <row r="78" spans="1:14" x14ac:dyDescent="0.2">
      <c r="B78" s="109" t="s">
        <v>98</v>
      </c>
      <c r="C78">
        <v>4291891.6609751554</v>
      </c>
      <c r="D78">
        <v>851563.53404043359</v>
      </c>
    </row>
    <row r="79" spans="1:14" x14ac:dyDescent="0.2">
      <c r="B79" s="109" t="s">
        <v>99</v>
      </c>
      <c r="C79">
        <v>4291891.6609751554</v>
      </c>
      <c r="D79">
        <v>851563.53404043359</v>
      </c>
    </row>
    <row r="80" spans="1:14" x14ac:dyDescent="0.2">
      <c r="B80" s="109" t="s">
        <v>100</v>
      </c>
      <c r="C80">
        <v>4291891.6609751554</v>
      </c>
      <c r="D80">
        <v>851563.53404043359</v>
      </c>
    </row>
    <row r="81" spans="2:50" x14ac:dyDescent="0.2">
      <c r="B81" s="109" t="s">
        <v>101</v>
      </c>
      <c r="C81">
        <v>4291891.6609751554</v>
      </c>
      <c r="D81">
        <v>851563.53404043359</v>
      </c>
    </row>
    <row r="82" spans="2:50" x14ac:dyDescent="0.2">
      <c r="B82" s="109" t="s">
        <v>102</v>
      </c>
      <c r="C82">
        <v>4291891.6609751554</v>
      </c>
      <c r="D82">
        <v>851563.53404043359</v>
      </c>
    </row>
    <row r="83" spans="2:50" x14ac:dyDescent="0.2">
      <c r="B83" s="109" t="s">
        <v>103</v>
      </c>
      <c r="C83">
        <v>4291891.6609751554</v>
      </c>
      <c r="D83">
        <v>851563.53404043359</v>
      </c>
    </row>
    <row r="85" spans="2:50" x14ac:dyDescent="0.2">
      <c r="B85" s="107" t="s">
        <v>333</v>
      </c>
    </row>
    <row r="86" spans="2:50" x14ac:dyDescent="0.2">
      <c r="B86" s="105" t="s">
        <v>274</v>
      </c>
      <c r="C86" s="105" t="s">
        <v>92</v>
      </c>
      <c r="D86" s="106"/>
      <c r="E86" s="106"/>
      <c r="F86" s="106"/>
      <c r="G86" s="105" t="s">
        <v>93</v>
      </c>
      <c r="H86" s="106"/>
      <c r="I86" s="106"/>
      <c r="J86" s="106"/>
      <c r="K86" s="105" t="s">
        <v>94</v>
      </c>
      <c r="L86" s="106"/>
      <c r="M86" s="106"/>
      <c r="N86" s="106"/>
      <c r="O86" s="105" t="s">
        <v>95</v>
      </c>
      <c r="P86" s="106"/>
      <c r="Q86" s="106"/>
      <c r="R86" s="106"/>
      <c r="S86" s="105" t="s">
        <v>96</v>
      </c>
      <c r="T86" s="106"/>
      <c r="U86" s="106"/>
      <c r="V86" s="106"/>
      <c r="W86" s="105" t="s">
        <v>97</v>
      </c>
      <c r="X86" s="106"/>
      <c r="Y86" s="106"/>
      <c r="Z86" s="106"/>
      <c r="AA86" s="105" t="s">
        <v>98</v>
      </c>
      <c r="AB86" s="106"/>
      <c r="AC86" s="106"/>
      <c r="AD86" s="106"/>
      <c r="AE86" s="105" t="s">
        <v>99</v>
      </c>
      <c r="AF86" s="106"/>
      <c r="AG86" s="106"/>
      <c r="AH86" s="106"/>
      <c r="AI86" s="105" t="s">
        <v>100</v>
      </c>
      <c r="AJ86" s="106"/>
      <c r="AK86" s="106"/>
      <c r="AL86" s="106"/>
      <c r="AM86" s="105" t="s">
        <v>101</v>
      </c>
      <c r="AN86" s="106"/>
      <c r="AO86" s="106"/>
      <c r="AP86" s="106"/>
      <c r="AQ86" s="105" t="s">
        <v>102</v>
      </c>
      <c r="AR86" s="106"/>
      <c r="AS86" s="106"/>
      <c r="AT86" s="106"/>
      <c r="AU86" s="105" t="s">
        <v>103</v>
      </c>
      <c r="AV86" s="106"/>
      <c r="AW86" s="106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>
        <f>C48+$C$67/4</f>
        <v>7783.0132126095323</v>
      </c>
      <c r="D88">
        <f>D48+$C$67/4</f>
        <v>7783.0132126095323</v>
      </c>
      <c r="E88">
        <f>E48+$C$67/4</f>
        <v>7783.0132126095323</v>
      </c>
      <c r="F88">
        <f>F48+$C$67/4</f>
        <v>7783.0132126095323</v>
      </c>
      <c r="G88">
        <f>G48+$D$67/4</f>
        <v>7783.0132126095323</v>
      </c>
      <c r="H88">
        <f>H48+$D$67/4</f>
        <v>7783.0132126095323</v>
      </c>
      <c r="I88">
        <f>I48+$D$67/4</f>
        <v>7783.0132126095323</v>
      </c>
      <c r="J88">
        <f>J48+$D$67/4</f>
        <v>7783.0132126095323</v>
      </c>
      <c r="K88">
        <f>K48+$E$67/4</f>
        <v>7783.0132126095323</v>
      </c>
      <c r="L88">
        <f>L48+$E$67/4</f>
        <v>7783.0132126095323</v>
      </c>
      <c r="M88">
        <f>M48+$E$67/4</f>
        <v>7783.0132126095323</v>
      </c>
      <c r="N88">
        <f>N48+$E$67/4</f>
        <v>7783.0132126095323</v>
      </c>
      <c r="O88">
        <f>O48+$F$67/4</f>
        <v>7783.0132126095323</v>
      </c>
      <c r="P88">
        <f>P48+$F$67/4</f>
        <v>7783.0132126095323</v>
      </c>
      <c r="Q88">
        <f>Q48+$F$67/4</f>
        <v>7783.0132126095323</v>
      </c>
      <c r="R88">
        <f>R48+$F$67/4</f>
        <v>7783.0132126095323</v>
      </c>
      <c r="S88">
        <f>S48+$G$67/4</f>
        <v>7783.0132126095323</v>
      </c>
      <c r="T88">
        <f>T48+$G$67/4</f>
        <v>7783.0132126095323</v>
      </c>
      <c r="U88">
        <f>U48+$G$67/4</f>
        <v>7783.0132126095323</v>
      </c>
      <c r="V88">
        <f>V48+$G$67/4</f>
        <v>7783.0132126095323</v>
      </c>
      <c r="W88">
        <f>W48+$H$67/4</f>
        <v>7783.0132126095323</v>
      </c>
      <c r="X88">
        <f>X48+$H$67/4</f>
        <v>7783.0132126095323</v>
      </c>
      <c r="Y88">
        <f>Y48+$H$67/4</f>
        <v>7783.0132126095323</v>
      </c>
      <c r="Z88">
        <f>Z48+$H$67/4</f>
        <v>7783.0132126095323</v>
      </c>
      <c r="AA88">
        <f>AA48+$I$67/4</f>
        <v>7783.0132126095323</v>
      </c>
      <c r="AB88">
        <f>AB48+$I$67/4</f>
        <v>7783.0132126095323</v>
      </c>
      <c r="AC88">
        <f>AC48+$I$67/4</f>
        <v>7783.0132126095323</v>
      </c>
      <c r="AD88">
        <f>AD48+$I$67/4</f>
        <v>7783.0132126095323</v>
      </c>
      <c r="AE88">
        <f>AE48+$J$67/4</f>
        <v>7783.0132126095323</v>
      </c>
      <c r="AF88">
        <f>AF48+$J$67/4</f>
        <v>7783.0132126095323</v>
      </c>
      <c r="AG88">
        <f>AG48+$J$67/4</f>
        <v>7783.0132126095323</v>
      </c>
      <c r="AH88">
        <f>AH48+$J$67/4</f>
        <v>7783.0132126095323</v>
      </c>
      <c r="AI88">
        <f>AI48+$K$67/4</f>
        <v>7783.0132126095323</v>
      </c>
      <c r="AJ88">
        <f>AJ48+$K$67/4</f>
        <v>7783.0132126095323</v>
      </c>
      <c r="AK88">
        <f>AK48+$K$67/4</f>
        <v>7783.0132126095323</v>
      </c>
      <c r="AL88">
        <f>AL48+$K$67/4</f>
        <v>7783.0132126095323</v>
      </c>
      <c r="AM88">
        <f>AM48+$L$67/4</f>
        <v>7783.0132126095323</v>
      </c>
      <c r="AN88">
        <f>AN48+$L$67/4</f>
        <v>7783.0132126095323</v>
      </c>
      <c r="AO88">
        <f>AO48+$L$67/4</f>
        <v>7783.0132126095323</v>
      </c>
      <c r="AP88">
        <f>AP48+$L$67/4</f>
        <v>7783.0132126095323</v>
      </c>
      <c r="AQ88">
        <f>AQ48+$M$67/4</f>
        <v>7783.0132126095323</v>
      </c>
      <c r="AR88">
        <f>AR48+$M$67/4</f>
        <v>7783.0132126095323</v>
      </c>
      <c r="AS88">
        <f>AS48+$M$67/4</f>
        <v>7783.0132126095323</v>
      </c>
      <c r="AT88">
        <f>AT48+$M$67/4</f>
        <v>7783.0132126095323</v>
      </c>
      <c r="AU88">
        <f>AU48+$N$67/4</f>
        <v>7783.0132126095323</v>
      </c>
      <c r="AV88">
        <f>AV48+$N$67/4</f>
        <v>7783.0132126095323</v>
      </c>
      <c r="AW88">
        <f>AW48+$N$67/4</f>
        <v>7783.0132126095323</v>
      </c>
      <c r="AX88">
        <f>AX48+$N$67/4</f>
        <v>7783.0132126095323</v>
      </c>
    </row>
    <row r="89" spans="2:50" x14ac:dyDescent="0.2">
      <c r="B89" s="105" t="s">
        <v>105</v>
      </c>
      <c r="C89">
        <f>C49</f>
        <v>1773.4978209017493</v>
      </c>
      <c r="D89">
        <f t="shared" ref="D89:AX93" si="3">D49</f>
        <v>1773.4978209017493</v>
      </c>
      <c r="E89">
        <f t="shared" si="3"/>
        <v>1773.4978209017493</v>
      </c>
      <c r="F89">
        <f t="shared" si="3"/>
        <v>1773.4978209017493</v>
      </c>
      <c r="G89">
        <f t="shared" si="3"/>
        <v>1516.4725058910378</v>
      </c>
      <c r="H89">
        <f t="shared" si="3"/>
        <v>1773.4978209017493</v>
      </c>
      <c r="I89">
        <f t="shared" si="3"/>
        <v>1773.4978209017493</v>
      </c>
      <c r="J89">
        <f t="shared" si="3"/>
        <v>1773.4978209017493</v>
      </c>
      <c r="K89">
        <f t="shared" si="3"/>
        <v>1773.4978209017493</v>
      </c>
      <c r="L89">
        <f t="shared" si="3"/>
        <v>1773.4978209017493</v>
      </c>
      <c r="M89">
        <f t="shared" si="3"/>
        <v>1773.4978209017493</v>
      </c>
      <c r="N89">
        <f t="shared" si="3"/>
        <v>1773.4978209017493</v>
      </c>
      <c r="O89">
        <f t="shared" si="3"/>
        <v>1773.4978209017493</v>
      </c>
      <c r="P89">
        <f t="shared" si="3"/>
        <v>1773.4978209017493</v>
      </c>
      <c r="Q89">
        <f t="shared" si="3"/>
        <v>1773.4978209017493</v>
      </c>
      <c r="R89">
        <f t="shared" si="3"/>
        <v>1773.4978209017493</v>
      </c>
      <c r="S89">
        <f t="shared" si="3"/>
        <v>1773.4978209017493</v>
      </c>
      <c r="T89">
        <f t="shared" si="3"/>
        <v>1773.4978209017493</v>
      </c>
      <c r="U89">
        <f t="shared" si="3"/>
        <v>1773.4978209017493</v>
      </c>
      <c r="V89">
        <f t="shared" si="3"/>
        <v>1773.4978209017493</v>
      </c>
      <c r="W89">
        <f t="shared" si="3"/>
        <v>1773.4978209017493</v>
      </c>
      <c r="X89">
        <f t="shared" si="3"/>
        <v>1773.4978209017493</v>
      </c>
      <c r="Y89">
        <f t="shared" si="3"/>
        <v>1773.4978209017493</v>
      </c>
      <c r="Z89">
        <f t="shared" si="3"/>
        <v>1773.4978209017493</v>
      </c>
      <c r="AA89">
        <f t="shared" si="3"/>
        <v>1773.4978209017493</v>
      </c>
      <c r="AB89">
        <f t="shared" si="3"/>
        <v>1773.4978209017493</v>
      </c>
      <c r="AC89">
        <f t="shared" si="3"/>
        <v>1773.4978209017493</v>
      </c>
      <c r="AD89">
        <f t="shared" si="3"/>
        <v>1773.4978209017493</v>
      </c>
      <c r="AE89">
        <f t="shared" si="3"/>
        <v>1773.4978209017493</v>
      </c>
      <c r="AF89">
        <f t="shared" si="3"/>
        <v>1773.4978209017493</v>
      </c>
      <c r="AG89">
        <f t="shared" si="3"/>
        <v>1773.4978209017493</v>
      </c>
      <c r="AH89">
        <f t="shared" si="3"/>
        <v>1773.4978209017493</v>
      </c>
      <c r="AI89">
        <f t="shared" si="3"/>
        <v>1773.4978209017493</v>
      </c>
      <c r="AJ89">
        <f t="shared" si="3"/>
        <v>1773.4978209017493</v>
      </c>
      <c r="AK89">
        <f t="shared" si="3"/>
        <v>1773.4978209017493</v>
      </c>
      <c r="AL89">
        <f t="shared" si="3"/>
        <v>1773.4978209017493</v>
      </c>
      <c r="AM89">
        <f t="shared" si="3"/>
        <v>1773.4978209017493</v>
      </c>
      <c r="AN89">
        <f t="shared" si="3"/>
        <v>1773.4978209017493</v>
      </c>
      <c r="AO89">
        <f t="shared" si="3"/>
        <v>1773.4978209017493</v>
      </c>
      <c r="AP89">
        <f t="shared" si="3"/>
        <v>1773.4978209017493</v>
      </c>
      <c r="AQ89">
        <f t="shared" si="3"/>
        <v>1773.4978209017493</v>
      </c>
      <c r="AR89">
        <f t="shared" si="3"/>
        <v>1773.4978209017493</v>
      </c>
      <c r="AS89">
        <f t="shared" si="3"/>
        <v>1635.821321696254</v>
      </c>
      <c r="AT89">
        <f t="shared" si="3"/>
        <v>1773.4978209017493</v>
      </c>
      <c r="AU89">
        <f t="shared" si="3"/>
        <v>1773.4978209017493</v>
      </c>
      <c r="AV89">
        <f t="shared" si="3"/>
        <v>1773.4978209017493</v>
      </c>
      <c r="AW89">
        <f t="shared" si="3"/>
        <v>1773.4978209017493</v>
      </c>
      <c r="AX89">
        <f t="shared" si="3"/>
        <v>1773.4978209017493</v>
      </c>
    </row>
    <row r="90" spans="2:50" x14ac:dyDescent="0.2">
      <c r="B90" s="105" t="s">
        <v>106</v>
      </c>
      <c r="C90">
        <f t="shared" ref="C90:R93" si="4">C50</f>
        <v>1492.7924366725895</v>
      </c>
      <c r="D90">
        <f t="shared" si="4"/>
        <v>1492.7924366725895</v>
      </c>
      <c r="E90">
        <f t="shared" si="4"/>
        <v>1492.7924366725895</v>
      </c>
      <c r="F90">
        <f t="shared" si="4"/>
        <v>1492.7924366725895</v>
      </c>
      <c r="G90">
        <f t="shared" si="4"/>
        <v>1492.7924366725895</v>
      </c>
      <c r="H90">
        <f t="shared" si="4"/>
        <v>1492.7924366725895</v>
      </c>
      <c r="I90">
        <f t="shared" si="4"/>
        <v>1492.7924366725895</v>
      </c>
      <c r="J90">
        <f t="shared" si="4"/>
        <v>1492.7924366725895</v>
      </c>
      <c r="K90">
        <f t="shared" si="4"/>
        <v>1492.7924366725895</v>
      </c>
      <c r="L90">
        <f t="shared" si="4"/>
        <v>510.9699165840338</v>
      </c>
      <c r="M90">
        <f t="shared" si="4"/>
        <v>1492.7924366725895</v>
      </c>
      <c r="N90">
        <f t="shared" si="4"/>
        <v>1492.7924366725895</v>
      </c>
      <c r="O90">
        <f t="shared" si="4"/>
        <v>1492.7924366725895</v>
      </c>
      <c r="P90">
        <f t="shared" si="4"/>
        <v>1492.7924366725895</v>
      </c>
      <c r="Q90">
        <f t="shared" si="4"/>
        <v>1492.7924366725895</v>
      </c>
      <c r="R90">
        <f t="shared" si="4"/>
        <v>1492.7924366725895</v>
      </c>
      <c r="S90">
        <f t="shared" si="3"/>
        <v>1492.7924366725895</v>
      </c>
      <c r="T90">
        <f t="shared" si="3"/>
        <v>1492.7924366725895</v>
      </c>
      <c r="U90">
        <f t="shared" si="3"/>
        <v>1492.7924366725895</v>
      </c>
      <c r="V90">
        <f t="shared" si="3"/>
        <v>1492.7924366725895</v>
      </c>
      <c r="W90">
        <f t="shared" si="3"/>
        <v>1492.7924366725895</v>
      </c>
      <c r="X90">
        <f t="shared" si="3"/>
        <v>1492.7924366725895</v>
      </c>
      <c r="Y90">
        <f t="shared" si="3"/>
        <v>1492.7924366725895</v>
      </c>
      <c r="Z90">
        <f t="shared" si="3"/>
        <v>1492.7924366725895</v>
      </c>
      <c r="AA90">
        <f t="shared" si="3"/>
        <v>1492.7924366725895</v>
      </c>
      <c r="AB90">
        <f t="shared" si="3"/>
        <v>1492.7924366725895</v>
      </c>
      <c r="AC90">
        <f t="shared" si="3"/>
        <v>1492.7924366725895</v>
      </c>
      <c r="AD90">
        <f t="shared" si="3"/>
        <v>1492.7924366725895</v>
      </c>
      <c r="AE90">
        <f t="shared" si="3"/>
        <v>1492.7924366725895</v>
      </c>
      <c r="AF90">
        <f t="shared" si="3"/>
        <v>1492.7924366725895</v>
      </c>
      <c r="AG90">
        <f t="shared" si="3"/>
        <v>1492.7924366725895</v>
      </c>
      <c r="AH90">
        <f t="shared" si="3"/>
        <v>1492.7924366725895</v>
      </c>
      <c r="AI90">
        <f t="shared" si="3"/>
        <v>1492.7924366725895</v>
      </c>
      <c r="AJ90">
        <f t="shared" si="3"/>
        <v>1492.7924366725895</v>
      </c>
      <c r="AK90">
        <f t="shared" si="3"/>
        <v>1492.7924366725895</v>
      </c>
      <c r="AL90">
        <f t="shared" si="3"/>
        <v>1492.7924366725895</v>
      </c>
      <c r="AM90">
        <f t="shared" si="3"/>
        <v>1492.7924366725895</v>
      </c>
      <c r="AN90">
        <f t="shared" si="3"/>
        <v>1492.7924366725895</v>
      </c>
      <c r="AO90">
        <f t="shared" si="3"/>
        <v>1492.7924366725895</v>
      </c>
      <c r="AP90">
        <f t="shared" si="3"/>
        <v>1492.7924366725895</v>
      </c>
      <c r="AQ90">
        <f t="shared" si="3"/>
        <v>1492.7924366725895</v>
      </c>
      <c r="AR90">
        <f t="shared" si="3"/>
        <v>1492.7924366725895</v>
      </c>
      <c r="AS90">
        <f t="shared" si="3"/>
        <v>1492.7924366725895</v>
      </c>
      <c r="AT90">
        <f t="shared" si="3"/>
        <v>1492.7924366725895</v>
      </c>
      <c r="AU90">
        <f t="shared" si="3"/>
        <v>1492.7924366725895</v>
      </c>
      <c r="AV90">
        <f t="shared" si="3"/>
        <v>1492.7924366725895</v>
      </c>
      <c r="AW90">
        <f t="shared" si="3"/>
        <v>1492.7924366725895</v>
      </c>
      <c r="AX90">
        <f t="shared" si="3"/>
        <v>1492.7924366725895</v>
      </c>
    </row>
    <row r="91" spans="2:50" x14ac:dyDescent="0.2">
      <c r="B91" s="105" t="s">
        <v>107</v>
      </c>
      <c r="C91">
        <f t="shared" si="4"/>
        <v>1533.0132126095332</v>
      </c>
      <c r="D91">
        <f t="shared" si="3"/>
        <v>1533.0132126095332</v>
      </c>
      <c r="E91">
        <f t="shared" si="3"/>
        <v>1533.0132126095332</v>
      </c>
      <c r="F91">
        <f t="shared" si="3"/>
        <v>1533.0132126095332</v>
      </c>
      <c r="G91">
        <f t="shared" si="3"/>
        <v>1533.0132126095332</v>
      </c>
      <c r="H91">
        <f t="shared" si="3"/>
        <v>1533.0132126095332</v>
      </c>
      <c r="I91">
        <f t="shared" si="3"/>
        <v>1533.0132126095332</v>
      </c>
      <c r="J91">
        <f t="shared" si="3"/>
        <v>1533.0132126095332</v>
      </c>
      <c r="K91">
        <f t="shared" si="3"/>
        <v>1223.7026345110626</v>
      </c>
      <c r="L91">
        <f t="shared" si="3"/>
        <v>1533.0132126095332</v>
      </c>
      <c r="M91">
        <f t="shared" si="3"/>
        <v>1533.0132126095332</v>
      </c>
      <c r="N91">
        <f t="shared" si="3"/>
        <v>1533.0132126095332</v>
      </c>
      <c r="O91">
        <f t="shared" si="3"/>
        <v>1533.0132126095332</v>
      </c>
      <c r="P91">
        <f t="shared" si="3"/>
        <v>1533.0132126095332</v>
      </c>
      <c r="Q91">
        <f t="shared" si="3"/>
        <v>1533.0132126095332</v>
      </c>
      <c r="R91">
        <f t="shared" si="3"/>
        <v>1533.0132126095332</v>
      </c>
      <c r="S91">
        <f t="shared" si="3"/>
        <v>1533.0132126095332</v>
      </c>
      <c r="T91">
        <f t="shared" si="3"/>
        <v>1533.0132126095332</v>
      </c>
      <c r="U91">
        <f t="shared" si="3"/>
        <v>1533.0132126095332</v>
      </c>
      <c r="V91">
        <f t="shared" si="3"/>
        <v>1533.0132126095332</v>
      </c>
      <c r="W91">
        <f t="shared" si="3"/>
        <v>1533.0132126095332</v>
      </c>
      <c r="X91">
        <f t="shared" si="3"/>
        <v>1533.0132126095332</v>
      </c>
      <c r="Y91">
        <f t="shared" si="3"/>
        <v>1533.0132126095332</v>
      </c>
      <c r="Z91">
        <f t="shared" si="3"/>
        <v>1533.0132126095332</v>
      </c>
      <c r="AA91">
        <f t="shared" si="3"/>
        <v>1533.0132126095332</v>
      </c>
      <c r="AB91">
        <f t="shared" si="3"/>
        <v>1533.0132126095332</v>
      </c>
      <c r="AC91">
        <f t="shared" si="3"/>
        <v>1533.0132126095332</v>
      </c>
      <c r="AD91">
        <f t="shared" si="3"/>
        <v>1533.0132126095332</v>
      </c>
      <c r="AE91">
        <f t="shared" si="3"/>
        <v>1533.0132126095332</v>
      </c>
      <c r="AF91">
        <f t="shared" si="3"/>
        <v>1533.0132126095332</v>
      </c>
      <c r="AG91">
        <f t="shared" si="3"/>
        <v>1533.0132126095332</v>
      </c>
      <c r="AH91">
        <f t="shared" si="3"/>
        <v>1533.0132126095332</v>
      </c>
      <c r="AI91">
        <f t="shared" si="3"/>
        <v>1533.0132126095332</v>
      </c>
      <c r="AJ91">
        <f t="shared" si="3"/>
        <v>321.84968761252844</v>
      </c>
      <c r="AK91">
        <f t="shared" si="3"/>
        <v>1533.0132126095332</v>
      </c>
      <c r="AL91">
        <f t="shared" si="3"/>
        <v>1533.0132126095332</v>
      </c>
      <c r="AM91">
        <f t="shared" si="3"/>
        <v>1533.0132126095332</v>
      </c>
      <c r="AN91">
        <f t="shared" si="3"/>
        <v>1533.0132126095332</v>
      </c>
      <c r="AO91">
        <f t="shared" si="3"/>
        <v>1533.0132126095332</v>
      </c>
      <c r="AP91">
        <f t="shared" si="3"/>
        <v>1533.0132126095332</v>
      </c>
      <c r="AQ91">
        <f t="shared" si="3"/>
        <v>1533.0132126095332</v>
      </c>
      <c r="AR91">
        <f t="shared" si="3"/>
        <v>1533.0132126095332</v>
      </c>
      <c r="AS91">
        <f t="shared" si="3"/>
        <v>1533.0132126095332</v>
      </c>
      <c r="AT91">
        <f t="shared" si="3"/>
        <v>1533.0132126095332</v>
      </c>
      <c r="AU91">
        <f t="shared" si="3"/>
        <v>1313.2090283702314</v>
      </c>
      <c r="AV91">
        <f t="shared" si="3"/>
        <v>1533.0132126095332</v>
      </c>
      <c r="AW91">
        <f t="shared" si="3"/>
        <v>1533.0132126095332</v>
      </c>
      <c r="AX91">
        <f t="shared" si="3"/>
        <v>1533.0132126095332</v>
      </c>
    </row>
    <row r="92" spans="2:50" x14ac:dyDescent="0.2">
      <c r="B92" s="105" t="s">
        <v>108</v>
      </c>
      <c r="C92">
        <f t="shared" si="4"/>
        <v>1773.4978209017493</v>
      </c>
      <c r="D92">
        <f t="shared" si="4"/>
        <v>1773.4978209017493</v>
      </c>
      <c r="E92">
        <f t="shared" si="4"/>
        <v>1773.4978209017493</v>
      </c>
      <c r="F92">
        <f t="shared" si="4"/>
        <v>1773.4978209017493</v>
      </c>
      <c r="G92">
        <f t="shared" si="4"/>
        <v>1773.4978209017493</v>
      </c>
      <c r="H92">
        <f t="shared" si="4"/>
        <v>1773.4978209017493</v>
      </c>
      <c r="I92">
        <f t="shared" si="4"/>
        <v>1773.4978209017493</v>
      </c>
      <c r="J92">
        <f t="shared" si="4"/>
        <v>1773.4978209017493</v>
      </c>
      <c r="K92">
        <f t="shared" si="4"/>
        <v>1773.4978209017493</v>
      </c>
      <c r="L92">
        <f t="shared" si="4"/>
        <v>1773.4978209017493</v>
      </c>
      <c r="M92">
        <f t="shared" si="4"/>
        <v>1773.4978209017493</v>
      </c>
      <c r="N92">
        <f t="shared" si="4"/>
        <v>1773.4978209017493</v>
      </c>
      <c r="O92">
        <f t="shared" si="4"/>
        <v>1773.4978209017493</v>
      </c>
      <c r="P92">
        <f t="shared" si="4"/>
        <v>1773.4978209017493</v>
      </c>
      <c r="Q92">
        <f t="shared" si="4"/>
        <v>1773.4978209017493</v>
      </c>
      <c r="R92">
        <f t="shared" si="4"/>
        <v>1773.4978209017493</v>
      </c>
      <c r="S92">
        <f t="shared" si="3"/>
        <v>1773.4978209017493</v>
      </c>
      <c r="T92">
        <f t="shared" si="3"/>
        <v>1773.4978209017493</v>
      </c>
      <c r="U92">
        <f t="shared" si="3"/>
        <v>1773.4978209017493</v>
      </c>
      <c r="V92">
        <f t="shared" si="3"/>
        <v>1773.4978209017493</v>
      </c>
      <c r="W92">
        <f t="shared" si="3"/>
        <v>1773.4978209017493</v>
      </c>
      <c r="X92">
        <f t="shared" si="3"/>
        <v>1773.4978209017493</v>
      </c>
      <c r="Y92">
        <f t="shared" si="3"/>
        <v>1773.4978209017493</v>
      </c>
      <c r="Z92">
        <f t="shared" si="3"/>
        <v>1773.4978209017493</v>
      </c>
      <c r="AA92">
        <f t="shared" si="3"/>
        <v>1773.4978209017493</v>
      </c>
      <c r="AB92">
        <f t="shared" si="3"/>
        <v>1773.4978209017493</v>
      </c>
      <c r="AC92">
        <f t="shared" si="3"/>
        <v>1773.4978209017493</v>
      </c>
      <c r="AD92">
        <f t="shared" si="3"/>
        <v>1773.4978209017493</v>
      </c>
      <c r="AE92">
        <f t="shared" si="3"/>
        <v>1773.4978209017493</v>
      </c>
      <c r="AF92">
        <f t="shared" si="3"/>
        <v>1773.4978209017493</v>
      </c>
      <c r="AG92">
        <f t="shared" si="3"/>
        <v>1773.4978209017493</v>
      </c>
      <c r="AH92">
        <f t="shared" si="3"/>
        <v>1773.4978209017493</v>
      </c>
      <c r="AI92">
        <f t="shared" si="3"/>
        <v>1773.4978209017493</v>
      </c>
      <c r="AJ92">
        <f t="shared" si="3"/>
        <v>1773.4978209017493</v>
      </c>
      <c r="AK92">
        <f t="shared" si="3"/>
        <v>1773.4978209017493</v>
      </c>
      <c r="AL92">
        <f t="shared" si="3"/>
        <v>1773.4978209017493</v>
      </c>
      <c r="AM92">
        <f t="shared" si="3"/>
        <v>1773.4978209017493</v>
      </c>
      <c r="AN92">
        <f t="shared" si="3"/>
        <v>1773.4978209017493</v>
      </c>
      <c r="AO92">
        <f t="shared" si="3"/>
        <v>1773.4978209017493</v>
      </c>
      <c r="AP92">
        <f t="shared" si="3"/>
        <v>1773.4978209017493</v>
      </c>
      <c r="AQ92">
        <f t="shared" si="3"/>
        <v>1773.4978209017493</v>
      </c>
      <c r="AR92">
        <f t="shared" si="3"/>
        <v>1773.4978209017493</v>
      </c>
      <c r="AS92">
        <f t="shared" si="3"/>
        <v>1773.4978209017493</v>
      </c>
      <c r="AT92">
        <f t="shared" si="3"/>
        <v>1773.4978209017493</v>
      </c>
      <c r="AU92">
        <f t="shared" si="3"/>
        <v>1773.4978209017493</v>
      </c>
      <c r="AV92">
        <f t="shared" si="3"/>
        <v>1773.4978209017493</v>
      </c>
      <c r="AW92">
        <f t="shared" si="3"/>
        <v>1773.4978209017493</v>
      </c>
      <c r="AX92">
        <f t="shared" si="3"/>
        <v>1773.4978209017493</v>
      </c>
    </row>
    <row r="93" spans="2:50" x14ac:dyDescent="0.2">
      <c r="B93" s="105" t="s">
        <v>109</v>
      </c>
      <c r="C93">
        <f t="shared" si="4"/>
        <v>1492.7924366725895</v>
      </c>
      <c r="D93">
        <f t="shared" si="4"/>
        <v>1492.7924366725895</v>
      </c>
      <c r="E93">
        <f t="shared" si="4"/>
        <v>1492.7924366725895</v>
      </c>
      <c r="F93">
        <f t="shared" si="4"/>
        <v>1492.7924366725895</v>
      </c>
      <c r="G93">
        <f t="shared" si="4"/>
        <v>1492.7924366725895</v>
      </c>
      <c r="H93">
        <f t="shared" si="4"/>
        <v>1492.7924366725895</v>
      </c>
      <c r="I93">
        <f t="shared" si="4"/>
        <v>1492.7924366725895</v>
      </c>
      <c r="J93">
        <f t="shared" si="4"/>
        <v>1492.7924366725895</v>
      </c>
      <c r="K93">
        <f t="shared" si="4"/>
        <v>1492.7924366725895</v>
      </c>
      <c r="L93">
        <f t="shared" si="4"/>
        <v>1492.7924366725895</v>
      </c>
      <c r="M93">
        <f t="shared" si="4"/>
        <v>1492.7924366725895</v>
      </c>
      <c r="N93">
        <f t="shared" si="4"/>
        <v>1492.7924366725895</v>
      </c>
      <c r="O93">
        <f t="shared" si="4"/>
        <v>1492.7924366725895</v>
      </c>
      <c r="P93">
        <f t="shared" si="4"/>
        <v>1492.7924366725895</v>
      </c>
      <c r="Q93">
        <f t="shared" si="4"/>
        <v>1492.7924366725895</v>
      </c>
      <c r="R93">
        <f t="shared" si="4"/>
        <v>1492.7924366725895</v>
      </c>
      <c r="S93">
        <f t="shared" si="3"/>
        <v>1492.7924366725895</v>
      </c>
      <c r="T93">
        <f t="shared" si="3"/>
        <v>1492.7924366725895</v>
      </c>
      <c r="U93">
        <f t="shared" si="3"/>
        <v>1492.7924366725895</v>
      </c>
      <c r="V93">
        <f t="shared" si="3"/>
        <v>1492.7924366725895</v>
      </c>
      <c r="W93">
        <f t="shared" si="3"/>
        <v>1492.7924366725895</v>
      </c>
      <c r="X93">
        <f t="shared" si="3"/>
        <v>1492.7924366725895</v>
      </c>
      <c r="Y93">
        <f t="shared" si="3"/>
        <v>1492.7924366725895</v>
      </c>
      <c r="Z93">
        <f t="shared" si="3"/>
        <v>1492.7924366725895</v>
      </c>
      <c r="AA93">
        <f t="shared" si="3"/>
        <v>1492.7924366725895</v>
      </c>
      <c r="AB93">
        <f t="shared" si="3"/>
        <v>1492.7924366725895</v>
      </c>
      <c r="AC93">
        <f t="shared" si="3"/>
        <v>1492.7924366725895</v>
      </c>
      <c r="AD93">
        <f t="shared" si="3"/>
        <v>1492.7924366725895</v>
      </c>
      <c r="AE93">
        <f t="shared" si="3"/>
        <v>1492.7924366725895</v>
      </c>
      <c r="AF93">
        <f t="shared" si="3"/>
        <v>1492.7924366725895</v>
      </c>
      <c r="AG93">
        <f t="shared" si="3"/>
        <v>1492.7924366725895</v>
      </c>
      <c r="AH93">
        <f t="shared" si="3"/>
        <v>1492.7924366725895</v>
      </c>
      <c r="AI93">
        <f t="shared" si="3"/>
        <v>1492.7924366725895</v>
      </c>
      <c r="AJ93">
        <f t="shared" si="3"/>
        <v>1492.7924366725895</v>
      </c>
      <c r="AK93">
        <f t="shared" si="3"/>
        <v>1492.7924366725895</v>
      </c>
      <c r="AL93">
        <f t="shared" si="3"/>
        <v>1492.7924366725895</v>
      </c>
      <c r="AM93">
        <f t="shared" si="3"/>
        <v>1492.7924366725895</v>
      </c>
      <c r="AN93">
        <f t="shared" si="3"/>
        <v>1492.7924366725895</v>
      </c>
      <c r="AO93">
        <f t="shared" si="3"/>
        <v>1492.7924366725895</v>
      </c>
      <c r="AP93">
        <f t="shared" si="3"/>
        <v>1492.7924366725895</v>
      </c>
      <c r="AQ93">
        <f t="shared" si="3"/>
        <v>1492.7924366725895</v>
      </c>
      <c r="AR93">
        <f t="shared" si="3"/>
        <v>1492.7924366725895</v>
      </c>
      <c r="AS93">
        <f t="shared" si="3"/>
        <v>1492.7924366725895</v>
      </c>
      <c r="AT93">
        <f t="shared" si="3"/>
        <v>1492.7924366725895</v>
      </c>
      <c r="AU93">
        <f t="shared" si="3"/>
        <v>1492.7924366725895</v>
      </c>
      <c r="AV93">
        <f t="shared" si="3"/>
        <v>1492.7924366725895</v>
      </c>
      <c r="AW93">
        <f t="shared" si="3"/>
        <v>1492.7924366725895</v>
      </c>
      <c r="AX93">
        <f t="shared" si="3"/>
        <v>1492.7924366725895</v>
      </c>
    </row>
    <row r="94" spans="2:50" x14ac:dyDescent="0.2">
      <c r="B94" s="106"/>
    </row>
    <row r="95" spans="2:50" x14ac:dyDescent="0.2">
      <c r="B95" s="53" t="s">
        <v>335</v>
      </c>
    </row>
    <row r="96" spans="2:50" x14ac:dyDescent="0.2">
      <c r="B96" s="29"/>
      <c r="C96" s="109" t="s">
        <v>92</v>
      </c>
      <c r="D96" s="106"/>
      <c r="E96" s="106"/>
      <c r="F96" s="106"/>
      <c r="G96" s="109" t="s">
        <v>93</v>
      </c>
      <c r="H96" s="106"/>
      <c r="I96" s="106"/>
      <c r="J96" s="106"/>
      <c r="K96" s="109" t="s">
        <v>94</v>
      </c>
      <c r="L96" s="106"/>
      <c r="M96" s="106"/>
      <c r="N96" s="106"/>
      <c r="O96" s="109" t="s">
        <v>95</v>
      </c>
      <c r="P96" s="106"/>
      <c r="Q96" s="106"/>
      <c r="R96" s="106"/>
      <c r="S96" s="109" t="s">
        <v>96</v>
      </c>
      <c r="T96" s="106"/>
      <c r="U96" s="106"/>
      <c r="V96" s="106"/>
      <c r="W96" s="109" t="s">
        <v>97</v>
      </c>
      <c r="X96" s="106"/>
      <c r="Y96" s="106"/>
      <c r="Z96" s="106"/>
      <c r="AA96" s="109" t="s">
        <v>98</v>
      </c>
      <c r="AB96" s="106"/>
      <c r="AC96" s="106"/>
      <c r="AD96" s="106"/>
      <c r="AE96" s="109" t="s">
        <v>99</v>
      </c>
      <c r="AF96" s="106"/>
      <c r="AG96" s="106"/>
      <c r="AH96" s="106"/>
      <c r="AI96" s="109" t="s">
        <v>100</v>
      </c>
      <c r="AJ96" s="106"/>
      <c r="AK96" s="106"/>
      <c r="AL96" s="106"/>
      <c r="AM96" s="109" t="s">
        <v>101</v>
      </c>
      <c r="AN96" s="106"/>
      <c r="AO96" s="106"/>
      <c r="AP96" s="106"/>
      <c r="AQ96" s="109" t="s">
        <v>102</v>
      </c>
      <c r="AR96" s="106"/>
      <c r="AS96" s="106"/>
      <c r="AT96" s="106"/>
      <c r="AU96" s="109" t="s">
        <v>103</v>
      </c>
      <c r="AV96" s="106"/>
      <c r="AW96" s="106"/>
    </row>
    <row r="97" spans="1:50" x14ac:dyDescent="0.2">
      <c r="A97" s="177" t="s">
        <v>121</v>
      </c>
      <c r="B97" s="177" t="s">
        <v>336</v>
      </c>
      <c r="C97" s="109">
        <v>1</v>
      </c>
      <c r="D97" s="109">
        <v>2</v>
      </c>
      <c r="E97" s="109">
        <v>3</v>
      </c>
      <c r="F97" s="109">
        <v>4</v>
      </c>
      <c r="G97" s="109">
        <v>1</v>
      </c>
      <c r="H97" s="109">
        <v>2</v>
      </c>
      <c r="I97" s="109">
        <v>3</v>
      </c>
      <c r="J97" s="109">
        <v>4</v>
      </c>
      <c r="K97" s="109">
        <v>1</v>
      </c>
      <c r="L97" s="109">
        <v>2</v>
      </c>
      <c r="M97" s="109">
        <v>3</v>
      </c>
      <c r="N97" s="109">
        <v>4</v>
      </c>
      <c r="O97" s="109">
        <v>1</v>
      </c>
      <c r="P97" s="109">
        <v>2</v>
      </c>
      <c r="Q97" s="109">
        <v>3</v>
      </c>
      <c r="R97" s="109">
        <v>4</v>
      </c>
      <c r="S97" s="109">
        <v>1</v>
      </c>
      <c r="T97" s="109">
        <v>2</v>
      </c>
      <c r="U97" s="109">
        <v>3</v>
      </c>
      <c r="V97" s="109">
        <v>4</v>
      </c>
      <c r="W97" s="109">
        <v>1</v>
      </c>
      <c r="X97" s="109">
        <v>2</v>
      </c>
      <c r="Y97" s="109">
        <v>3</v>
      </c>
      <c r="Z97" s="109">
        <v>4</v>
      </c>
      <c r="AA97" s="109">
        <v>1</v>
      </c>
      <c r="AB97" s="109">
        <v>2</v>
      </c>
      <c r="AC97" s="109">
        <v>3</v>
      </c>
      <c r="AD97" s="109">
        <v>4</v>
      </c>
      <c r="AE97" s="109">
        <v>1</v>
      </c>
      <c r="AF97" s="109">
        <v>2</v>
      </c>
      <c r="AG97" s="109">
        <v>3</v>
      </c>
      <c r="AH97" s="109">
        <v>4</v>
      </c>
      <c r="AI97" s="109">
        <v>1</v>
      </c>
      <c r="AJ97" s="109">
        <v>2</v>
      </c>
      <c r="AK97" s="109">
        <v>3</v>
      </c>
      <c r="AL97" s="109">
        <v>4</v>
      </c>
      <c r="AM97" s="109">
        <v>1</v>
      </c>
      <c r="AN97" s="109">
        <v>2</v>
      </c>
      <c r="AO97" s="109">
        <v>3</v>
      </c>
      <c r="AP97" s="109">
        <v>4</v>
      </c>
      <c r="AQ97" s="109">
        <v>1</v>
      </c>
      <c r="AR97" s="109">
        <v>2</v>
      </c>
      <c r="AS97" s="109">
        <v>3</v>
      </c>
      <c r="AT97" s="109">
        <v>4</v>
      </c>
      <c r="AU97" s="109">
        <v>1</v>
      </c>
      <c r="AV97" s="109">
        <v>2</v>
      </c>
      <c r="AW97" s="109">
        <v>3</v>
      </c>
      <c r="AX97" s="109">
        <v>4</v>
      </c>
    </row>
    <row r="98" spans="1:50" x14ac:dyDescent="0.2">
      <c r="A98" s="109" t="s">
        <v>104</v>
      </c>
      <c r="B98" s="109" t="s">
        <v>5</v>
      </c>
      <c r="C98">
        <v>47819.034155369998</v>
      </c>
      <c r="D98">
        <v>47819.034155369998</v>
      </c>
      <c r="E98">
        <v>47819.034155369998</v>
      </c>
      <c r="F98">
        <v>47819.034155369998</v>
      </c>
      <c r="G98">
        <v>47819.034155369998</v>
      </c>
      <c r="H98">
        <v>47819.034155369998</v>
      </c>
      <c r="I98">
        <v>47819.034155369998</v>
      </c>
      <c r="J98">
        <v>47819.034155369998</v>
      </c>
      <c r="K98">
        <v>47819.034155369998</v>
      </c>
      <c r="L98">
        <v>47819.034155369998</v>
      </c>
      <c r="M98">
        <v>47819.034155369998</v>
      </c>
      <c r="N98">
        <v>47819.034155369998</v>
      </c>
      <c r="O98">
        <v>47819.034155369998</v>
      </c>
      <c r="P98">
        <v>47819.034155369998</v>
      </c>
      <c r="Q98">
        <v>47819.034155369998</v>
      </c>
      <c r="R98">
        <v>47819.034155369998</v>
      </c>
      <c r="S98">
        <v>47819.034155369998</v>
      </c>
      <c r="T98">
        <v>47819.034155369998</v>
      </c>
      <c r="U98">
        <v>47819.034155369998</v>
      </c>
      <c r="V98">
        <v>47819.034155369998</v>
      </c>
      <c r="W98">
        <v>47819.034155369998</v>
      </c>
      <c r="X98">
        <v>47819.034155369998</v>
      </c>
      <c r="Y98">
        <v>47819.034155369998</v>
      </c>
      <c r="Z98">
        <v>47819.034155369998</v>
      </c>
      <c r="AA98">
        <v>47819.034155369998</v>
      </c>
      <c r="AB98">
        <v>47819.034155369998</v>
      </c>
      <c r="AC98">
        <v>47819.034155369998</v>
      </c>
      <c r="AD98">
        <v>47819.034155369998</v>
      </c>
      <c r="AE98">
        <v>47819.034155369998</v>
      </c>
      <c r="AF98">
        <v>47819.034155369998</v>
      </c>
      <c r="AG98">
        <v>47819.034155369998</v>
      </c>
      <c r="AH98">
        <v>47819.034155369998</v>
      </c>
      <c r="AI98">
        <v>47819.034155369998</v>
      </c>
      <c r="AJ98">
        <v>47819.034155369998</v>
      </c>
      <c r="AK98">
        <v>47819.034155369998</v>
      </c>
      <c r="AL98">
        <v>47819.034155369998</v>
      </c>
      <c r="AM98">
        <v>47819.034155369998</v>
      </c>
      <c r="AN98">
        <v>47819.034155369998</v>
      </c>
      <c r="AO98">
        <v>47819.034155369998</v>
      </c>
      <c r="AP98">
        <v>47819.034155369998</v>
      </c>
      <c r="AQ98">
        <v>47819.034155369998</v>
      </c>
      <c r="AR98">
        <v>47819.034155369998</v>
      </c>
      <c r="AS98">
        <v>47819.034155369998</v>
      </c>
      <c r="AT98">
        <v>47819.034155369998</v>
      </c>
      <c r="AU98">
        <v>47819.034155369998</v>
      </c>
      <c r="AV98">
        <v>47819.034155369998</v>
      </c>
      <c r="AW98">
        <v>47819.034155369998</v>
      </c>
      <c r="AX98">
        <v>47819.034155369998</v>
      </c>
    </row>
    <row r="99" spans="1:50" x14ac:dyDescent="0.2">
      <c r="B99" s="109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09" t="s">
        <v>12</v>
      </c>
      <c r="C100">
        <v>327383.90640329575</v>
      </c>
      <c r="D100">
        <v>327383.90640329575</v>
      </c>
      <c r="E100">
        <v>327383.90640329575</v>
      </c>
      <c r="F100">
        <v>327383.90640329575</v>
      </c>
      <c r="G100">
        <v>327383.90640329575</v>
      </c>
      <c r="H100">
        <v>327383.90640329575</v>
      </c>
      <c r="I100">
        <v>327383.90640329575</v>
      </c>
      <c r="J100">
        <v>327383.90640329575</v>
      </c>
      <c r="K100">
        <v>327383.90640329575</v>
      </c>
      <c r="L100">
        <v>327383.90640329575</v>
      </c>
      <c r="M100">
        <v>327383.90640329575</v>
      </c>
      <c r="N100">
        <v>327383.90640329575</v>
      </c>
      <c r="O100">
        <v>327383.90640329575</v>
      </c>
      <c r="P100">
        <v>327383.90640329575</v>
      </c>
      <c r="Q100">
        <v>327383.90640329575</v>
      </c>
      <c r="R100">
        <v>327383.90640329575</v>
      </c>
      <c r="S100">
        <v>327383.90640329575</v>
      </c>
      <c r="T100">
        <v>327383.90640329575</v>
      </c>
      <c r="U100">
        <v>327383.90640329575</v>
      </c>
      <c r="V100">
        <v>327383.90640329575</v>
      </c>
      <c r="W100">
        <v>327383.90640329575</v>
      </c>
      <c r="X100">
        <v>327383.90640329575</v>
      </c>
      <c r="Y100">
        <v>327383.90640329575</v>
      </c>
      <c r="Z100">
        <v>327383.90640329575</v>
      </c>
      <c r="AA100">
        <v>327383.90640329575</v>
      </c>
      <c r="AB100">
        <v>327383.90640329575</v>
      </c>
      <c r="AC100">
        <v>327383.90640329575</v>
      </c>
      <c r="AD100">
        <v>327383.90640329575</v>
      </c>
      <c r="AE100">
        <v>327383.90640329575</v>
      </c>
      <c r="AF100">
        <v>327383.90640329575</v>
      </c>
      <c r="AG100">
        <v>327383.90640329575</v>
      </c>
      <c r="AH100">
        <v>327383.90640329575</v>
      </c>
      <c r="AI100">
        <v>327383.90640329575</v>
      </c>
      <c r="AJ100">
        <v>327383.90640329575</v>
      </c>
      <c r="AK100">
        <v>327383.90640329575</v>
      </c>
      <c r="AL100">
        <v>327383.90640329575</v>
      </c>
      <c r="AM100">
        <v>327383.90640329575</v>
      </c>
      <c r="AN100">
        <v>327383.90640329575</v>
      </c>
      <c r="AO100">
        <v>327383.90640329575</v>
      </c>
      <c r="AP100">
        <v>327383.90640329575</v>
      </c>
      <c r="AQ100">
        <v>327383.90640329575</v>
      </c>
      <c r="AR100">
        <v>327383.90640329575</v>
      </c>
      <c r="AS100">
        <v>327383.90640329575</v>
      </c>
      <c r="AT100">
        <v>327383.90640329575</v>
      </c>
      <c r="AU100">
        <v>327383.90640329575</v>
      </c>
      <c r="AV100">
        <v>327383.90640329575</v>
      </c>
      <c r="AW100">
        <v>327383.90640329575</v>
      </c>
      <c r="AX100">
        <v>327383.90640329575</v>
      </c>
    </row>
    <row r="101" spans="1:50" x14ac:dyDescent="0.2">
      <c r="B101" s="109" t="s">
        <v>22</v>
      </c>
      <c r="C101">
        <v>523120.65049325192</v>
      </c>
      <c r="D101">
        <v>523120.65049325192</v>
      </c>
      <c r="E101">
        <v>523120.65049325192</v>
      </c>
      <c r="F101">
        <v>523120.65049325192</v>
      </c>
      <c r="G101">
        <v>523120.65049325192</v>
      </c>
      <c r="H101">
        <v>523120.65049325192</v>
      </c>
      <c r="I101">
        <v>523120.65049325192</v>
      </c>
      <c r="J101">
        <v>523120.65049325192</v>
      </c>
      <c r="K101">
        <v>523120.65049325192</v>
      </c>
      <c r="L101">
        <v>523120.65049325192</v>
      </c>
      <c r="M101">
        <v>523120.65049325192</v>
      </c>
      <c r="N101">
        <v>523120.65049325192</v>
      </c>
      <c r="O101">
        <v>523120.65049325192</v>
      </c>
      <c r="P101">
        <v>523120.65049325192</v>
      </c>
      <c r="Q101">
        <v>523120.65049325192</v>
      </c>
      <c r="R101">
        <v>523120.65049325192</v>
      </c>
      <c r="S101">
        <v>523120.65049325192</v>
      </c>
      <c r="T101">
        <v>523120.65049325192</v>
      </c>
      <c r="U101">
        <v>523120.65049325192</v>
      </c>
      <c r="V101">
        <v>523120.65049325192</v>
      </c>
      <c r="W101">
        <v>523120.65049325192</v>
      </c>
      <c r="X101">
        <v>523120.65049325192</v>
      </c>
      <c r="Y101">
        <v>523120.65049325192</v>
      </c>
      <c r="Z101">
        <v>523120.65049325192</v>
      </c>
      <c r="AA101">
        <v>523120.65049325192</v>
      </c>
      <c r="AB101">
        <v>523120.65049325192</v>
      </c>
      <c r="AC101">
        <v>523120.65049325192</v>
      </c>
      <c r="AD101">
        <v>523120.65049325192</v>
      </c>
      <c r="AE101">
        <v>523120.65049325192</v>
      </c>
      <c r="AF101">
        <v>523120.65049325192</v>
      </c>
      <c r="AG101">
        <v>523120.65049325192</v>
      </c>
      <c r="AH101">
        <v>523120.65049325192</v>
      </c>
      <c r="AI101">
        <v>523120.65049325192</v>
      </c>
      <c r="AJ101">
        <v>523120.65049325192</v>
      </c>
      <c r="AK101">
        <v>523120.65049325192</v>
      </c>
      <c r="AL101">
        <v>523120.65049325192</v>
      </c>
      <c r="AM101">
        <v>523120.65049325192</v>
      </c>
      <c r="AN101">
        <v>523120.65049325192</v>
      </c>
      <c r="AO101">
        <v>523120.65049325192</v>
      </c>
      <c r="AP101">
        <v>523120.65049325192</v>
      </c>
      <c r="AQ101">
        <v>523120.65049325192</v>
      </c>
      <c r="AR101">
        <v>523120.65049325192</v>
      </c>
      <c r="AS101">
        <v>523120.65049325192</v>
      </c>
      <c r="AT101">
        <v>523120.65049325192</v>
      </c>
      <c r="AU101">
        <v>523120.65049325192</v>
      </c>
      <c r="AV101">
        <v>523120.65049325192</v>
      </c>
      <c r="AW101">
        <v>523120.65049325192</v>
      </c>
      <c r="AX101">
        <v>523120.65049325192</v>
      </c>
    </row>
    <row r="102" spans="1:50" x14ac:dyDescent="0.2">
      <c r="B102" s="109" t="s">
        <v>59</v>
      </c>
      <c r="C102">
        <v>1107388.2173106999</v>
      </c>
      <c r="D102">
        <v>1107388.2173106999</v>
      </c>
      <c r="E102">
        <v>1107388.2173106999</v>
      </c>
      <c r="F102">
        <v>1107388.2173106999</v>
      </c>
      <c r="G102">
        <v>1107388.2173106999</v>
      </c>
      <c r="H102">
        <v>1107388.2173106999</v>
      </c>
      <c r="I102">
        <v>1107388.2173106999</v>
      </c>
      <c r="J102">
        <v>1107388.2173106999</v>
      </c>
      <c r="K102">
        <v>1107388.2173106999</v>
      </c>
      <c r="L102">
        <v>1107388.2173106999</v>
      </c>
      <c r="M102">
        <v>1107388.2173106999</v>
      </c>
      <c r="N102">
        <v>1107388.2173106999</v>
      </c>
      <c r="O102">
        <v>1107388.2173106999</v>
      </c>
      <c r="P102">
        <v>1107388.2173106999</v>
      </c>
      <c r="Q102">
        <v>1107388.2173106999</v>
      </c>
      <c r="R102">
        <v>1107388.2173106999</v>
      </c>
      <c r="S102">
        <v>1107388.2173106999</v>
      </c>
      <c r="T102">
        <v>1107388.2173106999</v>
      </c>
      <c r="U102">
        <v>1107388.2173106999</v>
      </c>
      <c r="V102">
        <v>1107388.2173106999</v>
      </c>
      <c r="W102">
        <v>1107388.2173106999</v>
      </c>
      <c r="X102">
        <v>1107388.2173106999</v>
      </c>
      <c r="Y102">
        <v>1107388.2173106999</v>
      </c>
      <c r="Z102">
        <v>1107388.2173106999</v>
      </c>
      <c r="AA102">
        <v>1107388.2173106999</v>
      </c>
      <c r="AB102">
        <v>1107388.2173106999</v>
      </c>
      <c r="AC102">
        <v>1107388.2173106999</v>
      </c>
      <c r="AD102">
        <v>1107388.2173106999</v>
      </c>
      <c r="AE102">
        <v>1107388.2173106999</v>
      </c>
      <c r="AF102">
        <v>1107388.2173106999</v>
      </c>
      <c r="AG102">
        <v>1107388.2173106999</v>
      </c>
      <c r="AH102">
        <v>1107388.2173106999</v>
      </c>
      <c r="AI102">
        <v>1107388.2173106999</v>
      </c>
      <c r="AJ102">
        <v>1107388.2173106999</v>
      </c>
      <c r="AK102">
        <v>1107388.2173106999</v>
      </c>
      <c r="AL102">
        <v>1107388.2173106999</v>
      </c>
      <c r="AM102">
        <v>1107388.2173106999</v>
      </c>
      <c r="AN102">
        <v>1107388.2173106999</v>
      </c>
      <c r="AO102">
        <v>1107388.2173106999</v>
      </c>
      <c r="AP102">
        <v>1107388.2173106999</v>
      </c>
      <c r="AQ102">
        <v>1107388.2173106999</v>
      </c>
      <c r="AR102">
        <v>1107388.2173106999</v>
      </c>
      <c r="AS102">
        <v>1107388.2173106999</v>
      </c>
      <c r="AT102">
        <v>1107388.2173106999</v>
      </c>
      <c r="AU102">
        <v>1107388.2173106999</v>
      </c>
      <c r="AV102">
        <v>1107388.2173106999</v>
      </c>
      <c r="AW102">
        <v>1107388.2173106999</v>
      </c>
      <c r="AX102">
        <v>1107388.2173106999</v>
      </c>
    </row>
    <row r="103" spans="1:50" x14ac:dyDescent="0.2">
      <c r="B103" t="s">
        <v>278</v>
      </c>
      <c r="C103" s="109">
        <f>SUM(C$98:C$102)</f>
        <v>2005711.8083626176</v>
      </c>
      <c r="D103" s="109">
        <f t="shared" ref="D103:AX103" si="5">SUM(D$98:D$102)</f>
        <v>2005711.8083626176</v>
      </c>
      <c r="E103" s="109">
        <f t="shared" si="5"/>
        <v>2005711.8083626176</v>
      </c>
      <c r="F103" s="109">
        <f t="shared" si="5"/>
        <v>2005711.8083626176</v>
      </c>
      <c r="G103" s="109">
        <f t="shared" si="5"/>
        <v>2005711.8083626176</v>
      </c>
      <c r="H103" s="109">
        <f t="shared" si="5"/>
        <v>2005711.8083626176</v>
      </c>
      <c r="I103" s="109">
        <f t="shared" si="5"/>
        <v>2005711.8083626176</v>
      </c>
      <c r="J103" s="109">
        <f t="shared" si="5"/>
        <v>2005711.8083626176</v>
      </c>
      <c r="K103" s="109">
        <f t="shared" si="5"/>
        <v>2005711.8083626176</v>
      </c>
      <c r="L103" s="109">
        <f t="shared" si="5"/>
        <v>2005711.8083626176</v>
      </c>
      <c r="M103" s="109">
        <f t="shared" si="5"/>
        <v>2005711.8083626176</v>
      </c>
      <c r="N103" s="109">
        <f t="shared" si="5"/>
        <v>2005711.8083626176</v>
      </c>
      <c r="O103" s="109">
        <f t="shared" si="5"/>
        <v>2005711.8083626176</v>
      </c>
      <c r="P103" s="109">
        <f t="shared" si="5"/>
        <v>2005711.8083626176</v>
      </c>
      <c r="Q103" s="109">
        <f t="shared" si="5"/>
        <v>2005711.8083626176</v>
      </c>
      <c r="R103" s="109">
        <f t="shared" si="5"/>
        <v>2005711.8083626176</v>
      </c>
      <c r="S103" s="109">
        <f t="shared" si="5"/>
        <v>2005711.8083626176</v>
      </c>
      <c r="T103" s="109">
        <f t="shared" si="5"/>
        <v>2005711.8083626176</v>
      </c>
      <c r="U103" s="109">
        <f t="shared" si="5"/>
        <v>2005711.8083626176</v>
      </c>
      <c r="V103" s="109">
        <f t="shared" si="5"/>
        <v>2005711.8083626176</v>
      </c>
      <c r="W103" s="109">
        <f t="shared" si="5"/>
        <v>2005711.8083626176</v>
      </c>
      <c r="X103" s="109">
        <f t="shared" si="5"/>
        <v>2005711.8083626176</v>
      </c>
      <c r="Y103" s="109">
        <f t="shared" si="5"/>
        <v>2005711.8083626176</v>
      </c>
      <c r="Z103" s="109">
        <f t="shared" si="5"/>
        <v>2005711.8083626176</v>
      </c>
      <c r="AA103" s="109">
        <f t="shared" si="5"/>
        <v>2005711.8083626176</v>
      </c>
      <c r="AB103" s="109">
        <f t="shared" si="5"/>
        <v>2005711.8083626176</v>
      </c>
      <c r="AC103" s="109">
        <f t="shared" si="5"/>
        <v>2005711.8083626176</v>
      </c>
      <c r="AD103" s="109">
        <f t="shared" si="5"/>
        <v>2005711.8083626176</v>
      </c>
      <c r="AE103" s="109">
        <f t="shared" si="5"/>
        <v>2005711.8083626176</v>
      </c>
      <c r="AF103" s="109">
        <f t="shared" si="5"/>
        <v>2005711.8083626176</v>
      </c>
      <c r="AG103" s="109">
        <f t="shared" si="5"/>
        <v>2005711.8083626176</v>
      </c>
      <c r="AH103" s="109">
        <f t="shared" si="5"/>
        <v>2005711.8083626176</v>
      </c>
      <c r="AI103" s="109">
        <f t="shared" si="5"/>
        <v>2005711.8083626176</v>
      </c>
      <c r="AJ103" s="109">
        <f t="shared" si="5"/>
        <v>2005711.8083626176</v>
      </c>
      <c r="AK103" s="109">
        <f t="shared" si="5"/>
        <v>2005711.8083626176</v>
      </c>
      <c r="AL103" s="109">
        <f t="shared" si="5"/>
        <v>2005711.8083626176</v>
      </c>
      <c r="AM103" s="109">
        <f t="shared" si="5"/>
        <v>2005711.8083626176</v>
      </c>
      <c r="AN103" s="109">
        <f t="shared" si="5"/>
        <v>2005711.8083626176</v>
      </c>
      <c r="AO103" s="109">
        <f t="shared" si="5"/>
        <v>2005711.8083626176</v>
      </c>
      <c r="AP103" s="109">
        <f t="shared" si="5"/>
        <v>2005711.8083626176</v>
      </c>
      <c r="AQ103" s="109">
        <f t="shared" si="5"/>
        <v>2005711.8083626176</v>
      </c>
      <c r="AR103" s="109">
        <f t="shared" si="5"/>
        <v>2005711.8083626176</v>
      </c>
      <c r="AS103" s="109">
        <f t="shared" si="5"/>
        <v>2005711.8083626176</v>
      </c>
      <c r="AT103" s="109">
        <f t="shared" si="5"/>
        <v>2005711.8083626176</v>
      </c>
      <c r="AU103" s="109">
        <f t="shared" si="5"/>
        <v>2005711.8083626176</v>
      </c>
      <c r="AV103" s="109">
        <f t="shared" si="5"/>
        <v>2005711.8083626176</v>
      </c>
      <c r="AW103" s="109">
        <f t="shared" si="5"/>
        <v>2005711.8083626176</v>
      </c>
      <c r="AX103" s="109">
        <f t="shared" si="5"/>
        <v>2005711.8083626176</v>
      </c>
    </row>
    <row r="104" spans="1:50" x14ac:dyDescent="0.2">
      <c r="A104" s="109" t="s">
        <v>105</v>
      </c>
      <c r="B104" s="109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09" t="s">
        <v>10</v>
      </c>
      <c r="C105">
        <v>48866.335666237552</v>
      </c>
      <c r="D105">
        <v>48866.335666237552</v>
      </c>
      <c r="E105">
        <v>48866.335666237552</v>
      </c>
      <c r="F105">
        <v>48866.335666237552</v>
      </c>
      <c r="G105">
        <v>41784.350467266348</v>
      </c>
      <c r="H105">
        <v>48866.335666237552</v>
      </c>
      <c r="I105">
        <v>48866.335666237552</v>
      </c>
      <c r="J105">
        <v>48866.335666237552</v>
      </c>
      <c r="K105">
        <v>48866.335666237552</v>
      </c>
      <c r="L105">
        <v>48866.335666237552</v>
      </c>
      <c r="M105">
        <v>48866.335666237552</v>
      </c>
      <c r="N105">
        <v>48866.335666237552</v>
      </c>
      <c r="O105">
        <v>48866.335666237552</v>
      </c>
      <c r="P105">
        <v>48866.335666237552</v>
      </c>
      <c r="Q105">
        <v>48866.335666237552</v>
      </c>
      <c r="R105">
        <v>48866.335666237552</v>
      </c>
      <c r="S105">
        <v>48866.335666237552</v>
      </c>
      <c r="T105">
        <v>48866.335666237552</v>
      </c>
      <c r="U105">
        <v>48866.335666237552</v>
      </c>
      <c r="V105">
        <v>48866.335666237552</v>
      </c>
      <c r="W105">
        <v>48866.335666237552</v>
      </c>
      <c r="X105">
        <v>48866.335666237552</v>
      </c>
      <c r="Y105">
        <v>48866.335666237552</v>
      </c>
      <c r="Z105">
        <v>48866.335666237552</v>
      </c>
      <c r="AA105">
        <v>48866.335666237552</v>
      </c>
      <c r="AB105">
        <v>48866.335666237552</v>
      </c>
      <c r="AC105">
        <v>48866.335666237552</v>
      </c>
      <c r="AD105">
        <v>48866.335666237552</v>
      </c>
      <c r="AE105">
        <v>48866.335666237552</v>
      </c>
      <c r="AF105">
        <v>48866.335666237552</v>
      </c>
      <c r="AG105">
        <v>48866.335666237552</v>
      </c>
      <c r="AH105">
        <v>48866.335666237552</v>
      </c>
      <c r="AI105">
        <v>48866.335666237552</v>
      </c>
      <c r="AJ105">
        <v>48866.335666237552</v>
      </c>
      <c r="AK105">
        <v>48866.335666237552</v>
      </c>
      <c r="AL105">
        <v>48866.335666237552</v>
      </c>
      <c r="AM105">
        <v>48866.335666237552</v>
      </c>
      <c r="AN105">
        <v>48866.335666237552</v>
      </c>
      <c r="AO105">
        <v>48866.335666237552</v>
      </c>
      <c r="AP105">
        <v>48866.335666237552</v>
      </c>
      <c r="AQ105">
        <v>48866.335666237552</v>
      </c>
      <c r="AR105">
        <v>48866.335666237552</v>
      </c>
      <c r="AS105">
        <v>45072.84579315305</v>
      </c>
      <c r="AT105">
        <v>48866.335666237552</v>
      </c>
      <c r="AU105">
        <v>48866.335666237552</v>
      </c>
      <c r="AV105">
        <v>48866.335666237552</v>
      </c>
      <c r="AW105">
        <v>48866.335666237552</v>
      </c>
      <c r="AX105">
        <v>48866.335666237552</v>
      </c>
    </row>
    <row r="106" spans="1:50" x14ac:dyDescent="0.2">
      <c r="B106" s="109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09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09" t="s">
        <v>59</v>
      </c>
      <c r="C108">
        <v>670034.34014340199</v>
      </c>
      <c r="D108">
        <v>670034.34014340199</v>
      </c>
      <c r="E108">
        <v>670034.34014340199</v>
      </c>
      <c r="F108">
        <v>670034.34014340199</v>
      </c>
      <c r="G108">
        <v>572929.18144871143</v>
      </c>
      <c r="H108">
        <v>670034.34014340199</v>
      </c>
      <c r="I108">
        <v>670034.34014340199</v>
      </c>
      <c r="J108">
        <v>670034.34014340199</v>
      </c>
      <c r="K108">
        <v>670034.34014340199</v>
      </c>
      <c r="L108">
        <v>670034.34014340199</v>
      </c>
      <c r="M108">
        <v>670034.34014340199</v>
      </c>
      <c r="N108">
        <v>670034.34014340199</v>
      </c>
      <c r="O108">
        <v>670034.34014340199</v>
      </c>
      <c r="P108">
        <v>670034.34014340199</v>
      </c>
      <c r="Q108">
        <v>670034.34014340199</v>
      </c>
      <c r="R108">
        <v>670034.34014340199</v>
      </c>
      <c r="S108">
        <v>670034.34014340199</v>
      </c>
      <c r="T108">
        <v>670034.34014340199</v>
      </c>
      <c r="U108">
        <v>670034.34014340199</v>
      </c>
      <c r="V108">
        <v>670034.34014340199</v>
      </c>
      <c r="W108">
        <v>670034.34014340199</v>
      </c>
      <c r="X108">
        <v>670034.34014340199</v>
      </c>
      <c r="Y108">
        <v>670034.34014340199</v>
      </c>
      <c r="Z108">
        <v>670034.34014340199</v>
      </c>
      <c r="AA108">
        <v>670034.34014340199</v>
      </c>
      <c r="AB108">
        <v>670034.34014340199</v>
      </c>
      <c r="AC108">
        <v>670034.34014340199</v>
      </c>
      <c r="AD108">
        <v>670034.34014340199</v>
      </c>
      <c r="AE108">
        <v>670034.34014340199</v>
      </c>
      <c r="AF108">
        <v>670034.34014340199</v>
      </c>
      <c r="AG108">
        <v>670034.34014340199</v>
      </c>
      <c r="AH108">
        <v>670034.34014340199</v>
      </c>
      <c r="AI108">
        <v>670034.34014340199</v>
      </c>
      <c r="AJ108">
        <v>670034.34014340199</v>
      </c>
      <c r="AK108">
        <v>670034.34014340199</v>
      </c>
      <c r="AL108">
        <v>670034.34014340199</v>
      </c>
      <c r="AM108">
        <v>670034.34014340199</v>
      </c>
      <c r="AN108">
        <v>670034.34014340199</v>
      </c>
      <c r="AO108">
        <v>670034.34014340199</v>
      </c>
      <c r="AP108">
        <v>670034.34014340199</v>
      </c>
      <c r="AQ108">
        <v>670034.34014340199</v>
      </c>
      <c r="AR108">
        <v>670034.34014340199</v>
      </c>
      <c r="AS108">
        <v>618019.62593783089</v>
      </c>
      <c r="AT108">
        <v>670034.34014340199</v>
      </c>
      <c r="AU108">
        <v>670034.34014340199</v>
      </c>
      <c r="AV108">
        <v>670034.34014340199</v>
      </c>
      <c r="AW108">
        <v>670034.34014340199</v>
      </c>
      <c r="AX108">
        <v>670034.34014340199</v>
      </c>
    </row>
    <row r="109" spans="1:50" x14ac:dyDescent="0.2">
      <c r="B109" s="106" t="s">
        <v>278</v>
      </c>
      <c r="C109" s="109">
        <f>SUM(C$104:C$108)</f>
        <v>718900.67580963951</v>
      </c>
      <c r="D109" s="109">
        <f t="shared" ref="D109:AX109" si="6">SUM(D$104:D$108)</f>
        <v>718900.67580963951</v>
      </c>
      <c r="E109" s="109">
        <f t="shared" si="6"/>
        <v>718900.67580963951</v>
      </c>
      <c r="F109" s="109">
        <f t="shared" si="6"/>
        <v>718900.67580963951</v>
      </c>
      <c r="G109" s="109">
        <f t="shared" si="6"/>
        <v>614713.53191597783</v>
      </c>
      <c r="H109" s="109">
        <f t="shared" si="6"/>
        <v>718900.67580963951</v>
      </c>
      <c r="I109" s="109">
        <f t="shared" si="6"/>
        <v>718900.67580963951</v>
      </c>
      <c r="J109" s="109">
        <f t="shared" si="6"/>
        <v>718900.67580963951</v>
      </c>
      <c r="K109" s="109">
        <f t="shared" si="6"/>
        <v>718900.67580963951</v>
      </c>
      <c r="L109" s="109">
        <f t="shared" si="6"/>
        <v>718900.67580963951</v>
      </c>
      <c r="M109" s="109">
        <f t="shared" si="6"/>
        <v>718900.67580963951</v>
      </c>
      <c r="N109" s="109">
        <f t="shared" si="6"/>
        <v>718900.67580963951</v>
      </c>
      <c r="O109" s="109">
        <f t="shared" si="6"/>
        <v>718900.67580963951</v>
      </c>
      <c r="P109" s="109">
        <f t="shared" si="6"/>
        <v>718900.67580963951</v>
      </c>
      <c r="Q109" s="109">
        <f t="shared" si="6"/>
        <v>718900.67580963951</v>
      </c>
      <c r="R109" s="109">
        <f t="shared" si="6"/>
        <v>718900.67580963951</v>
      </c>
      <c r="S109" s="109">
        <f t="shared" si="6"/>
        <v>718900.67580963951</v>
      </c>
      <c r="T109" s="109">
        <f t="shared" si="6"/>
        <v>718900.67580963951</v>
      </c>
      <c r="U109" s="109">
        <f t="shared" si="6"/>
        <v>718900.67580963951</v>
      </c>
      <c r="V109" s="109">
        <f t="shared" si="6"/>
        <v>718900.67580963951</v>
      </c>
      <c r="W109" s="109">
        <f t="shared" si="6"/>
        <v>718900.67580963951</v>
      </c>
      <c r="X109" s="109">
        <f t="shared" si="6"/>
        <v>718900.67580963951</v>
      </c>
      <c r="Y109" s="109">
        <f t="shared" si="6"/>
        <v>718900.67580963951</v>
      </c>
      <c r="Z109" s="109">
        <f t="shared" si="6"/>
        <v>718900.67580963951</v>
      </c>
      <c r="AA109" s="109">
        <f t="shared" si="6"/>
        <v>718900.67580963951</v>
      </c>
      <c r="AB109" s="109">
        <f t="shared" si="6"/>
        <v>718900.67580963951</v>
      </c>
      <c r="AC109" s="109">
        <f t="shared" si="6"/>
        <v>718900.67580963951</v>
      </c>
      <c r="AD109" s="109">
        <f t="shared" si="6"/>
        <v>718900.67580963951</v>
      </c>
      <c r="AE109" s="109">
        <f t="shared" si="6"/>
        <v>718900.67580963951</v>
      </c>
      <c r="AF109" s="109">
        <f t="shared" si="6"/>
        <v>718900.67580963951</v>
      </c>
      <c r="AG109" s="109">
        <f t="shared" si="6"/>
        <v>718900.67580963951</v>
      </c>
      <c r="AH109" s="109">
        <f t="shared" si="6"/>
        <v>718900.67580963951</v>
      </c>
      <c r="AI109" s="109">
        <f t="shared" si="6"/>
        <v>718900.67580963951</v>
      </c>
      <c r="AJ109" s="109">
        <f t="shared" si="6"/>
        <v>718900.67580963951</v>
      </c>
      <c r="AK109" s="109">
        <f t="shared" si="6"/>
        <v>718900.67580963951</v>
      </c>
      <c r="AL109" s="109">
        <f t="shared" si="6"/>
        <v>718900.67580963951</v>
      </c>
      <c r="AM109" s="109">
        <f t="shared" si="6"/>
        <v>718900.67580963951</v>
      </c>
      <c r="AN109" s="109">
        <f t="shared" si="6"/>
        <v>718900.67580963951</v>
      </c>
      <c r="AO109" s="109">
        <f t="shared" si="6"/>
        <v>718900.67580963951</v>
      </c>
      <c r="AP109" s="109">
        <f t="shared" si="6"/>
        <v>718900.67580963951</v>
      </c>
      <c r="AQ109" s="109">
        <f t="shared" si="6"/>
        <v>718900.67580963951</v>
      </c>
      <c r="AR109" s="109">
        <f t="shared" si="6"/>
        <v>718900.67580963951</v>
      </c>
      <c r="AS109" s="109">
        <f t="shared" si="6"/>
        <v>663092.47173098393</v>
      </c>
      <c r="AT109" s="109">
        <f t="shared" si="6"/>
        <v>718900.67580963951</v>
      </c>
      <c r="AU109" s="109">
        <f t="shared" si="6"/>
        <v>718900.67580963951</v>
      </c>
      <c r="AV109" s="109">
        <f t="shared" si="6"/>
        <v>718900.67580963951</v>
      </c>
      <c r="AW109" s="109">
        <f t="shared" si="6"/>
        <v>718900.67580963951</v>
      </c>
      <c r="AX109" s="109">
        <f t="shared" si="6"/>
        <v>718900.67580963951</v>
      </c>
    </row>
    <row r="110" spans="1:50" x14ac:dyDescent="0.2">
      <c r="A110" s="109" t="s">
        <v>106</v>
      </c>
      <c r="B110" s="109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09" t="s">
        <v>10</v>
      </c>
      <c r="C111">
        <v>83256.25</v>
      </c>
      <c r="D111">
        <v>83256.25</v>
      </c>
      <c r="E111">
        <v>83256.25</v>
      </c>
      <c r="F111">
        <v>83256.25</v>
      </c>
      <c r="G111">
        <v>83256.25</v>
      </c>
      <c r="H111">
        <v>83256.25</v>
      </c>
      <c r="I111">
        <v>83256.25</v>
      </c>
      <c r="J111">
        <v>83256.25</v>
      </c>
      <c r="K111">
        <v>83256.25</v>
      </c>
      <c r="L111">
        <v>28497.892990685061</v>
      </c>
      <c r="M111">
        <v>83256.25</v>
      </c>
      <c r="N111">
        <v>83256.25</v>
      </c>
      <c r="O111">
        <v>83256.25</v>
      </c>
      <c r="P111">
        <v>83256.25</v>
      </c>
      <c r="Q111">
        <v>83256.25</v>
      </c>
      <c r="R111">
        <v>83256.25</v>
      </c>
      <c r="S111">
        <v>83256.25</v>
      </c>
      <c r="T111">
        <v>83256.25</v>
      </c>
      <c r="U111">
        <v>83256.25</v>
      </c>
      <c r="V111">
        <v>83256.25</v>
      </c>
      <c r="W111">
        <v>83256.25</v>
      </c>
      <c r="X111">
        <v>83256.25</v>
      </c>
      <c r="Y111">
        <v>83256.25</v>
      </c>
      <c r="Z111">
        <v>83256.25</v>
      </c>
      <c r="AA111">
        <v>83256.25</v>
      </c>
      <c r="AB111">
        <v>83256.25</v>
      </c>
      <c r="AC111">
        <v>83256.25</v>
      </c>
      <c r="AD111">
        <v>83256.25</v>
      </c>
      <c r="AE111">
        <v>83256.25</v>
      </c>
      <c r="AF111">
        <v>83256.25</v>
      </c>
      <c r="AG111">
        <v>83256.25</v>
      </c>
      <c r="AH111">
        <v>83256.25</v>
      </c>
      <c r="AI111">
        <v>83256.25</v>
      </c>
      <c r="AJ111">
        <v>83256.25</v>
      </c>
      <c r="AK111">
        <v>83256.25</v>
      </c>
      <c r="AL111">
        <v>83256.25</v>
      </c>
      <c r="AM111">
        <v>83256.25</v>
      </c>
      <c r="AN111">
        <v>83256.25</v>
      </c>
      <c r="AO111">
        <v>83256.25</v>
      </c>
      <c r="AP111">
        <v>83256.25</v>
      </c>
      <c r="AQ111">
        <v>83256.25</v>
      </c>
      <c r="AR111">
        <v>83256.25</v>
      </c>
      <c r="AS111">
        <v>83256.25</v>
      </c>
      <c r="AT111">
        <v>83256.25</v>
      </c>
      <c r="AU111">
        <v>83256.25</v>
      </c>
      <c r="AV111">
        <v>83256.25</v>
      </c>
      <c r="AW111">
        <v>83256.25</v>
      </c>
      <c r="AX111">
        <v>83256.25</v>
      </c>
    </row>
    <row r="112" spans="1:50" x14ac:dyDescent="0.2">
      <c r="B112" s="109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09" t="s">
        <v>22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</row>
    <row r="114" spans="1:50" x14ac:dyDescent="0.2">
      <c r="B114" s="109" t="s">
        <v>59</v>
      </c>
      <c r="C114">
        <v>418319.24540549918</v>
      </c>
      <c r="D114">
        <v>418319.24540549918</v>
      </c>
      <c r="E114">
        <v>418319.24540549918</v>
      </c>
      <c r="F114">
        <v>418319.24540549918</v>
      </c>
      <c r="G114">
        <v>418319.24540549918</v>
      </c>
      <c r="H114">
        <v>418319.24540549918</v>
      </c>
      <c r="I114">
        <v>418319.24540549918</v>
      </c>
      <c r="J114">
        <v>418319.24540549918</v>
      </c>
      <c r="K114">
        <v>418319.24540549918</v>
      </c>
      <c r="L114">
        <v>143187.05312225857</v>
      </c>
      <c r="M114">
        <v>418319.24540549918</v>
      </c>
      <c r="N114">
        <v>418319.24540549918</v>
      </c>
      <c r="O114">
        <v>418319.24540549918</v>
      </c>
      <c r="P114">
        <v>418319.24540549918</v>
      </c>
      <c r="Q114">
        <v>418319.24540549918</v>
      </c>
      <c r="R114">
        <v>418319.24540549918</v>
      </c>
      <c r="S114">
        <v>418319.24540549918</v>
      </c>
      <c r="T114">
        <v>418319.24540549918</v>
      </c>
      <c r="U114">
        <v>418319.24540549918</v>
      </c>
      <c r="V114">
        <v>418319.24540549918</v>
      </c>
      <c r="W114">
        <v>418319.24540549918</v>
      </c>
      <c r="X114">
        <v>418319.24540549918</v>
      </c>
      <c r="Y114">
        <v>418319.24540549918</v>
      </c>
      <c r="Z114">
        <v>418319.24540549918</v>
      </c>
      <c r="AA114">
        <v>418319.24540549918</v>
      </c>
      <c r="AB114">
        <v>418319.24540549918</v>
      </c>
      <c r="AC114">
        <v>418319.24540549918</v>
      </c>
      <c r="AD114">
        <v>418319.24540549918</v>
      </c>
      <c r="AE114">
        <v>418319.24540549918</v>
      </c>
      <c r="AF114">
        <v>418319.24540549918</v>
      </c>
      <c r="AG114">
        <v>418319.24540549918</v>
      </c>
      <c r="AH114">
        <v>418319.24540549918</v>
      </c>
      <c r="AI114">
        <v>418319.24540549918</v>
      </c>
      <c r="AJ114">
        <v>418319.24540549918</v>
      </c>
      <c r="AK114">
        <v>418319.24540549918</v>
      </c>
      <c r="AL114">
        <v>418319.24540549918</v>
      </c>
      <c r="AM114">
        <v>418319.24540549918</v>
      </c>
      <c r="AN114">
        <v>418319.24540549918</v>
      </c>
      <c r="AO114">
        <v>418319.24540549918</v>
      </c>
      <c r="AP114">
        <v>418319.24540549918</v>
      </c>
      <c r="AQ114">
        <v>418319.24540549918</v>
      </c>
      <c r="AR114">
        <v>418319.24540549918</v>
      </c>
      <c r="AS114">
        <v>418319.24540549918</v>
      </c>
      <c r="AT114">
        <v>418319.24540549918</v>
      </c>
      <c r="AU114">
        <v>418319.24540549918</v>
      </c>
      <c r="AV114">
        <v>418319.24540549918</v>
      </c>
      <c r="AW114">
        <v>418319.24540549918</v>
      </c>
      <c r="AX114">
        <v>418319.24540549918</v>
      </c>
    </row>
    <row r="115" spans="1:50" x14ac:dyDescent="0.2">
      <c r="B115" t="s">
        <v>278</v>
      </c>
      <c r="C115" s="109">
        <f>SUM(C$110:C$114)</f>
        <v>501575.49540549918</v>
      </c>
      <c r="D115" s="109">
        <f t="shared" ref="D115:AX115" si="7">SUM(D$110:D$114)</f>
        <v>501575.49540549918</v>
      </c>
      <c r="E115" s="109">
        <f t="shared" si="7"/>
        <v>501575.49540549918</v>
      </c>
      <c r="F115" s="109">
        <f t="shared" si="7"/>
        <v>501575.49540549918</v>
      </c>
      <c r="G115" s="109">
        <f t="shared" si="7"/>
        <v>501575.49540549918</v>
      </c>
      <c r="H115" s="109">
        <f t="shared" si="7"/>
        <v>501575.49540549918</v>
      </c>
      <c r="I115" s="109">
        <f t="shared" si="7"/>
        <v>501575.49540549918</v>
      </c>
      <c r="J115" s="109">
        <f t="shared" si="7"/>
        <v>501575.49540549918</v>
      </c>
      <c r="K115" s="109">
        <f t="shared" si="7"/>
        <v>501575.49540549918</v>
      </c>
      <c r="L115" s="109">
        <f t="shared" si="7"/>
        <v>171684.94611294364</v>
      </c>
      <c r="M115" s="109">
        <f t="shared" si="7"/>
        <v>501575.49540549918</v>
      </c>
      <c r="N115" s="109">
        <f t="shared" si="7"/>
        <v>501575.49540549918</v>
      </c>
      <c r="O115" s="109">
        <f t="shared" si="7"/>
        <v>501575.49540549918</v>
      </c>
      <c r="P115" s="109">
        <f t="shared" si="7"/>
        <v>501575.49540549918</v>
      </c>
      <c r="Q115" s="109">
        <f t="shared" si="7"/>
        <v>501575.49540549918</v>
      </c>
      <c r="R115" s="109">
        <f t="shared" si="7"/>
        <v>501575.49540549918</v>
      </c>
      <c r="S115" s="109">
        <f t="shared" si="7"/>
        <v>501575.49540549918</v>
      </c>
      <c r="T115" s="109">
        <f t="shared" si="7"/>
        <v>501575.49540549918</v>
      </c>
      <c r="U115" s="109">
        <f t="shared" si="7"/>
        <v>501575.49540549918</v>
      </c>
      <c r="V115" s="109">
        <f t="shared" si="7"/>
        <v>501575.49540549918</v>
      </c>
      <c r="W115" s="109">
        <f t="shared" si="7"/>
        <v>501575.49540549918</v>
      </c>
      <c r="X115" s="109">
        <f t="shared" si="7"/>
        <v>501575.49540549918</v>
      </c>
      <c r="Y115" s="109">
        <f t="shared" si="7"/>
        <v>501575.49540549918</v>
      </c>
      <c r="Z115" s="109">
        <f t="shared" si="7"/>
        <v>501575.49540549918</v>
      </c>
      <c r="AA115" s="109">
        <f t="shared" si="7"/>
        <v>501575.49540549918</v>
      </c>
      <c r="AB115" s="109">
        <f t="shared" si="7"/>
        <v>501575.49540549918</v>
      </c>
      <c r="AC115" s="109">
        <f t="shared" si="7"/>
        <v>501575.49540549918</v>
      </c>
      <c r="AD115" s="109">
        <f t="shared" si="7"/>
        <v>501575.49540549918</v>
      </c>
      <c r="AE115" s="109">
        <f t="shared" si="7"/>
        <v>501575.49540549918</v>
      </c>
      <c r="AF115" s="109">
        <f t="shared" si="7"/>
        <v>501575.49540549918</v>
      </c>
      <c r="AG115" s="109">
        <f t="shared" si="7"/>
        <v>501575.49540549918</v>
      </c>
      <c r="AH115" s="109">
        <f t="shared" si="7"/>
        <v>501575.49540549918</v>
      </c>
      <c r="AI115" s="109">
        <f t="shared" si="7"/>
        <v>501575.49540549918</v>
      </c>
      <c r="AJ115" s="109">
        <f t="shared" si="7"/>
        <v>501575.49540549918</v>
      </c>
      <c r="AK115" s="109">
        <f t="shared" si="7"/>
        <v>501575.49540549918</v>
      </c>
      <c r="AL115" s="109">
        <f t="shared" si="7"/>
        <v>501575.49540549918</v>
      </c>
      <c r="AM115" s="109">
        <f t="shared" si="7"/>
        <v>501575.49540549918</v>
      </c>
      <c r="AN115" s="109">
        <f t="shared" si="7"/>
        <v>501575.49540549918</v>
      </c>
      <c r="AO115" s="109">
        <f t="shared" si="7"/>
        <v>501575.49540549918</v>
      </c>
      <c r="AP115" s="109">
        <f t="shared" si="7"/>
        <v>501575.49540549918</v>
      </c>
      <c r="AQ115" s="109">
        <f t="shared" si="7"/>
        <v>501575.49540549918</v>
      </c>
      <c r="AR115" s="109">
        <f t="shared" si="7"/>
        <v>501575.49540549918</v>
      </c>
      <c r="AS115" s="109">
        <f t="shared" si="7"/>
        <v>501575.49540549918</v>
      </c>
      <c r="AT115" s="109">
        <f t="shared" si="7"/>
        <v>501575.49540549918</v>
      </c>
      <c r="AU115" s="109">
        <f t="shared" si="7"/>
        <v>501575.49540549918</v>
      </c>
      <c r="AV115" s="109">
        <f t="shared" si="7"/>
        <v>501575.49540549918</v>
      </c>
      <c r="AW115" s="109">
        <f t="shared" si="7"/>
        <v>501575.49540549918</v>
      </c>
      <c r="AX115" s="109">
        <f t="shared" si="7"/>
        <v>501575.49540549918</v>
      </c>
    </row>
    <row r="116" spans="1:50" x14ac:dyDescent="0.2">
      <c r="A116" s="109" t="s">
        <v>107</v>
      </c>
      <c r="B116" s="109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09" t="s">
        <v>10</v>
      </c>
      <c r="C117">
        <v>6213.007052045964</v>
      </c>
      <c r="D117">
        <v>6213.007052045964</v>
      </c>
      <c r="E117">
        <v>6213.007052045964</v>
      </c>
      <c r="F117">
        <v>6213.007052045964</v>
      </c>
      <c r="G117">
        <v>6213.007052045964</v>
      </c>
      <c r="H117">
        <v>6213.007052045964</v>
      </c>
      <c r="I117">
        <v>6213.007052045964</v>
      </c>
      <c r="J117">
        <v>6213.007052045964</v>
      </c>
      <c r="K117">
        <v>4959.4309007178463</v>
      </c>
      <c r="L117">
        <v>6213.007052045964</v>
      </c>
      <c r="M117">
        <v>6213.007052045964</v>
      </c>
      <c r="N117">
        <v>6213.007052045964</v>
      </c>
      <c r="O117">
        <v>6213.007052045964</v>
      </c>
      <c r="P117">
        <v>6213.007052045964</v>
      </c>
      <c r="Q117">
        <v>6213.007052045964</v>
      </c>
      <c r="R117">
        <v>6213.007052045964</v>
      </c>
      <c r="S117">
        <v>6213.007052045964</v>
      </c>
      <c r="T117">
        <v>6213.007052045964</v>
      </c>
      <c r="U117">
        <v>6213.007052045964</v>
      </c>
      <c r="V117">
        <v>6213.007052045964</v>
      </c>
      <c r="W117">
        <v>6213.007052045964</v>
      </c>
      <c r="X117">
        <v>6213.007052045964</v>
      </c>
      <c r="Y117">
        <v>6213.007052045964</v>
      </c>
      <c r="Z117">
        <v>6213.007052045964</v>
      </c>
      <c r="AA117">
        <v>6213.007052045964</v>
      </c>
      <c r="AB117">
        <v>6213.007052045964</v>
      </c>
      <c r="AC117">
        <v>6213.007052045964</v>
      </c>
      <c r="AD117">
        <v>6213.007052045964</v>
      </c>
      <c r="AE117">
        <v>6213.007052045964</v>
      </c>
      <c r="AF117">
        <v>6213.007052045964</v>
      </c>
      <c r="AG117">
        <v>6213.007052045964</v>
      </c>
      <c r="AH117">
        <v>6213.007052045964</v>
      </c>
      <c r="AI117">
        <v>6213.007052045964</v>
      </c>
      <c r="AJ117">
        <v>1304.3947451904658</v>
      </c>
      <c r="AK117">
        <v>6213.007052045964</v>
      </c>
      <c r="AL117">
        <v>6213.007052045964</v>
      </c>
      <c r="AM117">
        <v>6213.007052045964</v>
      </c>
      <c r="AN117">
        <v>6213.007052045964</v>
      </c>
      <c r="AO117">
        <v>6213.007052045964</v>
      </c>
      <c r="AP117">
        <v>6213.007052045964</v>
      </c>
      <c r="AQ117">
        <v>6213.007052045964</v>
      </c>
      <c r="AR117">
        <v>6213.007052045964</v>
      </c>
      <c r="AS117">
        <v>6213.007052045964</v>
      </c>
      <c r="AT117">
        <v>6213.007052045964</v>
      </c>
      <c r="AU117">
        <v>5322.1830620665442</v>
      </c>
      <c r="AV117">
        <v>6213.007052045964</v>
      </c>
      <c r="AW117">
        <v>6213.007052045964</v>
      </c>
      <c r="AX117">
        <v>6213.007052045964</v>
      </c>
    </row>
    <row r="118" spans="1:50" x14ac:dyDescent="0.2">
      <c r="B118" s="109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09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09" t="s">
        <v>59</v>
      </c>
      <c r="C120">
        <v>631718.85221264453</v>
      </c>
      <c r="D120">
        <v>631718.85221264453</v>
      </c>
      <c r="E120">
        <v>631718.85221264453</v>
      </c>
      <c r="F120">
        <v>631718.85221264453</v>
      </c>
      <c r="G120">
        <v>631718.85221264453</v>
      </c>
      <c r="H120">
        <v>631718.85221264453</v>
      </c>
      <c r="I120">
        <v>631718.85221264453</v>
      </c>
      <c r="J120">
        <v>631718.85221264453</v>
      </c>
      <c r="K120">
        <v>504259.20492037811</v>
      </c>
      <c r="L120">
        <v>631718.85221264453</v>
      </c>
      <c r="M120">
        <v>631718.85221264453</v>
      </c>
      <c r="N120">
        <v>631718.85221264453</v>
      </c>
      <c r="O120">
        <v>631718.85221264453</v>
      </c>
      <c r="P120">
        <v>631718.85221264453</v>
      </c>
      <c r="Q120">
        <v>631718.85221264453</v>
      </c>
      <c r="R120">
        <v>631718.85221264453</v>
      </c>
      <c r="S120">
        <v>631718.85221264453</v>
      </c>
      <c r="T120">
        <v>631718.85221264453</v>
      </c>
      <c r="U120">
        <v>631718.85221264453</v>
      </c>
      <c r="V120">
        <v>631718.85221264453</v>
      </c>
      <c r="W120">
        <v>631718.85221264453</v>
      </c>
      <c r="X120">
        <v>631718.85221264453</v>
      </c>
      <c r="Y120">
        <v>631718.85221264453</v>
      </c>
      <c r="Z120">
        <v>631718.85221264453</v>
      </c>
      <c r="AA120">
        <v>631718.85221264453</v>
      </c>
      <c r="AB120">
        <v>631718.85221264453</v>
      </c>
      <c r="AC120">
        <v>631718.85221264453</v>
      </c>
      <c r="AD120">
        <v>631718.85221264453</v>
      </c>
      <c r="AE120">
        <v>631718.85221264453</v>
      </c>
      <c r="AF120">
        <v>631718.85221264453</v>
      </c>
      <c r="AG120">
        <v>631718.85221264453</v>
      </c>
      <c r="AH120">
        <v>631718.85221264453</v>
      </c>
      <c r="AI120">
        <v>631718.85221264453</v>
      </c>
      <c r="AJ120">
        <v>132626.72074266785</v>
      </c>
      <c r="AK120">
        <v>631718.85221264453</v>
      </c>
      <c r="AL120">
        <v>631718.85221264453</v>
      </c>
      <c r="AM120">
        <v>631718.85221264453</v>
      </c>
      <c r="AN120">
        <v>631718.85221264453</v>
      </c>
      <c r="AO120">
        <v>631718.85221264453</v>
      </c>
      <c r="AP120">
        <v>631718.85221264453</v>
      </c>
      <c r="AQ120">
        <v>631718.85221264453</v>
      </c>
      <c r="AR120">
        <v>631718.85221264453</v>
      </c>
      <c r="AS120">
        <v>631718.85221264453</v>
      </c>
      <c r="AT120">
        <v>631718.85221264453</v>
      </c>
      <c r="AU120">
        <v>541142.69420104683</v>
      </c>
      <c r="AV120">
        <v>631718.85221264453</v>
      </c>
      <c r="AW120">
        <v>631718.85221264453</v>
      </c>
      <c r="AX120">
        <v>631718.85221264453</v>
      </c>
    </row>
    <row r="121" spans="1:50" x14ac:dyDescent="0.2">
      <c r="B121" t="s">
        <v>278</v>
      </c>
      <c r="C121" s="109">
        <f>SUM(C$116:C$120)</f>
        <v>637931.85926469055</v>
      </c>
      <c r="D121" s="109">
        <f t="shared" ref="D121:AX121" si="8">SUM(D$116:D$120)</f>
        <v>637931.85926469055</v>
      </c>
      <c r="E121" s="109">
        <f t="shared" si="8"/>
        <v>637931.85926469055</v>
      </c>
      <c r="F121" s="109">
        <f t="shared" si="8"/>
        <v>637931.85926469055</v>
      </c>
      <c r="G121" s="109">
        <f t="shared" si="8"/>
        <v>637931.85926469055</v>
      </c>
      <c r="H121" s="109">
        <f t="shared" si="8"/>
        <v>637931.85926469055</v>
      </c>
      <c r="I121" s="109">
        <f t="shared" si="8"/>
        <v>637931.85926469055</v>
      </c>
      <c r="J121" s="109">
        <f t="shared" si="8"/>
        <v>637931.85926469055</v>
      </c>
      <c r="K121" s="109">
        <f t="shared" si="8"/>
        <v>509218.63582109596</v>
      </c>
      <c r="L121" s="109">
        <f t="shared" si="8"/>
        <v>637931.85926469055</v>
      </c>
      <c r="M121" s="109">
        <f t="shared" si="8"/>
        <v>637931.85926469055</v>
      </c>
      <c r="N121" s="109">
        <f t="shared" si="8"/>
        <v>637931.85926469055</v>
      </c>
      <c r="O121" s="109">
        <f t="shared" si="8"/>
        <v>637931.85926469055</v>
      </c>
      <c r="P121" s="109">
        <f t="shared" si="8"/>
        <v>637931.85926469055</v>
      </c>
      <c r="Q121" s="109">
        <f t="shared" si="8"/>
        <v>637931.85926469055</v>
      </c>
      <c r="R121" s="109">
        <f t="shared" si="8"/>
        <v>637931.85926469055</v>
      </c>
      <c r="S121" s="109">
        <f t="shared" si="8"/>
        <v>637931.85926469055</v>
      </c>
      <c r="T121" s="109">
        <f t="shared" si="8"/>
        <v>637931.85926469055</v>
      </c>
      <c r="U121" s="109">
        <f t="shared" si="8"/>
        <v>637931.85926469055</v>
      </c>
      <c r="V121" s="109">
        <f t="shared" si="8"/>
        <v>637931.85926469055</v>
      </c>
      <c r="W121" s="109">
        <f t="shared" si="8"/>
        <v>637931.85926469055</v>
      </c>
      <c r="X121" s="109">
        <f t="shared" si="8"/>
        <v>637931.85926469055</v>
      </c>
      <c r="Y121" s="109">
        <f t="shared" si="8"/>
        <v>637931.85926469055</v>
      </c>
      <c r="Z121" s="109">
        <f t="shared" si="8"/>
        <v>637931.85926469055</v>
      </c>
      <c r="AA121" s="109">
        <f t="shared" si="8"/>
        <v>637931.85926469055</v>
      </c>
      <c r="AB121" s="109">
        <f t="shared" si="8"/>
        <v>637931.85926469055</v>
      </c>
      <c r="AC121" s="109">
        <f t="shared" si="8"/>
        <v>637931.85926469055</v>
      </c>
      <c r="AD121" s="109">
        <f t="shared" si="8"/>
        <v>637931.85926469055</v>
      </c>
      <c r="AE121" s="109">
        <f t="shared" si="8"/>
        <v>637931.85926469055</v>
      </c>
      <c r="AF121" s="109">
        <f t="shared" si="8"/>
        <v>637931.85926469055</v>
      </c>
      <c r="AG121" s="109">
        <f t="shared" si="8"/>
        <v>637931.85926469055</v>
      </c>
      <c r="AH121" s="109">
        <f t="shared" si="8"/>
        <v>637931.85926469055</v>
      </c>
      <c r="AI121" s="109">
        <f t="shared" si="8"/>
        <v>637931.85926469055</v>
      </c>
      <c r="AJ121" s="109">
        <f t="shared" si="8"/>
        <v>133931.1154878583</v>
      </c>
      <c r="AK121" s="109">
        <f t="shared" si="8"/>
        <v>637931.85926469055</v>
      </c>
      <c r="AL121" s="109">
        <f t="shared" si="8"/>
        <v>637931.85926469055</v>
      </c>
      <c r="AM121" s="109">
        <f t="shared" si="8"/>
        <v>637931.85926469055</v>
      </c>
      <c r="AN121" s="109">
        <f t="shared" si="8"/>
        <v>637931.85926469055</v>
      </c>
      <c r="AO121" s="109">
        <f t="shared" si="8"/>
        <v>637931.85926469055</v>
      </c>
      <c r="AP121" s="109">
        <f t="shared" si="8"/>
        <v>637931.85926469055</v>
      </c>
      <c r="AQ121" s="109">
        <f t="shared" si="8"/>
        <v>637931.85926469055</v>
      </c>
      <c r="AR121" s="109">
        <f t="shared" si="8"/>
        <v>637931.85926469055</v>
      </c>
      <c r="AS121" s="109">
        <f t="shared" si="8"/>
        <v>637931.85926469055</v>
      </c>
      <c r="AT121" s="109">
        <f t="shared" si="8"/>
        <v>637931.85926469055</v>
      </c>
      <c r="AU121" s="109">
        <f t="shared" si="8"/>
        <v>546464.87726311339</v>
      </c>
      <c r="AV121" s="109">
        <f t="shared" si="8"/>
        <v>637931.85926469055</v>
      </c>
      <c r="AW121" s="109">
        <f t="shared" si="8"/>
        <v>637931.85926469055</v>
      </c>
      <c r="AX121" s="109">
        <f t="shared" si="8"/>
        <v>637931.85926469055</v>
      </c>
    </row>
    <row r="122" spans="1:50" x14ac:dyDescent="0.2">
      <c r="A122" s="109" t="s">
        <v>108</v>
      </c>
      <c r="B122" s="109" t="s">
        <v>5</v>
      </c>
      <c r="C122">
        <v>10896.41640782214</v>
      </c>
      <c r="D122">
        <v>10896.41640782214</v>
      </c>
      <c r="E122">
        <v>10896.41640782214</v>
      </c>
      <c r="F122">
        <v>10896.41640782214</v>
      </c>
      <c r="G122">
        <v>10896.41640782214</v>
      </c>
      <c r="H122">
        <v>10896.41640782214</v>
      </c>
      <c r="I122">
        <v>10896.41640782214</v>
      </c>
      <c r="J122">
        <v>10896.41640782214</v>
      </c>
      <c r="K122">
        <v>10896.41640782214</v>
      </c>
      <c r="L122">
        <v>10896.41640782214</v>
      </c>
      <c r="M122">
        <v>10896.41640782214</v>
      </c>
      <c r="N122">
        <v>10896.41640782214</v>
      </c>
      <c r="O122">
        <v>10896.41640782214</v>
      </c>
      <c r="P122">
        <v>10896.41640782214</v>
      </c>
      <c r="Q122">
        <v>10896.41640782214</v>
      </c>
      <c r="R122">
        <v>10896.41640782214</v>
      </c>
      <c r="S122">
        <v>10896.41640782214</v>
      </c>
      <c r="T122">
        <v>10896.41640782214</v>
      </c>
      <c r="U122">
        <v>10896.41640782214</v>
      </c>
      <c r="V122">
        <v>10896.41640782214</v>
      </c>
      <c r="W122">
        <v>10896.41640782214</v>
      </c>
      <c r="X122">
        <v>10896.41640782214</v>
      </c>
      <c r="Y122">
        <v>10896.41640782214</v>
      </c>
      <c r="Z122">
        <v>10896.41640782214</v>
      </c>
      <c r="AA122">
        <v>10896.41640782214</v>
      </c>
      <c r="AB122">
        <v>10896.41640782214</v>
      </c>
      <c r="AC122">
        <v>10896.41640782214</v>
      </c>
      <c r="AD122">
        <v>10896.41640782214</v>
      </c>
      <c r="AE122">
        <v>10896.41640782214</v>
      </c>
      <c r="AF122">
        <v>10896.41640782214</v>
      </c>
      <c r="AG122">
        <v>10896.41640782214</v>
      </c>
      <c r="AH122">
        <v>10896.41640782214</v>
      </c>
      <c r="AI122">
        <v>10896.41640782214</v>
      </c>
      <c r="AJ122">
        <v>10896.41640782214</v>
      </c>
      <c r="AK122">
        <v>10896.41640782214</v>
      </c>
      <c r="AL122">
        <v>10896.41640782214</v>
      </c>
      <c r="AM122">
        <v>10896.41640782214</v>
      </c>
      <c r="AN122">
        <v>10896.41640782214</v>
      </c>
      <c r="AO122">
        <v>10896.41640782214</v>
      </c>
      <c r="AP122">
        <v>10896.41640782214</v>
      </c>
      <c r="AQ122">
        <v>10896.41640782214</v>
      </c>
      <c r="AR122">
        <v>10896.41640782214</v>
      </c>
      <c r="AS122">
        <v>10896.41640782214</v>
      </c>
      <c r="AT122">
        <v>10896.41640782214</v>
      </c>
      <c r="AU122">
        <v>10896.41640782214</v>
      </c>
      <c r="AV122">
        <v>10896.41640782214</v>
      </c>
      <c r="AW122">
        <v>10896.41640782214</v>
      </c>
      <c r="AX122">
        <v>10896.41640782214</v>
      </c>
    </row>
    <row r="123" spans="1:50" x14ac:dyDescent="0.2">
      <c r="B123" s="109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09" t="s">
        <v>12</v>
      </c>
      <c r="C124">
        <v>74600.238846295804</v>
      </c>
      <c r="D124">
        <v>74600.238846295804</v>
      </c>
      <c r="E124">
        <v>74600.238846295804</v>
      </c>
      <c r="F124">
        <v>74600.238846295804</v>
      </c>
      <c r="G124">
        <v>74600.238846295804</v>
      </c>
      <c r="H124">
        <v>74600.238846295804</v>
      </c>
      <c r="I124">
        <v>74600.238846295804</v>
      </c>
      <c r="J124">
        <v>74600.238846295804</v>
      </c>
      <c r="K124">
        <v>74600.238846295804</v>
      </c>
      <c r="L124">
        <v>74600.238846295804</v>
      </c>
      <c r="M124">
        <v>74600.238846295804</v>
      </c>
      <c r="N124">
        <v>74600.238846295804</v>
      </c>
      <c r="O124">
        <v>74600.238846295804</v>
      </c>
      <c r="P124">
        <v>74600.238846295804</v>
      </c>
      <c r="Q124">
        <v>74600.238846295804</v>
      </c>
      <c r="R124">
        <v>74600.238846295804</v>
      </c>
      <c r="S124">
        <v>74600.238846295804</v>
      </c>
      <c r="T124">
        <v>74600.238846295804</v>
      </c>
      <c r="U124">
        <v>74600.238846295804</v>
      </c>
      <c r="V124">
        <v>74600.238846295804</v>
      </c>
      <c r="W124">
        <v>74600.238846295804</v>
      </c>
      <c r="X124">
        <v>74600.238846295804</v>
      </c>
      <c r="Y124">
        <v>74600.238846295804</v>
      </c>
      <c r="Z124">
        <v>74600.238846295804</v>
      </c>
      <c r="AA124">
        <v>74600.238846295804</v>
      </c>
      <c r="AB124">
        <v>74600.238846295804</v>
      </c>
      <c r="AC124">
        <v>74600.238846295804</v>
      </c>
      <c r="AD124">
        <v>74600.238846295804</v>
      </c>
      <c r="AE124">
        <v>74600.238846295804</v>
      </c>
      <c r="AF124">
        <v>74600.238846295804</v>
      </c>
      <c r="AG124">
        <v>74600.238846295804</v>
      </c>
      <c r="AH124">
        <v>74600.238846295804</v>
      </c>
      <c r="AI124">
        <v>74600.238846295804</v>
      </c>
      <c r="AJ124">
        <v>74600.238846295804</v>
      </c>
      <c r="AK124">
        <v>74600.238846295804</v>
      </c>
      <c r="AL124">
        <v>74600.238846295804</v>
      </c>
      <c r="AM124">
        <v>74600.238846295804</v>
      </c>
      <c r="AN124">
        <v>74600.238846295804</v>
      </c>
      <c r="AO124">
        <v>74600.238846295804</v>
      </c>
      <c r="AP124">
        <v>74600.238846295804</v>
      </c>
      <c r="AQ124">
        <v>74600.238846295804</v>
      </c>
      <c r="AR124">
        <v>74600.238846295804</v>
      </c>
      <c r="AS124">
        <v>74600.238846295804</v>
      </c>
      <c r="AT124">
        <v>74600.238846295804</v>
      </c>
      <c r="AU124">
        <v>74600.238846295804</v>
      </c>
      <c r="AV124">
        <v>74600.238846295804</v>
      </c>
      <c r="AW124">
        <v>74600.238846295804</v>
      </c>
      <c r="AX124">
        <v>74600.238846295804</v>
      </c>
    </row>
    <row r="125" spans="1:50" x14ac:dyDescent="0.2">
      <c r="B125" s="109" t="s">
        <v>22</v>
      </c>
      <c r="C125">
        <v>119202.33312920529</v>
      </c>
      <c r="D125">
        <v>119202.33312920529</v>
      </c>
      <c r="E125">
        <v>119202.33312920529</v>
      </c>
      <c r="F125">
        <v>119202.33312920529</v>
      </c>
      <c r="G125">
        <v>119202.33312920529</v>
      </c>
      <c r="H125">
        <v>119202.33312920529</v>
      </c>
      <c r="I125">
        <v>119202.33312920529</v>
      </c>
      <c r="J125">
        <v>119202.33312920529</v>
      </c>
      <c r="K125">
        <v>119202.33312920529</v>
      </c>
      <c r="L125">
        <v>119202.33312920529</v>
      </c>
      <c r="M125">
        <v>119202.33312920529</v>
      </c>
      <c r="N125">
        <v>119202.33312920529</v>
      </c>
      <c r="O125">
        <v>119202.33312920529</v>
      </c>
      <c r="P125">
        <v>119202.33312920529</v>
      </c>
      <c r="Q125">
        <v>119202.33312920529</v>
      </c>
      <c r="R125">
        <v>119202.33312920529</v>
      </c>
      <c r="S125">
        <v>119202.33312920529</v>
      </c>
      <c r="T125">
        <v>119202.33312920529</v>
      </c>
      <c r="U125">
        <v>119202.33312920529</v>
      </c>
      <c r="V125">
        <v>119202.33312920529</v>
      </c>
      <c r="W125">
        <v>119202.33312920529</v>
      </c>
      <c r="X125">
        <v>119202.33312920529</v>
      </c>
      <c r="Y125">
        <v>119202.33312920529</v>
      </c>
      <c r="Z125">
        <v>119202.33312920529</v>
      </c>
      <c r="AA125">
        <v>119202.33312920529</v>
      </c>
      <c r="AB125">
        <v>119202.33312920529</v>
      </c>
      <c r="AC125">
        <v>119202.33312920529</v>
      </c>
      <c r="AD125">
        <v>119202.33312920529</v>
      </c>
      <c r="AE125">
        <v>119202.33312920529</v>
      </c>
      <c r="AF125">
        <v>119202.33312920529</v>
      </c>
      <c r="AG125">
        <v>119202.33312920529</v>
      </c>
      <c r="AH125">
        <v>119202.33312920529</v>
      </c>
      <c r="AI125">
        <v>119202.33312920529</v>
      </c>
      <c r="AJ125">
        <v>119202.33312920529</v>
      </c>
      <c r="AK125">
        <v>119202.33312920529</v>
      </c>
      <c r="AL125">
        <v>119202.33312920529</v>
      </c>
      <c r="AM125">
        <v>119202.33312920529</v>
      </c>
      <c r="AN125">
        <v>119202.33312920529</v>
      </c>
      <c r="AO125">
        <v>119202.33312920529</v>
      </c>
      <c r="AP125">
        <v>119202.33312920529</v>
      </c>
      <c r="AQ125">
        <v>119202.33312920529</v>
      </c>
      <c r="AR125">
        <v>119202.33312920529</v>
      </c>
      <c r="AS125">
        <v>119202.33312920529</v>
      </c>
      <c r="AT125">
        <v>119202.33312920529</v>
      </c>
      <c r="AU125">
        <v>119202.33312920529</v>
      </c>
      <c r="AV125">
        <v>119202.33312920529</v>
      </c>
      <c r="AW125">
        <v>119202.33312920529</v>
      </c>
      <c r="AX125">
        <v>119202.33312920529</v>
      </c>
    </row>
    <row r="126" spans="1:50" x14ac:dyDescent="0.2">
      <c r="B126" s="109" t="s">
        <v>59</v>
      </c>
      <c r="C126">
        <v>252338.07737997081</v>
      </c>
      <c r="D126">
        <v>252338.07737997081</v>
      </c>
      <c r="E126">
        <v>252338.07737997081</v>
      </c>
      <c r="F126">
        <v>252338.07737997081</v>
      </c>
      <c r="G126">
        <v>252338.07737997081</v>
      </c>
      <c r="H126">
        <v>252338.07737997081</v>
      </c>
      <c r="I126">
        <v>252338.07737997081</v>
      </c>
      <c r="J126">
        <v>252338.07737997081</v>
      </c>
      <c r="K126">
        <v>252338.07737997081</v>
      </c>
      <c r="L126">
        <v>252338.07737997081</v>
      </c>
      <c r="M126">
        <v>252338.07737997081</v>
      </c>
      <c r="N126">
        <v>252338.07737997081</v>
      </c>
      <c r="O126">
        <v>252338.07737997081</v>
      </c>
      <c r="P126">
        <v>252338.07737997081</v>
      </c>
      <c r="Q126">
        <v>252338.07737997081</v>
      </c>
      <c r="R126">
        <v>252338.07737997081</v>
      </c>
      <c r="S126">
        <v>252338.07737997081</v>
      </c>
      <c r="T126">
        <v>252338.07737997081</v>
      </c>
      <c r="U126">
        <v>252338.07737997081</v>
      </c>
      <c r="V126">
        <v>252338.07737997081</v>
      </c>
      <c r="W126">
        <v>252338.07737997081</v>
      </c>
      <c r="X126">
        <v>252338.07737997081</v>
      </c>
      <c r="Y126">
        <v>252338.07737997081</v>
      </c>
      <c r="Z126">
        <v>252338.07737997081</v>
      </c>
      <c r="AA126">
        <v>252338.07737997081</v>
      </c>
      <c r="AB126">
        <v>252338.07737997081</v>
      </c>
      <c r="AC126">
        <v>252338.07737997081</v>
      </c>
      <c r="AD126">
        <v>252338.07737997081</v>
      </c>
      <c r="AE126">
        <v>252338.07737997081</v>
      </c>
      <c r="AF126">
        <v>252338.07737997081</v>
      </c>
      <c r="AG126">
        <v>252338.07737997081</v>
      </c>
      <c r="AH126">
        <v>252338.07737997081</v>
      </c>
      <c r="AI126">
        <v>252338.07737997081</v>
      </c>
      <c r="AJ126">
        <v>252338.07737997081</v>
      </c>
      <c r="AK126">
        <v>252338.07737997081</v>
      </c>
      <c r="AL126">
        <v>252338.07737997081</v>
      </c>
      <c r="AM126">
        <v>252338.07737997081</v>
      </c>
      <c r="AN126">
        <v>252338.07737997081</v>
      </c>
      <c r="AO126">
        <v>252338.07737997081</v>
      </c>
      <c r="AP126">
        <v>252338.07737997081</v>
      </c>
      <c r="AQ126">
        <v>252338.07737997081</v>
      </c>
      <c r="AR126">
        <v>252338.07737997081</v>
      </c>
      <c r="AS126">
        <v>252338.07737997081</v>
      </c>
      <c r="AT126">
        <v>252338.07737997081</v>
      </c>
      <c r="AU126">
        <v>252338.07737997081</v>
      </c>
      <c r="AV126">
        <v>252338.07737997081</v>
      </c>
      <c r="AW126">
        <v>252338.07737997081</v>
      </c>
      <c r="AX126">
        <v>252338.07737997081</v>
      </c>
    </row>
    <row r="127" spans="1:50" x14ac:dyDescent="0.2">
      <c r="B127" t="s">
        <v>278</v>
      </c>
      <c r="C127" s="109">
        <f>SUM(C$122:C$126)</f>
        <v>457037.06576329406</v>
      </c>
      <c r="D127" s="109">
        <f t="shared" ref="D127:AX127" si="9">SUM(D$122:D$126)</f>
        <v>457037.06576329406</v>
      </c>
      <c r="E127" s="109">
        <f t="shared" si="9"/>
        <v>457037.06576329406</v>
      </c>
      <c r="F127" s="109">
        <f t="shared" si="9"/>
        <v>457037.06576329406</v>
      </c>
      <c r="G127" s="109">
        <f t="shared" si="9"/>
        <v>457037.06576329406</v>
      </c>
      <c r="H127" s="109">
        <f t="shared" si="9"/>
        <v>457037.06576329406</v>
      </c>
      <c r="I127" s="109">
        <f t="shared" si="9"/>
        <v>457037.06576329406</v>
      </c>
      <c r="J127" s="109">
        <f t="shared" si="9"/>
        <v>457037.06576329406</v>
      </c>
      <c r="K127" s="109">
        <f t="shared" si="9"/>
        <v>457037.06576329406</v>
      </c>
      <c r="L127" s="109">
        <f t="shared" si="9"/>
        <v>457037.06576329406</v>
      </c>
      <c r="M127" s="109">
        <f t="shared" si="9"/>
        <v>457037.06576329406</v>
      </c>
      <c r="N127" s="109">
        <f t="shared" si="9"/>
        <v>457037.06576329406</v>
      </c>
      <c r="O127" s="109">
        <f t="shared" si="9"/>
        <v>457037.06576329406</v>
      </c>
      <c r="P127" s="109">
        <f t="shared" si="9"/>
        <v>457037.06576329406</v>
      </c>
      <c r="Q127" s="109">
        <f t="shared" si="9"/>
        <v>457037.06576329406</v>
      </c>
      <c r="R127" s="109">
        <f t="shared" si="9"/>
        <v>457037.06576329406</v>
      </c>
      <c r="S127" s="109">
        <f t="shared" si="9"/>
        <v>457037.06576329406</v>
      </c>
      <c r="T127" s="109">
        <f t="shared" si="9"/>
        <v>457037.06576329406</v>
      </c>
      <c r="U127" s="109">
        <f t="shared" si="9"/>
        <v>457037.06576329406</v>
      </c>
      <c r="V127" s="109">
        <f t="shared" si="9"/>
        <v>457037.06576329406</v>
      </c>
      <c r="W127" s="109">
        <f t="shared" si="9"/>
        <v>457037.06576329406</v>
      </c>
      <c r="X127" s="109">
        <f t="shared" si="9"/>
        <v>457037.06576329406</v>
      </c>
      <c r="Y127" s="109">
        <f t="shared" si="9"/>
        <v>457037.06576329406</v>
      </c>
      <c r="Z127" s="109">
        <f t="shared" si="9"/>
        <v>457037.06576329406</v>
      </c>
      <c r="AA127" s="109">
        <f t="shared" si="9"/>
        <v>457037.06576329406</v>
      </c>
      <c r="AB127" s="109">
        <f t="shared" si="9"/>
        <v>457037.06576329406</v>
      </c>
      <c r="AC127" s="109">
        <f t="shared" si="9"/>
        <v>457037.06576329406</v>
      </c>
      <c r="AD127" s="109">
        <f t="shared" si="9"/>
        <v>457037.06576329406</v>
      </c>
      <c r="AE127" s="109">
        <f t="shared" si="9"/>
        <v>457037.06576329406</v>
      </c>
      <c r="AF127" s="109">
        <f t="shared" si="9"/>
        <v>457037.06576329406</v>
      </c>
      <c r="AG127" s="109">
        <f t="shared" si="9"/>
        <v>457037.06576329406</v>
      </c>
      <c r="AH127" s="109">
        <f t="shared" si="9"/>
        <v>457037.06576329406</v>
      </c>
      <c r="AI127" s="109">
        <f t="shared" si="9"/>
        <v>457037.06576329406</v>
      </c>
      <c r="AJ127" s="109">
        <f t="shared" si="9"/>
        <v>457037.06576329406</v>
      </c>
      <c r="AK127" s="109">
        <f t="shared" si="9"/>
        <v>457037.06576329406</v>
      </c>
      <c r="AL127" s="109">
        <f t="shared" si="9"/>
        <v>457037.06576329406</v>
      </c>
      <c r="AM127" s="109">
        <f t="shared" si="9"/>
        <v>457037.06576329406</v>
      </c>
      <c r="AN127" s="109">
        <f t="shared" si="9"/>
        <v>457037.06576329406</v>
      </c>
      <c r="AO127" s="109">
        <f t="shared" si="9"/>
        <v>457037.06576329406</v>
      </c>
      <c r="AP127" s="109">
        <f t="shared" si="9"/>
        <v>457037.06576329406</v>
      </c>
      <c r="AQ127" s="109">
        <f t="shared" si="9"/>
        <v>457037.06576329406</v>
      </c>
      <c r="AR127" s="109">
        <f t="shared" si="9"/>
        <v>457037.06576329406</v>
      </c>
      <c r="AS127" s="109">
        <f t="shared" si="9"/>
        <v>457037.06576329406</v>
      </c>
      <c r="AT127" s="109">
        <f t="shared" si="9"/>
        <v>457037.06576329406</v>
      </c>
      <c r="AU127" s="109">
        <f t="shared" si="9"/>
        <v>457037.06576329406</v>
      </c>
      <c r="AV127" s="109">
        <f t="shared" si="9"/>
        <v>457037.06576329406</v>
      </c>
      <c r="AW127" s="109">
        <f t="shared" si="9"/>
        <v>457037.06576329406</v>
      </c>
      <c r="AX127" s="109">
        <f t="shared" si="9"/>
        <v>457037.06576329406</v>
      </c>
    </row>
    <row r="128" spans="1:50" x14ac:dyDescent="0.2">
      <c r="A128" s="109" t="s">
        <v>109</v>
      </c>
      <c r="B128" s="109" t="s">
        <v>5</v>
      </c>
      <c r="C128">
        <v>9171.755278594801</v>
      </c>
      <c r="D128">
        <v>9171.755278594801</v>
      </c>
      <c r="E128">
        <v>9171.755278594801</v>
      </c>
      <c r="F128">
        <v>9171.755278594801</v>
      </c>
      <c r="G128">
        <v>9171.755278594801</v>
      </c>
      <c r="H128">
        <v>9171.755278594801</v>
      </c>
      <c r="I128">
        <v>9171.755278594801</v>
      </c>
      <c r="J128">
        <v>9171.755278594801</v>
      </c>
      <c r="K128">
        <v>9171.755278594801</v>
      </c>
      <c r="L128">
        <v>9171.755278594801</v>
      </c>
      <c r="M128">
        <v>9171.755278594801</v>
      </c>
      <c r="N128">
        <v>9171.755278594801</v>
      </c>
      <c r="O128">
        <v>9171.755278594801</v>
      </c>
      <c r="P128">
        <v>9171.755278594801</v>
      </c>
      <c r="Q128">
        <v>9171.755278594801</v>
      </c>
      <c r="R128">
        <v>9171.755278594801</v>
      </c>
      <c r="S128">
        <v>9171.755278594801</v>
      </c>
      <c r="T128">
        <v>9171.755278594801</v>
      </c>
      <c r="U128">
        <v>9171.755278594801</v>
      </c>
      <c r="V128">
        <v>9171.755278594801</v>
      </c>
      <c r="W128">
        <v>9171.755278594801</v>
      </c>
      <c r="X128">
        <v>9171.755278594801</v>
      </c>
      <c r="Y128">
        <v>9171.755278594801</v>
      </c>
      <c r="Z128">
        <v>9171.755278594801</v>
      </c>
      <c r="AA128">
        <v>9171.755278594801</v>
      </c>
      <c r="AB128">
        <v>9171.755278594801</v>
      </c>
      <c r="AC128">
        <v>9171.755278594801</v>
      </c>
      <c r="AD128">
        <v>9171.755278594801</v>
      </c>
      <c r="AE128">
        <v>9171.755278594801</v>
      </c>
      <c r="AF128">
        <v>9171.755278594801</v>
      </c>
      <c r="AG128">
        <v>9171.755278594801</v>
      </c>
      <c r="AH128">
        <v>9171.755278594801</v>
      </c>
      <c r="AI128">
        <v>9171.755278594801</v>
      </c>
      <c r="AJ128">
        <v>9171.755278594801</v>
      </c>
      <c r="AK128">
        <v>9171.755278594801</v>
      </c>
      <c r="AL128">
        <v>9171.755278594801</v>
      </c>
      <c r="AM128">
        <v>9171.755278594801</v>
      </c>
      <c r="AN128">
        <v>9171.755278594801</v>
      </c>
      <c r="AO128">
        <v>9171.755278594801</v>
      </c>
      <c r="AP128">
        <v>9171.755278594801</v>
      </c>
      <c r="AQ128">
        <v>9171.755278594801</v>
      </c>
      <c r="AR128">
        <v>9171.755278594801</v>
      </c>
      <c r="AS128">
        <v>9171.755278594801</v>
      </c>
      <c r="AT128">
        <v>9171.755278594801</v>
      </c>
      <c r="AU128">
        <v>9171.755278594801</v>
      </c>
      <c r="AV128">
        <v>9171.755278594801</v>
      </c>
      <c r="AW128">
        <v>9171.755278594801</v>
      </c>
      <c r="AX128">
        <v>9171.755278594801</v>
      </c>
    </row>
    <row r="129" spans="2:50" x14ac:dyDescent="0.2">
      <c r="B129" s="109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09" t="s">
        <v>12</v>
      </c>
      <c r="C130">
        <v>62792.675024035743</v>
      </c>
      <c r="D130">
        <v>62792.675024035743</v>
      </c>
      <c r="E130">
        <v>62792.675024035743</v>
      </c>
      <c r="F130">
        <v>62792.675024035743</v>
      </c>
      <c r="G130">
        <v>62792.675024035743</v>
      </c>
      <c r="H130">
        <v>62792.675024035743</v>
      </c>
      <c r="I130">
        <v>62792.675024035743</v>
      </c>
      <c r="J130">
        <v>62792.675024035743</v>
      </c>
      <c r="K130">
        <v>62792.675024035743</v>
      </c>
      <c r="L130">
        <v>62792.675024035743</v>
      </c>
      <c r="M130">
        <v>62792.675024035743</v>
      </c>
      <c r="N130">
        <v>62792.675024035743</v>
      </c>
      <c r="O130">
        <v>62792.675024035743</v>
      </c>
      <c r="P130">
        <v>62792.675024035743</v>
      </c>
      <c r="Q130">
        <v>62792.675024035743</v>
      </c>
      <c r="R130">
        <v>62792.675024035743</v>
      </c>
      <c r="S130">
        <v>62792.675024035743</v>
      </c>
      <c r="T130">
        <v>62792.675024035743</v>
      </c>
      <c r="U130">
        <v>62792.675024035743</v>
      </c>
      <c r="V130">
        <v>62792.675024035743</v>
      </c>
      <c r="W130">
        <v>62792.675024035743</v>
      </c>
      <c r="X130">
        <v>62792.675024035743</v>
      </c>
      <c r="Y130">
        <v>62792.675024035743</v>
      </c>
      <c r="Z130">
        <v>62792.675024035743</v>
      </c>
      <c r="AA130">
        <v>62792.675024035743</v>
      </c>
      <c r="AB130">
        <v>62792.675024035743</v>
      </c>
      <c r="AC130">
        <v>62792.675024035743</v>
      </c>
      <c r="AD130">
        <v>62792.675024035743</v>
      </c>
      <c r="AE130">
        <v>62792.675024035743</v>
      </c>
      <c r="AF130">
        <v>62792.675024035743</v>
      </c>
      <c r="AG130">
        <v>62792.675024035743</v>
      </c>
      <c r="AH130">
        <v>62792.675024035743</v>
      </c>
      <c r="AI130">
        <v>62792.675024035743</v>
      </c>
      <c r="AJ130">
        <v>62792.675024035743</v>
      </c>
      <c r="AK130">
        <v>62792.675024035743</v>
      </c>
      <c r="AL130">
        <v>62792.675024035743</v>
      </c>
      <c r="AM130">
        <v>62792.675024035743</v>
      </c>
      <c r="AN130">
        <v>62792.675024035743</v>
      </c>
      <c r="AO130">
        <v>62792.675024035743</v>
      </c>
      <c r="AP130">
        <v>62792.675024035743</v>
      </c>
      <c r="AQ130">
        <v>62792.675024035743</v>
      </c>
      <c r="AR130">
        <v>62792.675024035743</v>
      </c>
      <c r="AS130">
        <v>62792.675024035743</v>
      </c>
      <c r="AT130">
        <v>62792.675024035743</v>
      </c>
      <c r="AU130">
        <v>62792.675024035743</v>
      </c>
      <c r="AV130">
        <v>62792.675024035743</v>
      </c>
      <c r="AW130">
        <v>62792.675024035743</v>
      </c>
      <c r="AX130">
        <v>62792.675024035743</v>
      </c>
    </row>
    <row r="131" spans="2:50" x14ac:dyDescent="0.2">
      <c r="B131" s="109" t="s">
        <v>22</v>
      </c>
      <c r="C131">
        <v>100335.24667006746</v>
      </c>
      <c r="D131">
        <v>100335.24667006746</v>
      </c>
      <c r="E131">
        <v>100335.24667006746</v>
      </c>
      <c r="F131">
        <v>100335.24667006746</v>
      </c>
      <c r="G131">
        <v>100335.24667006746</v>
      </c>
      <c r="H131">
        <v>100335.24667006746</v>
      </c>
      <c r="I131">
        <v>100335.24667006746</v>
      </c>
      <c r="J131">
        <v>100335.24667006746</v>
      </c>
      <c r="K131">
        <v>100335.24667006746</v>
      </c>
      <c r="L131">
        <v>100335.24667006746</v>
      </c>
      <c r="M131">
        <v>100335.24667006746</v>
      </c>
      <c r="N131">
        <v>100335.24667006746</v>
      </c>
      <c r="O131">
        <v>100335.24667006746</v>
      </c>
      <c r="P131">
        <v>100335.24667006746</v>
      </c>
      <c r="Q131">
        <v>100335.24667006746</v>
      </c>
      <c r="R131">
        <v>100335.24667006746</v>
      </c>
      <c r="S131">
        <v>100335.24667006746</v>
      </c>
      <c r="T131">
        <v>100335.24667006746</v>
      </c>
      <c r="U131">
        <v>100335.24667006746</v>
      </c>
      <c r="V131">
        <v>100335.24667006746</v>
      </c>
      <c r="W131">
        <v>100335.24667006746</v>
      </c>
      <c r="X131">
        <v>100335.24667006746</v>
      </c>
      <c r="Y131">
        <v>100335.24667006746</v>
      </c>
      <c r="Z131">
        <v>100335.24667006746</v>
      </c>
      <c r="AA131">
        <v>100335.24667006746</v>
      </c>
      <c r="AB131">
        <v>100335.24667006746</v>
      </c>
      <c r="AC131">
        <v>100335.24667006746</v>
      </c>
      <c r="AD131">
        <v>100335.24667006746</v>
      </c>
      <c r="AE131">
        <v>100335.24667006746</v>
      </c>
      <c r="AF131">
        <v>100335.24667006746</v>
      </c>
      <c r="AG131">
        <v>100335.24667006746</v>
      </c>
      <c r="AH131">
        <v>100335.24667006746</v>
      </c>
      <c r="AI131">
        <v>100335.24667006746</v>
      </c>
      <c r="AJ131">
        <v>100335.24667006746</v>
      </c>
      <c r="AK131">
        <v>100335.24667006746</v>
      </c>
      <c r="AL131">
        <v>100335.24667006746</v>
      </c>
      <c r="AM131">
        <v>100335.24667006746</v>
      </c>
      <c r="AN131">
        <v>100335.24667006746</v>
      </c>
      <c r="AO131">
        <v>100335.24667006746</v>
      </c>
      <c r="AP131">
        <v>100335.24667006746</v>
      </c>
      <c r="AQ131">
        <v>100335.24667006746</v>
      </c>
      <c r="AR131">
        <v>100335.24667006746</v>
      </c>
      <c r="AS131">
        <v>100335.24667006746</v>
      </c>
      <c r="AT131">
        <v>100335.24667006746</v>
      </c>
      <c r="AU131">
        <v>100335.24667006746</v>
      </c>
      <c r="AV131">
        <v>100335.24667006746</v>
      </c>
      <c r="AW131">
        <v>100335.24667006746</v>
      </c>
      <c r="AX131">
        <v>100335.24667006746</v>
      </c>
    </row>
    <row r="132" spans="2:50" x14ac:dyDescent="0.2">
      <c r="B132" s="109" t="s">
        <v>59</v>
      </c>
      <c r="C132">
        <v>212398.55440351929</v>
      </c>
      <c r="D132">
        <v>212398.55440351929</v>
      </c>
      <c r="E132">
        <v>212398.55440351929</v>
      </c>
      <c r="F132">
        <v>212398.55440351929</v>
      </c>
      <c r="G132">
        <v>212398.55440351929</v>
      </c>
      <c r="H132">
        <v>212398.55440351929</v>
      </c>
      <c r="I132">
        <v>212398.55440351929</v>
      </c>
      <c r="J132">
        <v>212398.55440351929</v>
      </c>
      <c r="K132">
        <v>212398.55440351929</v>
      </c>
      <c r="L132">
        <v>212398.55440351929</v>
      </c>
      <c r="M132">
        <v>212398.55440351929</v>
      </c>
      <c r="N132">
        <v>212398.55440351929</v>
      </c>
      <c r="O132">
        <v>212398.55440351929</v>
      </c>
      <c r="P132">
        <v>212398.55440351929</v>
      </c>
      <c r="Q132">
        <v>212398.55440351929</v>
      </c>
      <c r="R132">
        <v>212398.55440351929</v>
      </c>
      <c r="S132">
        <v>212398.55440351929</v>
      </c>
      <c r="T132">
        <v>212398.55440351929</v>
      </c>
      <c r="U132">
        <v>212398.55440351929</v>
      </c>
      <c r="V132">
        <v>212398.55440351929</v>
      </c>
      <c r="W132">
        <v>212398.55440351929</v>
      </c>
      <c r="X132">
        <v>212398.55440351929</v>
      </c>
      <c r="Y132">
        <v>212398.55440351929</v>
      </c>
      <c r="Z132">
        <v>212398.55440351929</v>
      </c>
      <c r="AA132">
        <v>212398.55440351929</v>
      </c>
      <c r="AB132">
        <v>212398.55440351929</v>
      </c>
      <c r="AC132">
        <v>212398.55440351929</v>
      </c>
      <c r="AD132">
        <v>212398.55440351929</v>
      </c>
      <c r="AE132">
        <v>212398.55440351929</v>
      </c>
      <c r="AF132">
        <v>212398.55440351929</v>
      </c>
      <c r="AG132">
        <v>212398.55440351929</v>
      </c>
      <c r="AH132">
        <v>212398.55440351929</v>
      </c>
      <c r="AI132">
        <v>212398.55440351929</v>
      </c>
      <c r="AJ132">
        <v>212398.55440351929</v>
      </c>
      <c r="AK132">
        <v>212398.55440351929</v>
      </c>
      <c r="AL132">
        <v>212398.55440351929</v>
      </c>
      <c r="AM132">
        <v>212398.55440351929</v>
      </c>
      <c r="AN132">
        <v>212398.55440351929</v>
      </c>
      <c r="AO132">
        <v>212398.55440351929</v>
      </c>
      <c r="AP132">
        <v>212398.55440351929</v>
      </c>
      <c r="AQ132">
        <v>212398.55440351929</v>
      </c>
      <c r="AR132">
        <v>212398.55440351929</v>
      </c>
      <c r="AS132">
        <v>212398.55440351929</v>
      </c>
      <c r="AT132">
        <v>212398.55440351929</v>
      </c>
      <c r="AU132">
        <v>212398.55440351929</v>
      </c>
      <c r="AV132">
        <v>212398.55440351929</v>
      </c>
      <c r="AW132">
        <v>212398.55440351929</v>
      </c>
      <c r="AX132">
        <v>212398.55440351929</v>
      </c>
    </row>
    <row r="133" spans="2:50" x14ac:dyDescent="0.2">
      <c r="B133" t="s">
        <v>278</v>
      </c>
      <c r="C133" s="109">
        <f>SUM(C$128:C$132)</f>
        <v>384698.23137621733</v>
      </c>
      <c r="D133" s="109">
        <f t="shared" ref="D133:AX133" si="10">SUM(D$128:D$132)</f>
        <v>384698.23137621733</v>
      </c>
      <c r="E133" s="109">
        <f t="shared" si="10"/>
        <v>384698.23137621733</v>
      </c>
      <c r="F133" s="109">
        <f t="shared" si="10"/>
        <v>384698.23137621733</v>
      </c>
      <c r="G133" s="109">
        <f t="shared" si="10"/>
        <v>384698.23137621733</v>
      </c>
      <c r="H133" s="109">
        <f t="shared" si="10"/>
        <v>384698.23137621733</v>
      </c>
      <c r="I133" s="109">
        <f t="shared" si="10"/>
        <v>384698.23137621733</v>
      </c>
      <c r="J133" s="109">
        <f t="shared" si="10"/>
        <v>384698.23137621733</v>
      </c>
      <c r="K133" s="109">
        <f t="shared" si="10"/>
        <v>384698.23137621733</v>
      </c>
      <c r="L133" s="109">
        <f t="shared" si="10"/>
        <v>384698.23137621733</v>
      </c>
      <c r="M133" s="109">
        <f t="shared" si="10"/>
        <v>384698.23137621733</v>
      </c>
      <c r="N133" s="109">
        <f t="shared" si="10"/>
        <v>384698.23137621733</v>
      </c>
      <c r="O133" s="109">
        <f t="shared" si="10"/>
        <v>384698.23137621733</v>
      </c>
      <c r="P133" s="109">
        <f t="shared" si="10"/>
        <v>384698.23137621733</v>
      </c>
      <c r="Q133" s="109">
        <f t="shared" si="10"/>
        <v>384698.23137621733</v>
      </c>
      <c r="R133" s="109">
        <f t="shared" si="10"/>
        <v>384698.23137621733</v>
      </c>
      <c r="S133" s="109">
        <f t="shared" si="10"/>
        <v>384698.23137621733</v>
      </c>
      <c r="T133" s="109">
        <f t="shared" si="10"/>
        <v>384698.23137621733</v>
      </c>
      <c r="U133" s="109">
        <f t="shared" si="10"/>
        <v>384698.23137621733</v>
      </c>
      <c r="V133" s="109">
        <f t="shared" si="10"/>
        <v>384698.23137621733</v>
      </c>
      <c r="W133" s="109">
        <f t="shared" si="10"/>
        <v>384698.23137621733</v>
      </c>
      <c r="X133" s="109">
        <f t="shared" si="10"/>
        <v>384698.23137621733</v>
      </c>
      <c r="Y133" s="109">
        <f t="shared" si="10"/>
        <v>384698.23137621733</v>
      </c>
      <c r="Z133" s="109">
        <f t="shared" si="10"/>
        <v>384698.23137621733</v>
      </c>
      <c r="AA133" s="109">
        <f t="shared" si="10"/>
        <v>384698.23137621733</v>
      </c>
      <c r="AB133" s="109">
        <f t="shared" si="10"/>
        <v>384698.23137621733</v>
      </c>
      <c r="AC133" s="109">
        <f t="shared" si="10"/>
        <v>384698.23137621733</v>
      </c>
      <c r="AD133" s="109">
        <f t="shared" si="10"/>
        <v>384698.23137621733</v>
      </c>
      <c r="AE133" s="109">
        <f t="shared" si="10"/>
        <v>384698.23137621733</v>
      </c>
      <c r="AF133" s="109">
        <f t="shared" si="10"/>
        <v>384698.23137621733</v>
      </c>
      <c r="AG133" s="109">
        <f t="shared" si="10"/>
        <v>384698.23137621733</v>
      </c>
      <c r="AH133" s="109">
        <f t="shared" si="10"/>
        <v>384698.23137621733</v>
      </c>
      <c r="AI133" s="109">
        <f t="shared" si="10"/>
        <v>384698.23137621733</v>
      </c>
      <c r="AJ133" s="109">
        <f t="shared" si="10"/>
        <v>384698.23137621733</v>
      </c>
      <c r="AK133" s="109">
        <f t="shared" si="10"/>
        <v>384698.23137621733</v>
      </c>
      <c r="AL133" s="109">
        <f t="shared" si="10"/>
        <v>384698.23137621733</v>
      </c>
      <c r="AM133" s="109">
        <f t="shared" si="10"/>
        <v>384698.23137621733</v>
      </c>
      <c r="AN133" s="109">
        <f t="shared" si="10"/>
        <v>384698.23137621733</v>
      </c>
      <c r="AO133" s="109">
        <f t="shared" si="10"/>
        <v>384698.23137621733</v>
      </c>
      <c r="AP133" s="109">
        <f t="shared" si="10"/>
        <v>384698.23137621733</v>
      </c>
      <c r="AQ133" s="109">
        <f t="shared" si="10"/>
        <v>384698.23137621733</v>
      </c>
      <c r="AR133" s="109">
        <f t="shared" si="10"/>
        <v>384698.23137621733</v>
      </c>
      <c r="AS133" s="109">
        <f t="shared" si="10"/>
        <v>384698.23137621733</v>
      </c>
      <c r="AT133" s="109">
        <f t="shared" si="10"/>
        <v>384698.23137621733</v>
      </c>
      <c r="AU133" s="109">
        <f t="shared" si="10"/>
        <v>384698.23137621733</v>
      </c>
      <c r="AV133" s="109">
        <f t="shared" si="10"/>
        <v>384698.23137621733</v>
      </c>
      <c r="AW133" s="109">
        <f t="shared" si="10"/>
        <v>384698.23137621733</v>
      </c>
      <c r="AX133" s="109">
        <f t="shared" si="10"/>
        <v>384698.23137621733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5</v>
      </c>
      <c r="E2" s="114"/>
    </row>
    <row r="3" spans="1:52" x14ac:dyDescent="0.2">
      <c r="A3" t="s">
        <v>286</v>
      </c>
      <c r="B3" s="111">
        <v>345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679.68768363823528</v>
      </c>
      <c r="E7" s="147">
        <v>679.68768363823528</v>
      </c>
      <c r="F7" s="147">
        <v>679.68768363823528</v>
      </c>
      <c r="G7" s="147">
        <v>679.68768363823528</v>
      </c>
      <c r="H7" s="147">
        <v>679.68768363823528</v>
      </c>
      <c r="I7" s="147">
        <v>679.68768363823528</v>
      </c>
      <c r="J7" s="147">
        <v>679.68768363823528</v>
      </c>
      <c r="K7" s="147">
        <v>679.68768363823528</v>
      </c>
      <c r="L7" s="147">
        <v>679.68768363823528</v>
      </c>
      <c r="M7" s="147">
        <v>679.68768363823528</v>
      </c>
      <c r="N7" s="147">
        <v>679.68768363823528</v>
      </c>
      <c r="O7" s="147">
        <v>679.68768363823528</v>
      </c>
      <c r="P7" s="147">
        <v>679.68768363823528</v>
      </c>
      <c r="Q7" s="147">
        <v>679.68768363823528</v>
      </c>
      <c r="R7" s="147">
        <v>679.68768363823528</v>
      </c>
      <c r="S7" s="147">
        <v>679.68768363823528</v>
      </c>
      <c r="T7" s="147">
        <v>679.68768363823528</v>
      </c>
      <c r="U7" s="147">
        <v>679.68768363823528</v>
      </c>
      <c r="V7" s="147">
        <v>679.68768363823528</v>
      </c>
      <c r="W7" s="147">
        <v>679.68768363823528</v>
      </c>
      <c r="X7" s="147">
        <v>679.68768363823528</v>
      </c>
      <c r="Y7" s="147">
        <v>679.68768363823528</v>
      </c>
      <c r="Z7" s="147">
        <v>679.68768363823528</v>
      </c>
      <c r="AA7" s="147">
        <v>679.68768363823528</v>
      </c>
      <c r="AB7" s="147">
        <v>679.68768363823528</v>
      </c>
      <c r="AC7" s="147">
        <v>679.68768363823528</v>
      </c>
      <c r="AD7" s="147">
        <v>679.68768363823528</v>
      </c>
      <c r="AE7" s="147">
        <v>679.68768363823528</v>
      </c>
      <c r="AF7" s="147">
        <v>679.68768363823528</v>
      </c>
      <c r="AG7" s="147">
        <v>679.68768363823528</v>
      </c>
      <c r="AH7" s="147">
        <v>679.68768363823528</v>
      </c>
      <c r="AI7" s="147">
        <v>679.68768363823528</v>
      </c>
      <c r="AJ7" s="147">
        <v>679.68768363823528</v>
      </c>
      <c r="AK7" s="147">
        <v>679.68768363823528</v>
      </c>
      <c r="AL7" s="147">
        <v>679.68768363823528</v>
      </c>
      <c r="AM7" s="147">
        <v>679.68768363823528</v>
      </c>
      <c r="AN7" s="147">
        <v>679.68768363823528</v>
      </c>
      <c r="AO7" s="147">
        <v>679.68768363823528</v>
      </c>
      <c r="AP7" s="147">
        <v>679.68768363823528</v>
      </c>
      <c r="AQ7" s="147">
        <v>679.68768363823528</v>
      </c>
      <c r="AR7" s="147">
        <v>679.68768363823528</v>
      </c>
      <c r="AS7" s="147">
        <v>679.68768363823528</v>
      </c>
      <c r="AT7" s="147">
        <v>679.68768363823528</v>
      </c>
      <c r="AU7" s="147">
        <v>679.68768363823528</v>
      </c>
      <c r="AV7" s="147">
        <v>679.68768363823528</v>
      </c>
      <c r="AW7" s="147">
        <v>679.68768363823528</v>
      </c>
      <c r="AX7" s="147">
        <v>679.68768363823528</v>
      </c>
      <c r="AY7" s="147">
        <v>679.68768363823528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334.68768363823528</v>
      </c>
      <c r="E10" s="147">
        <f t="shared" si="0"/>
        <v>334.68768363823528</v>
      </c>
      <c r="F10" s="147">
        <f t="shared" si="0"/>
        <v>334.68768363823528</v>
      </c>
      <c r="G10" s="147">
        <f t="shared" si="0"/>
        <v>334.68768363823528</v>
      </c>
      <c r="H10" s="147">
        <f t="shared" si="0"/>
        <v>334.68768363823528</v>
      </c>
      <c r="I10" s="147">
        <f t="shared" si="0"/>
        <v>334.68768363823528</v>
      </c>
      <c r="J10" s="147">
        <f t="shared" si="0"/>
        <v>334.68768363823528</v>
      </c>
      <c r="K10" s="147">
        <f t="shared" si="0"/>
        <v>334.68768363823528</v>
      </c>
      <c r="L10" s="147">
        <f t="shared" si="0"/>
        <v>334.68768363823528</v>
      </c>
      <c r="M10" s="147">
        <f t="shared" si="0"/>
        <v>334.68768363823528</v>
      </c>
      <c r="N10" s="147">
        <f t="shared" si="0"/>
        <v>334.68768363823528</v>
      </c>
      <c r="O10" s="147">
        <f t="shared" si="0"/>
        <v>334.68768363823528</v>
      </c>
      <c r="P10" s="147">
        <f t="shared" si="0"/>
        <v>334.68768363823528</v>
      </c>
      <c r="Q10" s="147">
        <f t="shared" si="0"/>
        <v>334.68768363823528</v>
      </c>
      <c r="R10" s="147">
        <f t="shared" si="0"/>
        <v>334.68768363823528</v>
      </c>
      <c r="S10" s="147">
        <f t="shared" si="0"/>
        <v>334.68768363823528</v>
      </c>
      <c r="T10" s="147">
        <f t="shared" si="0"/>
        <v>334.68768363823528</v>
      </c>
      <c r="U10" s="147">
        <f t="shared" si="0"/>
        <v>334.68768363823528</v>
      </c>
      <c r="V10" s="147">
        <f t="shared" si="0"/>
        <v>334.68768363823528</v>
      </c>
      <c r="W10" s="147">
        <f t="shared" si="0"/>
        <v>334.68768363823528</v>
      </c>
      <c r="X10" s="147">
        <f t="shared" si="0"/>
        <v>334.68768363823528</v>
      </c>
      <c r="Y10" s="147">
        <f t="shared" si="0"/>
        <v>334.68768363823528</v>
      </c>
      <c r="Z10" s="147">
        <f t="shared" si="0"/>
        <v>334.68768363823528</v>
      </c>
      <c r="AA10" s="147">
        <f t="shared" si="0"/>
        <v>334.68768363823528</v>
      </c>
      <c r="AB10" s="147">
        <f t="shared" si="0"/>
        <v>334.68768363823528</v>
      </c>
      <c r="AC10" s="147">
        <f t="shared" si="0"/>
        <v>334.68768363823528</v>
      </c>
      <c r="AD10" s="147">
        <f t="shared" si="0"/>
        <v>679.68768363823528</v>
      </c>
      <c r="AE10" s="147">
        <f t="shared" si="0"/>
        <v>334.68768363823528</v>
      </c>
      <c r="AF10" s="147">
        <f t="shared" si="0"/>
        <v>334.68768363823528</v>
      </c>
      <c r="AG10" s="147">
        <f t="shared" si="0"/>
        <v>334.68768363823528</v>
      </c>
      <c r="AH10" s="147">
        <f t="shared" si="0"/>
        <v>334.68768363823528</v>
      </c>
      <c r="AI10" s="147">
        <f t="shared" si="0"/>
        <v>334.68768363823528</v>
      </c>
      <c r="AJ10" s="147">
        <f t="shared" si="0"/>
        <v>334.68768363823528</v>
      </c>
      <c r="AK10" s="147">
        <f t="shared" si="0"/>
        <v>334.68768363823528</v>
      </c>
      <c r="AL10" s="147">
        <f t="shared" si="0"/>
        <v>334.68768363823528</v>
      </c>
      <c r="AM10" s="147">
        <f t="shared" si="0"/>
        <v>334.68768363823528</v>
      </c>
      <c r="AN10" s="147">
        <f t="shared" si="0"/>
        <v>334.68768363823528</v>
      </c>
      <c r="AO10" s="147">
        <f t="shared" si="0"/>
        <v>334.68768363823528</v>
      </c>
      <c r="AP10" s="147">
        <f t="shared" si="0"/>
        <v>334.68768363823528</v>
      </c>
      <c r="AQ10" s="147">
        <f t="shared" si="0"/>
        <v>334.68768363823528</v>
      </c>
      <c r="AR10" s="147">
        <f t="shared" si="0"/>
        <v>334.68768363823528</v>
      </c>
      <c r="AS10" s="147">
        <f t="shared" si="0"/>
        <v>334.68768363823528</v>
      </c>
      <c r="AT10" s="147">
        <f t="shared" si="0"/>
        <v>334.68768363823528</v>
      </c>
      <c r="AU10" s="147">
        <f t="shared" si="0"/>
        <v>334.68768363823528</v>
      </c>
      <c r="AV10" s="147">
        <f t="shared" si="0"/>
        <v>334.68768363823528</v>
      </c>
      <c r="AW10" s="147">
        <f t="shared" si="0"/>
        <v>334.68768363823528</v>
      </c>
      <c r="AX10" s="147">
        <f t="shared" si="0"/>
        <v>334.68768363823528</v>
      </c>
      <c r="AY10" s="147">
        <f t="shared" si="0"/>
        <v>334.68768363823528</v>
      </c>
      <c r="AZ10" s="154">
        <f>SUM($D10:$AY10)</f>
        <v>16410.008814635316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345</v>
      </c>
      <c r="D13" s="141">
        <f t="shared" ref="D13:AY13" si="1">D$7-D$10</f>
        <v>345</v>
      </c>
      <c r="E13" s="141">
        <f t="shared" si="1"/>
        <v>345</v>
      </c>
      <c r="F13" s="141">
        <f t="shared" si="1"/>
        <v>345</v>
      </c>
      <c r="G13" s="141">
        <f t="shared" si="1"/>
        <v>345</v>
      </c>
      <c r="H13" s="141">
        <f t="shared" si="1"/>
        <v>345</v>
      </c>
      <c r="I13" s="141">
        <f t="shared" si="1"/>
        <v>345</v>
      </c>
      <c r="J13" s="141">
        <f t="shared" si="1"/>
        <v>345</v>
      </c>
      <c r="K13" s="141">
        <f t="shared" si="1"/>
        <v>345</v>
      </c>
      <c r="L13" s="141">
        <f t="shared" si="1"/>
        <v>345</v>
      </c>
      <c r="M13" s="141">
        <f t="shared" si="1"/>
        <v>345</v>
      </c>
      <c r="N13" s="141">
        <f t="shared" si="1"/>
        <v>345</v>
      </c>
      <c r="O13" s="141">
        <f t="shared" si="1"/>
        <v>345</v>
      </c>
      <c r="P13" s="141">
        <f t="shared" si="1"/>
        <v>345</v>
      </c>
      <c r="Q13" s="141">
        <f t="shared" si="1"/>
        <v>345</v>
      </c>
      <c r="R13" s="141">
        <f t="shared" si="1"/>
        <v>345</v>
      </c>
      <c r="S13" s="141">
        <f t="shared" si="1"/>
        <v>345</v>
      </c>
      <c r="T13" s="141">
        <f t="shared" si="1"/>
        <v>345</v>
      </c>
      <c r="U13" s="141">
        <f t="shared" si="1"/>
        <v>345</v>
      </c>
      <c r="V13" s="141">
        <f t="shared" si="1"/>
        <v>345</v>
      </c>
      <c r="W13" s="141">
        <f t="shared" si="1"/>
        <v>345</v>
      </c>
      <c r="X13" s="141">
        <f t="shared" si="1"/>
        <v>345</v>
      </c>
      <c r="Y13" s="141">
        <f t="shared" si="1"/>
        <v>345</v>
      </c>
      <c r="Z13" s="141">
        <f t="shared" si="1"/>
        <v>345</v>
      </c>
      <c r="AA13" s="141">
        <f t="shared" si="1"/>
        <v>345</v>
      </c>
      <c r="AB13" s="141">
        <f t="shared" si="1"/>
        <v>345</v>
      </c>
      <c r="AC13" s="141">
        <f t="shared" si="1"/>
        <v>345</v>
      </c>
      <c r="AD13" s="141">
        <f t="shared" si="1"/>
        <v>0</v>
      </c>
      <c r="AE13" s="141">
        <f t="shared" si="1"/>
        <v>345</v>
      </c>
      <c r="AF13" s="141">
        <f t="shared" si="1"/>
        <v>345</v>
      </c>
      <c r="AG13" s="141">
        <f t="shared" si="1"/>
        <v>345</v>
      </c>
      <c r="AH13" s="141">
        <f t="shared" si="1"/>
        <v>345</v>
      </c>
      <c r="AI13" s="141">
        <f t="shared" si="1"/>
        <v>345</v>
      </c>
      <c r="AJ13" s="141">
        <f t="shared" si="1"/>
        <v>345</v>
      </c>
      <c r="AK13" s="141">
        <f t="shared" si="1"/>
        <v>345</v>
      </c>
      <c r="AL13" s="141">
        <f t="shared" si="1"/>
        <v>345</v>
      </c>
      <c r="AM13" s="141">
        <f t="shared" si="1"/>
        <v>345</v>
      </c>
      <c r="AN13" s="141">
        <f t="shared" si="1"/>
        <v>345</v>
      </c>
      <c r="AO13" s="141">
        <f t="shared" si="1"/>
        <v>345</v>
      </c>
      <c r="AP13" s="141">
        <f t="shared" si="1"/>
        <v>345</v>
      </c>
      <c r="AQ13" s="141">
        <f t="shared" si="1"/>
        <v>345</v>
      </c>
      <c r="AR13" s="141">
        <f t="shared" si="1"/>
        <v>345</v>
      </c>
      <c r="AS13" s="141">
        <f t="shared" si="1"/>
        <v>345</v>
      </c>
      <c r="AT13" s="141">
        <f t="shared" si="1"/>
        <v>345</v>
      </c>
      <c r="AU13" s="141">
        <f t="shared" si="1"/>
        <v>345</v>
      </c>
      <c r="AV13" s="141">
        <f t="shared" si="1"/>
        <v>345</v>
      </c>
      <c r="AW13" s="141">
        <f t="shared" si="1"/>
        <v>345</v>
      </c>
      <c r="AX13" s="141">
        <f t="shared" si="1"/>
        <v>345</v>
      </c>
      <c r="AY13" s="141">
        <f t="shared" si="1"/>
        <v>345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0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0</v>
      </c>
      <c r="Y14" s="110">
        <f t="shared" si="2"/>
        <v>0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0</v>
      </c>
      <c r="AD14" s="110">
        <f t="shared" si="2"/>
        <v>345</v>
      </c>
      <c r="AE14" s="110">
        <f t="shared" si="2"/>
        <v>0</v>
      </c>
      <c r="AF14" s="110">
        <f t="shared" si="2"/>
        <v>0</v>
      </c>
      <c r="AG14" s="110">
        <f t="shared" si="2"/>
        <v>0</v>
      </c>
      <c r="AH14" s="110">
        <f t="shared" si="2"/>
        <v>0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0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 t="s">
        <v>339</v>
      </c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11"/>
    </row>
    <row r="21" spans="1:52" s="114" customFormat="1" x14ac:dyDescent="0.2">
      <c r="A21" s="158" t="s">
        <v>133</v>
      </c>
      <c r="B21" s="159">
        <f>shipping_manufacturing!$C$19/100</f>
        <v>0.8</v>
      </c>
      <c r="C21" s="159" t="s">
        <v>293</v>
      </c>
      <c r="D21" s="110">
        <f>IF(C$20="Yes",0,SUM(C$13:C$16)*$B$21)</f>
        <v>276</v>
      </c>
      <c r="E21" s="110">
        <f t="shared" ref="E21:AY21" si="3">IF(D$20="Yes",0,SUM(D$13:D$16)*$B$21)</f>
        <v>276</v>
      </c>
      <c r="F21" s="110">
        <f t="shared" si="3"/>
        <v>276</v>
      </c>
      <c r="G21" s="110">
        <f t="shared" si="3"/>
        <v>276</v>
      </c>
      <c r="H21" s="110">
        <f t="shared" si="3"/>
        <v>276</v>
      </c>
      <c r="I21" s="110">
        <f t="shared" si="3"/>
        <v>276</v>
      </c>
      <c r="J21" s="110">
        <f t="shared" si="3"/>
        <v>276</v>
      </c>
      <c r="K21" s="110">
        <f t="shared" si="3"/>
        <v>276</v>
      </c>
      <c r="L21" s="110">
        <f t="shared" si="3"/>
        <v>276</v>
      </c>
      <c r="M21" s="110">
        <f t="shared" si="3"/>
        <v>276</v>
      </c>
      <c r="N21" s="110">
        <f t="shared" si="3"/>
        <v>276</v>
      </c>
      <c r="O21" s="110">
        <f t="shared" si="3"/>
        <v>276</v>
      </c>
      <c r="P21" s="110">
        <f t="shared" si="3"/>
        <v>276</v>
      </c>
      <c r="Q21" s="110">
        <f t="shared" si="3"/>
        <v>276</v>
      </c>
      <c r="R21" s="110">
        <f t="shared" si="3"/>
        <v>276</v>
      </c>
      <c r="S21" s="110">
        <f t="shared" si="3"/>
        <v>276</v>
      </c>
      <c r="T21" s="110">
        <f t="shared" si="3"/>
        <v>276</v>
      </c>
      <c r="U21" s="110">
        <f t="shared" si="3"/>
        <v>276</v>
      </c>
      <c r="V21" s="110">
        <f t="shared" si="3"/>
        <v>276</v>
      </c>
      <c r="W21" s="110">
        <f t="shared" si="3"/>
        <v>276</v>
      </c>
      <c r="X21" s="110">
        <f t="shared" si="3"/>
        <v>276</v>
      </c>
      <c r="Y21" s="110">
        <f t="shared" si="3"/>
        <v>276</v>
      </c>
      <c r="Z21" s="110">
        <f t="shared" si="3"/>
        <v>276</v>
      </c>
      <c r="AA21" s="110">
        <f t="shared" si="3"/>
        <v>276</v>
      </c>
      <c r="AB21" s="110">
        <f t="shared" si="3"/>
        <v>276</v>
      </c>
      <c r="AC21" s="110">
        <f t="shared" si="3"/>
        <v>276</v>
      </c>
      <c r="AD21" s="110">
        <f t="shared" si="3"/>
        <v>0</v>
      </c>
      <c r="AE21" s="110">
        <f t="shared" si="3"/>
        <v>276</v>
      </c>
      <c r="AF21" s="110">
        <f t="shared" si="3"/>
        <v>276</v>
      </c>
      <c r="AG21" s="110">
        <f t="shared" si="3"/>
        <v>276</v>
      </c>
      <c r="AH21" s="110">
        <f t="shared" si="3"/>
        <v>276</v>
      </c>
      <c r="AI21" s="110">
        <f t="shared" si="3"/>
        <v>276</v>
      </c>
      <c r="AJ21" s="110">
        <f t="shared" si="3"/>
        <v>276</v>
      </c>
      <c r="AK21" s="110">
        <f t="shared" si="3"/>
        <v>276</v>
      </c>
      <c r="AL21" s="110">
        <f t="shared" si="3"/>
        <v>276</v>
      </c>
      <c r="AM21" s="110">
        <f t="shared" si="3"/>
        <v>276</v>
      </c>
      <c r="AN21" s="110">
        <f t="shared" si="3"/>
        <v>276</v>
      </c>
      <c r="AO21" s="110">
        <f t="shared" si="3"/>
        <v>276</v>
      </c>
      <c r="AP21" s="110">
        <f t="shared" si="3"/>
        <v>276</v>
      </c>
      <c r="AQ21" s="110">
        <f t="shared" si="3"/>
        <v>276</v>
      </c>
      <c r="AR21" s="110">
        <f t="shared" si="3"/>
        <v>276</v>
      </c>
      <c r="AS21" s="110">
        <f t="shared" si="3"/>
        <v>276</v>
      </c>
      <c r="AT21" s="110">
        <f t="shared" si="3"/>
        <v>276</v>
      </c>
      <c r="AU21" s="110">
        <f t="shared" si="3"/>
        <v>276</v>
      </c>
      <c r="AV21" s="110">
        <f t="shared" si="3"/>
        <v>276</v>
      </c>
      <c r="AW21" s="110">
        <f t="shared" si="3"/>
        <v>276</v>
      </c>
      <c r="AX21" s="110">
        <f t="shared" si="3"/>
        <v>276</v>
      </c>
      <c r="AY21" s="110">
        <f t="shared" si="3"/>
        <v>276</v>
      </c>
      <c r="AZ21" s="160">
        <f>SUM($D21:$AY21)</f>
        <v>12972</v>
      </c>
    </row>
    <row r="22" spans="1:52" s="114" customFormat="1" x14ac:dyDescent="0.2">
      <c r="A22" s="161" t="s">
        <v>123</v>
      </c>
      <c r="B22" s="162">
        <f>1-$B$21</f>
        <v>0.19999999999999996</v>
      </c>
      <c r="C22" s="162" t="s">
        <v>293</v>
      </c>
      <c r="D22" s="117">
        <f>IF(C$20="Yes",0,SUM(C$13:C$16)*$B$22)</f>
        <v>68.999999999999986</v>
      </c>
      <c r="E22" s="117">
        <f t="shared" ref="E22:AY22" si="4">IF(D$20="Yes",0,SUM(D$13:D$16)*$B$22)</f>
        <v>68.999999999999986</v>
      </c>
      <c r="F22" s="117">
        <f t="shared" si="4"/>
        <v>68.999999999999986</v>
      </c>
      <c r="G22" s="117">
        <f t="shared" si="4"/>
        <v>68.999999999999986</v>
      </c>
      <c r="H22" s="117">
        <f t="shared" si="4"/>
        <v>68.999999999999986</v>
      </c>
      <c r="I22" s="117">
        <f t="shared" si="4"/>
        <v>68.999999999999986</v>
      </c>
      <c r="J22" s="117">
        <f t="shared" si="4"/>
        <v>68.999999999999986</v>
      </c>
      <c r="K22" s="117">
        <f t="shared" si="4"/>
        <v>68.999999999999986</v>
      </c>
      <c r="L22" s="117">
        <f t="shared" si="4"/>
        <v>68.999999999999986</v>
      </c>
      <c r="M22" s="117">
        <f t="shared" si="4"/>
        <v>68.999999999999986</v>
      </c>
      <c r="N22" s="117">
        <f t="shared" si="4"/>
        <v>68.999999999999986</v>
      </c>
      <c r="O22" s="117">
        <f t="shared" si="4"/>
        <v>68.999999999999986</v>
      </c>
      <c r="P22" s="117">
        <f t="shared" si="4"/>
        <v>68.999999999999986</v>
      </c>
      <c r="Q22" s="117">
        <f t="shared" si="4"/>
        <v>68.999999999999986</v>
      </c>
      <c r="R22" s="117">
        <f t="shared" si="4"/>
        <v>68.999999999999986</v>
      </c>
      <c r="S22" s="117">
        <f t="shared" si="4"/>
        <v>68.999999999999986</v>
      </c>
      <c r="T22" s="117">
        <f t="shared" si="4"/>
        <v>68.999999999999986</v>
      </c>
      <c r="U22" s="117">
        <f t="shared" si="4"/>
        <v>68.999999999999986</v>
      </c>
      <c r="V22" s="117">
        <f t="shared" si="4"/>
        <v>68.999999999999986</v>
      </c>
      <c r="W22" s="117">
        <f t="shared" si="4"/>
        <v>68.999999999999986</v>
      </c>
      <c r="X22" s="117">
        <f t="shared" si="4"/>
        <v>68.999999999999986</v>
      </c>
      <c r="Y22" s="117">
        <f t="shared" si="4"/>
        <v>68.999999999999986</v>
      </c>
      <c r="Z22" s="117">
        <f t="shared" si="4"/>
        <v>68.999999999999986</v>
      </c>
      <c r="AA22" s="117">
        <f t="shared" si="4"/>
        <v>68.999999999999986</v>
      </c>
      <c r="AB22" s="117">
        <f t="shared" si="4"/>
        <v>68.999999999999986</v>
      </c>
      <c r="AC22" s="117">
        <f t="shared" si="4"/>
        <v>68.999999999999986</v>
      </c>
      <c r="AD22" s="117">
        <f t="shared" si="4"/>
        <v>0</v>
      </c>
      <c r="AE22" s="117">
        <f t="shared" si="4"/>
        <v>68.999999999999986</v>
      </c>
      <c r="AF22" s="117">
        <f t="shared" si="4"/>
        <v>68.999999999999986</v>
      </c>
      <c r="AG22" s="117">
        <f t="shared" si="4"/>
        <v>68.999999999999986</v>
      </c>
      <c r="AH22" s="117">
        <f t="shared" si="4"/>
        <v>68.999999999999986</v>
      </c>
      <c r="AI22" s="117">
        <f t="shared" si="4"/>
        <v>68.999999999999986</v>
      </c>
      <c r="AJ22" s="117">
        <f t="shared" si="4"/>
        <v>68.999999999999986</v>
      </c>
      <c r="AK22" s="117">
        <f t="shared" si="4"/>
        <v>68.999999999999986</v>
      </c>
      <c r="AL22" s="117">
        <f t="shared" si="4"/>
        <v>68.999999999999986</v>
      </c>
      <c r="AM22" s="117">
        <f t="shared" si="4"/>
        <v>68.999999999999986</v>
      </c>
      <c r="AN22" s="117">
        <f t="shared" si="4"/>
        <v>68.999999999999986</v>
      </c>
      <c r="AO22" s="117">
        <f t="shared" si="4"/>
        <v>68.999999999999986</v>
      </c>
      <c r="AP22" s="117">
        <f t="shared" si="4"/>
        <v>68.999999999999986</v>
      </c>
      <c r="AQ22" s="117">
        <f t="shared" si="4"/>
        <v>68.999999999999986</v>
      </c>
      <c r="AR22" s="117">
        <f t="shared" si="4"/>
        <v>68.999999999999986</v>
      </c>
      <c r="AS22" s="117">
        <f t="shared" si="4"/>
        <v>68.999999999999986</v>
      </c>
      <c r="AT22" s="117">
        <f t="shared" si="4"/>
        <v>68.999999999999986</v>
      </c>
      <c r="AU22" s="117">
        <f t="shared" si="4"/>
        <v>68.999999999999986</v>
      </c>
      <c r="AV22" s="117">
        <f t="shared" si="4"/>
        <v>68.999999999999986</v>
      </c>
      <c r="AW22" s="117">
        <f t="shared" si="4"/>
        <v>68.999999999999986</v>
      </c>
      <c r="AX22" s="117">
        <f t="shared" si="4"/>
        <v>68.999999999999986</v>
      </c>
      <c r="AY22" s="117">
        <f t="shared" si="4"/>
        <v>68.999999999999986</v>
      </c>
      <c r="AZ22" s="144">
        <f t="shared" ref="AZ22:AZ30" si="5">SUM($D22:$AY22)</f>
        <v>3242.9999999999995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552000</v>
      </c>
      <c r="E23">
        <f t="shared" ref="E23:AY23" si="6">E$21*$B$23</f>
        <v>552000</v>
      </c>
      <c r="F23">
        <f t="shared" si="6"/>
        <v>552000</v>
      </c>
      <c r="G23">
        <f t="shared" si="6"/>
        <v>552000</v>
      </c>
      <c r="H23">
        <f t="shared" si="6"/>
        <v>552000</v>
      </c>
      <c r="I23">
        <f t="shared" si="6"/>
        <v>552000</v>
      </c>
      <c r="J23">
        <f t="shared" si="6"/>
        <v>552000</v>
      </c>
      <c r="K23">
        <f t="shared" si="6"/>
        <v>552000</v>
      </c>
      <c r="L23">
        <f t="shared" si="6"/>
        <v>552000</v>
      </c>
      <c r="M23">
        <f t="shared" si="6"/>
        <v>552000</v>
      </c>
      <c r="N23">
        <f t="shared" si="6"/>
        <v>552000</v>
      </c>
      <c r="O23">
        <f t="shared" si="6"/>
        <v>552000</v>
      </c>
      <c r="P23">
        <f t="shared" si="6"/>
        <v>552000</v>
      </c>
      <c r="Q23">
        <f t="shared" si="6"/>
        <v>552000</v>
      </c>
      <c r="R23">
        <f t="shared" si="6"/>
        <v>552000</v>
      </c>
      <c r="S23">
        <f t="shared" si="6"/>
        <v>552000</v>
      </c>
      <c r="T23">
        <f t="shared" si="6"/>
        <v>552000</v>
      </c>
      <c r="U23">
        <f t="shared" si="6"/>
        <v>552000</v>
      </c>
      <c r="V23">
        <f t="shared" si="6"/>
        <v>552000</v>
      </c>
      <c r="W23">
        <f t="shared" si="6"/>
        <v>552000</v>
      </c>
      <c r="X23">
        <f t="shared" si="6"/>
        <v>552000</v>
      </c>
      <c r="Y23">
        <f t="shared" si="6"/>
        <v>552000</v>
      </c>
      <c r="Z23">
        <f t="shared" si="6"/>
        <v>552000</v>
      </c>
      <c r="AA23">
        <f t="shared" si="6"/>
        <v>552000</v>
      </c>
      <c r="AB23">
        <f t="shared" si="6"/>
        <v>552000</v>
      </c>
      <c r="AC23">
        <f t="shared" si="6"/>
        <v>552000</v>
      </c>
      <c r="AD23">
        <f t="shared" si="6"/>
        <v>0</v>
      </c>
      <c r="AE23">
        <f t="shared" si="6"/>
        <v>552000</v>
      </c>
      <c r="AF23">
        <f t="shared" si="6"/>
        <v>552000</v>
      </c>
      <c r="AG23">
        <f t="shared" si="6"/>
        <v>552000</v>
      </c>
      <c r="AH23">
        <f t="shared" si="6"/>
        <v>552000</v>
      </c>
      <c r="AI23">
        <f t="shared" si="6"/>
        <v>552000</v>
      </c>
      <c r="AJ23">
        <f t="shared" si="6"/>
        <v>552000</v>
      </c>
      <c r="AK23">
        <f t="shared" si="6"/>
        <v>552000</v>
      </c>
      <c r="AL23">
        <f t="shared" si="6"/>
        <v>552000</v>
      </c>
      <c r="AM23">
        <f t="shared" si="6"/>
        <v>552000</v>
      </c>
      <c r="AN23">
        <f t="shared" si="6"/>
        <v>552000</v>
      </c>
      <c r="AO23">
        <f t="shared" si="6"/>
        <v>552000</v>
      </c>
      <c r="AP23">
        <f t="shared" si="6"/>
        <v>552000</v>
      </c>
      <c r="AQ23">
        <f t="shared" si="6"/>
        <v>552000</v>
      </c>
      <c r="AR23">
        <f t="shared" si="6"/>
        <v>552000</v>
      </c>
      <c r="AS23">
        <f t="shared" si="6"/>
        <v>552000</v>
      </c>
      <c r="AT23">
        <f t="shared" si="6"/>
        <v>552000</v>
      </c>
      <c r="AU23">
        <f t="shared" si="6"/>
        <v>552000</v>
      </c>
      <c r="AV23">
        <f t="shared" si="6"/>
        <v>552000</v>
      </c>
      <c r="AW23">
        <f t="shared" si="6"/>
        <v>552000</v>
      </c>
      <c r="AX23">
        <f t="shared" si="6"/>
        <v>552000</v>
      </c>
      <c r="AY23">
        <f t="shared" si="6"/>
        <v>552000</v>
      </c>
      <c r="AZ23" s="142">
        <f t="shared" si="5"/>
        <v>25944000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68999.999999999985</v>
      </c>
      <c r="E24" s="110">
        <f t="shared" ref="E24:AY24" si="7">E$22*$B$24</f>
        <v>68999.999999999985</v>
      </c>
      <c r="F24" s="110">
        <f t="shared" si="7"/>
        <v>68999.999999999985</v>
      </c>
      <c r="G24" s="110">
        <f t="shared" si="7"/>
        <v>68999.999999999985</v>
      </c>
      <c r="H24" s="110">
        <f t="shared" si="7"/>
        <v>68999.999999999985</v>
      </c>
      <c r="I24" s="110">
        <f t="shared" si="7"/>
        <v>68999.999999999985</v>
      </c>
      <c r="J24" s="110">
        <f t="shared" si="7"/>
        <v>68999.999999999985</v>
      </c>
      <c r="K24" s="110">
        <f t="shared" si="7"/>
        <v>68999.999999999985</v>
      </c>
      <c r="L24" s="110">
        <f t="shared" si="7"/>
        <v>68999.999999999985</v>
      </c>
      <c r="M24" s="110">
        <f t="shared" si="7"/>
        <v>68999.999999999985</v>
      </c>
      <c r="N24" s="110">
        <f t="shared" si="7"/>
        <v>68999.999999999985</v>
      </c>
      <c r="O24" s="110">
        <f t="shared" si="7"/>
        <v>68999.999999999985</v>
      </c>
      <c r="P24" s="110">
        <f t="shared" si="7"/>
        <v>68999.999999999985</v>
      </c>
      <c r="Q24" s="110">
        <f t="shared" si="7"/>
        <v>68999.999999999985</v>
      </c>
      <c r="R24" s="110">
        <f t="shared" si="7"/>
        <v>68999.999999999985</v>
      </c>
      <c r="S24" s="110">
        <f t="shared" si="7"/>
        <v>68999.999999999985</v>
      </c>
      <c r="T24" s="110">
        <f t="shared" si="7"/>
        <v>68999.999999999985</v>
      </c>
      <c r="U24" s="110">
        <f t="shared" si="7"/>
        <v>68999.999999999985</v>
      </c>
      <c r="V24" s="110">
        <f t="shared" si="7"/>
        <v>68999.999999999985</v>
      </c>
      <c r="W24" s="110">
        <f t="shared" si="7"/>
        <v>68999.999999999985</v>
      </c>
      <c r="X24" s="110">
        <f t="shared" si="7"/>
        <v>68999.999999999985</v>
      </c>
      <c r="Y24" s="110">
        <f t="shared" si="7"/>
        <v>68999.999999999985</v>
      </c>
      <c r="Z24" s="110">
        <f t="shared" si="7"/>
        <v>68999.999999999985</v>
      </c>
      <c r="AA24" s="110">
        <f t="shared" si="7"/>
        <v>68999.999999999985</v>
      </c>
      <c r="AB24" s="110">
        <f t="shared" si="7"/>
        <v>68999.999999999985</v>
      </c>
      <c r="AC24" s="110">
        <f t="shared" si="7"/>
        <v>68999.999999999985</v>
      </c>
      <c r="AD24" s="110">
        <f t="shared" si="7"/>
        <v>0</v>
      </c>
      <c r="AE24" s="110">
        <f t="shared" si="7"/>
        <v>68999.999999999985</v>
      </c>
      <c r="AF24" s="110">
        <f t="shared" si="7"/>
        <v>68999.999999999985</v>
      </c>
      <c r="AG24" s="110">
        <f t="shared" si="7"/>
        <v>68999.999999999985</v>
      </c>
      <c r="AH24" s="110">
        <f t="shared" si="7"/>
        <v>68999.999999999985</v>
      </c>
      <c r="AI24" s="110">
        <f t="shared" si="7"/>
        <v>68999.999999999985</v>
      </c>
      <c r="AJ24" s="110">
        <f t="shared" si="7"/>
        <v>68999.999999999985</v>
      </c>
      <c r="AK24" s="110">
        <f t="shared" si="7"/>
        <v>68999.999999999985</v>
      </c>
      <c r="AL24" s="110">
        <f t="shared" si="7"/>
        <v>68999.999999999985</v>
      </c>
      <c r="AM24" s="110">
        <f t="shared" si="7"/>
        <v>68999.999999999985</v>
      </c>
      <c r="AN24" s="110">
        <f t="shared" si="7"/>
        <v>68999.999999999985</v>
      </c>
      <c r="AO24" s="110">
        <f t="shared" si="7"/>
        <v>68999.999999999985</v>
      </c>
      <c r="AP24" s="110">
        <f t="shared" si="7"/>
        <v>68999.999999999985</v>
      </c>
      <c r="AQ24" s="110">
        <f t="shared" si="7"/>
        <v>68999.999999999985</v>
      </c>
      <c r="AR24" s="110">
        <f t="shared" si="7"/>
        <v>68999.999999999985</v>
      </c>
      <c r="AS24" s="110">
        <f t="shared" si="7"/>
        <v>68999.999999999985</v>
      </c>
      <c r="AT24" s="110">
        <f t="shared" si="7"/>
        <v>68999.999999999985</v>
      </c>
      <c r="AU24" s="110">
        <f t="shared" si="7"/>
        <v>68999.999999999985</v>
      </c>
      <c r="AV24" s="110">
        <f t="shared" si="7"/>
        <v>68999.999999999985</v>
      </c>
      <c r="AW24" s="110">
        <f t="shared" si="7"/>
        <v>68999.999999999985</v>
      </c>
      <c r="AX24" s="110">
        <f t="shared" si="7"/>
        <v>68999.999999999985</v>
      </c>
      <c r="AY24" s="110">
        <f t="shared" si="7"/>
        <v>68999.999999999985</v>
      </c>
      <c r="AZ24" s="144">
        <f t="shared" si="5"/>
        <v>3242999.9999999995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0</v>
      </c>
      <c r="D27" s="127">
        <f>C$27-C$28+C$29</f>
        <v>11</v>
      </c>
      <c r="E27" s="127">
        <f t="shared" ref="E27:AY27" si="8">D27-D28+D29</f>
        <v>0</v>
      </c>
      <c r="F27" s="127">
        <f t="shared" si="8"/>
        <v>11</v>
      </c>
      <c r="G27" s="127">
        <f t="shared" si="8"/>
        <v>0</v>
      </c>
      <c r="H27" s="127">
        <f t="shared" si="8"/>
        <v>11</v>
      </c>
      <c r="I27" s="127">
        <f t="shared" si="8"/>
        <v>0</v>
      </c>
      <c r="J27" s="127">
        <f t="shared" si="8"/>
        <v>11</v>
      </c>
      <c r="K27" s="127">
        <f t="shared" si="8"/>
        <v>0</v>
      </c>
      <c r="L27" s="127">
        <f t="shared" si="8"/>
        <v>11</v>
      </c>
      <c r="M27" s="127">
        <f t="shared" si="8"/>
        <v>0</v>
      </c>
      <c r="N27" s="127">
        <f t="shared" si="8"/>
        <v>11</v>
      </c>
      <c r="O27" s="127">
        <f t="shared" si="8"/>
        <v>0</v>
      </c>
      <c r="P27" s="127">
        <f t="shared" si="8"/>
        <v>11</v>
      </c>
      <c r="Q27" s="127">
        <f t="shared" si="8"/>
        <v>0</v>
      </c>
      <c r="R27" s="127">
        <f t="shared" si="8"/>
        <v>11</v>
      </c>
      <c r="S27" s="127">
        <f t="shared" si="8"/>
        <v>0</v>
      </c>
      <c r="T27" s="127">
        <f t="shared" si="8"/>
        <v>11</v>
      </c>
      <c r="U27" s="127">
        <f t="shared" si="8"/>
        <v>0</v>
      </c>
      <c r="V27" s="127">
        <f t="shared" si="8"/>
        <v>11</v>
      </c>
      <c r="W27" s="127">
        <f t="shared" si="8"/>
        <v>0</v>
      </c>
      <c r="X27" s="127">
        <f t="shared" si="8"/>
        <v>11</v>
      </c>
      <c r="Y27" s="127">
        <f t="shared" si="8"/>
        <v>0</v>
      </c>
      <c r="Z27" s="127">
        <f t="shared" si="8"/>
        <v>11</v>
      </c>
      <c r="AA27" s="127">
        <f t="shared" si="8"/>
        <v>0</v>
      </c>
      <c r="AB27" s="127">
        <f t="shared" si="8"/>
        <v>11</v>
      </c>
      <c r="AC27" s="127">
        <f t="shared" si="8"/>
        <v>0</v>
      </c>
      <c r="AD27" s="127">
        <f t="shared" si="8"/>
        <v>11</v>
      </c>
      <c r="AE27" s="127">
        <f t="shared" si="8"/>
        <v>11</v>
      </c>
      <c r="AF27" s="127">
        <f t="shared" si="8"/>
        <v>0</v>
      </c>
      <c r="AG27" s="127">
        <f t="shared" si="8"/>
        <v>11</v>
      </c>
      <c r="AH27" s="127">
        <f t="shared" si="8"/>
        <v>0</v>
      </c>
      <c r="AI27" s="127">
        <f t="shared" si="8"/>
        <v>11</v>
      </c>
      <c r="AJ27" s="127">
        <f t="shared" si="8"/>
        <v>0</v>
      </c>
      <c r="AK27" s="127">
        <f t="shared" si="8"/>
        <v>11</v>
      </c>
      <c r="AL27" s="127">
        <f t="shared" si="8"/>
        <v>0</v>
      </c>
      <c r="AM27" s="127">
        <f t="shared" si="8"/>
        <v>11</v>
      </c>
      <c r="AN27" s="127">
        <f t="shared" si="8"/>
        <v>0</v>
      </c>
      <c r="AO27" s="127">
        <f t="shared" si="8"/>
        <v>11</v>
      </c>
      <c r="AP27" s="127">
        <f t="shared" si="8"/>
        <v>0</v>
      </c>
      <c r="AQ27" s="127">
        <f t="shared" si="8"/>
        <v>11</v>
      </c>
      <c r="AR27" s="127">
        <f t="shared" si="8"/>
        <v>0</v>
      </c>
      <c r="AS27" s="127">
        <f t="shared" si="8"/>
        <v>11</v>
      </c>
      <c r="AT27" s="127">
        <f t="shared" si="8"/>
        <v>0</v>
      </c>
      <c r="AU27" s="127">
        <f t="shared" si="8"/>
        <v>11</v>
      </c>
      <c r="AV27" s="127">
        <f t="shared" si="8"/>
        <v>0</v>
      </c>
      <c r="AW27" s="127">
        <f t="shared" si="8"/>
        <v>11</v>
      </c>
      <c r="AX27" s="127">
        <f t="shared" si="8"/>
        <v>0</v>
      </c>
      <c r="AY27" s="167">
        <f t="shared" si="8"/>
        <v>11</v>
      </c>
      <c r="AZ27" s="110"/>
    </row>
    <row r="28" spans="1:52" x14ac:dyDescent="0.2">
      <c r="B28" s="168" t="s">
        <v>310</v>
      </c>
      <c r="C28" s="114">
        <v>0</v>
      </c>
      <c r="D28" s="114">
        <v>11</v>
      </c>
      <c r="E28" s="114">
        <v>0</v>
      </c>
      <c r="F28" s="114">
        <v>11</v>
      </c>
      <c r="G28" s="114">
        <v>0</v>
      </c>
      <c r="H28" s="114">
        <v>11</v>
      </c>
      <c r="I28" s="114">
        <v>0</v>
      </c>
      <c r="J28" s="114">
        <v>11</v>
      </c>
      <c r="K28" s="114">
        <v>0</v>
      </c>
      <c r="L28" s="114">
        <v>11</v>
      </c>
      <c r="M28" s="114">
        <v>0</v>
      </c>
      <c r="N28" s="114">
        <v>11</v>
      </c>
      <c r="O28" s="114">
        <v>0</v>
      </c>
      <c r="P28" s="114">
        <v>11</v>
      </c>
      <c r="Q28" s="114">
        <v>0</v>
      </c>
      <c r="R28" s="114">
        <v>11</v>
      </c>
      <c r="S28" s="114">
        <v>0</v>
      </c>
      <c r="T28" s="114">
        <v>11</v>
      </c>
      <c r="U28" s="114">
        <v>0</v>
      </c>
      <c r="V28" s="114">
        <v>11</v>
      </c>
      <c r="W28" s="114">
        <v>0</v>
      </c>
      <c r="X28" s="114">
        <v>11</v>
      </c>
      <c r="Y28" s="114">
        <v>0</v>
      </c>
      <c r="Z28" s="114">
        <v>11</v>
      </c>
      <c r="AA28" s="114">
        <v>0</v>
      </c>
      <c r="AB28" s="114">
        <v>11</v>
      </c>
      <c r="AC28" s="114">
        <v>0</v>
      </c>
      <c r="AD28" s="114">
        <v>0</v>
      </c>
      <c r="AE28" s="114">
        <v>11</v>
      </c>
      <c r="AF28" s="114">
        <v>0</v>
      </c>
      <c r="AG28" s="114">
        <v>11</v>
      </c>
      <c r="AH28" s="114">
        <v>0</v>
      </c>
      <c r="AI28" s="114">
        <v>11</v>
      </c>
      <c r="AJ28" s="114">
        <v>0</v>
      </c>
      <c r="AK28" s="114">
        <v>11</v>
      </c>
      <c r="AL28" s="114">
        <v>0</v>
      </c>
      <c r="AM28" s="114">
        <v>11</v>
      </c>
      <c r="AN28" s="114">
        <v>0</v>
      </c>
      <c r="AO28" s="114">
        <v>11</v>
      </c>
      <c r="AP28" s="114">
        <v>0</v>
      </c>
      <c r="AQ28" s="114">
        <v>11</v>
      </c>
      <c r="AR28" s="114">
        <v>0</v>
      </c>
      <c r="AS28" s="114">
        <v>11</v>
      </c>
      <c r="AT28" s="114">
        <v>0</v>
      </c>
      <c r="AU28" s="114">
        <v>11</v>
      </c>
      <c r="AV28" s="114">
        <v>0</v>
      </c>
      <c r="AW28" s="114">
        <v>11</v>
      </c>
      <c r="AX28" s="114">
        <v>0</v>
      </c>
      <c r="AY28" s="169">
        <v>11</v>
      </c>
      <c r="AZ28" s="110"/>
    </row>
    <row r="29" spans="1:52" x14ac:dyDescent="0.2">
      <c r="B29" s="139" t="s">
        <v>311</v>
      </c>
      <c r="C29" s="128">
        <v>11</v>
      </c>
      <c r="D29" s="128">
        <f>C$28</f>
        <v>0</v>
      </c>
      <c r="E29" s="128">
        <f t="shared" ref="E29:AY29" si="9">D$28</f>
        <v>11</v>
      </c>
      <c r="F29" s="128">
        <f t="shared" si="9"/>
        <v>0</v>
      </c>
      <c r="G29" s="128">
        <f t="shared" si="9"/>
        <v>11</v>
      </c>
      <c r="H29" s="128">
        <f t="shared" si="9"/>
        <v>0</v>
      </c>
      <c r="I29" s="128">
        <f t="shared" si="9"/>
        <v>11</v>
      </c>
      <c r="J29" s="128">
        <f t="shared" si="9"/>
        <v>0</v>
      </c>
      <c r="K29" s="128">
        <f t="shared" si="9"/>
        <v>11</v>
      </c>
      <c r="L29" s="128">
        <f t="shared" si="9"/>
        <v>0</v>
      </c>
      <c r="M29" s="128">
        <f t="shared" si="9"/>
        <v>11</v>
      </c>
      <c r="N29" s="128">
        <f t="shared" si="9"/>
        <v>0</v>
      </c>
      <c r="O29" s="128">
        <f t="shared" si="9"/>
        <v>11</v>
      </c>
      <c r="P29" s="128">
        <f t="shared" si="9"/>
        <v>0</v>
      </c>
      <c r="Q29" s="128">
        <f t="shared" si="9"/>
        <v>11</v>
      </c>
      <c r="R29" s="128">
        <f t="shared" si="9"/>
        <v>0</v>
      </c>
      <c r="S29" s="128">
        <f t="shared" si="9"/>
        <v>11</v>
      </c>
      <c r="T29" s="128">
        <f t="shared" si="9"/>
        <v>0</v>
      </c>
      <c r="U29" s="128">
        <f t="shared" si="9"/>
        <v>11</v>
      </c>
      <c r="V29" s="128">
        <f t="shared" si="9"/>
        <v>0</v>
      </c>
      <c r="W29" s="128">
        <f t="shared" si="9"/>
        <v>11</v>
      </c>
      <c r="X29" s="128">
        <f t="shared" si="9"/>
        <v>0</v>
      </c>
      <c r="Y29" s="128">
        <f t="shared" si="9"/>
        <v>11</v>
      </c>
      <c r="Z29" s="128">
        <f t="shared" si="9"/>
        <v>0</v>
      </c>
      <c r="AA29" s="128">
        <f t="shared" si="9"/>
        <v>11</v>
      </c>
      <c r="AB29" s="128">
        <f t="shared" si="9"/>
        <v>0</v>
      </c>
      <c r="AC29" s="128">
        <f t="shared" si="9"/>
        <v>11</v>
      </c>
      <c r="AD29" s="128">
        <f t="shared" si="9"/>
        <v>0</v>
      </c>
      <c r="AE29" s="128">
        <f t="shared" si="9"/>
        <v>0</v>
      </c>
      <c r="AF29" s="128">
        <f t="shared" si="9"/>
        <v>11</v>
      </c>
      <c r="AG29" s="128">
        <f t="shared" si="9"/>
        <v>0</v>
      </c>
      <c r="AH29" s="128">
        <f t="shared" si="9"/>
        <v>11</v>
      </c>
      <c r="AI29" s="128">
        <f t="shared" si="9"/>
        <v>0</v>
      </c>
      <c r="AJ29" s="128">
        <f t="shared" si="9"/>
        <v>11</v>
      </c>
      <c r="AK29" s="128">
        <f t="shared" si="9"/>
        <v>0</v>
      </c>
      <c r="AL29" s="128">
        <f t="shared" si="9"/>
        <v>11</v>
      </c>
      <c r="AM29" s="128">
        <f t="shared" si="9"/>
        <v>0</v>
      </c>
      <c r="AN29" s="128">
        <f t="shared" si="9"/>
        <v>11</v>
      </c>
      <c r="AO29" s="128">
        <f t="shared" si="9"/>
        <v>0</v>
      </c>
      <c r="AP29" s="128">
        <f t="shared" si="9"/>
        <v>11</v>
      </c>
      <c r="AQ29" s="128">
        <f t="shared" si="9"/>
        <v>0</v>
      </c>
      <c r="AR29" s="128">
        <f t="shared" si="9"/>
        <v>11</v>
      </c>
      <c r="AS29" s="128">
        <f t="shared" si="9"/>
        <v>0</v>
      </c>
      <c r="AT29" s="128">
        <f t="shared" si="9"/>
        <v>11</v>
      </c>
      <c r="AU29" s="128">
        <f t="shared" si="9"/>
        <v>0</v>
      </c>
      <c r="AV29" s="128">
        <f t="shared" si="9"/>
        <v>11</v>
      </c>
      <c r="AW29" s="128">
        <f t="shared" si="9"/>
        <v>0</v>
      </c>
      <c r="AX29" s="128">
        <f t="shared" si="9"/>
        <v>11</v>
      </c>
      <c r="AY29" s="170">
        <f t="shared" si="9"/>
        <v>0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110</v>
      </c>
      <c r="E30" s="120">
        <f t="shared" ref="E30:AY30" si="10">E$27*$B$30</f>
        <v>0</v>
      </c>
      <c r="F30" s="120">
        <f t="shared" si="10"/>
        <v>110</v>
      </c>
      <c r="G30" s="120">
        <f t="shared" si="10"/>
        <v>0</v>
      </c>
      <c r="H30" s="120">
        <f t="shared" si="10"/>
        <v>110</v>
      </c>
      <c r="I30" s="120">
        <f t="shared" si="10"/>
        <v>0</v>
      </c>
      <c r="J30" s="120">
        <f t="shared" si="10"/>
        <v>110</v>
      </c>
      <c r="K30" s="120">
        <f t="shared" si="10"/>
        <v>0</v>
      </c>
      <c r="L30" s="120">
        <f t="shared" si="10"/>
        <v>110</v>
      </c>
      <c r="M30" s="120">
        <f t="shared" si="10"/>
        <v>0</v>
      </c>
      <c r="N30" s="120">
        <f t="shared" si="10"/>
        <v>110</v>
      </c>
      <c r="O30" s="120">
        <f t="shared" si="10"/>
        <v>0</v>
      </c>
      <c r="P30" s="120">
        <f t="shared" si="10"/>
        <v>110</v>
      </c>
      <c r="Q30" s="120">
        <f t="shared" si="10"/>
        <v>0</v>
      </c>
      <c r="R30" s="120">
        <f>R$27*$B$30</f>
        <v>110</v>
      </c>
      <c r="S30" s="120">
        <f t="shared" si="10"/>
        <v>0</v>
      </c>
      <c r="T30" s="120">
        <f t="shared" si="10"/>
        <v>110</v>
      </c>
      <c r="U30" s="120">
        <f t="shared" si="10"/>
        <v>0</v>
      </c>
      <c r="V30" s="120">
        <f t="shared" si="10"/>
        <v>110</v>
      </c>
      <c r="W30" s="120">
        <f t="shared" si="10"/>
        <v>0</v>
      </c>
      <c r="X30" s="120">
        <f t="shared" si="10"/>
        <v>110</v>
      </c>
      <c r="Y30" s="120">
        <f t="shared" si="10"/>
        <v>0</v>
      </c>
      <c r="Z30" s="120">
        <f t="shared" si="10"/>
        <v>110</v>
      </c>
      <c r="AA30" s="120">
        <f t="shared" si="10"/>
        <v>0</v>
      </c>
      <c r="AB30" s="120">
        <f t="shared" si="10"/>
        <v>110</v>
      </c>
      <c r="AC30" s="120">
        <f t="shared" si="10"/>
        <v>0</v>
      </c>
      <c r="AD30" s="120">
        <f t="shared" si="10"/>
        <v>110</v>
      </c>
      <c r="AE30" s="120">
        <f>AE$27*$B$30</f>
        <v>110</v>
      </c>
      <c r="AF30" s="120">
        <f t="shared" si="10"/>
        <v>0</v>
      </c>
      <c r="AG30" s="120">
        <f t="shared" si="10"/>
        <v>110</v>
      </c>
      <c r="AH30" s="120">
        <f t="shared" si="10"/>
        <v>0</v>
      </c>
      <c r="AI30" s="120">
        <f t="shared" si="10"/>
        <v>110</v>
      </c>
      <c r="AJ30" s="120">
        <f t="shared" si="10"/>
        <v>0</v>
      </c>
      <c r="AK30" s="120">
        <f t="shared" si="10"/>
        <v>110</v>
      </c>
      <c r="AL30" s="120">
        <f t="shared" si="10"/>
        <v>0</v>
      </c>
      <c r="AM30" s="120">
        <f t="shared" si="10"/>
        <v>110</v>
      </c>
      <c r="AN30" s="120">
        <f t="shared" si="10"/>
        <v>0</v>
      </c>
      <c r="AO30" s="120">
        <f t="shared" si="10"/>
        <v>110</v>
      </c>
      <c r="AP30" s="120">
        <f t="shared" si="10"/>
        <v>0</v>
      </c>
      <c r="AQ30" s="120">
        <f t="shared" si="10"/>
        <v>110</v>
      </c>
      <c r="AR30" s="120">
        <f t="shared" si="10"/>
        <v>0</v>
      </c>
      <c r="AS30" s="120">
        <f t="shared" si="10"/>
        <v>110</v>
      </c>
      <c r="AT30" s="120">
        <f t="shared" si="10"/>
        <v>0</v>
      </c>
      <c r="AU30" s="120">
        <f t="shared" si="10"/>
        <v>110</v>
      </c>
      <c r="AV30" s="120">
        <f t="shared" si="10"/>
        <v>0</v>
      </c>
      <c r="AW30" s="120">
        <f t="shared" si="10"/>
        <v>110</v>
      </c>
      <c r="AX30" s="120">
        <f t="shared" si="10"/>
        <v>0</v>
      </c>
      <c r="AY30" s="120">
        <f t="shared" si="10"/>
        <v>110</v>
      </c>
      <c r="AZ30" s="144">
        <f t="shared" si="5"/>
        <v>2750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D$21*shipping_manufacturing!$D$27/100</f>
        <v>276</v>
      </c>
      <c r="E33" s="127">
        <f>E$21*shipping_manufacturing!$D$27/100</f>
        <v>276</v>
      </c>
      <c r="F33" s="127">
        <f>F$21*shipping_manufacturing!$D$27/100</f>
        <v>276</v>
      </c>
      <c r="G33" s="127">
        <f>G$21*shipping_manufacturing!$D$27/100</f>
        <v>276</v>
      </c>
      <c r="H33" s="127">
        <f>H$21*shipping_manufacturing!$D$27/100</f>
        <v>276</v>
      </c>
      <c r="I33" s="127">
        <f>I$21*shipping_manufacturing!$D$27/100</f>
        <v>276</v>
      </c>
      <c r="J33" s="127">
        <f>J$21*shipping_manufacturing!$D$27/100</f>
        <v>276</v>
      </c>
      <c r="K33" s="127">
        <f>K$21*shipping_manufacturing!$D$27/100</f>
        <v>276</v>
      </c>
      <c r="L33" s="127">
        <f>L$21*shipping_manufacturing!$D$27/100</f>
        <v>276</v>
      </c>
      <c r="M33" s="127">
        <f>M$21*shipping_manufacturing!$D$27/100</f>
        <v>276</v>
      </c>
      <c r="N33" s="127">
        <f>N$21*shipping_manufacturing!$D$27/100</f>
        <v>276</v>
      </c>
      <c r="O33" s="127">
        <f>O$21*shipping_manufacturing!$D$27/100</f>
        <v>276</v>
      </c>
      <c r="P33" s="127">
        <f>P$21*shipping_manufacturing!$D$27/100</f>
        <v>276</v>
      </c>
      <c r="Q33" s="127">
        <f>Q$21*shipping_manufacturing!$D$27/100</f>
        <v>276</v>
      </c>
      <c r="R33" s="127">
        <f>R$21*shipping_manufacturing!$D$27/100</f>
        <v>276</v>
      </c>
      <c r="S33" s="127">
        <f>S$21*shipping_manufacturing!$D$27/100</f>
        <v>276</v>
      </c>
      <c r="T33" s="127">
        <f>T$21*shipping_manufacturing!$D$27/100</f>
        <v>276</v>
      </c>
      <c r="U33" s="127">
        <f>U$21*shipping_manufacturing!$D$27/100</f>
        <v>276</v>
      </c>
      <c r="V33" s="127">
        <f>V$21*shipping_manufacturing!$D$27/100</f>
        <v>276</v>
      </c>
      <c r="W33" s="127">
        <f>W$21*shipping_manufacturing!$D$27/100</f>
        <v>276</v>
      </c>
      <c r="X33" s="127">
        <f>X$21*shipping_manufacturing!$D$27/100</f>
        <v>276</v>
      </c>
      <c r="Y33" s="127">
        <f>Y$21*shipping_manufacturing!$D$27/100</f>
        <v>276</v>
      </c>
      <c r="Z33" s="127">
        <f>Z$21*shipping_manufacturing!$D$27/100</f>
        <v>276</v>
      </c>
      <c r="AA33" s="127">
        <f>AA$21*shipping_manufacturing!$D$27/100</f>
        <v>276</v>
      </c>
      <c r="AB33" s="127">
        <f>AB$21*shipping_manufacturing!$D$27/100</f>
        <v>276</v>
      </c>
      <c r="AC33" s="127">
        <f>AC$21*shipping_manufacturing!$D$27/100</f>
        <v>276</v>
      </c>
      <c r="AD33" s="127">
        <f>AD$21*shipping_manufacturing!$D$27/100</f>
        <v>0</v>
      </c>
      <c r="AE33" s="127">
        <f>AE$21*shipping_manufacturing!$D$27/100</f>
        <v>276</v>
      </c>
      <c r="AF33" s="127">
        <f>AF$21*shipping_manufacturing!$D$27/100</f>
        <v>276</v>
      </c>
      <c r="AG33" s="127">
        <f>AG$21*shipping_manufacturing!$D$27/100</f>
        <v>276</v>
      </c>
      <c r="AH33" s="127">
        <f>AH$21*shipping_manufacturing!$D$27/100</f>
        <v>276</v>
      </c>
      <c r="AI33" s="127">
        <f>AI$21*shipping_manufacturing!$D$27/100</f>
        <v>276</v>
      </c>
      <c r="AJ33" s="127">
        <f>AJ$21*shipping_manufacturing!$D$27/100</f>
        <v>276</v>
      </c>
      <c r="AK33" s="127">
        <f>AK$21*shipping_manufacturing!$D$27/100</f>
        <v>276</v>
      </c>
      <c r="AL33" s="127">
        <f>AL$21*shipping_manufacturing!$D$27/100</f>
        <v>276</v>
      </c>
      <c r="AM33" s="127">
        <f>AM$21*shipping_manufacturing!$D$27/100</f>
        <v>276</v>
      </c>
      <c r="AN33" s="127">
        <f>AN$21*shipping_manufacturing!$D$27/100</f>
        <v>276</v>
      </c>
      <c r="AO33" s="127">
        <f>AO$21*shipping_manufacturing!$D$27/100</f>
        <v>276</v>
      </c>
      <c r="AP33" s="127">
        <f>AP$21*shipping_manufacturing!$D$27/100</f>
        <v>276</v>
      </c>
      <c r="AQ33" s="127">
        <f>AQ$21*shipping_manufacturing!$D$27/100</f>
        <v>276</v>
      </c>
      <c r="AR33" s="127">
        <f>AR$21*shipping_manufacturing!$D$27/100</f>
        <v>276</v>
      </c>
      <c r="AS33" s="127">
        <f>AS$21*shipping_manufacturing!$D$27/100</f>
        <v>276</v>
      </c>
      <c r="AT33" s="127">
        <f>AT$21*shipping_manufacturing!$D$27/100</f>
        <v>276</v>
      </c>
      <c r="AU33" s="127">
        <f>AU$21*shipping_manufacturing!$D$27/100</f>
        <v>276</v>
      </c>
      <c r="AV33" s="127">
        <f>AV$21*shipping_manufacturing!$D$27/100</f>
        <v>276</v>
      </c>
      <c r="AW33" s="127">
        <f>AW$21*shipping_manufacturing!$D$27/100</f>
        <v>276</v>
      </c>
      <c r="AX33" s="127">
        <f>AX$21*shipping_manufacturing!$D$27/100</f>
        <v>276</v>
      </c>
      <c r="AY33" s="127">
        <f>AY$21*shipping_manufacturing!$D$27/100</f>
        <v>276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D$22*shipping_manufacturing!$E$27/100</f>
        <v>68.999999999999986</v>
      </c>
      <c r="E34" s="114">
        <f>E$22*shipping_manufacturing!$E$27/100</f>
        <v>68.999999999999986</v>
      </c>
      <c r="F34" s="114">
        <f>F$22*shipping_manufacturing!$E$27/100</f>
        <v>68.999999999999986</v>
      </c>
      <c r="G34" s="114">
        <f>G$22*shipping_manufacturing!$E$27/100</f>
        <v>68.999999999999986</v>
      </c>
      <c r="H34" s="114">
        <f>H$22*shipping_manufacturing!$E$27/100</f>
        <v>68.999999999999986</v>
      </c>
      <c r="I34" s="114">
        <f>I$22*shipping_manufacturing!$E$27/100</f>
        <v>68.999999999999986</v>
      </c>
      <c r="J34" s="114">
        <f>J$22*shipping_manufacturing!$E$27/100</f>
        <v>68.999999999999986</v>
      </c>
      <c r="K34" s="114">
        <f>K$22*shipping_manufacturing!$E$27/100</f>
        <v>68.999999999999986</v>
      </c>
      <c r="L34" s="114">
        <f>L$22*shipping_manufacturing!$E$27/100</f>
        <v>68.999999999999986</v>
      </c>
      <c r="M34" s="114">
        <f>M$22*shipping_manufacturing!$E$27/100</f>
        <v>68.999999999999986</v>
      </c>
      <c r="N34" s="114">
        <f>N$22*shipping_manufacturing!$E$27/100</f>
        <v>68.999999999999986</v>
      </c>
      <c r="O34" s="114">
        <f>O$22*shipping_manufacturing!$E$27/100</f>
        <v>68.999999999999986</v>
      </c>
      <c r="P34" s="114">
        <f>P$22*shipping_manufacturing!$E$27/100</f>
        <v>68.999999999999986</v>
      </c>
      <c r="Q34" s="114">
        <f>Q$22*shipping_manufacturing!$E$27/100</f>
        <v>68.999999999999986</v>
      </c>
      <c r="R34" s="114">
        <f>R$22*shipping_manufacturing!$E$27/100</f>
        <v>68.999999999999986</v>
      </c>
      <c r="S34" s="114">
        <f>S$22*shipping_manufacturing!$E$27/100</f>
        <v>68.999999999999986</v>
      </c>
      <c r="T34" s="114">
        <f>T$22*shipping_manufacturing!$E$27/100</f>
        <v>68.999999999999986</v>
      </c>
      <c r="U34" s="114">
        <f>U$22*shipping_manufacturing!$E$27/100</f>
        <v>68.999999999999986</v>
      </c>
      <c r="V34" s="114">
        <f>V$22*shipping_manufacturing!$E$27/100</f>
        <v>68.999999999999986</v>
      </c>
      <c r="W34" s="114">
        <f>W$22*shipping_manufacturing!$E$27/100</f>
        <v>68.999999999999986</v>
      </c>
      <c r="X34" s="114">
        <f>X$22*shipping_manufacturing!$E$27/100</f>
        <v>68.999999999999986</v>
      </c>
      <c r="Y34" s="114">
        <f>Y$22*shipping_manufacturing!$E$27/100</f>
        <v>68.999999999999986</v>
      </c>
      <c r="Z34" s="114">
        <f>Z$22*shipping_manufacturing!$E$27/100</f>
        <v>68.999999999999986</v>
      </c>
      <c r="AA34" s="114">
        <f>AA$22*shipping_manufacturing!$E$27/100</f>
        <v>68.999999999999986</v>
      </c>
      <c r="AB34" s="114">
        <f>AB$22*shipping_manufacturing!$E$27/100</f>
        <v>68.999999999999986</v>
      </c>
      <c r="AC34" s="114">
        <f>AC$22*shipping_manufacturing!$E$27/100</f>
        <v>68.999999999999986</v>
      </c>
      <c r="AD34" s="114">
        <f>AD$22*shipping_manufacturing!$E$27/100</f>
        <v>0</v>
      </c>
      <c r="AE34" s="114">
        <f>AE$22*shipping_manufacturing!$E$27/100</f>
        <v>68.999999999999986</v>
      </c>
      <c r="AF34" s="114">
        <f>AF$22*shipping_manufacturing!$E$27/100</f>
        <v>68.999999999999986</v>
      </c>
      <c r="AG34" s="114">
        <f>AG$22*shipping_manufacturing!$E$27/100</f>
        <v>68.999999999999986</v>
      </c>
      <c r="AH34" s="114">
        <f>AH$22*shipping_manufacturing!$E$27/100</f>
        <v>68.999999999999986</v>
      </c>
      <c r="AI34" s="114">
        <f>AI$22*shipping_manufacturing!$E$27/100</f>
        <v>68.999999999999986</v>
      </c>
      <c r="AJ34" s="114">
        <f>AJ$22*shipping_manufacturing!$E$27/100</f>
        <v>68.999999999999986</v>
      </c>
      <c r="AK34" s="114">
        <f>AK$22*shipping_manufacturing!$E$27/100</f>
        <v>68.999999999999986</v>
      </c>
      <c r="AL34" s="114">
        <f>AL$22*shipping_manufacturing!$E$27/100</f>
        <v>68.999999999999986</v>
      </c>
      <c r="AM34" s="114">
        <f>AM$22*shipping_manufacturing!$E$27/100</f>
        <v>68.999999999999986</v>
      </c>
      <c r="AN34" s="114">
        <f>AN$22*shipping_manufacturing!$E$27/100</f>
        <v>68.999999999999986</v>
      </c>
      <c r="AO34" s="114">
        <f>AO$22*shipping_manufacturing!$E$27/100</f>
        <v>68.999999999999986</v>
      </c>
      <c r="AP34" s="114">
        <f>AP$22*shipping_manufacturing!$E$27/100</f>
        <v>68.999999999999986</v>
      </c>
      <c r="AQ34" s="114">
        <f>AQ$22*shipping_manufacturing!$E$27/100</f>
        <v>68.999999999999986</v>
      </c>
      <c r="AR34" s="114">
        <f>AR$22*shipping_manufacturing!$E$27/100</f>
        <v>68.999999999999986</v>
      </c>
      <c r="AS34" s="114">
        <f>AS$22*shipping_manufacturing!$E$27/100</f>
        <v>68.999999999999986</v>
      </c>
      <c r="AT34" s="114">
        <f>AT$22*shipping_manufacturing!$E$27/100</f>
        <v>68.999999999999986</v>
      </c>
      <c r="AU34" s="114">
        <f>AU$22*shipping_manufacturing!$E$27/100</f>
        <v>68.999999999999986</v>
      </c>
      <c r="AV34" s="114">
        <f>AV$22*shipping_manufacturing!$E$27/100</f>
        <v>68.999999999999986</v>
      </c>
      <c r="AW34" s="114">
        <f>AW$22*shipping_manufacturing!$E$27/100</f>
        <v>68.999999999999986</v>
      </c>
      <c r="AX34" s="114">
        <f>AX$22*shipping_manufacturing!$E$27/100</f>
        <v>68.999999999999986</v>
      </c>
      <c r="AY34" s="114">
        <f>AY$22*shipping_manufacturing!$E$27/100</f>
        <v>68.999999999999986</v>
      </c>
    </row>
    <row r="35" spans="1:52" x14ac:dyDescent="0.2">
      <c r="A35" s="114">
        <v>1335</v>
      </c>
      <c r="B35" s="168" t="s">
        <v>343</v>
      </c>
      <c r="C35" s="114"/>
      <c r="D35" s="114">
        <f>SUM(D33:D34)</f>
        <v>345</v>
      </c>
      <c r="E35" s="114">
        <f t="shared" ref="E35:AY35" si="11">SUM(E33:E34)</f>
        <v>345</v>
      </c>
      <c r="F35" s="114">
        <f t="shared" si="11"/>
        <v>345</v>
      </c>
      <c r="G35" s="114">
        <f t="shared" si="11"/>
        <v>345</v>
      </c>
      <c r="H35" s="114">
        <f t="shared" si="11"/>
        <v>345</v>
      </c>
      <c r="I35" s="114">
        <f t="shared" si="11"/>
        <v>345</v>
      </c>
      <c r="J35" s="114">
        <f t="shared" si="11"/>
        <v>345</v>
      </c>
      <c r="K35" s="114">
        <f t="shared" si="11"/>
        <v>345</v>
      </c>
      <c r="L35" s="114">
        <f t="shared" si="11"/>
        <v>345</v>
      </c>
      <c r="M35" s="114">
        <f t="shared" si="11"/>
        <v>345</v>
      </c>
      <c r="N35" s="114">
        <f t="shared" si="11"/>
        <v>345</v>
      </c>
      <c r="O35" s="114">
        <f t="shared" si="11"/>
        <v>345</v>
      </c>
      <c r="P35" s="114">
        <f t="shared" si="11"/>
        <v>345</v>
      </c>
      <c r="Q35" s="114">
        <f t="shared" si="11"/>
        <v>345</v>
      </c>
      <c r="R35" s="114">
        <f t="shared" si="11"/>
        <v>345</v>
      </c>
      <c r="S35" s="114">
        <f t="shared" si="11"/>
        <v>345</v>
      </c>
      <c r="T35" s="114">
        <f t="shared" si="11"/>
        <v>345</v>
      </c>
      <c r="U35" s="114">
        <f t="shared" si="11"/>
        <v>345</v>
      </c>
      <c r="V35" s="114">
        <f t="shared" si="11"/>
        <v>345</v>
      </c>
      <c r="W35" s="114">
        <f t="shared" si="11"/>
        <v>345</v>
      </c>
      <c r="X35" s="114">
        <f t="shared" si="11"/>
        <v>345</v>
      </c>
      <c r="Y35" s="114">
        <f t="shared" si="11"/>
        <v>345</v>
      </c>
      <c r="Z35" s="114">
        <f t="shared" si="11"/>
        <v>345</v>
      </c>
      <c r="AA35" s="114">
        <f t="shared" si="11"/>
        <v>345</v>
      </c>
      <c r="AB35" s="114">
        <f t="shared" si="11"/>
        <v>345</v>
      </c>
      <c r="AC35" s="114">
        <f t="shared" si="11"/>
        <v>345</v>
      </c>
      <c r="AD35" s="114">
        <f t="shared" si="11"/>
        <v>0</v>
      </c>
      <c r="AE35" s="114">
        <f t="shared" si="11"/>
        <v>345</v>
      </c>
      <c r="AF35" s="114">
        <f t="shared" si="11"/>
        <v>345</v>
      </c>
      <c r="AG35" s="114">
        <f t="shared" si="11"/>
        <v>345</v>
      </c>
      <c r="AH35" s="114">
        <f t="shared" si="11"/>
        <v>345</v>
      </c>
      <c r="AI35" s="114">
        <f t="shared" si="11"/>
        <v>345</v>
      </c>
      <c r="AJ35" s="114">
        <f t="shared" si="11"/>
        <v>345</v>
      </c>
      <c r="AK35" s="114">
        <f t="shared" si="11"/>
        <v>345</v>
      </c>
      <c r="AL35" s="114">
        <f t="shared" si="11"/>
        <v>345</v>
      </c>
      <c r="AM35" s="114">
        <f t="shared" si="11"/>
        <v>345</v>
      </c>
      <c r="AN35" s="114">
        <f t="shared" si="11"/>
        <v>345</v>
      </c>
      <c r="AO35" s="114">
        <f t="shared" si="11"/>
        <v>345</v>
      </c>
      <c r="AP35" s="114">
        <f t="shared" si="11"/>
        <v>345</v>
      </c>
      <c r="AQ35" s="114">
        <f t="shared" si="11"/>
        <v>345</v>
      </c>
      <c r="AR35" s="114">
        <f t="shared" si="11"/>
        <v>345</v>
      </c>
      <c r="AS35" s="114">
        <f t="shared" si="11"/>
        <v>345</v>
      </c>
      <c r="AT35" s="114">
        <f t="shared" si="11"/>
        <v>345</v>
      </c>
      <c r="AU35" s="114">
        <f t="shared" si="11"/>
        <v>345</v>
      </c>
      <c r="AV35" s="114">
        <f t="shared" si="11"/>
        <v>345</v>
      </c>
      <c r="AW35" s="114">
        <f t="shared" si="11"/>
        <v>345</v>
      </c>
      <c r="AX35" s="114">
        <f t="shared" si="11"/>
        <v>345</v>
      </c>
      <c r="AY35" s="114">
        <f t="shared" si="11"/>
        <v>345</v>
      </c>
    </row>
    <row r="36" spans="1:52" x14ac:dyDescent="0.2">
      <c r="A36" s="114"/>
      <c r="B36" s="168" t="s">
        <v>344</v>
      </c>
      <c r="C36" s="114"/>
      <c r="D36" s="114">
        <v>264</v>
      </c>
      <c r="E36" s="114"/>
      <c r="F36" s="114">
        <v>264</v>
      </c>
      <c r="G36" s="114"/>
      <c r="H36" s="114">
        <v>264</v>
      </c>
      <c r="I36" s="114"/>
      <c r="J36" s="114">
        <v>264</v>
      </c>
      <c r="K36" s="114"/>
      <c r="L36" s="114">
        <v>264</v>
      </c>
      <c r="M36" s="114"/>
      <c r="N36" s="114">
        <v>264</v>
      </c>
      <c r="O36" s="114"/>
      <c r="P36" s="114">
        <v>264</v>
      </c>
      <c r="Q36" s="114"/>
      <c r="R36" s="114">
        <v>264</v>
      </c>
      <c r="S36" s="114"/>
      <c r="T36" s="114">
        <v>264</v>
      </c>
      <c r="U36" s="114"/>
      <c r="V36" s="114">
        <v>264</v>
      </c>
      <c r="W36" s="114"/>
      <c r="X36" s="114">
        <v>264</v>
      </c>
      <c r="Y36" s="114"/>
      <c r="Z36" s="114">
        <v>264</v>
      </c>
      <c r="AA36" s="114"/>
      <c r="AB36" s="114">
        <v>264</v>
      </c>
      <c r="AC36" s="114"/>
      <c r="AD36" s="114"/>
      <c r="AE36" s="114">
        <v>264</v>
      </c>
      <c r="AF36" s="114"/>
      <c r="AG36" s="114">
        <v>264</v>
      </c>
      <c r="AH36" s="114"/>
      <c r="AI36" s="114">
        <v>264</v>
      </c>
      <c r="AJ36" s="114"/>
      <c r="AK36" s="114">
        <v>264</v>
      </c>
      <c r="AL36" s="114"/>
      <c r="AM36" s="114">
        <v>264</v>
      </c>
      <c r="AN36" s="114"/>
      <c r="AO36" s="114">
        <v>264</v>
      </c>
      <c r="AP36" s="114"/>
      <c r="AQ36" s="114">
        <v>264</v>
      </c>
      <c r="AR36" s="114"/>
      <c r="AS36" s="114">
        <v>264</v>
      </c>
      <c r="AT36" s="114"/>
      <c r="AU36" s="114">
        <v>264</v>
      </c>
      <c r="AV36" s="114"/>
      <c r="AW36" s="114">
        <v>264</v>
      </c>
      <c r="AX36" s="114"/>
      <c r="AY36" s="114">
        <v>264</v>
      </c>
    </row>
    <row r="37" spans="1:52" x14ac:dyDescent="0.2">
      <c r="A37" s="114"/>
      <c r="B37" s="168" t="s">
        <v>345</v>
      </c>
      <c r="C37" s="114"/>
      <c r="D37" s="114">
        <v>65.999999999999986</v>
      </c>
      <c r="E37" s="114"/>
      <c r="F37" s="114">
        <v>65.999999999999986</v>
      </c>
      <c r="G37" s="114"/>
      <c r="H37" s="114">
        <v>65.999999999999986</v>
      </c>
      <c r="I37" s="114"/>
      <c r="J37" s="114">
        <v>65.999999999999986</v>
      </c>
      <c r="K37" s="114"/>
      <c r="L37" s="114">
        <v>65.999999999999986</v>
      </c>
      <c r="M37" s="114"/>
      <c r="N37" s="114">
        <v>65.999999999999986</v>
      </c>
      <c r="O37" s="114"/>
      <c r="P37" s="114">
        <v>65.999999999999986</v>
      </c>
      <c r="Q37" s="114"/>
      <c r="R37" s="114">
        <v>65.999999999999986</v>
      </c>
      <c r="S37" s="114"/>
      <c r="T37" s="114">
        <v>65.999999999999986</v>
      </c>
      <c r="U37" s="114"/>
      <c r="V37" s="114">
        <v>65.999999999999986</v>
      </c>
      <c r="W37" s="114"/>
      <c r="X37" s="114">
        <v>65.999999999999986</v>
      </c>
      <c r="Y37" s="114"/>
      <c r="Z37" s="114">
        <v>65.999999999999986</v>
      </c>
      <c r="AA37" s="114"/>
      <c r="AB37" s="114">
        <v>65.999999999999986</v>
      </c>
      <c r="AC37" s="114"/>
      <c r="AD37" s="114"/>
      <c r="AE37" s="114">
        <v>65.999999999999986</v>
      </c>
      <c r="AF37" s="114"/>
      <c r="AG37" s="114">
        <v>65.999999999999986</v>
      </c>
      <c r="AH37" s="114"/>
      <c r="AI37" s="114">
        <v>65.999999999999986</v>
      </c>
      <c r="AJ37" s="114"/>
      <c r="AK37" s="114">
        <v>65.999999999999986</v>
      </c>
      <c r="AL37" s="114"/>
      <c r="AM37" s="114">
        <v>65.999999999999986</v>
      </c>
      <c r="AN37" s="114"/>
      <c r="AO37" s="114">
        <v>65.999999999999986</v>
      </c>
      <c r="AP37" s="114"/>
      <c r="AQ37" s="114">
        <v>65.999999999999986</v>
      </c>
      <c r="AR37" s="114"/>
      <c r="AS37" s="114">
        <v>65.999999999999986</v>
      </c>
      <c r="AT37" s="114"/>
      <c r="AU37" s="114">
        <v>65.999999999999986</v>
      </c>
      <c r="AV37" s="114"/>
      <c r="AW37" s="114">
        <v>65.999999999999986</v>
      </c>
      <c r="AX37" s="114"/>
      <c r="AY37" s="114">
        <v>65.999999999999986</v>
      </c>
    </row>
    <row r="38" spans="1:52" x14ac:dyDescent="0.2">
      <c r="A38" s="114"/>
      <c r="B38" s="168" t="s">
        <v>346</v>
      </c>
      <c r="C38" s="114"/>
      <c r="D38" s="114">
        <v>11</v>
      </c>
      <c r="E38" s="114"/>
      <c r="F38" s="114">
        <v>11</v>
      </c>
      <c r="G38" s="114"/>
      <c r="H38" s="114">
        <v>11</v>
      </c>
      <c r="I38" s="114"/>
      <c r="J38" s="114">
        <v>11</v>
      </c>
      <c r="K38" s="114"/>
      <c r="L38" s="114">
        <v>11</v>
      </c>
      <c r="M38" s="114"/>
      <c r="N38" s="114">
        <v>11</v>
      </c>
      <c r="O38" s="114"/>
      <c r="P38" s="114">
        <v>11</v>
      </c>
      <c r="Q38" s="114"/>
      <c r="R38" s="114">
        <v>11</v>
      </c>
      <c r="S38" s="114"/>
      <c r="T38" s="114">
        <v>11</v>
      </c>
      <c r="U38" s="114"/>
      <c r="V38" s="114">
        <v>11</v>
      </c>
      <c r="W38" s="114"/>
      <c r="X38" s="114">
        <v>11</v>
      </c>
      <c r="Y38" s="114"/>
      <c r="Z38" s="114">
        <v>11</v>
      </c>
      <c r="AA38" s="114"/>
      <c r="AB38" s="114">
        <v>11</v>
      </c>
      <c r="AC38" s="114"/>
      <c r="AD38" s="114"/>
      <c r="AE38" s="114">
        <v>11</v>
      </c>
      <c r="AF38" s="114"/>
      <c r="AG38" s="114">
        <v>11</v>
      </c>
      <c r="AH38" s="114"/>
      <c r="AI38" s="114">
        <v>11</v>
      </c>
      <c r="AJ38" s="114"/>
      <c r="AK38" s="114">
        <v>11</v>
      </c>
      <c r="AL38" s="114"/>
      <c r="AM38" s="114">
        <v>11</v>
      </c>
      <c r="AN38" s="114"/>
      <c r="AO38" s="114">
        <v>11</v>
      </c>
      <c r="AP38" s="114"/>
      <c r="AQ38" s="114">
        <v>11</v>
      </c>
      <c r="AR38" s="114"/>
      <c r="AS38" s="114">
        <v>11</v>
      </c>
      <c r="AT38" s="114"/>
      <c r="AU38" s="114">
        <v>11</v>
      </c>
      <c r="AV38" s="114"/>
      <c r="AW38" s="114">
        <v>11</v>
      </c>
      <c r="AX38" s="114"/>
      <c r="AY38" s="114">
        <v>11</v>
      </c>
    </row>
    <row r="39" spans="1:52" x14ac:dyDescent="0.2">
      <c r="A39" s="114"/>
      <c r="B39" s="168" t="s">
        <v>347</v>
      </c>
      <c r="C39" s="114"/>
      <c r="D39" s="114">
        <f>D33-D36</f>
        <v>12</v>
      </c>
      <c r="E39" s="114">
        <f t="shared" ref="E39:AY39" si="12">E33-E36</f>
        <v>276</v>
      </c>
      <c r="F39" s="114">
        <f t="shared" si="12"/>
        <v>12</v>
      </c>
      <c r="G39" s="114">
        <f t="shared" si="12"/>
        <v>276</v>
      </c>
      <c r="H39" s="114">
        <f t="shared" si="12"/>
        <v>12</v>
      </c>
      <c r="I39" s="114">
        <f t="shared" si="12"/>
        <v>276</v>
      </c>
      <c r="J39" s="114">
        <f t="shared" si="12"/>
        <v>12</v>
      </c>
      <c r="K39" s="114">
        <f t="shared" si="12"/>
        <v>276</v>
      </c>
      <c r="L39" s="114">
        <f t="shared" si="12"/>
        <v>12</v>
      </c>
      <c r="M39" s="114">
        <f t="shared" si="12"/>
        <v>276</v>
      </c>
      <c r="N39" s="114">
        <f t="shared" si="12"/>
        <v>12</v>
      </c>
      <c r="O39" s="114">
        <f t="shared" si="12"/>
        <v>276</v>
      </c>
      <c r="P39" s="114">
        <f t="shared" si="12"/>
        <v>12</v>
      </c>
      <c r="Q39" s="114">
        <f t="shared" si="12"/>
        <v>276</v>
      </c>
      <c r="R39" s="114">
        <f t="shared" si="12"/>
        <v>12</v>
      </c>
      <c r="S39" s="114">
        <f t="shared" si="12"/>
        <v>276</v>
      </c>
      <c r="T39" s="114">
        <f t="shared" si="12"/>
        <v>12</v>
      </c>
      <c r="U39" s="114">
        <f t="shared" si="12"/>
        <v>276</v>
      </c>
      <c r="V39" s="114">
        <f t="shared" si="12"/>
        <v>12</v>
      </c>
      <c r="W39" s="114">
        <f t="shared" si="12"/>
        <v>276</v>
      </c>
      <c r="X39" s="114">
        <f t="shared" si="12"/>
        <v>12</v>
      </c>
      <c r="Y39" s="114">
        <f t="shared" si="12"/>
        <v>276</v>
      </c>
      <c r="Z39" s="114">
        <f t="shared" si="12"/>
        <v>12</v>
      </c>
      <c r="AA39" s="114">
        <f t="shared" si="12"/>
        <v>276</v>
      </c>
      <c r="AB39" s="114">
        <f t="shared" si="12"/>
        <v>12</v>
      </c>
      <c r="AC39" s="114">
        <f t="shared" si="12"/>
        <v>276</v>
      </c>
      <c r="AD39" s="114">
        <f t="shared" si="12"/>
        <v>0</v>
      </c>
      <c r="AE39" s="114">
        <f t="shared" si="12"/>
        <v>12</v>
      </c>
      <c r="AF39" s="114">
        <f t="shared" si="12"/>
        <v>276</v>
      </c>
      <c r="AG39" s="114">
        <f t="shared" si="12"/>
        <v>12</v>
      </c>
      <c r="AH39" s="114">
        <f t="shared" si="12"/>
        <v>276</v>
      </c>
      <c r="AI39" s="114">
        <f t="shared" si="12"/>
        <v>12</v>
      </c>
      <c r="AJ39" s="114">
        <f t="shared" si="12"/>
        <v>276</v>
      </c>
      <c r="AK39" s="114">
        <f t="shared" si="12"/>
        <v>12</v>
      </c>
      <c r="AL39" s="114">
        <f t="shared" si="12"/>
        <v>276</v>
      </c>
      <c r="AM39" s="114">
        <f t="shared" si="12"/>
        <v>12</v>
      </c>
      <c r="AN39" s="114">
        <f t="shared" si="12"/>
        <v>276</v>
      </c>
      <c r="AO39" s="114">
        <f t="shared" si="12"/>
        <v>12</v>
      </c>
      <c r="AP39" s="114">
        <f t="shared" si="12"/>
        <v>276</v>
      </c>
      <c r="AQ39" s="114">
        <f t="shared" si="12"/>
        <v>12</v>
      </c>
      <c r="AR39" s="114">
        <f t="shared" si="12"/>
        <v>276</v>
      </c>
      <c r="AS39" s="114">
        <f t="shared" si="12"/>
        <v>12</v>
      </c>
      <c r="AT39" s="114">
        <f t="shared" si="12"/>
        <v>276</v>
      </c>
      <c r="AU39" s="114">
        <f t="shared" si="12"/>
        <v>12</v>
      </c>
      <c r="AV39" s="114">
        <f t="shared" si="12"/>
        <v>276</v>
      </c>
      <c r="AW39" s="114">
        <f t="shared" si="12"/>
        <v>12</v>
      </c>
      <c r="AX39" s="114">
        <f t="shared" si="12"/>
        <v>276</v>
      </c>
      <c r="AY39" s="114">
        <f t="shared" si="12"/>
        <v>12</v>
      </c>
    </row>
    <row r="40" spans="1:52" x14ac:dyDescent="0.2">
      <c r="A40" s="114"/>
      <c r="B40" s="168" t="s">
        <v>348</v>
      </c>
      <c r="C40" s="114"/>
      <c r="D40" s="114">
        <f>D34-D37</f>
        <v>3</v>
      </c>
      <c r="E40" s="114">
        <f t="shared" ref="E40:AY40" si="13">E34-E37</f>
        <v>68.999999999999986</v>
      </c>
      <c r="F40" s="114">
        <f t="shared" si="13"/>
        <v>3</v>
      </c>
      <c r="G40" s="114">
        <f t="shared" si="13"/>
        <v>68.999999999999986</v>
      </c>
      <c r="H40" s="114">
        <f t="shared" si="13"/>
        <v>3</v>
      </c>
      <c r="I40" s="114">
        <f t="shared" si="13"/>
        <v>68.999999999999986</v>
      </c>
      <c r="J40" s="114">
        <f t="shared" si="13"/>
        <v>3</v>
      </c>
      <c r="K40" s="114">
        <f t="shared" si="13"/>
        <v>68.999999999999986</v>
      </c>
      <c r="L40" s="114">
        <f t="shared" si="13"/>
        <v>3</v>
      </c>
      <c r="M40" s="114">
        <f t="shared" si="13"/>
        <v>68.999999999999986</v>
      </c>
      <c r="N40" s="114">
        <f t="shared" si="13"/>
        <v>3</v>
      </c>
      <c r="O40" s="114">
        <f t="shared" si="13"/>
        <v>68.999999999999986</v>
      </c>
      <c r="P40" s="114">
        <f t="shared" si="13"/>
        <v>3</v>
      </c>
      <c r="Q40" s="114">
        <f t="shared" si="13"/>
        <v>68.999999999999986</v>
      </c>
      <c r="R40" s="114">
        <f t="shared" si="13"/>
        <v>3</v>
      </c>
      <c r="S40" s="114">
        <f t="shared" si="13"/>
        <v>68.999999999999986</v>
      </c>
      <c r="T40" s="114">
        <f t="shared" si="13"/>
        <v>3</v>
      </c>
      <c r="U40" s="114">
        <f t="shared" si="13"/>
        <v>68.999999999999986</v>
      </c>
      <c r="V40" s="114">
        <f t="shared" si="13"/>
        <v>3</v>
      </c>
      <c r="W40" s="114">
        <f t="shared" si="13"/>
        <v>68.999999999999986</v>
      </c>
      <c r="X40" s="114">
        <f t="shared" si="13"/>
        <v>3</v>
      </c>
      <c r="Y40" s="114">
        <f t="shared" si="13"/>
        <v>68.999999999999986</v>
      </c>
      <c r="Z40" s="114">
        <f t="shared" si="13"/>
        <v>3</v>
      </c>
      <c r="AA40" s="114">
        <f t="shared" si="13"/>
        <v>68.999999999999986</v>
      </c>
      <c r="AB40" s="114">
        <f t="shared" si="13"/>
        <v>3</v>
      </c>
      <c r="AC40" s="114">
        <f t="shared" si="13"/>
        <v>68.999999999999986</v>
      </c>
      <c r="AD40" s="114">
        <f t="shared" si="13"/>
        <v>0</v>
      </c>
      <c r="AE40" s="114">
        <f t="shared" si="13"/>
        <v>3</v>
      </c>
      <c r="AF40" s="114">
        <f t="shared" si="13"/>
        <v>68.999999999999986</v>
      </c>
      <c r="AG40" s="114">
        <f t="shared" si="13"/>
        <v>3</v>
      </c>
      <c r="AH40" s="114">
        <f t="shared" si="13"/>
        <v>68.999999999999986</v>
      </c>
      <c r="AI40" s="114">
        <f t="shared" si="13"/>
        <v>3</v>
      </c>
      <c r="AJ40" s="114">
        <f t="shared" si="13"/>
        <v>68.999999999999986</v>
      </c>
      <c r="AK40" s="114">
        <f t="shared" si="13"/>
        <v>3</v>
      </c>
      <c r="AL40" s="114">
        <f t="shared" si="13"/>
        <v>68.999999999999986</v>
      </c>
      <c r="AM40" s="114">
        <f t="shared" si="13"/>
        <v>3</v>
      </c>
      <c r="AN40" s="114">
        <f t="shared" si="13"/>
        <v>68.999999999999986</v>
      </c>
      <c r="AO40" s="114">
        <f t="shared" si="13"/>
        <v>3</v>
      </c>
      <c r="AP40" s="114">
        <f t="shared" si="13"/>
        <v>68.999999999999986</v>
      </c>
      <c r="AQ40" s="114">
        <f t="shared" si="13"/>
        <v>3</v>
      </c>
      <c r="AR40" s="114">
        <f t="shared" si="13"/>
        <v>68.999999999999986</v>
      </c>
      <c r="AS40" s="114">
        <f t="shared" si="13"/>
        <v>3</v>
      </c>
      <c r="AT40" s="114">
        <f t="shared" si="13"/>
        <v>68.999999999999986</v>
      </c>
      <c r="AU40" s="114">
        <f t="shared" si="13"/>
        <v>3</v>
      </c>
      <c r="AV40" s="114">
        <f t="shared" si="13"/>
        <v>68.999999999999986</v>
      </c>
      <c r="AW40" s="114">
        <f t="shared" si="13"/>
        <v>3</v>
      </c>
      <c r="AX40" s="114">
        <f t="shared" si="13"/>
        <v>68.999999999999986</v>
      </c>
      <c r="AY40" s="114">
        <f t="shared" si="13"/>
        <v>3</v>
      </c>
    </row>
    <row r="41" spans="1:52" x14ac:dyDescent="0.2">
      <c r="A41" s="114"/>
      <c r="B41" s="168" t="s">
        <v>349</v>
      </c>
      <c r="C41" s="114"/>
      <c r="D41" s="114">
        <v>2</v>
      </c>
      <c r="E41" s="114">
        <v>1</v>
      </c>
      <c r="F41" s="114">
        <v>1</v>
      </c>
      <c r="G41" s="114">
        <v>2</v>
      </c>
      <c r="H41" s="114">
        <v>1</v>
      </c>
      <c r="I41" s="114">
        <v>2</v>
      </c>
      <c r="J41" s="114">
        <v>1</v>
      </c>
      <c r="K41" s="114">
        <v>2</v>
      </c>
      <c r="L41" s="114">
        <v>1</v>
      </c>
      <c r="M41" s="114">
        <v>1</v>
      </c>
      <c r="N41" s="114">
        <v>1</v>
      </c>
      <c r="O41" s="114">
        <v>1</v>
      </c>
      <c r="P41" s="114">
        <v>1</v>
      </c>
      <c r="Q41" s="114">
        <v>1</v>
      </c>
      <c r="R41" s="114">
        <v>2</v>
      </c>
      <c r="S41" s="114">
        <v>2</v>
      </c>
      <c r="T41" s="114">
        <v>2</v>
      </c>
      <c r="U41" s="114">
        <v>3</v>
      </c>
      <c r="V41" s="114">
        <v>2</v>
      </c>
      <c r="W41" s="114">
        <v>1</v>
      </c>
      <c r="X41" s="114">
        <v>1</v>
      </c>
      <c r="Y41" s="114">
        <v>1</v>
      </c>
      <c r="Z41" s="114">
        <v>1</v>
      </c>
      <c r="AA41" s="114">
        <v>3</v>
      </c>
      <c r="AB41" s="114">
        <v>1</v>
      </c>
      <c r="AC41" s="114">
        <v>2</v>
      </c>
      <c r="AD41" s="114">
        <v>1</v>
      </c>
      <c r="AE41" s="114">
        <v>1</v>
      </c>
      <c r="AF41" s="114">
        <v>2</v>
      </c>
      <c r="AG41" s="114">
        <v>3</v>
      </c>
      <c r="AH41" s="114">
        <v>1</v>
      </c>
      <c r="AI41" s="114">
        <v>1</v>
      </c>
      <c r="AJ41" s="114">
        <v>1</v>
      </c>
      <c r="AK41" s="114">
        <v>2</v>
      </c>
      <c r="AL41" s="114">
        <v>2</v>
      </c>
      <c r="AM41" s="114">
        <v>1</v>
      </c>
      <c r="AN41" s="114">
        <v>1</v>
      </c>
      <c r="AO41" s="114">
        <v>3</v>
      </c>
      <c r="AP41" s="114">
        <v>2</v>
      </c>
      <c r="AQ41" s="114">
        <v>2</v>
      </c>
      <c r="AR41" s="114">
        <v>3</v>
      </c>
      <c r="AS41" s="114">
        <v>1</v>
      </c>
      <c r="AT41" s="114">
        <v>1</v>
      </c>
      <c r="AU41" s="114">
        <v>1</v>
      </c>
      <c r="AV41" s="114">
        <v>1</v>
      </c>
      <c r="AW41" s="114">
        <v>3</v>
      </c>
      <c r="AX41" s="114">
        <v>1</v>
      </c>
      <c r="AY41" s="114">
        <v>2</v>
      </c>
    </row>
    <row r="42" spans="1:52" x14ac:dyDescent="0.2">
      <c r="A42" s="114"/>
      <c r="B42" s="179" t="s">
        <v>350</v>
      </c>
      <c r="C42" s="114"/>
      <c r="D42" s="114">
        <v>528660</v>
      </c>
      <c r="E42" s="114">
        <v>0</v>
      </c>
      <c r="F42" s="114">
        <v>528660</v>
      </c>
      <c r="G42" s="114">
        <v>0</v>
      </c>
      <c r="H42" s="114">
        <v>528660</v>
      </c>
      <c r="I42" s="114">
        <v>0</v>
      </c>
      <c r="J42" s="114">
        <v>528660</v>
      </c>
      <c r="K42" s="114">
        <v>0</v>
      </c>
      <c r="L42" s="114">
        <v>528660</v>
      </c>
      <c r="M42" s="114">
        <v>0</v>
      </c>
      <c r="N42" s="114">
        <v>528660</v>
      </c>
      <c r="O42" s="114">
        <v>0</v>
      </c>
      <c r="P42" s="114">
        <v>528660</v>
      </c>
      <c r="Q42" s="114">
        <v>0</v>
      </c>
      <c r="R42" s="114">
        <v>528660</v>
      </c>
      <c r="S42" s="114">
        <v>0</v>
      </c>
      <c r="T42" s="114">
        <v>528660</v>
      </c>
      <c r="U42" s="114">
        <v>0</v>
      </c>
      <c r="V42" s="114">
        <v>528660</v>
      </c>
      <c r="W42" s="114">
        <v>0</v>
      </c>
      <c r="X42" s="114">
        <v>528660</v>
      </c>
      <c r="Y42" s="114">
        <v>0</v>
      </c>
      <c r="Z42" s="114">
        <v>528660</v>
      </c>
      <c r="AA42" s="114">
        <v>0</v>
      </c>
      <c r="AB42" s="114">
        <v>528660</v>
      </c>
      <c r="AC42" s="114">
        <v>0</v>
      </c>
      <c r="AD42" s="114">
        <v>0</v>
      </c>
      <c r="AE42" s="114">
        <v>528660</v>
      </c>
      <c r="AF42" s="114">
        <v>0</v>
      </c>
      <c r="AG42" s="114">
        <v>528660</v>
      </c>
      <c r="AH42" s="114">
        <v>0</v>
      </c>
      <c r="AI42" s="114">
        <v>528660</v>
      </c>
      <c r="AJ42" s="114">
        <v>0</v>
      </c>
      <c r="AK42" s="114">
        <v>528660</v>
      </c>
      <c r="AL42" s="114">
        <v>0</v>
      </c>
      <c r="AM42" s="114">
        <v>528660</v>
      </c>
      <c r="AN42" s="114">
        <v>0</v>
      </c>
      <c r="AO42" s="114">
        <v>528660</v>
      </c>
      <c r="AP42" s="114">
        <v>0</v>
      </c>
      <c r="AQ42" s="114">
        <v>528660</v>
      </c>
      <c r="AR42" s="114">
        <v>0</v>
      </c>
      <c r="AS42" s="114">
        <v>528660</v>
      </c>
      <c r="AT42" s="114">
        <v>0</v>
      </c>
      <c r="AU42" s="114">
        <v>528660</v>
      </c>
      <c r="AV42" s="114">
        <v>0</v>
      </c>
      <c r="AW42" s="114">
        <v>528660</v>
      </c>
      <c r="AX42" s="114">
        <v>0</v>
      </c>
      <c r="AY42" s="114">
        <v>528660</v>
      </c>
      <c r="AZ42">
        <f>SUM($D$42:$AY$42)</f>
        <v>12687840</v>
      </c>
    </row>
    <row r="43" spans="1:52" x14ac:dyDescent="0.2">
      <c r="A43" s="114"/>
      <c r="B43" s="179" t="s">
        <v>351</v>
      </c>
      <c r="C43" s="114"/>
      <c r="D43" s="114">
        <v>13016.25</v>
      </c>
      <c r="E43" s="114">
        <v>299373.75</v>
      </c>
      <c r="F43" s="114">
        <v>13016.25</v>
      </c>
      <c r="G43" s="114">
        <v>299373.75</v>
      </c>
      <c r="H43" s="114">
        <v>13016.25</v>
      </c>
      <c r="I43" s="114">
        <v>299373.75</v>
      </c>
      <c r="J43" s="114">
        <v>13016.25</v>
      </c>
      <c r="K43" s="114">
        <v>299373.75</v>
      </c>
      <c r="L43" s="114">
        <v>13016.25</v>
      </c>
      <c r="M43" s="114">
        <v>299373.75</v>
      </c>
      <c r="N43" s="114">
        <v>13016.25</v>
      </c>
      <c r="O43" s="114">
        <v>299373.75</v>
      </c>
      <c r="P43" s="114">
        <v>13016.25</v>
      </c>
      <c r="Q43" s="114">
        <v>299373.75</v>
      </c>
      <c r="R43" s="114">
        <v>13016.25</v>
      </c>
      <c r="S43" s="114">
        <v>299373.75</v>
      </c>
      <c r="T43" s="114">
        <v>13016.25</v>
      </c>
      <c r="U43" s="114">
        <v>299373.75</v>
      </c>
      <c r="V43" s="114">
        <v>13016.25</v>
      </c>
      <c r="W43" s="114">
        <v>299373.75</v>
      </c>
      <c r="X43" s="114">
        <v>13016.25</v>
      </c>
      <c r="Y43" s="114">
        <v>299373.75</v>
      </c>
      <c r="Z43" s="114">
        <v>13016.25</v>
      </c>
      <c r="AA43" s="114">
        <v>299373.75</v>
      </c>
      <c r="AB43" s="114">
        <v>13016.25</v>
      </c>
      <c r="AC43" s="114">
        <v>299373.75</v>
      </c>
      <c r="AD43" s="114">
        <v>0</v>
      </c>
      <c r="AE43" s="114">
        <v>13016.25</v>
      </c>
      <c r="AF43" s="114">
        <v>299373.75</v>
      </c>
      <c r="AG43" s="114">
        <v>13016.25</v>
      </c>
      <c r="AH43" s="114">
        <v>299373.75</v>
      </c>
      <c r="AI43" s="114">
        <v>13016.25</v>
      </c>
      <c r="AJ43" s="114">
        <v>299373.75</v>
      </c>
      <c r="AK43" s="114">
        <v>13016.25</v>
      </c>
      <c r="AL43" s="114">
        <v>299373.75</v>
      </c>
      <c r="AM43" s="114">
        <v>13016.25</v>
      </c>
      <c r="AN43" s="114">
        <v>299373.75</v>
      </c>
      <c r="AO43" s="114">
        <v>13016.25</v>
      </c>
      <c r="AP43" s="114">
        <v>299373.75</v>
      </c>
      <c r="AQ43" s="114">
        <v>13016.25</v>
      </c>
      <c r="AR43" s="114">
        <v>299373.75</v>
      </c>
      <c r="AS43" s="114">
        <v>13016.25</v>
      </c>
      <c r="AT43" s="114">
        <v>299373.75</v>
      </c>
      <c r="AU43" s="114">
        <v>13016.25</v>
      </c>
      <c r="AV43" s="114">
        <v>299373.75</v>
      </c>
      <c r="AW43" s="114">
        <v>13016.25</v>
      </c>
      <c r="AX43" s="114">
        <v>299373.75</v>
      </c>
      <c r="AY43" s="114">
        <v>13016.25</v>
      </c>
      <c r="AZ43">
        <f>SUM($D$43:$AY$43)</f>
        <v>7197986.25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D$21*shipping_manufacturing!$D$28/100</f>
        <v>0</v>
      </c>
      <c r="E44" s="127">
        <f>E$21*shipping_manufacturing!$D$28/100</f>
        <v>0</v>
      </c>
      <c r="F44" s="127">
        <f>F$21*shipping_manufacturing!$D$28/100</f>
        <v>0</v>
      </c>
      <c r="G44" s="127">
        <f>G$21*shipping_manufacturing!$D$28/100</f>
        <v>0</v>
      </c>
      <c r="H44" s="127">
        <f>H$21*shipping_manufacturing!$D$28/100</f>
        <v>0</v>
      </c>
      <c r="I44" s="127">
        <f>I$21*shipping_manufacturing!$D$28/100</f>
        <v>0</v>
      </c>
      <c r="J44" s="127">
        <f>J$21*shipping_manufacturing!$D$28/100</f>
        <v>0</v>
      </c>
      <c r="K44" s="127">
        <f>K$21*shipping_manufacturing!$D$28/100</f>
        <v>0</v>
      </c>
      <c r="L44" s="127">
        <f>L$21*shipping_manufacturing!$D$28/100</f>
        <v>0</v>
      </c>
      <c r="M44" s="127">
        <f>M$21*shipping_manufacturing!$D$28/100</f>
        <v>0</v>
      </c>
      <c r="N44" s="127">
        <f>N$21*shipping_manufacturing!$D$28/100</f>
        <v>0</v>
      </c>
      <c r="O44" s="127">
        <f>O$21*shipping_manufacturing!$D$28/100</f>
        <v>0</v>
      </c>
      <c r="P44" s="127">
        <f>P$21*shipping_manufacturing!$D$28/100</f>
        <v>0</v>
      </c>
      <c r="Q44" s="127">
        <f>Q$21*shipping_manufacturing!$D$28/100</f>
        <v>0</v>
      </c>
      <c r="R44" s="127">
        <f>R$21*shipping_manufacturing!$D$28/100</f>
        <v>0</v>
      </c>
      <c r="S44" s="127">
        <f>S$21*shipping_manufacturing!$D$28/100</f>
        <v>0</v>
      </c>
      <c r="T44" s="127">
        <f>T$21*shipping_manufacturing!$D$28/100</f>
        <v>0</v>
      </c>
      <c r="U44" s="127">
        <f>U$21*shipping_manufacturing!$D$28/100</f>
        <v>0</v>
      </c>
      <c r="V44" s="127">
        <f>V$21*shipping_manufacturing!$D$28/100</f>
        <v>0</v>
      </c>
      <c r="W44" s="127">
        <f>W$21*shipping_manufacturing!$D$28/100</f>
        <v>0</v>
      </c>
      <c r="X44" s="127">
        <f>X$21*shipping_manufacturing!$D$28/100</f>
        <v>0</v>
      </c>
      <c r="Y44" s="127">
        <f>Y$21*shipping_manufacturing!$D$28/100</f>
        <v>0</v>
      </c>
      <c r="Z44" s="127">
        <f>Z$21*shipping_manufacturing!$D$28/100</f>
        <v>0</v>
      </c>
      <c r="AA44" s="127">
        <f>AA$21*shipping_manufacturing!$D$28/100</f>
        <v>0</v>
      </c>
      <c r="AB44" s="127">
        <f>AB$21*shipping_manufacturing!$D$28/100</f>
        <v>0</v>
      </c>
      <c r="AC44" s="127">
        <f>AC$21*shipping_manufacturing!$D$28/100</f>
        <v>0</v>
      </c>
      <c r="AD44" s="127">
        <f>AD$21*shipping_manufacturing!$D$28/100</f>
        <v>0</v>
      </c>
      <c r="AE44" s="127">
        <f>AE$21*shipping_manufacturing!$D$28/100</f>
        <v>0</v>
      </c>
      <c r="AF44" s="127">
        <f>AF$21*shipping_manufacturing!$D$28/100</f>
        <v>0</v>
      </c>
      <c r="AG44" s="127">
        <f>AG$21*shipping_manufacturing!$D$28/100</f>
        <v>0</v>
      </c>
      <c r="AH44" s="127">
        <f>AH$21*shipping_manufacturing!$D$28/100</f>
        <v>0</v>
      </c>
      <c r="AI44" s="127">
        <f>AI$21*shipping_manufacturing!$D$28/100</f>
        <v>0</v>
      </c>
      <c r="AJ44" s="127">
        <f>AJ$21*shipping_manufacturing!$D$28/100</f>
        <v>0</v>
      </c>
      <c r="AK44" s="127">
        <f>AK$21*shipping_manufacturing!$D$28/100</f>
        <v>0</v>
      </c>
      <c r="AL44" s="127">
        <f>AL$21*shipping_manufacturing!$D$28/100</f>
        <v>0</v>
      </c>
      <c r="AM44" s="127">
        <f>AM$21*shipping_manufacturing!$D$28/100</f>
        <v>0</v>
      </c>
      <c r="AN44" s="127">
        <f>AN$21*shipping_manufacturing!$D$28/100</f>
        <v>0</v>
      </c>
      <c r="AO44" s="127">
        <f>AO$21*shipping_manufacturing!$D$28/100</f>
        <v>0</v>
      </c>
      <c r="AP44" s="127">
        <f>AP$21*shipping_manufacturing!$D$28/100</f>
        <v>0</v>
      </c>
      <c r="AQ44" s="127">
        <f>AQ$21*shipping_manufacturing!$D$28/100</f>
        <v>0</v>
      </c>
      <c r="AR44" s="127">
        <f>AR$21*shipping_manufacturing!$D$28/100</f>
        <v>0</v>
      </c>
      <c r="AS44" s="127">
        <f>AS$21*shipping_manufacturing!$D$28/100</f>
        <v>0</v>
      </c>
      <c r="AT44" s="127">
        <f>AT$21*shipping_manufacturing!$D$28/100</f>
        <v>0</v>
      </c>
      <c r="AU44" s="127">
        <f>AU$21*shipping_manufacturing!$D$28/100</f>
        <v>0</v>
      </c>
      <c r="AV44" s="127">
        <f>AV$21*shipping_manufacturing!$D$28/100</f>
        <v>0</v>
      </c>
      <c r="AW44" s="127">
        <f>AW$21*shipping_manufacturing!$D$28/100</f>
        <v>0</v>
      </c>
      <c r="AX44" s="127">
        <f>AX$21*shipping_manufacturing!$D$28/100</f>
        <v>0</v>
      </c>
      <c r="AY44" s="127">
        <f>AY$21*shipping_manufacturing!$D$28/100</f>
        <v>0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D$22*shipping_manufacturing!$E$28/100</f>
        <v>0</v>
      </c>
      <c r="E45" s="114">
        <f>E$22*shipping_manufacturing!$E$28/100</f>
        <v>0</v>
      </c>
      <c r="F45" s="114">
        <f>F$22*shipping_manufacturing!$E$28/100</f>
        <v>0</v>
      </c>
      <c r="G45" s="114">
        <f>G$22*shipping_manufacturing!$E$28/100</f>
        <v>0</v>
      </c>
      <c r="H45" s="114">
        <f>H$22*shipping_manufacturing!$E$28/100</f>
        <v>0</v>
      </c>
      <c r="I45" s="114">
        <f>I$22*shipping_manufacturing!$E$28/100</f>
        <v>0</v>
      </c>
      <c r="J45" s="114">
        <f>J$22*shipping_manufacturing!$E$28/100</f>
        <v>0</v>
      </c>
      <c r="K45" s="114">
        <f>K$22*shipping_manufacturing!$E$28/100</f>
        <v>0</v>
      </c>
      <c r="L45" s="114">
        <f>L$22*shipping_manufacturing!$E$28/100</f>
        <v>0</v>
      </c>
      <c r="M45" s="114">
        <f>M$22*shipping_manufacturing!$E$28/100</f>
        <v>0</v>
      </c>
      <c r="N45" s="114">
        <f>N$22*shipping_manufacturing!$E$28/100</f>
        <v>0</v>
      </c>
      <c r="O45" s="114">
        <f>O$22*shipping_manufacturing!$E$28/100</f>
        <v>0</v>
      </c>
      <c r="P45" s="114">
        <f>P$22*shipping_manufacturing!$E$28/100</f>
        <v>0</v>
      </c>
      <c r="Q45" s="114">
        <f>Q$22*shipping_manufacturing!$E$28/100</f>
        <v>0</v>
      </c>
      <c r="R45" s="114">
        <f>R$22*shipping_manufacturing!$E$28/100</f>
        <v>0</v>
      </c>
      <c r="S45" s="114">
        <f>S$22*shipping_manufacturing!$E$28/100</f>
        <v>0</v>
      </c>
      <c r="T45" s="114">
        <f>T$22*shipping_manufacturing!$E$28/100</f>
        <v>0</v>
      </c>
      <c r="U45" s="114">
        <f>U$22*shipping_manufacturing!$E$28/100</f>
        <v>0</v>
      </c>
      <c r="V45" s="114">
        <f>V$22*shipping_manufacturing!$E$28/100</f>
        <v>0</v>
      </c>
      <c r="W45" s="114">
        <f>W$22*shipping_manufacturing!$E$28/100</f>
        <v>0</v>
      </c>
      <c r="X45" s="114">
        <f>X$22*shipping_manufacturing!$E$28/100</f>
        <v>0</v>
      </c>
      <c r="Y45" s="114">
        <f>Y$22*shipping_manufacturing!$E$28/100</f>
        <v>0</v>
      </c>
      <c r="Z45" s="114">
        <f>Z$22*shipping_manufacturing!$E$28/100</f>
        <v>0</v>
      </c>
      <c r="AA45" s="114">
        <f>AA$22*shipping_manufacturing!$E$28/100</f>
        <v>0</v>
      </c>
      <c r="AB45" s="114">
        <f>AB$22*shipping_manufacturing!$E$28/100</f>
        <v>0</v>
      </c>
      <c r="AC45" s="114">
        <f>AC$22*shipping_manufacturing!$E$28/100</f>
        <v>0</v>
      </c>
      <c r="AD45" s="114">
        <f>AD$22*shipping_manufacturing!$E$28/100</f>
        <v>0</v>
      </c>
      <c r="AE45" s="114">
        <f>AE$22*shipping_manufacturing!$E$28/100</f>
        <v>0</v>
      </c>
      <c r="AF45" s="114">
        <f>AF$22*shipping_manufacturing!$E$28/100</f>
        <v>0</v>
      </c>
      <c r="AG45" s="114">
        <f>AG$22*shipping_manufacturing!$E$28/100</f>
        <v>0</v>
      </c>
      <c r="AH45" s="114">
        <f>AH$22*shipping_manufacturing!$E$28/100</f>
        <v>0</v>
      </c>
      <c r="AI45" s="114">
        <f>AI$22*shipping_manufacturing!$E$28/100</f>
        <v>0</v>
      </c>
      <c r="AJ45" s="114">
        <f>AJ$22*shipping_manufacturing!$E$28/100</f>
        <v>0</v>
      </c>
      <c r="AK45" s="114">
        <f>AK$22*shipping_manufacturing!$E$28/100</f>
        <v>0</v>
      </c>
      <c r="AL45" s="114">
        <f>AL$22*shipping_manufacturing!$E$28/100</f>
        <v>0</v>
      </c>
      <c r="AM45" s="114">
        <f>AM$22*shipping_manufacturing!$E$28/100</f>
        <v>0</v>
      </c>
      <c r="AN45" s="114">
        <f>AN$22*shipping_manufacturing!$E$28/100</f>
        <v>0</v>
      </c>
      <c r="AO45" s="114">
        <f>AO$22*shipping_manufacturing!$E$28/100</f>
        <v>0</v>
      </c>
      <c r="AP45" s="114">
        <f>AP$22*shipping_manufacturing!$E$28/100</f>
        <v>0</v>
      </c>
      <c r="AQ45" s="114">
        <f>AQ$22*shipping_manufacturing!$E$28/100</f>
        <v>0</v>
      </c>
      <c r="AR45" s="114">
        <f>AR$22*shipping_manufacturing!$E$28/100</f>
        <v>0</v>
      </c>
      <c r="AS45" s="114">
        <f>AS$22*shipping_manufacturing!$E$28/100</f>
        <v>0</v>
      </c>
      <c r="AT45" s="114">
        <f>AT$22*shipping_manufacturing!$E$28/100</f>
        <v>0</v>
      </c>
      <c r="AU45" s="114">
        <f>AU$22*shipping_manufacturing!$E$28/100</f>
        <v>0</v>
      </c>
      <c r="AV45" s="114">
        <f>AV$22*shipping_manufacturing!$E$28/100</f>
        <v>0</v>
      </c>
      <c r="AW45" s="114">
        <f>AW$22*shipping_manufacturing!$E$28/100</f>
        <v>0</v>
      </c>
      <c r="AX45" s="114">
        <f>AX$22*shipping_manufacturing!$E$28/100</f>
        <v>0</v>
      </c>
      <c r="AY45" s="114">
        <f>AY$22*shipping_manufacturing!$E$28/100</f>
        <v>0</v>
      </c>
    </row>
    <row r="46" spans="1:52" x14ac:dyDescent="0.2">
      <c r="A46" s="114">
        <v>718</v>
      </c>
      <c r="B46" s="168" t="s">
        <v>343</v>
      </c>
      <c r="C46" s="114"/>
      <c r="D46" s="114">
        <f>SUM(D44:D45)</f>
        <v>0</v>
      </c>
      <c r="E46" s="114">
        <f t="shared" ref="E46:AY46" si="14">SUM(E44:E45)</f>
        <v>0</v>
      </c>
      <c r="F46" s="114">
        <f t="shared" si="14"/>
        <v>0</v>
      </c>
      <c r="G46" s="114">
        <f t="shared" si="14"/>
        <v>0</v>
      </c>
      <c r="H46" s="114">
        <f t="shared" si="14"/>
        <v>0</v>
      </c>
      <c r="I46" s="114">
        <f t="shared" si="14"/>
        <v>0</v>
      </c>
      <c r="J46" s="114">
        <f t="shared" si="14"/>
        <v>0</v>
      </c>
      <c r="K46" s="114">
        <f t="shared" si="14"/>
        <v>0</v>
      </c>
      <c r="L46" s="114">
        <f t="shared" si="14"/>
        <v>0</v>
      </c>
      <c r="M46" s="114">
        <f t="shared" si="14"/>
        <v>0</v>
      </c>
      <c r="N46" s="114">
        <f t="shared" si="14"/>
        <v>0</v>
      </c>
      <c r="O46" s="114">
        <f t="shared" si="14"/>
        <v>0</v>
      </c>
      <c r="P46" s="114">
        <f t="shared" si="14"/>
        <v>0</v>
      </c>
      <c r="Q46" s="114">
        <f t="shared" si="14"/>
        <v>0</v>
      </c>
      <c r="R46" s="114">
        <f t="shared" si="14"/>
        <v>0</v>
      </c>
      <c r="S46" s="114">
        <f t="shared" si="14"/>
        <v>0</v>
      </c>
      <c r="T46" s="114">
        <f t="shared" si="14"/>
        <v>0</v>
      </c>
      <c r="U46" s="114">
        <f t="shared" si="14"/>
        <v>0</v>
      </c>
      <c r="V46" s="114">
        <f t="shared" si="14"/>
        <v>0</v>
      </c>
      <c r="W46" s="114">
        <f t="shared" si="14"/>
        <v>0</v>
      </c>
      <c r="X46" s="114">
        <f t="shared" si="14"/>
        <v>0</v>
      </c>
      <c r="Y46" s="114">
        <f t="shared" si="14"/>
        <v>0</v>
      </c>
      <c r="Z46" s="114">
        <f t="shared" si="14"/>
        <v>0</v>
      </c>
      <c r="AA46" s="114">
        <f t="shared" si="14"/>
        <v>0</v>
      </c>
      <c r="AB46" s="114">
        <f t="shared" si="14"/>
        <v>0</v>
      </c>
      <c r="AC46" s="114">
        <f t="shared" si="14"/>
        <v>0</v>
      </c>
      <c r="AD46" s="114">
        <f t="shared" si="14"/>
        <v>0</v>
      </c>
      <c r="AE46" s="114">
        <f t="shared" si="14"/>
        <v>0</v>
      </c>
      <c r="AF46" s="114">
        <f t="shared" si="14"/>
        <v>0</v>
      </c>
      <c r="AG46" s="114">
        <f t="shared" si="14"/>
        <v>0</v>
      </c>
      <c r="AH46" s="114">
        <f t="shared" si="14"/>
        <v>0</v>
      </c>
      <c r="AI46" s="114">
        <f t="shared" si="14"/>
        <v>0</v>
      </c>
      <c r="AJ46" s="114">
        <f t="shared" si="14"/>
        <v>0</v>
      </c>
      <c r="AK46" s="114">
        <f t="shared" si="14"/>
        <v>0</v>
      </c>
      <c r="AL46" s="114">
        <f t="shared" si="14"/>
        <v>0</v>
      </c>
      <c r="AM46" s="114">
        <f t="shared" si="14"/>
        <v>0</v>
      </c>
      <c r="AN46" s="114">
        <f t="shared" si="14"/>
        <v>0</v>
      </c>
      <c r="AO46" s="114">
        <f t="shared" si="14"/>
        <v>0</v>
      </c>
      <c r="AP46" s="114">
        <f t="shared" si="14"/>
        <v>0</v>
      </c>
      <c r="AQ46" s="114">
        <f t="shared" si="14"/>
        <v>0</v>
      </c>
      <c r="AR46" s="114">
        <f t="shared" si="14"/>
        <v>0</v>
      </c>
      <c r="AS46" s="114">
        <f t="shared" si="14"/>
        <v>0</v>
      </c>
      <c r="AT46" s="114">
        <f t="shared" si="14"/>
        <v>0</v>
      </c>
      <c r="AU46" s="114">
        <f t="shared" si="14"/>
        <v>0</v>
      </c>
      <c r="AV46" s="114">
        <f t="shared" si="14"/>
        <v>0</v>
      </c>
      <c r="AW46" s="114">
        <f t="shared" si="14"/>
        <v>0</v>
      </c>
      <c r="AX46" s="114">
        <f t="shared" si="14"/>
        <v>0</v>
      </c>
      <c r="AY46" s="114">
        <f t="shared" si="14"/>
        <v>0</v>
      </c>
    </row>
    <row r="47" spans="1:52" x14ac:dyDescent="0.2">
      <c r="A47" s="114"/>
      <c r="B47" s="168" t="s">
        <v>344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2" x14ac:dyDescent="0.2">
      <c r="A48" s="114"/>
      <c r="B48" s="168" t="s">
        <v>345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2" x14ac:dyDescent="0.2">
      <c r="A49" s="114"/>
      <c r="B49" s="168" t="s">
        <v>346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2" x14ac:dyDescent="0.2">
      <c r="A50" s="114"/>
      <c r="B50" s="168" t="s">
        <v>347</v>
      </c>
      <c r="C50" s="114"/>
      <c r="D50" s="114">
        <f>D44-D47</f>
        <v>0</v>
      </c>
      <c r="E50" s="114">
        <f t="shared" ref="E50:AY50" si="15">E44-E47</f>
        <v>0</v>
      </c>
      <c r="F50" s="114">
        <f t="shared" si="15"/>
        <v>0</v>
      </c>
      <c r="G50" s="114">
        <f t="shared" si="15"/>
        <v>0</v>
      </c>
      <c r="H50" s="114">
        <f t="shared" si="15"/>
        <v>0</v>
      </c>
      <c r="I50" s="114">
        <f t="shared" si="15"/>
        <v>0</v>
      </c>
      <c r="J50" s="114">
        <f t="shared" si="15"/>
        <v>0</v>
      </c>
      <c r="K50" s="114">
        <f t="shared" si="15"/>
        <v>0</v>
      </c>
      <c r="L50" s="114">
        <f t="shared" si="15"/>
        <v>0</v>
      </c>
      <c r="M50" s="114">
        <f t="shared" si="15"/>
        <v>0</v>
      </c>
      <c r="N50" s="114">
        <f t="shared" si="15"/>
        <v>0</v>
      </c>
      <c r="O50" s="114">
        <f t="shared" si="15"/>
        <v>0</v>
      </c>
      <c r="P50" s="114">
        <f t="shared" si="15"/>
        <v>0</v>
      </c>
      <c r="Q50" s="114">
        <f t="shared" si="15"/>
        <v>0</v>
      </c>
      <c r="R50" s="114">
        <f t="shared" si="15"/>
        <v>0</v>
      </c>
      <c r="S50" s="114">
        <f t="shared" si="15"/>
        <v>0</v>
      </c>
      <c r="T50" s="114">
        <f t="shared" si="15"/>
        <v>0</v>
      </c>
      <c r="U50" s="114">
        <f t="shared" si="15"/>
        <v>0</v>
      </c>
      <c r="V50" s="114">
        <f t="shared" si="15"/>
        <v>0</v>
      </c>
      <c r="W50" s="114">
        <f t="shared" si="15"/>
        <v>0</v>
      </c>
      <c r="X50" s="114">
        <f t="shared" si="15"/>
        <v>0</v>
      </c>
      <c r="Y50" s="114">
        <f t="shared" si="15"/>
        <v>0</v>
      </c>
      <c r="Z50" s="114">
        <f t="shared" si="15"/>
        <v>0</v>
      </c>
      <c r="AA50" s="114">
        <f t="shared" si="15"/>
        <v>0</v>
      </c>
      <c r="AB50" s="114">
        <f t="shared" si="15"/>
        <v>0</v>
      </c>
      <c r="AC50" s="114">
        <f t="shared" si="15"/>
        <v>0</v>
      </c>
      <c r="AD50" s="114">
        <f t="shared" si="15"/>
        <v>0</v>
      </c>
      <c r="AE50" s="114">
        <f t="shared" si="15"/>
        <v>0</v>
      </c>
      <c r="AF50" s="114">
        <f t="shared" si="15"/>
        <v>0</v>
      </c>
      <c r="AG50" s="114">
        <f t="shared" si="15"/>
        <v>0</v>
      </c>
      <c r="AH50" s="114">
        <f t="shared" si="15"/>
        <v>0</v>
      </c>
      <c r="AI50" s="114">
        <f t="shared" si="15"/>
        <v>0</v>
      </c>
      <c r="AJ50" s="114">
        <f t="shared" si="15"/>
        <v>0</v>
      </c>
      <c r="AK50" s="114">
        <f t="shared" si="15"/>
        <v>0</v>
      </c>
      <c r="AL50" s="114">
        <f t="shared" si="15"/>
        <v>0</v>
      </c>
      <c r="AM50" s="114">
        <f t="shared" si="15"/>
        <v>0</v>
      </c>
      <c r="AN50" s="114">
        <f t="shared" si="15"/>
        <v>0</v>
      </c>
      <c r="AO50" s="114">
        <f t="shared" si="15"/>
        <v>0</v>
      </c>
      <c r="AP50" s="114">
        <f t="shared" si="15"/>
        <v>0</v>
      </c>
      <c r="AQ50" s="114">
        <f t="shared" si="15"/>
        <v>0</v>
      </c>
      <c r="AR50" s="114">
        <f t="shared" si="15"/>
        <v>0</v>
      </c>
      <c r="AS50" s="114">
        <f t="shared" si="15"/>
        <v>0</v>
      </c>
      <c r="AT50" s="114">
        <f t="shared" si="15"/>
        <v>0</v>
      </c>
      <c r="AU50" s="114">
        <f t="shared" si="15"/>
        <v>0</v>
      </c>
      <c r="AV50" s="114">
        <f t="shared" si="15"/>
        <v>0</v>
      </c>
      <c r="AW50" s="114">
        <f t="shared" si="15"/>
        <v>0</v>
      </c>
      <c r="AX50" s="114">
        <f t="shared" si="15"/>
        <v>0</v>
      </c>
      <c r="AY50" s="114">
        <f t="shared" si="15"/>
        <v>0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1</v>
      </c>
      <c r="E52" s="114">
        <v>1</v>
      </c>
      <c r="F52" s="114">
        <v>1</v>
      </c>
      <c r="G52" s="114">
        <v>1</v>
      </c>
      <c r="H52" s="114">
        <v>1</v>
      </c>
      <c r="I52" s="114">
        <v>1</v>
      </c>
      <c r="J52" s="114">
        <v>1</v>
      </c>
      <c r="K52" s="114">
        <v>1</v>
      </c>
      <c r="L52" s="114">
        <v>1</v>
      </c>
      <c r="M52" s="114">
        <v>1</v>
      </c>
      <c r="N52" s="114">
        <v>2</v>
      </c>
      <c r="O52" s="114">
        <v>1</v>
      </c>
      <c r="P52" s="114">
        <v>1</v>
      </c>
      <c r="Q52" s="114">
        <v>1</v>
      </c>
      <c r="R52" s="114">
        <v>1</v>
      </c>
      <c r="S52" s="114">
        <v>1</v>
      </c>
      <c r="T52" s="114">
        <v>3</v>
      </c>
      <c r="U52" s="114">
        <v>1</v>
      </c>
      <c r="V52" s="114">
        <v>1</v>
      </c>
      <c r="W52" s="114">
        <v>3</v>
      </c>
      <c r="X52" s="114">
        <v>1</v>
      </c>
      <c r="Y52" s="114">
        <v>1</v>
      </c>
      <c r="Z52" s="114">
        <v>3</v>
      </c>
      <c r="AA52" s="114">
        <v>2</v>
      </c>
      <c r="AB52" s="114">
        <v>1</v>
      </c>
      <c r="AC52" s="114">
        <v>1</v>
      </c>
      <c r="AD52" s="114">
        <v>2</v>
      </c>
      <c r="AE52" s="114">
        <v>1</v>
      </c>
      <c r="AF52" s="114">
        <v>1</v>
      </c>
      <c r="AG52" s="114">
        <v>1</v>
      </c>
      <c r="AH52" s="114">
        <v>1</v>
      </c>
      <c r="AI52" s="114">
        <v>1</v>
      </c>
      <c r="AJ52" s="114">
        <v>1</v>
      </c>
      <c r="AK52" s="114">
        <v>2</v>
      </c>
      <c r="AL52" s="114">
        <v>1</v>
      </c>
      <c r="AM52" s="114">
        <v>1</v>
      </c>
      <c r="AN52" s="114">
        <v>2</v>
      </c>
      <c r="AO52" s="114">
        <v>1</v>
      </c>
      <c r="AP52" s="114">
        <v>1</v>
      </c>
      <c r="AQ52" s="114">
        <v>1</v>
      </c>
      <c r="AR52" s="114">
        <v>1</v>
      </c>
      <c r="AS52" s="114">
        <v>1</v>
      </c>
      <c r="AT52" s="114">
        <v>1</v>
      </c>
      <c r="AU52" s="114">
        <v>2</v>
      </c>
      <c r="AV52" s="114">
        <v>1</v>
      </c>
      <c r="AW52" s="114">
        <v>2</v>
      </c>
      <c r="AX52" s="114">
        <v>1</v>
      </c>
      <c r="AY52" s="114">
        <v>2</v>
      </c>
    </row>
    <row r="53" spans="1:52" x14ac:dyDescent="0.2">
      <c r="A53" s="114"/>
      <c r="B53" s="179" t="s">
        <v>350</v>
      </c>
      <c r="C53" s="114"/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</v>
      </c>
      <c r="AK53" s="114">
        <v>0</v>
      </c>
      <c r="AL53" s="114">
        <v>0</v>
      </c>
      <c r="AM53" s="114">
        <v>0</v>
      </c>
      <c r="AN53" s="114">
        <v>0</v>
      </c>
      <c r="AO53" s="114">
        <v>0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</v>
      </c>
      <c r="AZ53">
        <f>SUM($D$53:$AY$53)</f>
        <v>0</v>
      </c>
    </row>
    <row r="54" spans="1:52" x14ac:dyDescent="0.2">
      <c r="A54" s="128"/>
      <c r="B54" s="143" t="s">
        <v>351</v>
      </c>
      <c r="C54" s="128"/>
      <c r="D54" s="128">
        <v>0</v>
      </c>
      <c r="E54" s="128">
        <v>0</v>
      </c>
      <c r="F54" s="128">
        <v>0</v>
      </c>
      <c r="G54" s="128">
        <v>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28">
        <v>0</v>
      </c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128">
        <v>0</v>
      </c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  <c r="AD54" s="128">
        <v>0</v>
      </c>
      <c r="AE54" s="128">
        <v>0</v>
      </c>
      <c r="AF54" s="128">
        <v>0</v>
      </c>
      <c r="AG54" s="128">
        <v>0</v>
      </c>
      <c r="AH54" s="128">
        <v>0</v>
      </c>
      <c r="AI54" s="128">
        <v>0</v>
      </c>
      <c r="AJ54" s="128">
        <v>0</v>
      </c>
      <c r="AK54" s="128">
        <v>0</v>
      </c>
      <c r="AL54" s="128">
        <v>0</v>
      </c>
      <c r="AM54" s="128">
        <v>0</v>
      </c>
      <c r="AN54" s="128">
        <v>0</v>
      </c>
      <c r="AO54" s="128">
        <v>0</v>
      </c>
      <c r="AP54" s="128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128">
        <v>0</v>
      </c>
      <c r="AW54" s="128">
        <v>0</v>
      </c>
      <c r="AX54" s="128">
        <v>0</v>
      </c>
      <c r="AY54" s="128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10</v>
      </c>
      <c r="E2" s="114"/>
    </row>
    <row r="3" spans="1:52" x14ac:dyDescent="0.2">
      <c r="A3" t="s">
        <v>286</v>
      </c>
      <c r="B3" s="111">
        <v>500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1266.2394654436318</v>
      </c>
      <c r="E7" s="147">
        <v>1266.2394654436318</v>
      </c>
      <c r="F7" s="147">
        <v>1266.2394654436318</v>
      </c>
      <c r="G7" s="147">
        <v>1266.2394654436318</v>
      </c>
      <c r="H7" s="147">
        <v>1174.5276654051547</v>
      </c>
      <c r="I7" s="147">
        <v>1266.2394654436318</v>
      </c>
      <c r="J7" s="147">
        <v>1266.2394654436318</v>
      </c>
      <c r="K7" s="147">
        <v>1266.2394654436318</v>
      </c>
      <c r="L7" s="147">
        <v>1201.4886311808159</v>
      </c>
      <c r="M7" s="147">
        <v>1060.7055077478321</v>
      </c>
      <c r="N7" s="147">
        <v>1266.2394654436318</v>
      </c>
      <c r="O7" s="147">
        <v>1266.2394654436318</v>
      </c>
      <c r="P7" s="147">
        <v>1266.2394654436318</v>
      </c>
      <c r="Q7" s="147">
        <v>1266.2394654436318</v>
      </c>
      <c r="R7" s="147">
        <v>1266.2394654436318</v>
      </c>
      <c r="S7" s="147">
        <v>1266.2394654436318</v>
      </c>
      <c r="T7" s="147">
        <v>1266.2394654436318</v>
      </c>
      <c r="U7" s="147">
        <v>1266.2394654436318</v>
      </c>
      <c r="V7" s="147">
        <v>1266.2394654436318</v>
      </c>
      <c r="W7" s="147">
        <v>1266.2394654436318</v>
      </c>
      <c r="X7" s="147">
        <v>1266.2394654436318</v>
      </c>
      <c r="Y7" s="147">
        <v>1266.2394654436318</v>
      </c>
      <c r="Z7" s="147">
        <v>1266.2394654436318</v>
      </c>
      <c r="AA7" s="147">
        <v>1266.2394654436318</v>
      </c>
      <c r="AB7" s="147">
        <v>1266.2394654436318</v>
      </c>
      <c r="AC7" s="147">
        <v>1266.2394654436318</v>
      </c>
      <c r="AD7" s="147">
        <v>1266.2394654436318</v>
      </c>
      <c r="AE7" s="147">
        <v>1266.2394654436318</v>
      </c>
      <c r="AF7" s="147">
        <v>1266.2394654436318</v>
      </c>
      <c r="AG7" s="147">
        <v>1266.2394654436318</v>
      </c>
      <c r="AH7" s="147">
        <v>1266.2394654436318</v>
      </c>
      <c r="AI7" s="147">
        <v>1266.2394654436318</v>
      </c>
      <c r="AJ7" s="147">
        <v>1266.2394654436318</v>
      </c>
      <c r="AK7" s="147">
        <v>1012.6954413291949</v>
      </c>
      <c r="AL7" s="147">
        <v>1266.2394654436318</v>
      </c>
      <c r="AM7" s="147">
        <v>1266.2394654436318</v>
      </c>
      <c r="AN7" s="147">
        <v>1266.2394654436318</v>
      </c>
      <c r="AO7" s="147">
        <v>1266.2394654436318</v>
      </c>
      <c r="AP7" s="147">
        <v>1266.2394654436318</v>
      </c>
      <c r="AQ7" s="147">
        <v>1266.2394654436318</v>
      </c>
      <c r="AR7" s="147">
        <v>1266.2394654436318</v>
      </c>
      <c r="AS7" s="147">
        <v>1266.2394654436318</v>
      </c>
      <c r="AT7" s="147">
        <v>1217.1137224614445</v>
      </c>
      <c r="AU7" s="147">
        <v>1266.2394654436318</v>
      </c>
      <c r="AV7" s="147">
        <v>1220.2258295975873</v>
      </c>
      <c r="AW7" s="147">
        <v>1266.2394654436318</v>
      </c>
      <c r="AX7" s="147">
        <v>1266.2394654436318</v>
      </c>
      <c r="AY7" s="147">
        <v>1266.2394654436318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766.23946544363184</v>
      </c>
      <c r="E10" s="147">
        <f t="shared" si="0"/>
        <v>766.23946544363184</v>
      </c>
      <c r="F10" s="147">
        <f t="shared" si="0"/>
        <v>766.23946544363184</v>
      </c>
      <c r="G10" s="147">
        <f t="shared" si="0"/>
        <v>766.23946544363184</v>
      </c>
      <c r="H10" s="147">
        <f t="shared" si="0"/>
        <v>674.52766540515472</v>
      </c>
      <c r="I10" s="147">
        <f t="shared" si="0"/>
        <v>766.23946544363184</v>
      </c>
      <c r="J10" s="147">
        <f t="shared" si="0"/>
        <v>766.23946544363184</v>
      </c>
      <c r="K10" s="147">
        <f t="shared" si="0"/>
        <v>766.23946544363184</v>
      </c>
      <c r="L10" s="147">
        <f t="shared" si="0"/>
        <v>701.4886311808159</v>
      </c>
      <c r="M10" s="147">
        <f t="shared" si="0"/>
        <v>560.70550774783214</v>
      </c>
      <c r="N10" s="147">
        <f t="shared" si="0"/>
        <v>766.23946544363184</v>
      </c>
      <c r="O10" s="147">
        <f t="shared" si="0"/>
        <v>766.23946544363184</v>
      </c>
      <c r="P10" s="147">
        <f t="shared" si="0"/>
        <v>766.23946544363184</v>
      </c>
      <c r="Q10" s="147">
        <f t="shared" si="0"/>
        <v>766.23946544363184</v>
      </c>
      <c r="R10" s="147">
        <f t="shared" si="0"/>
        <v>766.23946544363184</v>
      </c>
      <c r="S10" s="147">
        <f t="shared" si="0"/>
        <v>766.23946544363184</v>
      </c>
      <c r="T10" s="147">
        <f t="shared" si="0"/>
        <v>766.23946544363184</v>
      </c>
      <c r="U10" s="147">
        <f t="shared" si="0"/>
        <v>766.23946544363184</v>
      </c>
      <c r="V10" s="147">
        <f t="shared" si="0"/>
        <v>766.23946544363184</v>
      </c>
      <c r="W10" s="147">
        <f t="shared" si="0"/>
        <v>766.23946544363184</v>
      </c>
      <c r="X10" s="147">
        <f t="shared" si="0"/>
        <v>766.23946544363184</v>
      </c>
      <c r="Y10" s="147">
        <f t="shared" si="0"/>
        <v>766.23946544363184</v>
      </c>
      <c r="Z10" s="147">
        <f t="shared" si="0"/>
        <v>766.23946544363184</v>
      </c>
      <c r="AA10" s="147">
        <f t="shared" si="0"/>
        <v>766.23946544363184</v>
      </c>
      <c r="AB10" s="147">
        <f t="shared" si="0"/>
        <v>766.23946544363184</v>
      </c>
      <c r="AC10" s="147">
        <f t="shared" si="0"/>
        <v>766.23946544363184</v>
      </c>
      <c r="AD10" s="147">
        <f t="shared" si="0"/>
        <v>766.23946544363184</v>
      </c>
      <c r="AE10" s="147">
        <f t="shared" si="0"/>
        <v>766.23946544363184</v>
      </c>
      <c r="AF10" s="147">
        <f t="shared" si="0"/>
        <v>766.23946544363184</v>
      </c>
      <c r="AG10" s="147">
        <f t="shared" si="0"/>
        <v>766.23946544363184</v>
      </c>
      <c r="AH10" s="147">
        <f t="shared" si="0"/>
        <v>766.23946544363184</v>
      </c>
      <c r="AI10" s="147">
        <f t="shared" si="0"/>
        <v>766.23946544363184</v>
      </c>
      <c r="AJ10" s="147">
        <f t="shared" si="0"/>
        <v>766.23946544363184</v>
      </c>
      <c r="AK10" s="147">
        <f t="shared" si="0"/>
        <v>512.69544132919486</v>
      </c>
      <c r="AL10" s="147">
        <f t="shared" si="0"/>
        <v>766.23946544363184</v>
      </c>
      <c r="AM10" s="147">
        <f t="shared" si="0"/>
        <v>766.23946544363184</v>
      </c>
      <c r="AN10" s="147">
        <f t="shared" si="0"/>
        <v>766.23946544363184</v>
      </c>
      <c r="AO10" s="147">
        <f t="shared" si="0"/>
        <v>766.23946544363184</v>
      </c>
      <c r="AP10" s="147">
        <f t="shared" si="0"/>
        <v>766.23946544363184</v>
      </c>
      <c r="AQ10" s="147">
        <f t="shared" si="0"/>
        <v>766.23946544363184</v>
      </c>
      <c r="AR10" s="147">
        <f t="shared" si="0"/>
        <v>766.23946544363184</v>
      </c>
      <c r="AS10" s="147">
        <f t="shared" si="0"/>
        <v>766.23946544363184</v>
      </c>
      <c r="AT10" s="147">
        <f t="shared" si="0"/>
        <v>717.11372246144447</v>
      </c>
      <c r="AU10" s="147">
        <f t="shared" si="0"/>
        <v>766.23946544363184</v>
      </c>
      <c r="AV10" s="147">
        <f t="shared" si="0"/>
        <v>720.22582959758734</v>
      </c>
      <c r="AW10" s="147">
        <f t="shared" si="0"/>
        <v>766.23946544363184</v>
      </c>
      <c r="AX10" s="147">
        <f t="shared" si="0"/>
        <v>766.23946544363184</v>
      </c>
      <c r="AY10" s="147">
        <f t="shared" si="0"/>
        <v>766.23946544363184</v>
      </c>
      <c r="AZ10" s="154">
        <f>SUM($D10:$AY10)</f>
        <v>36068.814346354557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0</v>
      </c>
      <c r="D13" s="141">
        <f t="shared" ref="D13:AY13" si="1">D$7-D$10</f>
        <v>500</v>
      </c>
      <c r="E13" s="141">
        <f t="shared" si="1"/>
        <v>500</v>
      </c>
      <c r="F13" s="141">
        <f t="shared" si="1"/>
        <v>500</v>
      </c>
      <c r="G13" s="141">
        <f t="shared" si="1"/>
        <v>500</v>
      </c>
      <c r="H13" s="141">
        <f t="shared" si="1"/>
        <v>500</v>
      </c>
      <c r="I13" s="141">
        <f t="shared" si="1"/>
        <v>500</v>
      </c>
      <c r="J13" s="141">
        <f t="shared" si="1"/>
        <v>500</v>
      </c>
      <c r="K13" s="141">
        <f t="shared" si="1"/>
        <v>500</v>
      </c>
      <c r="L13" s="141">
        <f t="shared" si="1"/>
        <v>500</v>
      </c>
      <c r="M13" s="141">
        <f t="shared" si="1"/>
        <v>500</v>
      </c>
      <c r="N13" s="141">
        <f t="shared" si="1"/>
        <v>500</v>
      </c>
      <c r="O13" s="141">
        <f t="shared" si="1"/>
        <v>500</v>
      </c>
      <c r="P13" s="141">
        <f t="shared" si="1"/>
        <v>500</v>
      </c>
      <c r="Q13" s="141">
        <f t="shared" si="1"/>
        <v>500</v>
      </c>
      <c r="R13" s="141">
        <f t="shared" si="1"/>
        <v>500</v>
      </c>
      <c r="S13" s="141">
        <f t="shared" si="1"/>
        <v>500</v>
      </c>
      <c r="T13" s="141">
        <f t="shared" si="1"/>
        <v>500</v>
      </c>
      <c r="U13" s="141">
        <f t="shared" si="1"/>
        <v>500</v>
      </c>
      <c r="V13" s="141">
        <f t="shared" si="1"/>
        <v>500</v>
      </c>
      <c r="W13" s="141">
        <f t="shared" si="1"/>
        <v>500</v>
      </c>
      <c r="X13" s="141">
        <f t="shared" si="1"/>
        <v>500</v>
      </c>
      <c r="Y13" s="141">
        <f t="shared" si="1"/>
        <v>500</v>
      </c>
      <c r="Z13" s="141">
        <f t="shared" si="1"/>
        <v>500</v>
      </c>
      <c r="AA13" s="141">
        <f t="shared" si="1"/>
        <v>500</v>
      </c>
      <c r="AB13" s="141">
        <f t="shared" si="1"/>
        <v>500</v>
      </c>
      <c r="AC13" s="141">
        <f t="shared" si="1"/>
        <v>500</v>
      </c>
      <c r="AD13" s="141">
        <f t="shared" si="1"/>
        <v>500</v>
      </c>
      <c r="AE13" s="141">
        <f t="shared" si="1"/>
        <v>500</v>
      </c>
      <c r="AF13" s="141">
        <f t="shared" si="1"/>
        <v>500</v>
      </c>
      <c r="AG13" s="141">
        <f t="shared" si="1"/>
        <v>500</v>
      </c>
      <c r="AH13" s="141">
        <f t="shared" si="1"/>
        <v>500</v>
      </c>
      <c r="AI13" s="141">
        <f t="shared" si="1"/>
        <v>500</v>
      </c>
      <c r="AJ13" s="141">
        <f t="shared" si="1"/>
        <v>500</v>
      </c>
      <c r="AK13" s="141">
        <f t="shared" si="1"/>
        <v>500</v>
      </c>
      <c r="AL13" s="141">
        <f t="shared" si="1"/>
        <v>500</v>
      </c>
      <c r="AM13" s="141">
        <f t="shared" si="1"/>
        <v>500</v>
      </c>
      <c r="AN13" s="141">
        <f t="shared" si="1"/>
        <v>500</v>
      </c>
      <c r="AO13" s="141">
        <f t="shared" si="1"/>
        <v>500</v>
      </c>
      <c r="AP13" s="141">
        <f t="shared" si="1"/>
        <v>500</v>
      </c>
      <c r="AQ13" s="141">
        <f t="shared" si="1"/>
        <v>500</v>
      </c>
      <c r="AR13" s="141">
        <f t="shared" si="1"/>
        <v>500</v>
      </c>
      <c r="AS13" s="141">
        <f t="shared" si="1"/>
        <v>500</v>
      </c>
      <c r="AT13" s="141">
        <f t="shared" si="1"/>
        <v>500</v>
      </c>
      <c r="AU13" s="141">
        <f t="shared" si="1"/>
        <v>500</v>
      </c>
      <c r="AV13" s="141">
        <f t="shared" si="1"/>
        <v>500</v>
      </c>
      <c r="AW13" s="141">
        <f t="shared" si="1"/>
        <v>500</v>
      </c>
      <c r="AX13" s="141">
        <f t="shared" si="1"/>
        <v>500</v>
      </c>
      <c r="AY13" s="141">
        <f t="shared" si="1"/>
        <v>500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0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0</v>
      </c>
      <c r="Y14" s="110">
        <f t="shared" si="2"/>
        <v>0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0</v>
      </c>
      <c r="AD14" s="110">
        <f t="shared" si="2"/>
        <v>0</v>
      </c>
      <c r="AE14" s="110">
        <f t="shared" si="2"/>
        <v>0</v>
      </c>
      <c r="AF14" s="110">
        <f t="shared" si="2"/>
        <v>0</v>
      </c>
      <c r="AG14" s="110">
        <f t="shared" si="2"/>
        <v>0</v>
      </c>
      <c r="AH14" s="110">
        <f t="shared" si="2"/>
        <v>0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0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500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11"/>
    </row>
    <row r="21" spans="1:52" s="114" customFormat="1" x14ac:dyDescent="0.2">
      <c r="A21" s="158" t="s">
        <v>133</v>
      </c>
      <c r="B21" s="159">
        <f>shipping_manufacturing!$E$19/100</f>
        <v>0.8</v>
      </c>
      <c r="C21" s="159" t="s">
        <v>293</v>
      </c>
      <c r="D21" s="110">
        <f>IF(C$20="Yes",0,SUM(C$13:C$16)*$B$21)</f>
        <v>400</v>
      </c>
      <c r="E21" s="110">
        <f t="shared" ref="E21:AY21" si="3">IF(D$20="Yes",0,SUM(D$13:D$16)*$B$21)</f>
        <v>400</v>
      </c>
      <c r="F21" s="110">
        <f t="shared" si="3"/>
        <v>400</v>
      </c>
      <c r="G21" s="110">
        <f t="shared" si="3"/>
        <v>400</v>
      </c>
      <c r="H21" s="110">
        <f t="shared" si="3"/>
        <v>400</v>
      </c>
      <c r="I21" s="110">
        <f t="shared" si="3"/>
        <v>400</v>
      </c>
      <c r="J21" s="110">
        <f t="shared" si="3"/>
        <v>400</v>
      </c>
      <c r="K21" s="110">
        <f t="shared" si="3"/>
        <v>400</v>
      </c>
      <c r="L21" s="110">
        <f t="shared" si="3"/>
        <v>400</v>
      </c>
      <c r="M21" s="110">
        <f t="shared" si="3"/>
        <v>400</v>
      </c>
      <c r="N21" s="110">
        <f t="shared" si="3"/>
        <v>400</v>
      </c>
      <c r="O21" s="110">
        <f t="shared" si="3"/>
        <v>400</v>
      </c>
      <c r="P21" s="110">
        <f t="shared" si="3"/>
        <v>400</v>
      </c>
      <c r="Q21" s="110">
        <f t="shared" si="3"/>
        <v>400</v>
      </c>
      <c r="R21" s="110">
        <f t="shared" si="3"/>
        <v>400</v>
      </c>
      <c r="S21" s="110">
        <f t="shared" si="3"/>
        <v>400</v>
      </c>
      <c r="T21" s="110">
        <f t="shared" si="3"/>
        <v>400</v>
      </c>
      <c r="U21" s="110">
        <f t="shared" si="3"/>
        <v>400</v>
      </c>
      <c r="V21" s="110">
        <f t="shared" si="3"/>
        <v>400</v>
      </c>
      <c r="W21" s="110">
        <f t="shared" si="3"/>
        <v>400</v>
      </c>
      <c r="X21" s="110">
        <f t="shared" si="3"/>
        <v>400</v>
      </c>
      <c r="Y21" s="110">
        <f t="shared" si="3"/>
        <v>400</v>
      </c>
      <c r="Z21" s="110">
        <f t="shared" si="3"/>
        <v>400</v>
      </c>
      <c r="AA21" s="110">
        <f t="shared" si="3"/>
        <v>400</v>
      </c>
      <c r="AB21" s="110">
        <f t="shared" si="3"/>
        <v>400</v>
      </c>
      <c r="AC21" s="110">
        <f t="shared" si="3"/>
        <v>400</v>
      </c>
      <c r="AD21" s="110">
        <f t="shared" si="3"/>
        <v>400</v>
      </c>
      <c r="AE21" s="110">
        <f t="shared" si="3"/>
        <v>400</v>
      </c>
      <c r="AF21" s="110">
        <f t="shared" si="3"/>
        <v>400</v>
      </c>
      <c r="AG21" s="110">
        <f t="shared" si="3"/>
        <v>400</v>
      </c>
      <c r="AH21" s="110">
        <f t="shared" si="3"/>
        <v>400</v>
      </c>
      <c r="AI21" s="110">
        <f t="shared" si="3"/>
        <v>400</v>
      </c>
      <c r="AJ21" s="110">
        <f t="shared" si="3"/>
        <v>400</v>
      </c>
      <c r="AK21" s="110">
        <f t="shared" si="3"/>
        <v>400</v>
      </c>
      <c r="AL21" s="110">
        <f t="shared" si="3"/>
        <v>400</v>
      </c>
      <c r="AM21" s="110">
        <f t="shared" si="3"/>
        <v>400</v>
      </c>
      <c r="AN21" s="110">
        <f t="shared" si="3"/>
        <v>400</v>
      </c>
      <c r="AO21" s="110">
        <f t="shared" si="3"/>
        <v>400</v>
      </c>
      <c r="AP21" s="110">
        <f t="shared" si="3"/>
        <v>400</v>
      </c>
      <c r="AQ21" s="110">
        <f t="shared" si="3"/>
        <v>400</v>
      </c>
      <c r="AR21" s="110">
        <f t="shared" si="3"/>
        <v>400</v>
      </c>
      <c r="AS21" s="110">
        <f t="shared" si="3"/>
        <v>400</v>
      </c>
      <c r="AT21" s="110">
        <f t="shared" si="3"/>
        <v>400</v>
      </c>
      <c r="AU21" s="110">
        <f t="shared" si="3"/>
        <v>400</v>
      </c>
      <c r="AV21" s="110">
        <f t="shared" si="3"/>
        <v>400</v>
      </c>
      <c r="AW21" s="110">
        <f t="shared" si="3"/>
        <v>400</v>
      </c>
      <c r="AX21" s="110">
        <f t="shared" si="3"/>
        <v>400</v>
      </c>
      <c r="AY21" s="110">
        <f t="shared" si="3"/>
        <v>400</v>
      </c>
      <c r="AZ21" s="160">
        <f>SUM($D21:$AY21)</f>
        <v>19200</v>
      </c>
    </row>
    <row r="22" spans="1:52" s="114" customFormat="1" x14ac:dyDescent="0.2">
      <c r="A22" s="161" t="s">
        <v>123</v>
      </c>
      <c r="B22" s="162">
        <f>1-$B$21</f>
        <v>0.19999999999999996</v>
      </c>
      <c r="C22" s="162" t="s">
        <v>293</v>
      </c>
      <c r="D22" s="117">
        <f>IF(C$20="Yes",0,SUM(C$13:C$16)*$B$22)</f>
        <v>99.999999999999972</v>
      </c>
      <c r="E22" s="117">
        <f t="shared" ref="E22:AY22" si="4">IF(D$20="Yes",0,SUM(D$13:D$16)*$B$22)</f>
        <v>99.999999999999972</v>
      </c>
      <c r="F22" s="117">
        <f t="shared" si="4"/>
        <v>99.999999999999972</v>
      </c>
      <c r="G22" s="117">
        <f t="shared" si="4"/>
        <v>99.999999999999972</v>
      </c>
      <c r="H22" s="117">
        <f t="shared" si="4"/>
        <v>99.999999999999972</v>
      </c>
      <c r="I22" s="117">
        <f t="shared" si="4"/>
        <v>99.999999999999972</v>
      </c>
      <c r="J22" s="117">
        <f t="shared" si="4"/>
        <v>99.999999999999972</v>
      </c>
      <c r="K22" s="117">
        <f t="shared" si="4"/>
        <v>99.999999999999972</v>
      </c>
      <c r="L22" s="117">
        <f t="shared" si="4"/>
        <v>99.999999999999972</v>
      </c>
      <c r="M22" s="117">
        <f t="shared" si="4"/>
        <v>99.999999999999972</v>
      </c>
      <c r="N22" s="117">
        <f t="shared" si="4"/>
        <v>99.999999999999972</v>
      </c>
      <c r="O22" s="117">
        <f t="shared" si="4"/>
        <v>99.999999999999972</v>
      </c>
      <c r="P22" s="117">
        <f t="shared" si="4"/>
        <v>99.999999999999972</v>
      </c>
      <c r="Q22" s="117">
        <f t="shared" si="4"/>
        <v>99.999999999999972</v>
      </c>
      <c r="R22" s="117">
        <f t="shared" si="4"/>
        <v>99.999999999999972</v>
      </c>
      <c r="S22" s="117">
        <f t="shared" si="4"/>
        <v>99.999999999999972</v>
      </c>
      <c r="T22" s="117">
        <f t="shared" si="4"/>
        <v>99.999999999999972</v>
      </c>
      <c r="U22" s="117">
        <f t="shared" si="4"/>
        <v>99.999999999999972</v>
      </c>
      <c r="V22" s="117">
        <f t="shared" si="4"/>
        <v>99.999999999999972</v>
      </c>
      <c r="W22" s="117">
        <f t="shared" si="4"/>
        <v>99.999999999999972</v>
      </c>
      <c r="X22" s="117">
        <f t="shared" si="4"/>
        <v>99.999999999999972</v>
      </c>
      <c r="Y22" s="117">
        <f t="shared" si="4"/>
        <v>99.999999999999972</v>
      </c>
      <c r="Z22" s="117">
        <f t="shared" si="4"/>
        <v>99.999999999999972</v>
      </c>
      <c r="AA22" s="117">
        <f t="shared" si="4"/>
        <v>99.999999999999972</v>
      </c>
      <c r="AB22" s="117">
        <f t="shared" si="4"/>
        <v>99.999999999999972</v>
      </c>
      <c r="AC22" s="117">
        <f t="shared" si="4"/>
        <v>99.999999999999972</v>
      </c>
      <c r="AD22" s="117">
        <f t="shared" si="4"/>
        <v>99.999999999999972</v>
      </c>
      <c r="AE22" s="117">
        <f t="shared" si="4"/>
        <v>99.999999999999972</v>
      </c>
      <c r="AF22" s="117">
        <f t="shared" si="4"/>
        <v>99.999999999999972</v>
      </c>
      <c r="AG22" s="117">
        <f t="shared" si="4"/>
        <v>99.999999999999972</v>
      </c>
      <c r="AH22" s="117">
        <f t="shared" si="4"/>
        <v>99.999999999999972</v>
      </c>
      <c r="AI22" s="117">
        <f t="shared" si="4"/>
        <v>99.999999999999972</v>
      </c>
      <c r="AJ22" s="117">
        <f t="shared" si="4"/>
        <v>99.999999999999972</v>
      </c>
      <c r="AK22" s="117">
        <f t="shared" si="4"/>
        <v>99.999999999999972</v>
      </c>
      <c r="AL22" s="117">
        <f t="shared" si="4"/>
        <v>99.999999999999972</v>
      </c>
      <c r="AM22" s="117">
        <f t="shared" si="4"/>
        <v>99.999999999999972</v>
      </c>
      <c r="AN22" s="117">
        <f t="shared" si="4"/>
        <v>99.999999999999972</v>
      </c>
      <c r="AO22" s="117">
        <f t="shared" si="4"/>
        <v>99.999999999999972</v>
      </c>
      <c r="AP22" s="117">
        <f t="shared" si="4"/>
        <v>99.999999999999972</v>
      </c>
      <c r="AQ22" s="117">
        <f t="shared" si="4"/>
        <v>99.999999999999972</v>
      </c>
      <c r="AR22" s="117">
        <f t="shared" si="4"/>
        <v>99.999999999999972</v>
      </c>
      <c r="AS22" s="117">
        <f t="shared" si="4"/>
        <v>99.999999999999972</v>
      </c>
      <c r="AT22" s="117">
        <f t="shared" si="4"/>
        <v>99.999999999999972</v>
      </c>
      <c r="AU22" s="117">
        <f t="shared" si="4"/>
        <v>99.999999999999972</v>
      </c>
      <c r="AV22" s="117">
        <f t="shared" si="4"/>
        <v>99.999999999999972</v>
      </c>
      <c r="AW22" s="117">
        <f t="shared" si="4"/>
        <v>99.999999999999972</v>
      </c>
      <c r="AX22" s="117">
        <f t="shared" si="4"/>
        <v>99.999999999999972</v>
      </c>
      <c r="AY22" s="117">
        <f t="shared" si="4"/>
        <v>99.999999999999972</v>
      </c>
      <c r="AZ22" s="144">
        <f t="shared" ref="AZ22:AZ30" si="5">SUM($D22:$AY22)</f>
        <v>4799.9999999999991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800000</v>
      </c>
      <c r="E23">
        <f t="shared" ref="E23:AY23" si="6">E$21*$B$23</f>
        <v>800000</v>
      </c>
      <c r="F23">
        <f t="shared" si="6"/>
        <v>800000</v>
      </c>
      <c r="G23">
        <f t="shared" si="6"/>
        <v>800000</v>
      </c>
      <c r="H23">
        <f t="shared" si="6"/>
        <v>800000</v>
      </c>
      <c r="I23">
        <f t="shared" si="6"/>
        <v>800000</v>
      </c>
      <c r="J23">
        <f t="shared" si="6"/>
        <v>800000</v>
      </c>
      <c r="K23">
        <f t="shared" si="6"/>
        <v>800000</v>
      </c>
      <c r="L23">
        <f t="shared" si="6"/>
        <v>800000</v>
      </c>
      <c r="M23">
        <f t="shared" si="6"/>
        <v>800000</v>
      </c>
      <c r="N23">
        <f t="shared" si="6"/>
        <v>800000</v>
      </c>
      <c r="O23">
        <f t="shared" si="6"/>
        <v>800000</v>
      </c>
      <c r="P23">
        <f t="shared" si="6"/>
        <v>800000</v>
      </c>
      <c r="Q23">
        <f t="shared" si="6"/>
        <v>800000</v>
      </c>
      <c r="R23">
        <f t="shared" si="6"/>
        <v>800000</v>
      </c>
      <c r="S23">
        <f t="shared" si="6"/>
        <v>800000</v>
      </c>
      <c r="T23">
        <f t="shared" si="6"/>
        <v>800000</v>
      </c>
      <c r="U23">
        <f t="shared" si="6"/>
        <v>800000</v>
      </c>
      <c r="V23">
        <f t="shared" si="6"/>
        <v>800000</v>
      </c>
      <c r="W23">
        <f t="shared" si="6"/>
        <v>800000</v>
      </c>
      <c r="X23">
        <f t="shared" si="6"/>
        <v>800000</v>
      </c>
      <c r="Y23">
        <f t="shared" si="6"/>
        <v>800000</v>
      </c>
      <c r="Z23">
        <f t="shared" si="6"/>
        <v>800000</v>
      </c>
      <c r="AA23">
        <f t="shared" si="6"/>
        <v>800000</v>
      </c>
      <c r="AB23">
        <f t="shared" si="6"/>
        <v>800000</v>
      </c>
      <c r="AC23">
        <f t="shared" si="6"/>
        <v>800000</v>
      </c>
      <c r="AD23">
        <f t="shared" si="6"/>
        <v>800000</v>
      </c>
      <c r="AE23">
        <f t="shared" si="6"/>
        <v>800000</v>
      </c>
      <c r="AF23">
        <f t="shared" si="6"/>
        <v>800000</v>
      </c>
      <c r="AG23">
        <f t="shared" si="6"/>
        <v>800000</v>
      </c>
      <c r="AH23">
        <f t="shared" si="6"/>
        <v>800000</v>
      </c>
      <c r="AI23">
        <f t="shared" si="6"/>
        <v>800000</v>
      </c>
      <c r="AJ23">
        <f t="shared" si="6"/>
        <v>800000</v>
      </c>
      <c r="AK23">
        <f t="shared" si="6"/>
        <v>800000</v>
      </c>
      <c r="AL23">
        <f t="shared" si="6"/>
        <v>800000</v>
      </c>
      <c r="AM23">
        <f t="shared" si="6"/>
        <v>800000</v>
      </c>
      <c r="AN23">
        <f t="shared" si="6"/>
        <v>800000</v>
      </c>
      <c r="AO23">
        <f t="shared" si="6"/>
        <v>800000</v>
      </c>
      <c r="AP23">
        <f t="shared" si="6"/>
        <v>800000</v>
      </c>
      <c r="AQ23">
        <f t="shared" si="6"/>
        <v>800000</v>
      </c>
      <c r="AR23">
        <f t="shared" si="6"/>
        <v>800000</v>
      </c>
      <c r="AS23">
        <f t="shared" si="6"/>
        <v>800000</v>
      </c>
      <c r="AT23">
        <f t="shared" si="6"/>
        <v>800000</v>
      </c>
      <c r="AU23">
        <f t="shared" si="6"/>
        <v>800000</v>
      </c>
      <c r="AV23">
        <f t="shared" si="6"/>
        <v>800000</v>
      </c>
      <c r="AW23">
        <f t="shared" si="6"/>
        <v>800000</v>
      </c>
      <c r="AX23">
        <f t="shared" si="6"/>
        <v>800000</v>
      </c>
      <c r="AY23">
        <f t="shared" si="6"/>
        <v>800000</v>
      </c>
      <c r="AZ23" s="142">
        <f t="shared" si="5"/>
        <v>38400000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99999.999999999971</v>
      </c>
      <c r="E24" s="110">
        <f t="shared" ref="E24:AY24" si="7">E$22*$B$24</f>
        <v>99999.999999999971</v>
      </c>
      <c r="F24" s="110">
        <f t="shared" si="7"/>
        <v>99999.999999999971</v>
      </c>
      <c r="G24" s="110">
        <f t="shared" si="7"/>
        <v>99999.999999999971</v>
      </c>
      <c r="H24" s="110">
        <f t="shared" si="7"/>
        <v>99999.999999999971</v>
      </c>
      <c r="I24" s="110">
        <f t="shared" si="7"/>
        <v>99999.999999999971</v>
      </c>
      <c r="J24" s="110">
        <f t="shared" si="7"/>
        <v>99999.999999999971</v>
      </c>
      <c r="K24" s="110">
        <f t="shared" si="7"/>
        <v>99999.999999999971</v>
      </c>
      <c r="L24" s="110">
        <f t="shared" si="7"/>
        <v>99999.999999999971</v>
      </c>
      <c r="M24" s="110">
        <f t="shared" si="7"/>
        <v>99999.999999999971</v>
      </c>
      <c r="N24" s="110">
        <f t="shared" si="7"/>
        <v>99999.999999999971</v>
      </c>
      <c r="O24" s="110">
        <f t="shared" si="7"/>
        <v>99999.999999999971</v>
      </c>
      <c r="P24" s="110">
        <f t="shared" si="7"/>
        <v>99999.999999999971</v>
      </c>
      <c r="Q24" s="110">
        <f t="shared" si="7"/>
        <v>99999.999999999971</v>
      </c>
      <c r="R24" s="110">
        <f t="shared" si="7"/>
        <v>99999.999999999971</v>
      </c>
      <c r="S24" s="110">
        <f t="shared" si="7"/>
        <v>99999.999999999971</v>
      </c>
      <c r="T24" s="110">
        <f t="shared" si="7"/>
        <v>99999.999999999971</v>
      </c>
      <c r="U24" s="110">
        <f t="shared" si="7"/>
        <v>99999.999999999971</v>
      </c>
      <c r="V24" s="110">
        <f t="shared" si="7"/>
        <v>99999.999999999971</v>
      </c>
      <c r="W24" s="110">
        <f t="shared" si="7"/>
        <v>99999.999999999971</v>
      </c>
      <c r="X24" s="110">
        <f t="shared" si="7"/>
        <v>99999.999999999971</v>
      </c>
      <c r="Y24" s="110">
        <f t="shared" si="7"/>
        <v>99999.999999999971</v>
      </c>
      <c r="Z24" s="110">
        <f t="shared" si="7"/>
        <v>99999.999999999971</v>
      </c>
      <c r="AA24" s="110">
        <f t="shared" si="7"/>
        <v>99999.999999999971</v>
      </c>
      <c r="AB24" s="110">
        <f t="shared" si="7"/>
        <v>99999.999999999971</v>
      </c>
      <c r="AC24" s="110">
        <f t="shared" si="7"/>
        <v>99999.999999999971</v>
      </c>
      <c r="AD24" s="110">
        <f t="shared" si="7"/>
        <v>99999.999999999971</v>
      </c>
      <c r="AE24" s="110">
        <f t="shared" si="7"/>
        <v>99999.999999999971</v>
      </c>
      <c r="AF24" s="110">
        <f t="shared" si="7"/>
        <v>99999.999999999971</v>
      </c>
      <c r="AG24" s="110">
        <f t="shared" si="7"/>
        <v>99999.999999999971</v>
      </c>
      <c r="AH24" s="110">
        <f t="shared" si="7"/>
        <v>99999.999999999971</v>
      </c>
      <c r="AI24" s="110">
        <f t="shared" si="7"/>
        <v>99999.999999999971</v>
      </c>
      <c r="AJ24" s="110">
        <f t="shared" si="7"/>
        <v>99999.999999999971</v>
      </c>
      <c r="AK24" s="110">
        <f t="shared" si="7"/>
        <v>99999.999999999971</v>
      </c>
      <c r="AL24" s="110">
        <f t="shared" si="7"/>
        <v>99999.999999999971</v>
      </c>
      <c r="AM24" s="110">
        <f t="shared" si="7"/>
        <v>99999.999999999971</v>
      </c>
      <c r="AN24" s="110">
        <f t="shared" si="7"/>
        <v>99999.999999999971</v>
      </c>
      <c r="AO24" s="110">
        <f t="shared" si="7"/>
        <v>99999.999999999971</v>
      </c>
      <c r="AP24" s="110">
        <f t="shared" si="7"/>
        <v>99999.999999999971</v>
      </c>
      <c r="AQ24" s="110">
        <f t="shared" si="7"/>
        <v>99999.999999999971</v>
      </c>
      <c r="AR24" s="110">
        <f t="shared" si="7"/>
        <v>99999.999999999971</v>
      </c>
      <c r="AS24" s="110">
        <f t="shared" si="7"/>
        <v>99999.999999999971</v>
      </c>
      <c r="AT24" s="110">
        <f t="shared" si="7"/>
        <v>99999.999999999971</v>
      </c>
      <c r="AU24" s="110">
        <f t="shared" si="7"/>
        <v>99999.999999999971</v>
      </c>
      <c r="AV24" s="110">
        <f t="shared" si="7"/>
        <v>99999.999999999971</v>
      </c>
      <c r="AW24" s="110">
        <f t="shared" si="7"/>
        <v>99999.999999999971</v>
      </c>
      <c r="AX24" s="110">
        <f t="shared" si="7"/>
        <v>99999.999999999971</v>
      </c>
      <c r="AY24" s="110">
        <f t="shared" si="7"/>
        <v>99999.999999999971</v>
      </c>
      <c r="AZ24" s="144">
        <f t="shared" si="5"/>
        <v>4799999.9999999991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22</v>
      </c>
      <c r="D27" s="127">
        <f>C$27-C$28+C$29</f>
        <v>22</v>
      </c>
      <c r="E27" s="127">
        <f t="shared" ref="E27:AY27" si="8">D27-D28+D29</f>
        <v>4</v>
      </c>
      <c r="F27" s="127">
        <f t="shared" si="8"/>
        <v>18</v>
      </c>
      <c r="G27" s="127">
        <f t="shared" si="8"/>
        <v>4</v>
      </c>
      <c r="H27" s="127">
        <f t="shared" si="8"/>
        <v>18</v>
      </c>
      <c r="I27" s="127">
        <f t="shared" si="8"/>
        <v>4</v>
      </c>
      <c r="J27" s="127">
        <f t="shared" si="8"/>
        <v>18</v>
      </c>
      <c r="K27" s="127">
        <f t="shared" si="8"/>
        <v>4</v>
      </c>
      <c r="L27" s="127">
        <f t="shared" si="8"/>
        <v>18</v>
      </c>
      <c r="M27" s="127">
        <f t="shared" si="8"/>
        <v>4</v>
      </c>
      <c r="N27" s="127">
        <f t="shared" si="8"/>
        <v>18</v>
      </c>
      <c r="O27" s="127">
        <f t="shared" si="8"/>
        <v>4</v>
      </c>
      <c r="P27" s="127">
        <f t="shared" si="8"/>
        <v>18</v>
      </c>
      <c r="Q27" s="127">
        <f t="shared" si="8"/>
        <v>4</v>
      </c>
      <c r="R27" s="127">
        <f t="shared" si="8"/>
        <v>18</v>
      </c>
      <c r="S27" s="127">
        <f t="shared" si="8"/>
        <v>4</v>
      </c>
      <c r="T27" s="127">
        <f t="shared" si="8"/>
        <v>18</v>
      </c>
      <c r="U27" s="127">
        <f t="shared" si="8"/>
        <v>4</v>
      </c>
      <c r="V27" s="127">
        <f t="shared" si="8"/>
        <v>18</v>
      </c>
      <c r="W27" s="127">
        <f t="shared" si="8"/>
        <v>4</v>
      </c>
      <c r="X27" s="127">
        <f t="shared" si="8"/>
        <v>18</v>
      </c>
      <c r="Y27" s="127">
        <f t="shared" si="8"/>
        <v>4</v>
      </c>
      <c r="Z27" s="127">
        <f t="shared" si="8"/>
        <v>18</v>
      </c>
      <c r="AA27" s="127">
        <f t="shared" si="8"/>
        <v>4</v>
      </c>
      <c r="AB27" s="127">
        <f t="shared" si="8"/>
        <v>18</v>
      </c>
      <c r="AC27" s="127">
        <f t="shared" si="8"/>
        <v>4</v>
      </c>
      <c r="AD27" s="127">
        <f t="shared" si="8"/>
        <v>18</v>
      </c>
      <c r="AE27" s="127">
        <f t="shared" si="8"/>
        <v>4</v>
      </c>
      <c r="AF27" s="127">
        <f t="shared" si="8"/>
        <v>18</v>
      </c>
      <c r="AG27" s="127">
        <f t="shared" si="8"/>
        <v>4</v>
      </c>
      <c r="AH27" s="127">
        <f t="shared" si="8"/>
        <v>18</v>
      </c>
      <c r="AI27" s="127">
        <f t="shared" si="8"/>
        <v>4</v>
      </c>
      <c r="AJ27" s="127">
        <f t="shared" si="8"/>
        <v>18</v>
      </c>
      <c r="AK27" s="127">
        <f t="shared" si="8"/>
        <v>4</v>
      </c>
      <c r="AL27" s="127">
        <f t="shared" si="8"/>
        <v>18</v>
      </c>
      <c r="AM27" s="127">
        <f t="shared" si="8"/>
        <v>4</v>
      </c>
      <c r="AN27" s="127">
        <f t="shared" si="8"/>
        <v>18</v>
      </c>
      <c r="AO27" s="127">
        <f t="shared" si="8"/>
        <v>4</v>
      </c>
      <c r="AP27" s="127">
        <f t="shared" si="8"/>
        <v>18</v>
      </c>
      <c r="AQ27" s="127">
        <f t="shared" si="8"/>
        <v>4</v>
      </c>
      <c r="AR27" s="127">
        <f t="shared" si="8"/>
        <v>18</v>
      </c>
      <c r="AS27" s="127">
        <f t="shared" si="8"/>
        <v>4</v>
      </c>
      <c r="AT27" s="127">
        <f t="shared" si="8"/>
        <v>18</v>
      </c>
      <c r="AU27" s="127">
        <f t="shared" si="8"/>
        <v>4</v>
      </c>
      <c r="AV27" s="127">
        <f t="shared" si="8"/>
        <v>18</v>
      </c>
      <c r="AW27" s="127">
        <f t="shared" si="8"/>
        <v>4</v>
      </c>
      <c r="AX27" s="127">
        <f t="shared" si="8"/>
        <v>18</v>
      </c>
      <c r="AY27" s="167">
        <f t="shared" si="8"/>
        <v>4</v>
      </c>
      <c r="AZ27" s="110"/>
    </row>
    <row r="28" spans="1:52" x14ac:dyDescent="0.2">
      <c r="B28" s="168" t="s">
        <v>310</v>
      </c>
      <c r="C28" s="114">
        <v>0</v>
      </c>
      <c r="D28" s="114">
        <v>18</v>
      </c>
      <c r="E28" s="114">
        <v>4</v>
      </c>
      <c r="F28" s="114">
        <v>18</v>
      </c>
      <c r="G28" s="114">
        <v>4</v>
      </c>
      <c r="H28" s="114">
        <v>18</v>
      </c>
      <c r="I28" s="114">
        <v>4</v>
      </c>
      <c r="J28" s="114">
        <v>18</v>
      </c>
      <c r="K28" s="114">
        <v>4</v>
      </c>
      <c r="L28" s="114">
        <v>18</v>
      </c>
      <c r="M28" s="114">
        <v>4</v>
      </c>
      <c r="N28" s="114">
        <v>18</v>
      </c>
      <c r="O28" s="114">
        <v>4</v>
      </c>
      <c r="P28" s="114">
        <v>18</v>
      </c>
      <c r="Q28" s="114">
        <v>4</v>
      </c>
      <c r="R28" s="114">
        <v>18</v>
      </c>
      <c r="S28" s="114">
        <v>4</v>
      </c>
      <c r="T28" s="114">
        <v>18</v>
      </c>
      <c r="U28" s="114">
        <v>4</v>
      </c>
      <c r="V28" s="114">
        <v>18</v>
      </c>
      <c r="W28" s="114">
        <v>4</v>
      </c>
      <c r="X28" s="114">
        <v>18</v>
      </c>
      <c r="Y28" s="114">
        <v>4</v>
      </c>
      <c r="Z28" s="114">
        <v>18</v>
      </c>
      <c r="AA28" s="114">
        <v>4</v>
      </c>
      <c r="AB28" s="114">
        <v>18</v>
      </c>
      <c r="AC28" s="114">
        <v>4</v>
      </c>
      <c r="AD28" s="114">
        <v>18</v>
      </c>
      <c r="AE28" s="114">
        <v>4</v>
      </c>
      <c r="AF28" s="114">
        <v>18</v>
      </c>
      <c r="AG28" s="114">
        <v>4</v>
      </c>
      <c r="AH28" s="114">
        <v>18</v>
      </c>
      <c r="AI28" s="114">
        <v>4</v>
      </c>
      <c r="AJ28" s="114">
        <v>18</v>
      </c>
      <c r="AK28" s="114">
        <v>4</v>
      </c>
      <c r="AL28" s="114">
        <v>18</v>
      </c>
      <c r="AM28" s="114">
        <v>4</v>
      </c>
      <c r="AN28" s="114">
        <v>18</v>
      </c>
      <c r="AO28" s="114">
        <v>4</v>
      </c>
      <c r="AP28" s="114">
        <v>18</v>
      </c>
      <c r="AQ28" s="114">
        <v>4</v>
      </c>
      <c r="AR28" s="114">
        <v>18</v>
      </c>
      <c r="AS28" s="114">
        <v>4</v>
      </c>
      <c r="AT28" s="114">
        <v>18</v>
      </c>
      <c r="AU28" s="114">
        <v>4</v>
      </c>
      <c r="AV28" s="114">
        <v>18</v>
      </c>
      <c r="AW28" s="114">
        <v>4</v>
      </c>
      <c r="AX28" s="114">
        <v>18</v>
      </c>
      <c r="AY28" s="169">
        <v>4</v>
      </c>
      <c r="AZ28" s="110"/>
    </row>
    <row r="29" spans="1:52" x14ac:dyDescent="0.2">
      <c r="B29" s="139" t="s">
        <v>311</v>
      </c>
      <c r="C29" s="128">
        <v>0</v>
      </c>
      <c r="D29" s="128">
        <f>C$28</f>
        <v>0</v>
      </c>
      <c r="E29" s="128">
        <f t="shared" ref="E29:AY29" si="9">D$28</f>
        <v>18</v>
      </c>
      <c r="F29" s="128">
        <f t="shared" si="9"/>
        <v>4</v>
      </c>
      <c r="G29" s="128">
        <f t="shared" si="9"/>
        <v>18</v>
      </c>
      <c r="H29" s="128">
        <f t="shared" si="9"/>
        <v>4</v>
      </c>
      <c r="I29" s="128">
        <f t="shared" si="9"/>
        <v>18</v>
      </c>
      <c r="J29" s="128">
        <f t="shared" si="9"/>
        <v>4</v>
      </c>
      <c r="K29" s="128">
        <f t="shared" si="9"/>
        <v>18</v>
      </c>
      <c r="L29" s="128">
        <f t="shared" si="9"/>
        <v>4</v>
      </c>
      <c r="M29" s="128">
        <f t="shared" si="9"/>
        <v>18</v>
      </c>
      <c r="N29" s="128">
        <f t="shared" si="9"/>
        <v>4</v>
      </c>
      <c r="O29" s="128">
        <f t="shared" si="9"/>
        <v>18</v>
      </c>
      <c r="P29" s="128">
        <f t="shared" si="9"/>
        <v>4</v>
      </c>
      <c r="Q29" s="128">
        <f t="shared" si="9"/>
        <v>18</v>
      </c>
      <c r="R29" s="128">
        <f t="shared" si="9"/>
        <v>4</v>
      </c>
      <c r="S29" s="128">
        <f t="shared" si="9"/>
        <v>18</v>
      </c>
      <c r="T29" s="128">
        <f t="shared" si="9"/>
        <v>4</v>
      </c>
      <c r="U29" s="128">
        <f t="shared" si="9"/>
        <v>18</v>
      </c>
      <c r="V29" s="128">
        <f t="shared" si="9"/>
        <v>4</v>
      </c>
      <c r="W29" s="128">
        <f t="shared" si="9"/>
        <v>18</v>
      </c>
      <c r="X29" s="128">
        <f t="shared" si="9"/>
        <v>4</v>
      </c>
      <c r="Y29" s="128">
        <f t="shared" si="9"/>
        <v>18</v>
      </c>
      <c r="Z29" s="128">
        <f t="shared" si="9"/>
        <v>4</v>
      </c>
      <c r="AA29" s="128">
        <f t="shared" si="9"/>
        <v>18</v>
      </c>
      <c r="AB29" s="128">
        <f t="shared" si="9"/>
        <v>4</v>
      </c>
      <c r="AC29" s="128">
        <f t="shared" si="9"/>
        <v>18</v>
      </c>
      <c r="AD29" s="128">
        <f t="shared" si="9"/>
        <v>4</v>
      </c>
      <c r="AE29" s="128">
        <f t="shared" si="9"/>
        <v>18</v>
      </c>
      <c r="AF29" s="128">
        <f t="shared" si="9"/>
        <v>4</v>
      </c>
      <c r="AG29" s="128">
        <f t="shared" si="9"/>
        <v>18</v>
      </c>
      <c r="AH29" s="128">
        <f t="shared" si="9"/>
        <v>4</v>
      </c>
      <c r="AI29" s="128">
        <f t="shared" si="9"/>
        <v>18</v>
      </c>
      <c r="AJ29" s="128">
        <f t="shared" si="9"/>
        <v>4</v>
      </c>
      <c r="AK29" s="128">
        <f t="shared" si="9"/>
        <v>18</v>
      </c>
      <c r="AL29" s="128">
        <f t="shared" si="9"/>
        <v>4</v>
      </c>
      <c r="AM29" s="128">
        <f t="shared" si="9"/>
        <v>18</v>
      </c>
      <c r="AN29" s="128">
        <f t="shared" si="9"/>
        <v>4</v>
      </c>
      <c r="AO29" s="128">
        <f t="shared" si="9"/>
        <v>18</v>
      </c>
      <c r="AP29" s="128">
        <f t="shared" si="9"/>
        <v>4</v>
      </c>
      <c r="AQ29" s="128">
        <f t="shared" si="9"/>
        <v>18</v>
      </c>
      <c r="AR29" s="128">
        <f t="shared" si="9"/>
        <v>4</v>
      </c>
      <c r="AS29" s="128">
        <f t="shared" si="9"/>
        <v>18</v>
      </c>
      <c r="AT29" s="128">
        <f t="shared" si="9"/>
        <v>4</v>
      </c>
      <c r="AU29" s="128">
        <f t="shared" si="9"/>
        <v>18</v>
      </c>
      <c r="AV29" s="128">
        <f t="shared" si="9"/>
        <v>4</v>
      </c>
      <c r="AW29" s="128">
        <f t="shared" si="9"/>
        <v>18</v>
      </c>
      <c r="AX29" s="128">
        <f t="shared" si="9"/>
        <v>4</v>
      </c>
      <c r="AY29" s="170">
        <f t="shared" si="9"/>
        <v>18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220</v>
      </c>
      <c r="E30" s="120">
        <f t="shared" ref="E30:AY30" si="10">E$27*$B$30</f>
        <v>40</v>
      </c>
      <c r="F30" s="120">
        <f t="shared" si="10"/>
        <v>180</v>
      </c>
      <c r="G30" s="120">
        <f t="shared" si="10"/>
        <v>40</v>
      </c>
      <c r="H30" s="120">
        <f t="shared" si="10"/>
        <v>180</v>
      </c>
      <c r="I30" s="120">
        <f t="shared" si="10"/>
        <v>40</v>
      </c>
      <c r="J30" s="120">
        <f t="shared" si="10"/>
        <v>180</v>
      </c>
      <c r="K30" s="120">
        <f t="shared" si="10"/>
        <v>40</v>
      </c>
      <c r="L30" s="120">
        <f t="shared" si="10"/>
        <v>180</v>
      </c>
      <c r="M30" s="120">
        <f t="shared" si="10"/>
        <v>40</v>
      </c>
      <c r="N30" s="120">
        <f t="shared" si="10"/>
        <v>180</v>
      </c>
      <c r="O30" s="120">
        <f t="shared" si="10"/>
        <v>40</v>
      </c>
      <c r="P30" s="120">
        <f t="shared" si="10"/>
        <v>180</v>
      </c>
      <c r="Q30" s="120">
        <f t="shared" si="10"/>
        <v>40</v>
      </c>
      <c r="R30" s="120">
        <f>R$27*$B$30</f>
        <v>180</v>
      </c>
      <c r="S30" s="120">
        <f t="shared" si="10"/>
        <v>40</v>
      </c>
      <c r="T30" s="120">
        <f t="shared" si="10"/>
        <v>180</v>
      </c>
      <c r="U30" s="120">
        <f t="shared" si="10"/>
        <v>40</v>
      </c>
      <c r="V30" s="120">
        <f t="shared" si="10"/>
        <v>180</v>
      </c>
      <c r="W30" s="120">
        <f t="shared" si="10"/>
        <v>40</v>
      </c>
      <c r="X30" s="120">
        <f t="shared" si="10"/>
        <v>180</v>
      </c>
      <c r="Y30" s="120">
        <f t="shared" si="10"/>
        <v>40</v>
      </c>
      <c r="Z30" s="120">
        <f t="shared" si="10"/>
        <v>180</v>
      </c>
      <c r="AA30" s="120">
        <f t="shared" si="10"/>
        <v>40</v>
      </c>
      <c r="AB30" s="120">
        <f t="shared" si="10"/>
        <v>180</v>
      </c>
      <c r="AC30" s="120">
        <f t="shared" si="10"/>
        <v>40</v>
      </c>
      <c r="AD30" s="120">
        <f t="shared" si="10"/>
        <v>180</v>
      </c>
      <c r="AE30" s="120">
        <f>AE$27*$B$30</f>
        <v>40</v>
      </c>
      <c r="AF30" s="120">
        <f t="shared" si="10"/>
        <v>180</v>
      </c>
      <c r="AG30" s="120">
        <f t="shared" si="10"/>
        <v>40</v>
      </c>
      <c r="AH30" s="120">
        <f t="shared" si="10"/>
        <v>180</v>
      </c>
      <c r="AI30" s="120">
        <f t="shared" si="10"/>
        <v>40</v>
      </c>
      <c r="AJ30" s="120">
        <f t="shared" si="10"/>
        <v>180</v>
      </c>
      <c r="AK30" s="120">
        <f t="shared" si="10"/>
        <v>40</v>
      </c>
      <c r="AL30" s="120">
        <f t="shared" si="10"/>
        <v>180</v>
      </c>
      <c r="AM30" s="120">
        <f t="shared" si="10"/>
        <v>40</v>
      </c>
      <c r="AN30" s="120">
        <f t="shared" si="10"/>
        <v>180</v>
      </c>
      <c r="AO30" s="120">
        <f t="shared" si="10"/>
        <v>40</v>
      </c>
      <c r="AP30" s="120">
        <f t="shared" si="10"/>
        <v>180</v>
      </c>
      <c r="AQ30" s="120">
        <f t="shared" si="10"/>
        <v>40</v>
      </c>
      <c r="AR30" s="120">
        <f t="shared" si="10"/>
        <v>180</v>
      </c>
      <c r="AS30" s="120">
        <f t="shared" si="10"/>
        <v>40</v>
      </c>
      <c r="AT30" s="120">
        <f t="shared" si="10"/>
        <v>180</v>
      </c>
      <c r="AU30" s="120">
        <f t="shared" si="10"/>
        <v>40</v>
      </c>
      <c r="AV30" s="120">
        <f t="shared" si="10"/>
        <v>180</v>
      </c>
      <c r="AW30" s="120">
        <f t="shared" si="10"/>
        <v>40</v>
      </c>
      <c r="AX30" s="120">
        <f t="shared" si="10"/>
        <v>180</v>
      </c>
      <c r="AY30" s="120">
        <f t="shared" si="10"/>
        <v>40</v>
      </c>
      <c r="AZ30" s="144">
        <f t="shared" si="5"/>
        <v>5320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D$21*shipping_manufacturing!$F$27/100</f>
        <v>267.76959933807211</v>
      </c>
      <c r="E33" s="127">
        <f>E$21*shipping_manufacturing!$F$27/100</f>
        <v>267.76959933807211</v>
      </c>
      <c r="F33" s="127">
        <f>F$21*shipping_manufacturing!$F$27/100</f>
        <v>267.76959933807211</v>
      </c>
      <c r="G33" s="127">
        <f>G$21*shipping_manufacturing!$F$27/100</f>
        <v>267.76959933807211</v>
      </c>
      <c r="H33" s="127">
        <f>H$21*shipping_manufacturing!$F$27/100</f>
        <v>267.76959933807211</v>
      </c>
      <c r="I33" s="127">
        <f>I$21*shipping_manufacturing!$F$27/100</f>
        <v>267.76959933807211</v>
      </c>
      <c r="J33" s="127">
        <f>J$21*shipping_manufacturing!$F$27/100</f>
        <v>267.76959933807211</v>
      </c>
      <c r="K33" s="127">
        <f>K$21*shipping_manufacturing!$F$27/100</f>
        <v>267.76959933807211</v>
      </c>
      <c r="L33" s="127">
        <f>L$21*shipping_manufacturing!$F$27/100</f>
        <v>267.76959933807211</v>
      </c>
      <c r="M33" s="127">
        <f>M$21*shipping_manufacturing!$F$27/100</f>
        <v>267.76959933807211</v>
      </c>
      <c r="N33" s="127">
        <f>N$21*shipping_manufacturing!$F$27/100</f>
        <v>267.76959933807211</v>
      </c>
      <c r="O33" s="127">
        <f>O$21*shipping_manufacturing!$F$27/100</f>
        <v>267.76959933807211</v>
      </c>
      <c r="P33" s="127">
        <f>P$21*shipping_manufacturing!$F$27/100</f>
        <v>267.76959933807211</v>
      </c>
      <c r="Q33" s="127">
        <f>Q$21*shipping_manufacturing!$F$27/100</f>
        <v>267.76959933807211</v>
      </c>
      <c r="R33" s="127">
        <f>R$21*shipping_manufacturing!$F$27/100</f>
        <v>267.76959933807211</v>
      </c>
      <c r="S33" s="127">
        <f>S$21*shipping_manufacturing!$F$27/100</f>
        <v>267.76959933807211</v>
      </c>
      <c r="T33" s="127">
        <f>T$21*shipping_manufacturing!$F$27/100</f>
        <v>267.76959933807211</v>
      </c>
      <c r="U33" s="127">
        <f>U$21*shipping_manufacturing!$F$27/100</f>
        <v>267.76959933807211</v>
      </c>
      <c r="V33" s="127">
        <f>V$21*shipping_manufacturing!$F$27/100</f>
        <v>267.76959933807211</v>
      </c>
      <c r="W33" s="127">
        <f>W$21*shipping_manufacturing!$F$27/100</f>
        <v>267.76959933807211</v>
      </c>
      <c r="X33" s="127">
        <f>X$21*shipping_manufacturing!$F$27/100</f>
        <v>267.76959933807211</v>
      </c>
      <c r="Y33" s="127">
        <f>Y$21*shipping_manufacturing!$F$27/100</f>
        <v>267.76959933807211</v>
      </c>
      <c r="Z33" s="127">
        <f>Z$21*shipping_manufacturing!$F$27/100</f>
        <v>267.76959933807211</v>
      </c>
      <c r="AA33" s="127">
        <f>AA$21*shipping_manufacturing!$F$27/100</f>
        <v>267.76959933807211</v>
      </c>
      <c r="AB33" s="127">
        <f>AB$21*shipping_manufacturing!$F$27/100</f>
        <v>267.76959933807211</v>
      </c>
      <c r="AC33" s="127">
        <f>AC$21*shipping_manufacturing!$F$27/100</f>
        <v>267.76959933807211</v>
      </c>
      <c r="AD33" s="127">
        <f>AD$21*shipping_manufacturing!$F$27/100</f>
        <v>267.76959933807211</v>
      </c>
      <c r="AE33" s="127">
        <f>AE$21*shipping_manufacturing!$F$27/100</f>
        <v>267.76959933807211</v>
      </c>
      <c r="AF33" s="127">
        <f>AF$21*shipping_manufacturing!$F$27/100</f>
        <v>267.76959933807211</v>
      </c>
      <c r="AG33" s="127">
        <f>AG$21*shipping_manufacturing!$F$27/100</f>
        <v>267.76959933807211</v>
      </c>
      <c r="AH33" s="127">
        <f>AH$21*shipping_manufacturing!$F$27/100</f>
        <v>267.76959933807211</v>
      </c>
      <c r="AI33" s="127">
        <f>AI$21*shipping_manufacturing!$F$27/100</f>
        <v>267.76959933807211</v>
      </c>
      <c r="AJ33" s="127">
        <f>AJ$21*shipping_manufacturing!$F$27/100</f>
        <v>267.76959933807211</v>
      </c>
      <c r="AK33" s="127">
        <f>AK$21*shipping_manufacturing!$F$27/100</f>
        <v>267.76959933807211</v>
      </c>
      <c r="AL33" s="127">
        <f>AL$21*shipping_manufacturing!$F$27/100</f>
        <v>267.76959933807211</v>
      </c>
      <c r="AM33" s="127">
        <f>AM$21*shipping_manufacturing!$F$27/100</f>
        <v>267.76959933807211</v>
      </c>
      <c r="AN33" s="127">
        <f>AN$21*shipping_manufacturing!$F$27/100</f>
        <v>267.76959933807211</v>
      </c>
      <c r="AO33" s="127">
        <f>AO$21*shipping_manufacturing!$F$27/100</f>
        <v>267.76959933807211</v>
      </c>
      <c r="AP33" s="127">
        <f>AP$21*shipping_manufacturing!$F$27/100</f>
        <v>267.76959933807211</v>
      </c>
      <c r="AQ33" s="127">
        <f>AQ$21*shipping_manufacturing!$F$27/100</f>
        <v>267.76959933807211</v>
      </c>
      <c r="AR33" s="127">
        <f>AR$21*shipping_manufacturing!$F$27/100</f>
        <v>267.76959933807211</v>
      </c>
      <c r="AS33" s="127">
        <f>AS$21*shipping_manufacturing!$F$27/100</f>
        <v>267.76959933807211</v>
      </c>
      <c r="AT33" s="127">
        <f>AT$21*shipping_manufacturing!$F$27/100</f>
        <v>267.76959933807211</v>
      </c>
      <c r="AU33" s="127">
        <f>AU$21*shipping_manufacturing!$F$27/100</f>
        <v>267.76959933807211</v>
      </c>
      <c r="AV33" s="127">
        <f>AV$21*shipping_manufacturing!$F$27/100</f>
        <v>267.76959933807211</v>
      </c>
      <c r="AW33" s="127">
        <f>AW$21*shipping_manufacturing!$F$27/100</f>
        <v>267.76959933807211</v>
      </c>
      <c r="AX33" s="127">
        <f>AX$21*shipping_manufacturing!$F$27/100</f>
        <v>267.76959933807211</v>
      </c>
      <c r="AY33" s="127">
        <f>AY$21*shipping_manufacturing!$F$27/100</f>
        <v>267.76959933807211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D$22*shipping_manufacturing!$G$27/100</f>
        <v>99.999999999999957</v>
      </c>
      <c r="E34" s="114">
        <f>E$22*shipping_manufacturing!$G$27/100</f>
        <v>99.999999999999957</v>
      </c>
      <c r="F34" s="114">
        <f>F$22*shipping_manufacturing!$G$27/100</f>
        <v>99.999999999999957</v>
      </c>
      <c r="G34" s="114">
        <f>G$22*shipping_manufacturing!$G$27/100</f>
        <v>99.999999999999957</v>
      </c>
      <c r="H34" s="114">
        <f>H$22*shipping_manufacturing!$G$27/100</f>
        <v>99.999999999999957</v>
      </c>
      <c r="I34" s="114">
        <f>I$22*shipping_manufacturing!$G$27/100</f>
        <v>99.999999999999957</v>
      </c>
      <c r="J34" s="114">
        <f>J$22*shipping_manufacturing!$G$27/100</f>
        <v>99.999999999999957</v>
      </c>
      <c r="K34" s="114">
        <f>K$22*shipping_manufacturing!$G$27/100</f>
        <v>99.999999999999957</v>
      </c>
      <c r="L34" s="114">
        <f>L$22*shipping_manufacturing!$G$27/100</f>
        <v>99.999999999999957</v>
      </c>
      <c r="M34" s="114">
        <f>M$22*shipping_manufacturing!$G$27/100</f>
        <v>99.999999999999957</v>
      </c>
      <c r="N34" s="114">
        <f>N$22*shipping_manufacturing!$G$27/100</f>
        <v>99.999999999999957</v>
      </c>
      <c r="O34" s="114">
        <f>O$22*shipping_manufacturing!$G$27/100</f>
        <v>99.999999999999957</v>
      </c>
      <c r="P34" s="114">
        <f>P$22*shipping_manufacturing!$G$27/100</f>
        <v>99.999999999999957</v>
      </c>
      <c r="Q34" s="114">
        <f>Q$22*shipping_manufacturing!$G$27/100</f>
        <v>99.999999999999957</v>
      </c>
      <c r="R34" s="114">
        <f>R$22*shipping_manufacturing!$G$27/100</f>
        <v>99.999999999999957</v>
      </c>
      <c r="S34" s="114">
        <f>S$22*shipping_manufacturing!$G$27/100</f>
        <v>99.999999999999957</v>
      </c>
      <c r="T34" s="114">
        <f>T$22*shipping_manufacturing!$G$27/100</f>
        <v>99.999999999999957</v>
      </c>
      <c r="U34" s="114">
        <f>U$22*shipping_manufacturing!$G$27/100</f>
        <v>99.999999999999957</v>
      </c>
      <c r="V34" s="114">
        <f>V$22*shipping_manufacturing!$G$27/100</f>
        <v>99.999999999999957</v>
      </c>
      <c r="W34" s="114">
        <f>W$22*shipping_manufacturing!$G$27/100</f>
        <v>99.999999999999957</v>
      </c>
      <c r="X34" s="114">
        <f>X$22*shipping_manufacturing!$G$27/100</f>
        <v>99.999999999999957</v>
      </c>
      <c r="Y34" s="114">
        <f>Y$22*shipping_manufacturing!$G$27/100</f>
        <v>99.999999999999957</v>
      </c>
      <c r="Z34" s="114">
        <f>Z$22*shipping_manufacturing!$G$27/100</f>
        <v>99.999999999999957</v>
      </c>
      <c r="AA34" s="114">
        <f>AA$22*shipping_manufacturing!$G$27/100</f>
        <v>99.999999999999957</v>
      </c>
      <c r="AB34" s="114">
        <f>AB$22*shipping_manufacturing!$G$27/100</f>
        <v>99.999999999999957</v>
      </c>
      <c r="AC34" s="114">
        <f>AC$22*shipping_manufacturing!$G$27/100</f>
        <v>99.999999999999957</v>
      </c>
      <c r="AD34" s="114">
        <f>AD$22*shipping_manufacturing!$G$27/100</f>
        <v>99.999999999999957</v>
      </c>
      <c r="AE34" s="114">
        <f>AE$22*shipping_manufacturing!$G$27/100</f>
        <v>99.999999999999957</v>
      </c>
      <c r="AF34" s="114">
        <f>AF$22*shipping_manufacturing!$G$27/100</f>
        <v>99.999999999999957</v>
      </c>
      <c r="AG34" s="114">
        <f>AG$22*shipping_manufacturing!$G$27/100</f>
        <v>99.999999999999957</v>
      </c>
      <c r="AH34" s="114">
        <f>AH$22*shipping_manufacturing!$G$27/100</f>
        <v>99.999999999999957</v>
      </c>
      <c r="AI34" s="114">
        <f>AI$22*shipping_manufacturing!$G$27/100</f>
        <v>99.999999999999957</v>
      </c>
      <c r="AJ34" s="114">
        <f>AJ$22*shipping_manufacturing!$G$27/100</f>
        <v>99.999999999999957</v>
      </c>
      <c r="AK34" s="114">
        <f>AK$22*shipping_manufacturing!$G$27/100</f>
        <v>99.999999999999957</v>
      </c>
      <c r="AL34" s="114">
        <f>AL$22*shipping_manufacturing!$G$27/100</f>
        <v>99.999999999999957</v>
      </c>
      <c r="AM34" s="114">
        <f>AM$22*shipping_manufacturing!$G$27/100</f>
        <v>99.999999999999957</v>
      </c>
      <c r="AN34" s="114">
        <f>AN$22*shipping_manufacturing!$G$27/100</f>
        <v>99.999999999999957</v>
      </c>
      <c r="AO34" s="114">
        <f>AO$22*shipping_manufacturing!$G$27/100</f>
        <v>99.999999999999957</v>
      </c>
      <c r="AP34" s="114">
        <f>AP$22*shipping_manufacturing!$G$27/100</f>
        <v>99.999999999999957</v>
      </c>
      <c r="AQ34" s="114">
        <f>AQ$22*shipping_manufacturing!$G$27/100</f>
        <v>99.999999999999957</v>
      </c>
      <c r="AR34" s="114">
        <f>AR$22*shipping_manufacturing!$G$27/100</f>
        <v>99.999999999999957</v>
      </c>
      <c r="AS34" s="114">
        <f>AS$22*shipping_manufacturing!$G$27/100</f>
        <v>99.999999999999957</v>
      </c>
      <c r="AT34" s="114">
        <f>AT$22*shipping_manufacturing!$G$27/100</f>
        <v>99.999999999999957</v>
      </c>
      <c r="AU34" s="114">
        <f>AU$22*shipping_manufacturing!$G$27/100</f>
        <v>99.999999999999957</v>
      </c>
      <c r="AV34" s="114">
        <f>AV$22*shipping_manufacturing!$G$27/100</f>
        <v>99.999999999999957</v>
      </c>
      <c r="AW34" s="114">
        <f>AW$22*shipping_manufacturing!$G$27/100</f>
        <v>99.999999999999957</v>
      </c>
      <c r="AX34" s="114">
        <f>AX$22*shipping_manufacturing!$G$27/100</f>
        <v>99.999999999999957</v>
      </c>
      <c r="AY34" s="114">
        <f>AY$22*shipping_manufacturing!$G$27/100</f>
        <v>99.999999999999957</v>
      </c>
    </row>
    <row r="35" spans="1:52" x14ac:dyDescent="0.2">
      <c r="A35" s="114">
        <v>1225</v>
      </c>
      <c r="B35" s="168" t="s">
        <v>343</v>
      </c>
      <c r="C35" s="114"/>
      <c r="D35" s="114">
        <f>SUM(D33:D34)</f>
        <v>367.76959933807206</v>
      </c>
      <c r="E35" s="114">
        <f t="shared" ref="E35:AY35" si="11">SUM(E33:E34)</f>
        <v>367.76959933807206</v>
      </c>
      <c r="F35" s="114">
        <f t="shared" si="11"/>
        <v>367.76959933807206</v>
      </c>
      <c r="G35" s="114">
        <f t="shared" si="11"/>
        <v>367.76959933807206</v>
      </c>
      <c r="H35" s="114">
        <f t="shared" si="11"/>
        <v>367.76959933807206</v>
      </c>
      <c r="I35" s="114">
        <f t="shared" si="11"/>
        <v>367.76959933807206</v>
      </c>
      <c r="J35" s="114">
        <f t="shared" si="11"/>
        <v>367.76959933807206</v>
      </c>
      <c r="K35" s="114">
        <f t="shared" si="11"/>
        <v>367.76959933807206</v>
      </c>
      <c r="L35" s="114">
        <f t="shared" si="11"/>
        <v>367.76959933807206</v>
      </c>
      <c r="M35" s="114">
        <f t="shared" si="11"/>
        <v>367.76959933807206</v>
      </c>
      <c r="N35" s="114">
        <f t="shared" si="11"/>
        <v>367.76959933807206</v>
      </c>
      <c r="O35" s="114">
        <f t="shared" si="11"/>
        <v>367.76959933807206</v>
      </c>
      <c r="P35" s="114">
        <f t="shared" si="11"/>
        <v>367.76959933807206</v>
      </c>
      <c r="Q35" s="114">
        <f t="shared" si="11"/>
        <v>367.76959933807206</v>
      </c>
      <c r="R35" s="114">
        <f t="shared" si="11"/>
        <v>367.76959933807206</v>
      </c>
      <c r="S35" s="114">
        <f t="shared" si="11"/>
        <v>367.76959933807206</v>
      </c>
      <c r="T35" s="114">
        <f t="shared" si="11"/>
        <v>367.76959933807206</v>
      </c>
      <c r="U35" s="114">
        <f t="shared" si="11"/>
        <v>367.76959933807206</v>
      </c>
      <c r="V35" s="114">
        <f t="shared" si="11"/>
        <v>367.76959933807206</v>
      </c>
      <c r="W35" s="114">
        <f t="shared" si="11"/>
        <v>367.76959933807206</v>
      </c>
      <c r="X35" s="114">
        <f t="shared" si="11"/>
        <v>367.76959933807206</v>
      </c>
      <c r="Y35" s="114">
        <f t="shared" si="11"/>
        <v>367.76959933807206</v>
      </c>
      <c r="Z35" s="114">
        <f t="shared" si="11"/>
        <v>367.76959933807206</v>
      </c>
      <c r="AA35" s="114">
        <f t="shared" si="11"/>
        <v>367.76959933807206</v>
      </c>
      <c r="AB35" s="114">
        <f t="shared" si="11"/>
        <v>367.76959933807206</v>
      </c>
      <c r="AC35" s="114">
        <f t="shared" si="11"/>
        <v>367.76959933807206</v>
      </c>
      <c r="AD35" s="114">
        <f t="shared" si="11"/>
        <v>367.76959933807206</v>
      </c>
      <c r="AE35" s="114">
        <f t="shared" si="11"/>
        <v>367.76959933807206</v>
      </c>
      <c r="AF35" s="114">
        <f t="shared" si="11"/>
        <v>367.76959933807206</v>
      </c>
      <c r="AG35" s="114">
        <f t="shared" si="11"/>
        <v>367.76959933807206</v>
      </c>
      <c r="AH35" s="114">
        <f t="shared" si="11"/>
        <v>367.76959933807206</v>
      </c>
      <c r="AI35" s="114">
        <f t="shared" si="11"/>
        <v>367.76959933807206</v>
      </c>
      <c r="AJ35" s="114">
        <f t="shared" si="11"/>
        <v>367.76959933807206</v>
      </c>
      <c r="AK35" s="114">
        <f t="shared" si="11"/>
        <v>367.76959933807206</v>
      </c>
      <c r="AL35" s="114">
        <f t="shared" si="11"/>
        <v>367.76959933807206</v>
      </c>
      <c r="AM35" s="114">
        <f t="shared" si="11"/>
        <v>367.76959933807206</v>
      </c>
      <c r="AN35" s="114">
        <f t="shared" si="11"/>
        <v>367.76959933807206</v>
      </c>
      <c r="AO35" s="114">
        <f t="shared" si="11"/>
        <v>367.76959933807206</v>
      </c>
      <c r="AP35" s="114">
        <f t="shared" si="11"/>
        <v>367.76959933807206</v>
      </c>
      <c r="AQ35" s="114">
        <f t="shared" si="11"/>
        <v>367.76959933807206</v>
      </c>
      <c r="AR35" s="114">
        <f t="shared" si="11"/>
        <v>367.76959933807206</v>
      </c>
      <c r="AS35" s="114">
        <f t="shared" si="11"/>
        <v>367.76959933807206</v>
      </c>
      <c r="AT35" s="114">
        <f t="shared" si="11"/>
        <v>367.76959933807206</v>
      </c>
      <c r="AU35" s="114">
        <f t="shared" si="11"/>
        <v>367.76959933807206</v>
      </c>
      <c r="AV35" s="114">
        <f t="shared" si="11"/>
        <v>367.76959933807206</v>
      </c>
      <c r="AW35" s="114">
        <f t="shared" si="11"/>
        <v>367.76959933807206</v>
      </c>
      <c r="AX35" s="114">
        <f t="shared" si="11"/>
        <v>367.76959933807206</v>
      </c>
      <c r="AY35" s="114">
        <f t="shared" si="11"/>
        <v>367.76959933807206</v>
      </c>
    </row>
    <row r="36" spans="1:52" x14ac:dyDescent="0.2">
      <c r="A36" s="114"/>
      <c r="B36" s="168" t="s">
        <v>344</v>
      </c>
      <c r="C36" s="114"/>
      <c r="D36" s="114">
        <v>267.76959933807217</v>
      </c>
      <c r="E36" s="114">
        <v>87.370875619958454</v>
      </c>
      <c r="F36" s="114">
        <v>267.76959933807217</v>
      </c>
      <c r="G36" s="114">
        <v>87.370875619958454</v>
      </c>
      <c r="H36" s="114">
        <v>267.76959933807217</v>
      </c>
      <c r="I36" s="114">
        <v>87.370875619958454</v>
      </c>
      <c r="J36" s="114">
        <v>267.76959933807217</v>
      </c>
      <c r="K36" s="114">
        <v>87.370875619958454</v>
      </c>
      <c r="L36" s="114">
        <v>267.76959933807217</v>
      </c>
      <c r="M36" s="114">
        <v>87.370875619958454</v>
      </c>
      <c r="N36" s="114">
        <v>267.76959933807217</v>
      </c>
      <c r="O36" s="114">
        <v>87.370875619958454</v>
      </c>
      <c r="P36" s="114">
        <v>267.76959933807217</v>
      </c>
      <c r="Q36" s="114">
        <v>87.370875619958454</v>
      </c>
      <c r="R36" s="114">
        <v>267.76959933807217</v>
      </c>
      <c r="S36" s="114">
        <v>87.370875619958454</v>
      </c>
      <c r="T36" s="114">
        <v>267.76959933807217</v>
      </c>
      <c r="U36" s="114">
        <v>87.370875619958454</v>
      </c>
      <c r="V36" s="114">
        <v>267.76959933807217</v>
      </c>
      <c r="W36" s="114">
        <v>87.370875619958454</v>
      </c>
      <c r="X36" s="114">
        <v>267.76959933807217</v>
      </c>
      <c r="Y36" s="114">
        <v>87.370875619958454</v>
      </c>
      <c r="Z36" s="114">
        <v>267.76959933807217</v>
      </c>
      <c r="AA36" s="114">
        <v>87.370875619958454</v>
      </c>
      <c r="AB36" s="114">
        <v>267.76959933807217</v>
      </c>
      <c r="AC36" s="114">
        <v>87.370875619958454</v>
      </c>
      <c r="AD36" s="114">
        <v>267.76959933807217</v>
      </c>
      <c r="AE36" s="114">
        <v>87.370875619958454</v>
      </c>
      <c r="AF36" s="114">
        <v>267.76959933807217</v>
      </c>
      <c r="AG36" s="114">
        <v>87.370875619958454</v>
      </c>
      <c r="AH36" s="114">
        <v>267.76959933807217</v>
      </c>
      <c r="AI36" s="114">
        <v>87.370875619958454</v>
      </c>
      <c r="AJ36" s="114">
        <v>267.76959933807217</v>
      </c>
      <c r="AK36" s="114">
        <v>87.370875619958454</v>
      </c>
      <c r="AL36" s="114">
        <v>267.76959933807217</v>
      </c>
      <c r="AM36" s="114">
        <v>87.370875619958454</v>
      </c>
      <c r="AN36" s="114">
        <v>267.76959933807217</v>
      </c>
      <c r="AO36" s="114">
        <v>87.370875619958454</v>
      </c>
      <c r="AP36" s="114">
        <v>267.76959933807217</v>
      </c>
      <c r="AQ36" s="114">
        <v>87.370875619958454</v>
      </c>
      <c r="AR36" s="114">
        <v>267.76959933807217</v>
      </c>
      <c r="AS36" s="114">
        <v>87.370875619958454</v>
      </c>
      <c r="AT36" s="114">
        <v>267.76959933807217</v>
      </c>
      <c r="AU36" s="114">
        <v>87.370875619958454</v>
      </c>
      <c r="AV36" s="114">
        <v>267.76959933807217</v>
      </c>
      <c r="AW36" s="114">
        <v>87.370875619958454</v>
      </c>
      <c r="AX36" s="114">
        <v>267.76959933807217</v>
      </c>
      <c r="AY36" s="114">
        <v>87.370875619958454</v>
      </c>
    </row>
    <row r="37" spans="1:52" x14ac:dyDescent="0.2">
      <c r="A37" s="114"/>
      <c r="B37" s="168" t="s">
        <v>345</v>
      </c>
      <c r="C37" s="114"/>
      <c r="D37" s="114">
        <v>99.999999999999957</v>
      </c>
      <c r="E37" s="114">
        <v>32.629124380041532</v>
      </c>
      <c r="F37" s="114">
        <v>99.999999999999957</v>
      </c>
      <c r="G37" s="114">
        <v>32.629124380041532</v>
      </c>
      <c r="H37" s="114">
        <v>99.999999999999957</v>
      </c>
      <c r="I37" s="114">
        <v>32.629124380041532</v>
      </c>
      <c r="J37" s="114">
        <v>99.999999999999957</v>
      </c>
      <c r="K37" s="114">
        <v>32.629124380041532</v>
      </c>
      <c r="L37" s="114">
        <v>99.999999999999957</v>
      </c>
      <c r="M37" s="114">
        <v>32.629124380041532</v>
      </c>
      <c r="N37" s="114">
        <v>99.999999999999957</v>
      </c>
      <c r="O37" s="114">
        <v>32.629124380041532</v>
      </c>
      <c r="P37" s="114">
        <v>99.999999999999957</v>
      </c>
      <c r="Q37" s="114">
        <v>32.629124380041532</v>
      </c>
      <c r="R37" s="114">
        <v>99.999999999999957</v>
      </c>
      <c r="S37" s="114">
        <v>32.629124380041532</v>
      </c>
      <c r="T37" s="114">
        <v>99.999999999999957</v>
      </c>
      <c r="U37" s="114">
        <v>32.629124380041532</v>
      </c>
      <c r="V37" s="114">
        <v>99.999999999999957</v>
      </c>
      <c r="W37" s="114">
        <v>32.629124380041532</v>
      </c>
      <c r="X37" s="114">
        <v>99.999999999999957</v>
      </c>
      <c r="Y37" s="114">
        <v>32.629124380041532</v>
      </c>
      <c r="Z37" s="114">
        <v>99.999999999999957</v>
      </c>
      <c r="AA37" s="114">
        <v>32.629124380041532</v>
      </c>
      <c r="AB37" s="114">
        <v>99.999999999999957</v>
      </c>
      <c r="AC37" s="114">
        <v>32.629124380041532</v>
      </c>
      <c r="AD37" s="114">
        <v>99.999999999999957</v>
      </c>
      <c r="AE37" s="114">
        <v>32.629124380041532</v>
      </c>
      <c r="AF37" s="114">
        <v>99.999999999999957</v>
      </c>
      <c r="AG37" s="114">
        <v>32.629124380041532</v>
      </c>
      <c r="AH37" s="114">
        <v>99.999999999999957</v>
      </c>
      <c r="AI37" s="114">
        <v>32.629124380041532</v>
      </c>
      <c r="AJ37" s="114">
        <v>99.999999999999957</v>
      </c>
      <c r="AK37" s="114">
        <v>32.629124380041532</v>
      </c>
      <c r="AL37" s="114">
        <v>99.999999999999957</v>
      </c>
      <c r="AM37" s="114">
        <v>32.629124380041532</v>
      </c>
      <c r="AN37" s="114">
        <v>99.999999999999957</v>
      </c>
      <c r="AO37" s="114">
        <v>32.629124380041532</v>
      </c>
      <c r="AP37" s="114">
        <v>99.999999999999957</v>
      </c>
      <c r="AQ37" s="114">
        <v>32.629124380041532</v>
      </c>
      <c r="AR37" s="114">
        <v>99.999999999999957</v>
      </c>
      <c r="AS37" s="114">
        <v>32.629124380041532</v>
      </c>
      <c r="AT37" s="114">
        <v>99.999999999999957</v>
      </c>
      <c r="AU37" s="114">
        <v>32.629124380041532</v>
      </c>
      <c r="AV37" s="114">
        <v>99.999999999999957</v>
      </c>
      <c r="AW37" s="114">
        <v>32.629124380041532</v>
      </c>
      <c r="AX37" s="114">
        <v>99.999999999999957</v>
      </c>
      <c r="AY37" s="114">
        <v>32.629124380041532</v>
      </c>
    </row>
    <row r="38" spans="1:52" x14ac:dyDescent="0.2">
      <c r="A38" s="114"/>
      <c r="B38" s="168" t="s">
        <v>346</v>
      </c>
      <c r="C38" s="114"/>
      <c r="D38" s="114">
        <v>13</v>
      </c>
      <c r="E38" s="114">
        <v>4</v>
      </c>
      <c r="F38" s="114">
        <v>13</v>
      </c>
      <c r="G38" s="114">
        <v>4</v>
      </c>
      <c r="H38" s="114">
        <v>13</v>
      </c>
      <c r="I38" s="114">
        <v>4</v>
      </c>
      <c r="J38" s="114">
        <v>13</v>
      </c>
      <c r="K38" s="114">
        <v>4</v>
      </c>
      <c r="L38" s="114">
        <v>13</v>
      </c>
      <c r="M38" s="114">
        <v>4</v>
      </c>
      <c r="N38" s="114">
        <v>13</v>
      </c>
      <c r="O38" s="114">
        <v>4</v>
      </c>
      <c r="P38" s="114">
        <v>13</v>
      </c>
      <c r="Q38" s="114">
        <v>4</v>
      </c>
      <c r="R38" s="114">
        <v>13</v>
      </c>
      <c r="S38" s="114">
        <v>4</v>
      </c>
      <c r="T38" s="114">
        <v>13</v>
      </c>
      <c r="U38" s="114">
        <v>4</v>
      </c>
      <c r="V38" s="114">
        <v>13</v>
      </c>
      <c r="W38" s="114">
        <v>4</v>
      </c>
      <c r="X38" s="114">
        <v>13</v>
      </c>
      <c r="Y38" s="114">
        <v>4</v>
      </c>
      <c r="Z38" s="114">
        <v>13</v>
      </c>
      <c r="AA38" s="114">
        <v>4</v>
      </c>
      <c r="AB38" s="114">
        <v>13</v>
      </c>
      <c r="AC38" s="114">
        <v>4</v>
      </c>
      <c r="AD38" s="114">
        <v>13</v>
      </c>
      <c r="AE38" s="114">
        <v>4</v>
      </c>
      <c r="AF38" s="114">
        <v>13</v>
      </c>
      <c r="AG38" s="114">
        <v>4</v>
      </c>
      <c r="AH38" s="114">
        <v>13</v>
      </c>
      <c r="AI38" s="114">
        <v>4</v>
      </c>
      <c r="AJ38" s="114">
        <v>13</v>
      </c>
      <c r="AK38" s="114">
        <v>4</v>
      </c>
      <c r="AL38" s="114">
        <v>13</v>
      </c>
      <c r="AM38" s="114">
        <v>4</v>
      </c>
      <c r="AN38" s="114">
        <v>13</v>
      </c>
      <c r="AO38" s="114">
        <v>4</v>
      </c>
      <c r="AP38" s="114">
        <v>13</v>
      </c>
      <c r="AQ38" s="114">
        <v>4</v>
      </c>
      <c r="AR38" s="114">
        <v>13</v>
      </c>
      <c r="AS38" s="114">
        <v>4</v>
      </c>
      <c r="AT38" s="114">
        <v>13</v>
      </c>
      <c r="AU38" s="114">
        <v>4</v>
      </c>
      <c r="AV38" s="114">
        <v>13</v>
      </c>
      <c r="AW38" s="114">
        <v>4</v>
      </c>
      <c r="AX38" s="114">
        <v>13</v>
      </c>
      <c r="AY38" s="114">
        <v>4</v>
      </c>
    </row>
    <row r="39" spans="1:52" x14ac:dyDescent="0.2">
      <c r="A39" s="114"/>
      <c r="B39" s="168" t="s">
        <v>347</v>
      </c>
      <c r="C39" s="114"/>
      <c r="D39" s="114">
        <f>D33-D36</f>
        <v>0</v>
      </c>
      <c r="E39" s="114">
        <f t="shared" ref="E39:AY39" si="12">E33-E36</f>
        <v>180.39872371811367</v>
      </c>
      <c r="F39" s="114">
        <f t="shared" si="12"/>
        <v>0</v>
      </c>
      <c r="G39" s="114">
        <f t="shared" si="12"/>
        <v>180.39872371811367</v>
      </c>
      <c r="H39" s="114">
        <f t="shared" si="12"/>
        <v>0</v>
      </c>
      <c r="I39" s="114">
        <f t="shared" si="12"/>
        <v>180.39872371811367</v>
      </c>
      <c r="J39" s="114">
        <f t="shared" si="12"/>
        <v>0</v>
      </c>
      <c r="K39" s="114">
        <f t="shared" si="12"/>
        <v>180.39872371811367</v>
      </c>
      <c r="L39" s="114">
        <f t="shared" si="12"/>
        <v>0</v>
      </c>
      <c r="M39" s="114">
        <f t="shared" si="12"/>
        <v>180.39872371811367</v>
      </c>
      <c r="N39" s="114">
        <f t="shared" si="12"/>
        <v>0</v>
      </c>
      <c r="O39" s="114">
        <f t="shared" si="12"/>
        <v>180.39872371811367</v>
      </c>
      <c r="P39" s="114">
        <f t="shared" si="12"/>
        <v>0</v>
      </c>
      <c r="Q39" s="114">
        <f t="shared" si="12"/>
        <v>180.39872371811367</v>
      </c>
      <c r="R39" s="114">
        <f t="shared" si="12"/>
        <v>0</v>
      </c>
      <c r="S39" s="114">
        <f t="shared" si="12"/>
        <v>180.39872371811367</v>
      </c>
      <c r="T39" s="114">
        <f t="shared" si="12"/>
        <v>0</v>
      </c>
      <c r="U39" s="114">
        <f t="shared" si="12"/>
        <v>180.39872371811367</v>
      </c>
      <c r="V39" s="114">
        <f t="shared" si="12"/>
        <v>0</v>
      </c>
      <c r="W39" s="114">
        <f t="shared" si="12"/>
        <v>180.39872371811367</v>
      </c>
      <c r="X39" s="114">
        <f t="shared" si="12"/>
        <v>0</v>
      </c>
      <c r="Y39" s="114">
        <f t="shared" si="12"/>
        <v>180.39872371811367</v>
      </c>
      <c r="Z39" s="114">
        <f t="shared" si="12"/>
        <v>0</v>
      </c>
      <c r="AA39" s="114">
        <f t="shared" si="12"/>
        <v>180.39872371811367</v>
      </c>
      <c r="AB39" s="114">
        <f t="shared" si="12"/>
        <v>0</v>
      </c>
      <c r="AC39" s="114">
        <f t="shared" si="12"/>
        <v>180.39872371811367</v>
      </c>
      <c r="AD39" s="114">
        <f t="shared" si="12"/>
        <v>0</v>
      </c>
      <c r="AE39" s="114">
        <f t="shared" si="12"/>
        <v>180.39872371811367</v>
      </c>
      <c r="AF39" s="114">
        <f t="shared" si="12"/>
        <v>0</v>
      </c>
      <c r="AG39" s="114">
        <f t="shared" si="12"/>
        <v>180.39872371811367</v>
      </c>
      <c r="AH39" s="114">
        <f t="shared" si="12"/>
        <v>0</v>
      </c>
      <c r="AI39" s="114">
        <f t="shared" si="12"/>
        <v>180.39872371811367</v>
      </c>
      <c r="AJ39" s="114">
        <f t="shared" si="12"/>
        <v>0</v>
      </c>
      <c r="AK39" s="114">
        <f t="shared" si="12"/>
        <v>180.39872371811367</v>
      </c>
      <c r="AL39" s="114">
        <f t="shared" si="12"/>
        <v>0</v>
      </c>
      <c r="AM39" s="114">
        <f t="shared" si="12"/>
        <v>180.39872371811367</v>
      </c>
      <c r="AN39" s="114">
        <f t="shared" si="12"/>
        <v>0</v>
      </c>
      <c r="AO39" s="114">
        <f t="shared" si="12"/>
        <v>180.39872371811367</v>
      </c>
      <c r="AP39" s="114">
        <f t="shared" si="12"/>
        <v>0</v>
      </c>
      <c r="AQ39" s="114">
        <f t="shared" si="12"/>
        <v>180.39872371811367</v>
      </c>
      <c r="AR39" s="114">
        <f t="shared" si="12"/>
        <v>0</v>
      </c>
      <c r="AS39" s="114">
        <f t="shared" si="12"/>
        <v>180.39872371811367</v>
      </c>
      <c r="AT39" s="114">
        <f t="shared" si="12"/>
        <v>0</v>
      </c>
      <c r="AU39" s="114">
        <f t="shared" si="12"/>
        <v>180.39872371811367</v>
      </c>
      <c r="AV39" s="114">
        <f t="shared" si="12"/>
        <v>0</v>
      </c>
      <c r="AW39" s="114">
        <f t="shared" si="12"/>
        <v>180.39872371811367</v>
      </c>
      <c r="AX39" s="114">
        <f t="shared" si="12"/>
        <v>0</v>
      </c>
      <c r="AY39" s="114">
        <f t="shared" si="12"/>
        <v>180.39872371811367</v>
      </c>
    </row>
    <row r="40" spans="1:52" x14ac:dyDescent="0.2">
      <c r="A40" s="114"/>
      <c r="B40" s="168" t="s">
        <v>348</v>
      </c>
      <c r="C40" s="114"/>
      <c r="D40" s="114">
        <f>D34-D37</f>
        <v>0</v>
      </c>
      <c r="E40" s="114">
        <f t="shared" ref="E40:AY40" si="13">E34-E37</f>
        <v>67.370875619958426</v>
      </c>
      <c r="F40" s="114">
        <f t="shared" si="13"/>
        <v>0</v>
      </c>
      <c r="G40" s="114">
        <f t="shared" si="13"/>
        <v>67.370875619958426</v>
      </c>
      <c r="H40" s="114">
        <f t="shared" si="13"/>
        <v>0</v>
      </c>
      <c r="I40" s="114">
        <f t="shared" si="13"/>
        <v>67.370875619958426</v>
      </c>
      <c r="J40" s="114">
        <f t="shared" si="13"/>
        <v>0</v>
      </c>
      <c r="K40" s="114">
        <f t="shared" si="13"/>
        <v>67.370875619958426</v>
      </c>
      <c r="L40" s="114">
        <f t="shared" si="13"/>
        <v>0</v>
      </c>
      <c r="M40" s="114">
        <f t="shared" si="13"/>
        <v>67.370875619958426</v>
      </c>
      <c r="N40" s="114">
        <f t="shared" si="13"/>
        <v>0</v>
      </c>
      <c r="O40" s="114">
        <f t="shared" si="13"/>
        <v>67.370875619958426</v>
      </c>
      <c r="P40" s="114">
        <f t="shared" si="13"/>
        <v>0</v>
      </c>
      <c r="Q40" s="114">
        <f t="shared" si="13"/>
        <v>67.370875619958426</v>
      </c>
      <c r="R40" s="114">
        <f t="shared" si="13"/>
        <v>0</v>
      </c>
      <c r="S40" s="114">
        <f t="shared" si="13"/>
        <v>67.370875619958426</v>
      </c>
      <c r="T40" s="114">
        <f t="shared" si="13"/>
        <v>0</v>
      </c>
      <c r="U40" s="114">
        <f t="shared" si="13"/>
        <v>67.370875619958426</v>
      </c>
      <c r="V40" s="114">
        <f t="shared" si="13"/>
        <v>0</v>
      </c>
      <c r="W40" s="114">
        <f t="shared" si="13"/>
        <v>67.370875619958426</v>
      </c>
      <c r="X40" s="114">
        <f t="shared" si="13"/>
        <v>0</v>
      </c>
      <c r="Y40" s="114">
        <f t="shared" si="13"/>
        <v>67.370875619958426</v>
      </c>
      <c r="Z40" s="114">
        <f t="shared" si="13"/>
        <v>0</v>
      </c>
      <c r="AA40" s="114">
        <f t="shared" si="13"/>
        <v>67.370875619958426</v>
      </c>
      <c r="AB40" s="114">
        <f t="shared" si="13"/>
        <v>0</v>
      </c>
      <c r="AC40" s="114">
        <f t="shared" si="13"/>
        <v>67.370875619958426</v>
      </c>
      <c r="AD40" s="114">
        <f t="shared" si="13"/>
        <v>0</v>
      </c>
      <c r="AE40" s="114">
        <f t="shared" si="13"/>
        <v>67.370875619958426</v>
      </c>
      <c r="AF40" s="114">
        <f t="shared" si="13"/>
        <v>0</v>
      </c>
      <c r="AG40" s="114">
        <f t="shared" si="13"/>
        <v>67.370875619958426</v>
      </c>
      <c r="AH40" s="114">
        <f t="shared" si="13"/>
        <v>0</v>
      </c>
      <c r="AI40" s="114">
        <f t="shared" si="13"/>
        <v>67.370875619958426</v>
      </c>
      <c r="AJ40" s="114">
        <f t="shared" si="13"/>
        <v>0</v>
      </c>
      <c r="AK40" s="114">
        <f t="shared" si="13"/>
        <v>67.370875619958426</v>
      </c>
      <c r="AL40" s="114">
        <f t="shared" si="13"/>
        <v>0</v>
      </c>
      <c r="AM40" s="114">
        <f t="shared" si="13"/>
        <v>67.370875619958426</v>
      </c>
      <c r="AN40" s="114">
        <f t="shared" si="13"/>
        <v>0</v>
      </c>
      <c r="AO40" s="114">
        <f t="shared" si="13"/>
        <v>67.370875619958426</v>
      </c>
      <c r="AP40" s="114">
        <f t="shared" si="13"/>
        <v>0</v>
      </c>
      <c r="AQ40" s="114">
        <f t="shared" si="13"/>
        <v>67.370875619958426</v>
      </c>
      <c r="AR40" s="114">
        <f t="shared" si="13"/>
        <v>0</v>
      </c>
      <c r="AS40" s="114">
        <f t="shared" si="13"/>
        <v>67.370875619958426</v>
      </c>
      <c r="AT40" s="114">
        <f t="shared" si="13"/>
        <v>0</v>
      </c>
      <c r="AU40" s="114">
        <f t="shared" si="13"/>
        <v>67.370875619958426</v>
      </c>
      <c r="AV40" s="114">
        <f t="shared" si="13"/>
        <v>0</v>
      </c>
      <c r="AW40" s="114">
        <f t="shared" si="13"/>
        <v>67.370875619958426</v>
      </c>
      <c r="AX40" s="114">
        <f t="shared" si="13"/>
        <v>0</v>
      </c>
      <c r="AY40" s="114">
        <f t="shared" si="13"/>
        <v>67.370875619958426</v>
      </c>
    </row>
    <row r="41" spans="1:52" x14ac:dyDescent="0.2">
      <c r="A41" s="114"/>
      <c r="B41" s="168" t="s">
        <v>349</v>
      </c>
      <c r="C41" s="114"/>
      <c r="D41" s="114">
        <v>3</v>
      </c>
      <c r="E41" s="114">
        <v>3</v>
      </c>
      <c r="F41" s="114">
        <v>2</v>
      </c>
      <c r="G41" s="114">
        <v>1</v>
      </c>
      <c r="H41" s="114">
        <v>1</v>
      </c>
      <c r="I41" s="114">
        <v>1</v>
      </c>
      <c r="J41" s="114">
        <v>1</v>
      </c>
      <c r="K41" s="114">
        <v>1</v>
      </c>
      <c r="L41" s="114">
        <v>1</v>
      </c>
      <c r="M41" s="114">
        <v>3</v>
      </c>
      <c r="N41" s="114">
        <v>2</v>
      </c>
      <c r="O41" s="114">
        <v>2</v>
      </c>
      <c r="P41" s="114">
        <v>1</v>
      </c>
      <c r="Q41" s="114">
        <v>2</v>
      </c>
      <c r="R41" s="114">
        <v>1</v>
      </c>
      <c r="S41" s="114">
        <v>1</v>
      </c>
      <c r="T41" s="114">
        <v>1</v>
      </c>
      <c r="U41" s="114">
        <v>1</v>
      </c>
      <c r="V41" s="114">
        <v>2</v>
      </c>
      <c r="W41" s="114">
        <v>2</v>
      </c>
      <c r="X41" s="114">
        <v>1</v>
      </c>
      <c r="Y41" s="114">
        <v>1</v>
      </c>
      <c r="Z41" s="114">
        <v>1</v>
      </c>
      <c r="AA41" s="114">
        <v>2</v>
      </c>
      <c r="AB41" s="114">
        <v>1</v>
      </c>
      <c r="AC41" s="114">
        <v>1</v>
      </c>
      <c r="AD41" s="114">
        <v>1</v>
      </c>
      <c r="AE41" s="114">
        <v>1</v>
      </c>
      <c r="AF41" s="114">
        <v>2</v>
      </c>
      <c r="AG41" s="114">
        <v>1</v>
      </c>
      <c r="AH41" s="114">
        <v>1</v>
      </c>
      <c r="AI41" s="114">
        <v>1</v>
      </c>
      <c r="AJ41" s="114">
        <v>3</v>
      </c>
      <c r="AK41" s="114">
        <v>1</v>
      </c>
      <c r="AL41" s="114">
        <v>1</v>
      </c>
      <c r="AM41" s="114">
        <v>1</v>
      </c>
      <c r="AN41" s="114">
        <v>1</v>
      </c>
      <c r="AO41" s="114">
        <v>1</v>
      </c>
      <c r="AP41" s="114">
        <v>1</v>
      </c>
      <c r="AQ41" s="114">
        <v>1</v>
      </c>
      <c r="AR41" s="114">
        <v>2</v>
      </c>
      <c r="AS41" s="114">
        <v>1</v>
      </c>
      <c r="AT41" s="114">
        <v>1</v>
      </c>
      <c r="AU41" s="114">
        <v>1</v>
      </c>
      <c r="AV41" s="114">
        <v>1</v>
      </c>
      <c r="AW41" s="114">
        <v>1</v>
      </c>
      <c r="AX41" s="114">
        <v>2</v>
      </c>
      <c r="AY41" s="114">
        <v>1</v>
      </c>
    </row>
    <row r="42" spans="1:52" x14ac:dyDescent="0.2">
      <c r="A42" s="114"/>
      <c r="B42" s="179" t="s">
        <v>350</v>
      </c>
      <c r="C42" s="114"/>
      <c r="D42" s="114">
        <v>573300</v>
      </c>
      <c r="E42" s="114">
        <v>176400</v>
      </c>
      <c r="F42" s="114">
        <v>573300</v>
      </c>
      <c r="G42" s="114">
        <v>176400</v>
      </c>
      <c r="H42" s="114">
        <v>573300</v>
      </c>
      <c r="I42" s="114">
        <v>176400</v>
      </c>
      <c r="J42" s="114">
        <v>573300</v>
      </c>
      <c r="K42" s="114">
        <v>176400</v>
      </c>
      <c r="L42" s="114">
        <v>573300</v>
      </c>
      <c r="M42" s="114">
        <v>176400</v>
      </c>
      <c r="N42" s="114">
        <v>573300</v>
      </c>
      <c r="O42" s="114">
        <v>176400</v>
      </c>
      <c r="P42" s="114">
        <v>573300</v>
      </c>
      <c r="Q42" s="114">
        <v>176400</v>
      </c>
      <c r="R42" s="114">
        <v>573300</v>
      </c>
      <c r="S42" s="114">
        <v>176400</v>
      </c>
      <c r="T42" s="114">
        <v>573300</v>
      </c>
      <c r="U42" s="114">
        <v>176400</v>
      </c>
      <c r="V42" s="114">
        <v>573300</v>
      </c>
      <c r="W42" s="114">
        <v>176400</v>
      </c>
      <c r="X42" s="114">
        <v>573300</v>
      </c>
      <c r="Y42" s="114">
        <v>176400</v>
      </c>
      <c r="Z42" s="114">
        <v>573300</v>
      </c>
      <c r="AA42" s="114">
        <v>176400</v>
      </c>
      <c r="AB42" s="114">
        <v>573300</v>
      </c>
      <c r="AC42" s="114">
        <v>176400</v>
      </c>
      <c r="AD42" s="114">
        <v>573300</v>
      </c>
      <c r="AE42" s="114">
        <v>176400</v>
      </c>
      <c r="AF42" s="114">
        <v>573300</v>
      </c>
      <c r="AG42" s="114">
        <v>176400</v>
      </c>
      <c r="AH42" s="114">
        <v>573300</v>
      </c>
      <c r="AI42" s="114">
        <v>176400</v>
      </c>
      <c r="AJ42" s="114">
        <v>573300</v>
      </c>
      <c r="AK42" s="114">
        <v>176400</v>
      </c>
      <c r="AL42" s="114">
        <v>573300</v>
      </c>
      <c r="AM42" s="114">
        <v>176400</v>
      </c>
      <c r="AN42" s="114">
        <v>573300</v>
      </c>
      <c r="AO42" s="114">
        <v>176400</v>
      </c>
      <c r="AP42" s="114">
        <v>573300</v>
      </c>
      <c r="AQ42" s="114">
        <v>176400</v>
      </c>
      <c r="AR42" s="114">
        <v>573300</v>
      </c>
      <c r="AS42" s="114">
        <v>176400</v>
      </c>
      <c r="AT42" s="114">
        <v>573300</v>
      </c>
      <c r="AU42" s="114">
        <v>176400</v>
      </c>
      <c r="AV42" s="114">
        <v>573300</v>
      </c>
      <c r="AW42" s="114">
        <v>176400</v>
      </c>
      <c r="AX42" s="114">
        <v>573300</v>
      </c>
      <c r="AY42" s="114">
        <v>176400</v>
      </c>
      <c r="AZ42">
        <f>SUM($D$42:$AY$42)</f>
        <v>17992800</v>
      </c>
    </row>
    <row r="43" spans="1:52" x14ac:dyDescent="0.2">
      <c r="A43" s="114"/>
      <c r="B43" s="179" t="s">
        <v>351</v>
      </c>
      <c r="C43" s="114"/>
      <c r="D43" s="114">
        <v>0</v>
      </c>
      <c r="E43" s="114">
        <v>197286.54347293996</v>
      </c>
      <c r="F43" s="114">
        <v>0</v>
      </c>
      <c r="G43" s="114">
        <v>197286.54347293996</v>
      </c>
      <c r="H43" s="114">
        <v>0</v>
      </c>
      <c r="I43" s="114">
        <v>197286.54347293996</v>
      </c>
      <c r="J43" s="114">
        <v>0</v>
      </c>
      <c r="K43" s="114">
        <v>197286.54347293996</v>
      </c>
      <c r="L43" s="114">
        <v>0</v>
      </c>
      <c r="M43" s="114">
        <v>197286.54347293996</v>
      </c>
      <c r="N43" s="114">
        <v>0</v>
      </c>
      <c r="O43" s="114">
        <v>197286.54347293996</v>
      </c>
      <c r="P43" s="114">
        <v>0</v>
      </c>
      <c r="Q43" s="114">
        <v>197286.54347293996</v>
      </c>
      <c r="R43" s="114">
        <v>0</v>
      </c>
      <c r="S43" s="114">
        <v>197286.54347293996</v>
      </c>
      <c r="T43" s="114">
        <v>0</v>
      </c>
      <c r="U43" s="114">
        <v>197286.54347293996</v>
      </c>
      <c r="V43" s="114">
        <v>0</v>
      </c>
      <c r="W43" s="114">
        <v>197286.54347293996</v>
      </c>
      <c r="X43" s="114">
        <v>0</v>
      </c>
      <c r="Y43" s="114">
        <v>197286.54347293996</v>
      </c>
      <c r="Z43" s="114">
        <v>0</v>
      </c>
      <c r="AA43" s="114">
        <v>197286.54347293996</v>
      </c>
      <c r="AB43" s="114">
        <v>0</v>
      </c>
      <c r="AC43" s="114">
        <v>197286.54347293996</v>
      </c>
      <c r="AD43" s="114">
        <v>0</v>
      </c>
      <c r="AE43" s="114">
        <v>197286.54347293996</v>
      </c>
      <c r="AF43" s="114">
        <v>0</v>
      </c>
      <c r="AG43" s="114">
        <v>197286.54347293996</v>
      </c>
      <c r="AH43" s="114">
        <v>0</v>
      </c>
      <c r="AI43" s="114">
        <v>197286.54347293996</v>
      </c>
      <c r="AJ43" s="114">
        <v>0</v>
      </c>
      <c r="AK43" s="114">
        <v>197286.54347293996</v>
      </c>
      <c r="AL43" s="114">
        <v>0</v>
      </c>
      <c r="AM43" s="114">
        <v>197286.54347293996</v>
      </c>
      <c r="AN43" s="114">
        <v>0</v>
      </c>
      <c r="AO43" s="114">
        <v>197286.54347293996</v>
      </c>
      <c r="AP43" s="114">
        <v>0</v>
      </c>
      <c r="AQ43" s="114">
        <v>197286.54347293996</v>
      </c>
      <c r="AR43" s="114">
        <v>0</v>
      </c>
      <c r="AS43" s="114">
        <v>197286.54347293996</v>
      </c>
      <c r="AT43" s="114">
        <v>0</v>
      </c>
      <c r="AU43" s="114">
        <v>197286.54347293996</v>
      </c>
      <c r="AV43" s="114">
        <v>0</v>
      </c>
      <c r="AW43" s="114">
        <v>197286.54347293996</v>
      </c>
      <c r="AX43" s="114">
        <v>0</v>
      </c>
      <c r="AY43" s="114">
        <v>197286.54347293996</v>
      </c>
      <c r="AZ43">
        <f>SUM($D$43:$AY$43)</f>
        <v>4734877.0433505606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D$21*shipping_manufacturing!$F$28/100</f>
        <v>132.23040066192792</v>
      </c>
      <c r="E44" s="127">
        <f>E$21*shipping_manufacturing!$F$28/100</f>
        <v>132.23040066192792</v>
      </c>
      <c r="F44" s="127">
        <f>F$21*shipping_manufacturing!$F$28/100</f>
        <v>132.23040066192792</v>
      </c>
      <c r="G44" s="127">
        <f>G$21*shipping_manufacturing!$F$28/100</f>
        <v>132.23040066192792</v>
      </c>
      <c r="H44" s="127">
        <f>H$21*shipping_manufacturing!$F$28/100</f>
        <v>132.23040066192792</v>
      </c>
      <c r="I44" s="127">
        <f>I$21*shipping_manufacturing!$F$28/100</f>
        <v>132.23040066192792</v>
      </c>
      <c r="J44" s="127">
        <f>J$21*shipping_manufacturing!$F$28/100</f>
        <v>132.23040066192792</v>
      </c>
      <c r="K44" s="127">
        <f>K$21*shipping_manufacturing!$F$28/100</f>
        <v>132.23040066192792</v>
      </c>
      <c r="L44" s="127">
        <f>L$21*shipping_manufacturing!$F$28/100</f>
        <v>132.23040066192792</v>
      </c>
      <c r="M44" s="127">
        <f>M$21*shipping_manufacturing!$F$28/100</f>
        <v>132.23040066192792</v>
      </c>
      <c r="N44" s="127">
        <f>N$21*shipping_manufacturing!$F$28/100</f>
        <v>132.23040066192792</v>
      </c>
      <c r="O44" s="127">
        <f>O$21*shipping_manufacturing!$F$28/100</f>
        <v>132.23040066192792</v>
      </c>
      <c r="P44" s="127">
        <f>P$21*shipping_manufacturing!$F$28/100</f>
        <v>132.23040066192792</v>
      </c>
      <c r="Q44" s="127">
        <f>Q$21*shipping_manufacturing!$F$28/100</f>
        <v>132.23040066192792</v>
      </c>
      <c r="R44" s="127">
        <f>R$21*shipping_manufacturing!$F$28/100</f>
        <v>132.23040066192792</v>
      </c>
      <c r="S44" s="127">
        <f>S$21*shipping_manufacturing!$F$28/100</f>
        <v>132.23040066192792</v>
      </c>
      <c r="T44" s="127">
        <f>T$21*shipping_manufacturing!$F$28/100</f>
        <v>132.23040066192792</v>
      </c>
      <c r="U44" s="127">
        <f>U$21*shipping_manufacturing!$F$28/100</f>
        <v>132.23040066192792</v>
      </c>
      <c r="V44" s="127">
        <f>V$21*shipping_manufacturing!$F$28/100</f>
        <v>132.23040066192792</v>
      </c>
      <c r="W44" s="127">
        <f>W$21*shipping_manufacturing!$F$28/100</f>
        <v>132.23040066192792</v>
      </c>
      <c r="X44" s="127">
        <f>X$21*shipping_manufacturing!$F$28/100</f>
        <v>132.23040066192792</v>
      </c>
      <c r="Y44" s="127">
        <f>Y$21*shipping_manufacturing!$F$28/100</f>
        <v>132.23040066192792</v>
      </c>
      <c r="Z44" s="127">
        <f>Z$21*shipping_manufacturing!$F$28/100</f>
        <v>132.23040066192792</v>
      </c>
      <c r="AA44" s="127">
        <f>AA$21*shipping_manufacturing!$F$28/100</f>
        <v>132.23040066192792</v>
      </c>
      <c r="AB44" s="127">
        <f>AB$21*shipping_manufacturing!$F$28/100</f>
        <v>132.23040066192792</v>
      </c>
      <c r="AC44" s="127">
        <f>AC$21*shipping_manufacturing!$F$28/100</f>
        <v>132.23040066192792</v>
      </c>
      <c r="AD44" s="127">
        <f>AD$21*shipping_manufacturing!$F$28/100</f>
        <v>132.23040066192792</v>
      </c>
      <c r="AE44" s="127">
        <f>AE$21*shipping_manufacturing!$F$28/100</f>
        <v>132.23040066192792</v>
      </c>
      <c r="AF44" s="127">
        <f>AF$21*shipping_manufacturing!$F$28/100</f>
        <v>132.23040066192792</v>
      </c>
      <c r="AG44" s="127">
        <f>AG$21*shipping_manufacturing!$F$28/100</f>
        <v>132.23040066192792</v>
      </c>
      <c r="AH44" s="127">
        <f>AH$21*shipping_manufacturing!$F$28/100</f>
        <v>132.23040066192792</v>
      </c>
      <c r="AI44" s="127">
        <f>AI$21*shipping_manufacturing!$F$28/100</f>
        <v>132.23040066192792</v>
      </c>
      <c r="AJ44" s="127">
        <f>AJ$21*shipping_manufacturing!$F$28/100</f>
        <v>132.23040066192792</v>
      </c>
      <c r="AK44" s="127">
        <f>AK$21*shipping_manufacturing!$F$28/100</f>
        <v>132.23040066192792</v>
      </c>
      <c r="AL44" s="127">
        <f>AL$21*shipping_manufacturing!$F$28/100</f>
        <v>132.23040066192792</v>
      </c>
      <c r="AM44" s="127">
        <f>AM$21*shipping_manufacturing!$F$28/100</f>
        <v>132.23040066192792</v>
      </c>
      <c r="AN44" s="127">
        <f>AN$21*shipping_manufacturing!$F$28/100</f>
        <v>132.23040066192792</v>
      </c>
      <c r="AO44" s="127">
        <f>AO$21*shipping_manufacturing!$F$28/100</f>
        <v>132.23040066192792</v>
      </c>
      <c r="AP44" s="127">
        <f>AP$21*shipping_manufacturing!$F$28/100</f>
        <v>132.23040066192792</v>
      </c>
      <c r="AQ44" s="127">
        <f>AQ$21*shipping_manufacturing!$F$28/100</f>
        <v>132.23040066192792</v>
      </c>
      <c r="AR44" s="127">
        <f>AR$21*shipping_manufacturing!$F$28/100</f>
        <v>132.23040066192792</v>
      </c>
      <c r="AS44" s="127">
        <f>AS$21*shipping_manufacturing!$F$28/100</f>
        <v>132.23040066192792</v>
      </c>
      <c r="AT44" s="127">
        <f>AT$21*shipping_manufacturing!$F$28/100</f>
        <v>132.23040066192792</v>
      </c>
      <c r="AU44" s="127">
        <f>AU$21*shipping_manufacturing!$F$28/100</f>
        <v>132.23040066192792</v>
      </c>
      <c r="AV44" s="127">
        <f>AV$21*shipping_manufacturing!$F$28/100</f>
        <v>132.23040066192792</v>
      </c>
      <c r="AW44" s="127">
        <f>AW$21*shipping_manufacturing!$F$28/100</f>
        <v>132.23040066192792</v>
      </c>
      <c r="AX44" s="127">
        <f>AX$21*shipping_manufacturing!$F$28/100</f>
        <v>132.23040066192792</v>
      </c>
      <c r="AY44" s="127">
        <f>AY$21*shipping_manufacturing!$F$28/100</f>
        <v>132.23040066192792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D$22*shipping_manufacturing!$G$28/100</f>
        <v>0</v>
      </c>
      <c r="E45" s="114">
        <f>E$22*shipping_manufacturing!$G$28/100</f>
        <v>0</v>
      </c>
      <c r="F45" s="114">
        <f>F$22*shipping_manufacturing!$G$28/100</f>
        <v>0</v>
      </c>
      <c r="G45" s="114">
        <f>G$22*shipping_manufacturing!$G$28/100</f>
        <v>0</v>
      </c>
      <c r="H45" s="114">
        <f>H$22*shipping_manufacturing!$G$28/100</f>
        <v>0</v>
      </c>
      <c r="I45" s="114">
        <f>I$22*shipping_manufacturing!$G$28/100</f>
        <v>0</v>
      </c>
      <c r="J45" s="114">
        <f>J$22*shipping_manufacturing!$G$28/100</f>
        <v>0</v>
      </c>
      <c r="K45" s="114">
        <f>K$22*shipping_manufacturing!$G$28/100</f>
        <v>0</v>
      </c>
      <c r="L45" s="114">
        <f>L$22*shipping_manufacturing!$G$28/100</f>
        <v>0</v>
      </c>
      <c r="M45" s="114">
        <f>M$22*shipping_manufacturing!$G$28/100</f>
        <v>0</v>
      </c>
      <c r="N45" s="114">
        <f>N$22*shipping_manufacturing!$G$28/100</f>
        <v>0</v>
      </c>
      <c r="O45" s="114">
        <f>O$22*shipping_manufacturing!$G$28/100</f>
        <v>0</v>
      </c>
      <c r="P45" s="114">
        <f>P$22*shipping_manufacturing!$G$28/100</f>
        <v>0</v>
      </c>
      <c r="Q45" s="114">
        <f>Q$22*shipping_manufacturing!$G$28/100</f>
        <v>0</v>
      </c>
      <c r="R45" s="114">
        <f>R$22*shipping_manufacturing!$G$28/100</f>
        <v>0</v>
      </c>
      <c r="S45" s="114">
        <f>S$22*shipping_manufacturing!$G$28/100</f>
        <v>0</v>
      </c>
      <c r="T45" s="114">
        <f>T$22*shipping_manufacturing!$G$28/100</f>
        <v>0</v>
      </c>
      <c r="U45" s="114">
        <f>U$22*shipping_manufacturing!$G$28/100</f>
        <v>0</v>
      </c>
      <c r="V45" s="114">
        <f>V$22*shipping_manufacturing!$G$28/100</f>
        <v>0</v>
      </c>
      <c r="W45" s="114">
        <f>W$22*shipping_manufacturing!$G$28/100</f>
        <v>0</v>
      </c>
      <c r="X45" s="114">
        <f>X$22*shipping_manufacturing!$G$28/100</f>
        <v>0</v>
      </c>
      <c r="Y45" s="114">
        <f>Y$22*shipping_manufacturing!$G$28/100</f>
        <v>0</v>
      </c>
      <c r="Z45" s="114">
        <f>Z$22*shipping_manufacturing!$G$28/100</f>
        <v>0</v>
      </c>
      <c r="AA45" s="114">
        <f>AA$22*shipping_manufacturing!$G$28/100</f>
        <v>0</v>
      </c>
      <c r="AB45" s="114">
        <f>AB$22*shipping_manufacturing!$G$28/100</f>
        <v>0</v>
      </c>
      <c r="AC45" s="114">
        <f>AC$22*shipping_manufacturing!$G$28/100</f>
        <v>0</v>
      </c>
      <c r="AD45" s="114">
        <f>AD$22*shipping_manufacturing!$G$28/100</f>
        <v>0</v>
      </c>
      <c r="AE45" s="114">
        <f>AE$22*shipping_manufacturing!$G$28/100</f>
        <v>0</v>
      </c>
      <c r="AF45" s="114">
        <f>AF$22*shipping_manufacturing!$G$28/100</f>
        <v>0</v>
      </c>
      <c r="AG45" s="114">
        <f>AG$22*shipping_manufacturing!$G$28/100</f>
        <v>0</v>
      </c>
      <c r="AH45" s="114">
        <f>AH$22*shipping_manufacturing!$G$28/100</f>
        <v>0</v>
      </c>
      <c r="AI45" s="114">
        <f>AI$22*shipping_manufacturing!$G$28/100</f>
        <v>0</v>
      </c>
      <c r="AJ45" s="114">
        <f>AJ$22*shipping_manufacturing!$G$28/100</f>
        <v>0</v>
      </c>
      <c r="AK45" s="114">
        <f>AK$22*shipping_manufacturing!$G$28/100</f>
        <v>0</v>
      </c>
      <c r="AL45" s="114">
        <f>AL$22*shipping_manufacturing!$G$28/100</f>
        <v>0</v>
      </c>
      <c r="AM45" s="114">
        <f>AM$22*shipping_manufacturing!$G$28/100</f>
        <v>0</v>
      </c>
      <c r="AN45" s="114">
        <f>AN$22*shipping_manufacturing!$G$28/100</f>
        <v>0</v>
      </c>
      <c r="AO45" s="114">
        <f>AO$22*shipping_manufacturing!$G$28/100</f>
        <v>0</v>
      </c>
      <c r="AP45" s="114">
        <f>AP$22*shipping_manufacturing!$G$28/100</f>
        <v>0</v>
      </c>
      <c r="AQ45" s="114">
        <f>AQ$22*shipping_manufacturing!$G$28/100</f>
        <v>0</v>
      </c>
      <c r="AR45" s="114">
        <f>AR$22*shipping_manufacturing!$G$28/100</f>
        <v>0</v>
      </c>
      <c r="AS45" s="114">
        <f>AS$22*shipping_manufacturing!$G$28/100</f>
        <v>0</v>
      </c>
      <c r="AT45" s="114">
        <f>AT$22*shipping_manufacturing!$G$28/100</f>
        <v>0</v>
      </c>
      <c r="AU45" s="114">
        <f>AU$22*shipping_manufacturing!$G$28/100</f>
        <v>0</v>
      </c>
      <c r="AV45" s="114">
        <f>AV$22*shipping_manufacturing!$G$28/100</f>
        <v>0</v>
      </c>
      <c r="AW45" s="114">
        <f>AW$22*shipping_manufacturing!$G$28/100</f>
        <v>0</v>
      </c>
      <c r="AX45" s="114">
        <f>AX$22*shipping_manufacturing!$G$28/100</f>
        <v>0</v>
      </c>
      <c r="AY45" s="114">
        <f>AY$22*shipping_manufacturing!$G$28/100</f>
        <v>0</v>
      </c>
    </row>
    <row r="46" spans="1:52" x14ac:dyDescent="0.2">
      <c r="A46" s="114">
        <v>2339</v>
      </c>
      <c r="B46" s="168" t="s">
        <v>343</v>
      </c>
      <c r="C46" s="114"/>
      <c r="D46" s="114">
        <f>SUM(D44:D45)</f>
        <v>132.23040066192792</v>
      </c>
      <c r="E46" s="114">
        <f t="shared" ref="E46:AY46" si="14">SUM(E44:E45)</f>
        <v>132.23040066192792</v>
      </c>
      <c r="F46" s="114">
        <f t="shared" si="14"/>
        <v>132.23040066192792</v>
      </c>
      <c r="G46" s="114">
        <f t="shared" si="14"/>
        <v>132.23040066192792</v>
      </c>
      <c r="H46" s="114">
        <f t="shared" si="14"/>
        <v>132.23040066192792</v>
      </c>
      <c r="I46" s="114">
        <f t="shared" si="14"/>
        <v>132.23040066192792</v>
      </c>
      <c r="J46" s="114">
        <f t="shared" si="14"/>
        <v>132.23040066192792</v>
      </c>
      <c r="K46" s="114">
        <f t="shared" si="14"/>
        <v>132.23040066192792</v>
      </c>
      <c r="L46" s="114">
        <f t="shared" si="14"/>
        <v>132.23040066192792</v>
      </c>
      <c r="M46" s="114">
        <f t="shared" si="14"/>
        <v>132.23040066192792</v>
      </c>
      <c r="N46" s="114">
        <f t="shared" si="14"/>
        <v>132.23040066192792</v>
      </c>
      <c r="O46" s="114">
        <f t="shared" si="14"/>
        <v>132.23040066192792</v>
      </c>
      <c r="P46" s="114">
        <f t="shared" si="14"/>
        <v>132.23040066192792</v>
      </c>
      <c r="Q46" s="114">
        <f t="shared" si="14"/>
        <v>132.23040066192792</v>
      </c>
      <c r="R46" s="114">
        <f t="shared" si="14"/>
        <v>132.23040066192792</v>
      </c>
      <c r="S46" s="114">
        <f t="shared" si="14"/>
        <v>132.23040066192792</v>
      </c>
      <c r="T46" s="114">
        <f t="shared" si="14"/>
        <v>132.23040066192792</v>
      </c>
      <c r="U46" s="114">
        <f t="shared" si="14"/>
        <v>132.23040066192792</v>
      </c>
      <c r="V46" s="114">
        <f t="shared" si="14"/>
        <v>132.23040066192792</v>
      </c>
      <c r="W46" s="114">
        <f t="shared" si="14"/>
        <v>132.23040066192792</v>
      </c>
      <c r="X46" s="114">
        <f t="shared" si="14"/>
        <v>132.23040066192792</v>
      </c>
      <c r="Y46" s="114">
        <f t="shared" si="14"/>
        <v>132.23040066192792</v>
      </c>
      <c r="Z46" s="114">
        <f t="shared" si="14"/>
        <v>132.23040066192792</v>
      </c>
      <c r="AA46" s="114">
        <f t="shared" si="14"/>
        <v>132.23040066192792</v>
      </c>
      <c r="AB46" s="114">
        <f t="shared" si="14"/>
        <v>132.23040066192792</v>
      </c>
      <c r="AC46" s="114">
        <f t="shared" si="14"/>
        <v>132.23040066192792</v>
      </c>
      <c r="AD46" s="114">
        <f t="shared" si="14"/>
        <v>132.23040066192792</v>
      </c>
      <c r="AE46" s="114">
        <f t="shared" si="14"/>
        <v>132.23040066192792</v>
      </c>
      <c r="AF46" s="114">
        <f t="shared" si="14"/>
        <v>132.23040066192792</v>
      </c>
      <c r="AG46" s="114">
        <f t="shared" si="14"/>
        <v>132.23040066192792</v>
      </c>
      <c r="AH46" s="114">
        <f t="shared" si="14"/>
        <v>132.23040066192792</v>
      </c>
      <c r="AI46" s="114">
        <f t="shared" si="14"/>
        <v>132.23040066192792</v>
      </c>
      <c r="AJ46" s="114">
        <f t="shared" si="14"/>
        <v>132.23040066192792</v>
      </c>
      <c r="AK46" s="114">
        <f t="shared" si="14"/>
        <v>132.23040066192792</v>
      </c>
      <c r="AL46" s="114">
        <f t="shared" si="14"/>
        <v>132.23040066192792</v>
      </c>
      <c r="AM46" s="114">
        <f t="shared" si="14"/>
        <v>132.23040066192792</v>
      </c>
      <c r="AN46" s="114">
        <f t="shared" si="14"/>
        <v>132.23040066192792</v>
      </c>
      <c r="AO46" s="114">
        <f t="shared" si="14"/>
        <v>132.23040066192792</v>
      </c>
      <c r="AP46" s="114">
        <f t="shared" si="14"/>
        <v>132.23040066192792</v>
      </c>
      <c r="AQ46" s="114">
        <f t="shared" si="14"/>
        <v>132.23040066192792</v>
      </c>
      <c r="AR46" s="114">
        <f t="shared" si="14"/>
        <v>132.23040066192792</v>
      </c>
      <c r="AS46" s="114">
        <f t="shared" si="14"/>
        <v>132.23040066192792</v>
      </c>
      <c r="AT46" s="114">
        <f t="shared" si="14"/>
        <v>132.23040066192792</v>
      </c>
      <c r="AU46" s="114">
        <f t="shared" si="14"/>
        <v>132.23040066192792</v>
      </c>
      <c r="AV46" s="114">
        <f t="shared" si="14"/>
        <v>132.23040066192792</v>
      </c>
      <c r="AW46" s="114">
        <f t="shared" si="14"/>
        <v>132.23040066192792</v>
      </c>
      <c r="AX46" s="114">
        <f t="shared" si="14"/>
        <v>132.23040066192792</v>
      </c>
      <c r="AY46" s="114">
        <f t="shared" si="14"/>
        <v>132.23040066192792</v>
      </c>
    </row>
    <row r="47" spans="1:52" x14ac:dyDescent="0.2">
      <c r="A47" s="114"/>
      <c r="B47" s="168" t="s">
        <v>344</v>
      </c>
      <c r="C47" s="114"/>
      <c r="D47" s="114">
        <v>132.23040066192792</v>
      </c>
      <c r="E47" s="114"/>
      <c r="F47" s="114">
        <v>132.23040066192792</v>
      </c>
      <c r="G47" s="114"/>
      <c r="H47" s="114">
        <v>132.23040066192792</v>
      </c>
      <c r="I47" s="114"/>
      <c r="J47" s="114">
        <v>132.23040066192792</v>
      </c>
      <c r="K47" s="114"/>
      <c r="L47" s="114">
        <v>132.23040066192792</v>
      </c>
      <c r="M47" s="114"/>
      <c r="N47" s="114">
        <v>132.23040066192792</v>
      </c>
      <c r="O47" s="114"/>
      <c r="P47" s="114">
        <v>132.23040066192792</v>
      </c>
      <c r="Q47" s="114"/>
      <c r="R47" s="114">
        <v>132.23040066192792</v>
      </c>
      <c r="S47" s="114"/>
      <c r="T47" s="114">
        <v>132.23040066192792</v>
      </c>
      <c r="U47" s="114"/>
      <c r="V47" s="114">
        <v>132.23040066192792</v>
      </c>
      <c r="W47" s="114"/>
      <c r="X47" s="114">
        <v>132.23040066192792</v>
      </c>
      <c r="Y47" s="114"/>
      <c r="Z47" s="114">
        <v>132.23040066192792</v>
      </c>
      <c r="AA47" s="114"/>
      <c r="AB47" s="114">
        <v>132.23040066192792</v>
      </c>
      <c r="AC47" s="114"/>
      <c r="AD47" s="114">
        <v>132.23040066192792</v>
      </c>
      <c r="AE47" s="114"/>
      <c r="AF47" s="114">
        <v>132.23040066192792</v>
      </c>
      <c r="AG47" s="114"/>
      <c r="AH47" s="114">
        <v>132.23040066192792</v>
      </c>
      <c r="AI47" s="114"/>
      <c r="AJ47" s="114">
        <v>132.23040066192792</v>
      </c>
      <c r="AK47" s="114"/>
      <c r="AL47" s="114">
        <v>132.23040066192792</v>
      </c>
      <c r="AM47" s="114"/>
      <c r="AN47" s="114">
        <v>132.23040066192792</v>
      </c>
      <c r="AO47" s="114"/>
      <c r="AP47" s="114">
        <v>132.23040066192792</v>
      </c>
      <c r="AQ47" s="114"/>
      <c r="AR47" s="114">
        <v>132.23040066192792</v>
      </c>
      <c r="AS47" s="114"/>
      <c r="AT47" s="114">
        <v>132.23040066192792</v>
      </c>
      <c r="AU47" s="114"/>
      <c r="AV47" s="114">
        <v>132.23040066192792</v>
      </c>
      <c r="AW47" s="114"/>
      <c r="AX47" s="114">
        <v>132.23040066192792</v>
      </c>
      <c r="AY47" s="114"/>
    </row>
    <row r="48" spans="1:52" x14ac:dyDescent="0.2">
      <c r="A48" s="114"/>
      <c r="B48" s="168" t="s">
        <v>345</v>
      </c>
      <c r="C48" s="114"/>
      <c r="D48" s="114">
        <v>0</v>
      </c>
      <c r="E48" s="114"/>
      <c r="F48" s="114">
        <v>0</v>
      </c>
      <c r="G48" s="114"/>
      <c r="H48" s="114">
        <v>0</v>
      </c>
      <c r="I48" s="114"/>
      <c r="J48" s="114">
        <v>0</v>
      </c>
      <c r="K48" s="114"/>
      <c r="L48" s="114">
        <v>0</v>
      </c>
      <c r="M48" s="114"/>
      <c r="N48" s="114">
        <v>0</v>
      </c>
      <c r="O48" s="114"/>
      <c r="P48" s="114">
        <v>0</v>
      </c>
      <c r="Q48" s="114"/>
      <c r="R48" s="114">
        <v>0</v>
      </c>
      <c r="S48" s="114"/>
      <c r="T48" s="114">
        <v>0</v>
      </c>
      <c r="U48" s="114"/>
      <c r="V48" s="114">
        <v>0</v>
      </c>
      <c r="W48" s="114"/>
      <c r="X48" s="114">
        <v>0</v>
      </c>
      <c r="Y48" s="114"/>
      <c r="Z48" s="114">
        <v>0</v>
      </c>
      <c r="AA48" s="114"/>
      <c r="AB48" s="114">
        <v>0</v>
      </c>
      <c r="AC48" s="114"/>
      <c r="AD48" s="114">
        <v>0</v>
      </c>
      <c r="AE48" s="114"/>
      <c r="AF48" s="114">
        <v>0</v>
      </c>
      <c r="AG48" s="114"/>
      <c r="AH48" s="114">
        <v>0</v>
      </c>
      <c r="AI48" s="114"/>
      <c r="AJ48" s="114">
        <v>0</v>
      </c>
      <c r="AK48" s="114"/>
      <c r="AL48" s="114">
        <v>0</v>
      </c>
      <c r="AM48" s="114"/>
      <c r="AN48" s="114">
        <v>0</v>
      </c>
      <c r="AO48" s="114"/>
      <c r="AP48" s="114">
        <v>0</v>
      </c>
      <c r="AQ48" s="114"/>
      <c r="AR48" s="114">
        <v>0</v>
      </c>
      <c r="AS48" s="114"/>
      <c r="AT48" s="114">
        <v>0</v>
      </c>
      <c r="AU48" s="114"/>
      <c r="AV48" s="114">
        <v>0</v>
      </c>
      <c r="AW48" s="114"/>
      <c r="AX48" s="114">
        <v>0</v>
      </c>
      <c r="AY48" s="114"/>
    </row>
    <row r="49" spans="1:52" x14ac:dyDescent="0.2">
      <c r="A49" s="114"/>
      <c r="B49" s="168" t="s">
        <v>346</v>
      </c>
      <c r="C49" s="114"/>
      <c r="D49" s="114">
        <v>5</v>
      </c>
      <c r="E49" s="114"/>
      <c r="F49" s="114">
        <v>5</v>
      </c>
      <c r="G49" s="114"/>
      <c r="H49" s="114">
        <v>5</v>
      </c>
      <c r="I49" s="114"/>
      <c r="J49" s="114">
        <v>5</v>
      </c>
      <c r="K49" s="114"/>
      <c r="L49" s="114">
        <v>5</v>
      </c>
      <c r="M49" s="114"/>
      <c r="N49" s="114">
        <v>5</v>
      </c>
      <c r="O49" s="114"/>
      <c r="P49" s="114">
        <v>5</v>
      </c>
      <c r="Q49" s="114"/>
      <c r="R49" s="114">
        <v>5</v>
      </c>
      <c r="S49" s="114"/>
      <c r="T49" s="114">
        <v>5</v>
      </c>
      <c r="U49" s="114"/>
      <c r="V49" s="114">
        <v>5</v>
      </c>
      <c r="W49" s="114"/>
      <c r="X49" s="114">
        <v>5</v>
      </c>
      <c r="Y49" s="114"/>
      <c r="Z49" s="114">
        <v>5</v>
      </c>
      <c r="AA49" s="114"/>
      <c r="AB49" s="114">
        <v>5</v>
      </c>
      <c r="AC49" s="114"/>
      <c r="AD49" s="114">
        <v>5</v>
      </c>
      <c r="AE49" s="114"/>
      <c r="AF49" s="114">
        <v>5</v>
      </c>
      <c r="AG49" s="114"/>
      <c r="AH49" s="114">
        <v>5</v>
      </c>
      <c r="AI49" s="114"/>
      <c r="AJ49" s="114">
        <v>5</v>
      </c>
      <c r="AK49" s="114"/>
      <c r="AL49" s="114">
        <v>5</v>
      </c>
      <c r="AM49" s="114"/>
      <c r="AN49" s="114">
        <v>5</v>
      </c>
      <c r="AO49" s="114"/>
      <c r="AP49" s="114">
        <v>5</v>
      </c>
      <c r="AQ49" s="114"/>
      <c r="AR49" s="114">
        <v>5</v>
      </c>
      <c r="AS49" s="114"/>
      <c r="AT49" s="114">
        <v>5</v>
      </c>
      <c r="AU49" s="114"/>
      <c r="AV49" s="114">
        <v>5</v>
      </c>
      <c r="AW49" s="114"/>
      <c r="AX49" s="114">
        <v>5</v>
      </c>
      <c r="AY49" s="114"/>
    </row>
    <row r="50" spans="1:52" x14ac:dyDescent="0.2">
      <c r="A50" s="114"/>
      <c r="B50" s="168" t="s">
        <v>347</v>
      </c>
      <c r="C50" s="114"/>
      <c r="D50" s="114">
        <f>D44-D47</f>
        <v>0</v>
      </c>
      <c r="E50" s="114">
        <f t="shared" ref="E50:AY50" si="15">E44-E47</f>
        <v>132.23040066192792</v>
      </c>
      <c r="F50" s="114">
        <f t="shared" si="15"/>
        <v>0</v>
      </c>
      <c r="G50" s="114">
        <f t="shared" si="15"/>
        <v>132.23040066192792</v>
      </c>
      <c r="H50" s="114">
        <f t="shared" si="15"/>
        <v>0</v>
      </c>
      <c r="I50" s="114">
        <f t="shared" si="15"/>
        <v>132.23040066192792</v>
      </c>
      <c r="J50" s="114">
        <f t="shared" si="15"/>
        <v>0</v>
      </c>
      <c r="K50" s="114">
        <f t="shared" si="15"/>
        <v>132.23040066192792</v>
      </c>
      <c r="L50" s="114">
        <f t="shared" si="15"/>
        <v>0</v>
      </c>
      <c r="M50" s="114">
        <f t="shared" si="15"/>
        <v>132.23040066192792</v>
      </c>
      <c r="N50" s="114">
        <f t="shared" si="15"/>
        <v>0</v>
      </c>
      <c r="O50" s="114">
        <f t="shared" si="15"/>
        <v>132.23040066192792</v>
      </c>
      <c r="P50" s="114">
        <f t="shared" si="15"/>
        <v>0</v>
      </c>
      <c r="Q50" s="114">
        <f t="shared" si="15"/>
        <v>132.23040066192792</v>
      </c>
      <c r="R50" s="114">
        <f t="shared" si="15"/>
        <v>0</v>
      </c>
      <c r="S50" s="114">
        <f t="shared" si="15"/>
        <v>132.23040066192792</v>
      </c>
      <c r="T50" s="114">
        <f t="shared" si="15"/>
        <v>0</v>
      </c>
      <c r="U50" s="114">
        <f t="shared" si="15"/>
        <v>132.23040066192792</v>
      </c>
      <c r="V50" s="114">
        <f t="shared" si="15"/>
        <v>0</v>
      </c>
      <c r="W50" s="114">
        <f t="shared" si="15"/>
        <v>132.23040066192792</v>
      </c>
      <c r="X50" s="114">
        <f t="shared" si="15"/>
        <v>0</v>
      </c>
      <c r="Y50" s="114">
        <f t="shared" si="15"/>
        <v>132.23040066192792</v>
      </c>
      <c r="Z50" s="114">
        <f t="shared" si="15"/>
        <v>0</v>
      </c>
      <c r="AA50" s="114">
        <f t="shared" si="15"/>
        <v>132.23040066192792</v>
      </c>
      <c r="AB50" s="114">
        <f t="shared" si="15"/>
        <v>0</v>
      </c>
      <c r="AC50" s="114">
        <f t="shared" si="15"/>
        <v>132.23040066192792</v>
      </c>
      <c r="AD50" s="114">
        <f t="shared" si="15"/>
        <v>0</v>
      </c>
      <c r="AE50" s="114">
        <f t="shared" si="15"/>
        <v>132.23040066192792</v>
      </c>
      <c r="AF50" s="114">
        <f t="shared" si="15"/>
        <v>0</v>
      </c>
      <c r="AG50" s="114">
        <f t="shared" si="15"/>
        <v>132.23040066192792</v>
      </c>
      <c r="AH50" s="114">
        <f t="shared" si="15"/>
        <v>0</v>
      </c>
      <c r="AI50" s="114">
        <f t="shared" si="15"/>
        <v>132.23040066192792</v>
      </c>
      <c r="AJ50" s="114">
        <f t="shared" si="15"/>
        <v>0</v>
      </c>
      <c r="AK50" s="114">
        <f t="shared" si="15"/>
        <v>132.23040066192792</v>
      </c>
      <c r="AL50" s="114">
        <f t="shared" si="15"/>
        <v>0</v>
      </c>
      <c r="AM50" s="114">
        <f t="shared" si="15"/>
        <v>132.23040066192792</v>
      </c>
      <c r="AN50" s="114">
        <f t="shared" si="15"/>
        <v>0</v>
      </c>
      <c r="AO50" s="114">
        <f t="shared" si="15"/>
        <v>132.23040066192792</v>
      </c>
      <c r="AP50" s="114">
        <f t="shared" si="15"/>
        <v>0</v>
      </c>
      <c r="AQ50" s="114">
        <f t="shared" si="15"/>
        <v>132.23040066192792</v>
      </c>
      <c r="AR50" s="114">
        <f t="shared" si="15"/>
        <v>0</v>
      </c>
      <c r="AS50" s="114">
        <f t="shared" si="15"/>
        <v>132.23040066192792</v>
      </c>
      <c r="AT50" s="114">
        <f t="shared" si="15"/>
        <v>0</v>
      </c>
      <c r="AU50" s="114">
        <f t="shared" si="15"/>
        <v>132.23040066192792</v>
      </c>
      <c r="AV50" s="114">
        <f t="shared" si="15"/>
        <v>0</v>
      </c>
      <c r="AW50" s="114">
        <f t="shared" si="15"/>
        <v>132.23040066192792</v>
      </c>
      <c r="AX50" s="114">
        <f t="shared" si="15"/>
        <v>0</v>
      </c>
      <c r="AY50" s="114">
        <f t="shared" si="15"/>
        <v>132.23040066192792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2</v>
      </c>
      <c r="E52" s="114">
        <v>2</v>
      </c>
      <c r="F52" s="114">
        <v>2</v>
      </c>
      <c r="G52" s="114">
        <v>2</v>
      </c>
      <c r="H52" s="114">
        <v>2</v>
      </c>
      <c r="I52" s="114">
        <v>2</v>
      </c>
      <c r="J52" s="114">
        <v>3</v>
      </c>
      <c r="K52" s="114">
        <v>2</v>
      </c>
      <c r="L52" s="114">
        <v>4</v>
      </c>
      <c r="M52" s="114">
        <v>2</v>
      </c>
      <c r="N52" s="114">
        <v>2</v>
      </c>
      <c r="O52" s="114">
        <v>3</v>
      </c>
      <c r="P52" s="114">
        <v>2</v>
      </c>
      <c r="Q52" s="114">
        <v>4</v>
      </c>
      <c r="R52" s="114">
        <v>2</v>
      </c>
      <c r="S52" s="114">
        <v>3</v>
      </c>
      <c r="T52" s="114">
        <v>2</v>
      </c>
      <c r="U52" s="114">
        <v>2</v>
      </c>
      <c r="V52" s="114">
        <v>3</v>
      </c>
      <c r="W52" s="114">
        <v>2</v>
      </c>
      <c r="X52" s="114">
        <v>2</v>
      </c>
      <c r="Y52" s="114">
        <v>2</v>
      </c>
      <c r="Z52" s="114">
        <v>3</v>
      </c>
      <c r="AA52" s="114">
        <v>2</v>
      </c>
      <c r="AB52" s="114">
        <v>2</v>
      </c>
      <c r="AC52" s="114">
        <v>2</v>
      </c>
      <c r="AD52" s="114">
        <v>2</v>
      </c>
      <c r="AE52" s="114">
        <v>3</v>
      </c>
      <c r="AF52" s="114">
        <v>3</v>
      </c>
      <c r="AG52" s="114">
        <v>3</v>
      </c>
      <c r="AH52" s="114">
        <v>2</v>
      </c>
      <c r="AI52" s="114">
        <v>2</v>
      </c>
      <c r="AJ52" s="114">
        <v>3</v>
      </c>
      <c r="AK52" s="114">
        <v>2</v>
      </c>
      <c r="AL52" s="114">
        <v>2</v>
      </c>
      <c r="AM52" s="114">
        <v>3</v>
      </c>
      <c r="AN52" s="114">
        <v>2</v>
      </c>
      <c r="AO52" s="114">
        <v>2</v>
      </c>
      <c r="AP52" s="114">
        <v>2</v>
      </c>
      <c r="AQ52" s="114">
        <v>3</v>
      </c>
      <c r="AR52" s="114">
        <v>3</v>
      </c>
      <c r="AS52" s="114">
        <v>3</v>
      </c>
      <c r="AT52" s="114">
        <v>3</v>
      </c>
      <c r="AU52" s="114">
        <v>2</v>
      </c>
      <c r="AV52" s="114">
        <v>2</v>
      </c>
      <c r="AW52" s="114">
        <v>2</v>
      </c>
      <c r="AX52" s="114">
        <v>3</v>
      </c>
      <c r="AY52" s="114">
        <v>3</v>
      </c>
    </row>
    <row r="53" spans="1:52" x14ac:dyDescent="0.2">
      <c r="A53" s="114"/>
      <c r="B53" s="179" t="s">
        <v>350</v>
      </c>
      <c r="C53" s="114"/>
      <c r="D53" s="114">
        <v>421020</v>
      </c>
      <c r="E53" s="114">
        <v>0</v>
      </c>
      <c r="F53" s="114">
        <v>421020</v>
      </c>
      <c r="G53" s="114">
        <v>0</v>
      </c>
      <c r="H53" s="114">
        <v>421020</v>
      </c>
      <c r="I53" s="114">
        <v>0</v>
      </c>
      <c r="J53" s="114">
        <v>421020</v>
      </c>
      <c r="K53" s="114">
        <v>0</v>
      </c>
      <c r="L53" s="114">
        <v>421020</v>
      </c>
      <c r="M53" s="114">
        <v>0</v>
      </c>
      <c r="N53" s="114">
        <v>421020</v>
      </c>
      <c r="O53" s="114">
        <v>0</v>
      </c>
      <c r="P53" s="114">
        <v>421020</v>
      </c>
      <c r="Q53" s="114">
        <v>0</v>
      </c>
      <c r="R53" s="114">
        <v>421020</v>
      </c>
      <c r="S53" s="114">
        <v>0</v>
      </c>
      <c r="T53" s="114">
        <v>421020</v>
      </c>
      <c r="U53" s="114">
        <v>0</v>
      </c>
      <c r="V53" s="114">
        <v>421020</v>
      </c>
      <c r="W53" s="114">
        <v>0</v>
      </c>
      <c r="X53" s="114">
        <v>421020</v>
      </c>
      <c r="Y53" s="114">
        <v>0</v>
      </c>
      <c r="Z53" s="114">
        <v>421020</v>
      </c>
      <c r="AA53" s="114">
        <v>0</v>
      </c>
      <c r="AB53" s="114">
        <v>421020</v>
      </c>
      <c r="AC53" s="114">
        <v>0</v>
      </c>
      <c r="AD53" s="114">
        <v>421020</v>
      </c>
      <c r="AE53" s="114">
        <v>0</v>
      </c>
      <c r="AF53" s="114">
        <v>421020</v>
      </c>
      <c r="AG53" s="114">
        <v>0</v>
      </c>
      <c r="AH53" s="114">
        <v>421020</v>
      </c>
      <c r="AI53" s="114">
        <v>0</v>
      </c>
      <c r="AJ53" s="114">
        <v>421020</v>
      </c>
      <c r="AK53" s="114">
        <v>0</v>
      </c>
      <c r="AL53" s="114">
        <v>421020</v>
      </c>
      <c r="AM53" s="114">
        <v>0</v>
      </c>
      <c r="AN53" s="114">
        <v>421020</v>
      </c>
      <c r="AO53" s="114">
        <v>0</v>
      </c>
      <c r="AP53" s="114">
        <v>421020</v>
      </c>
      <c r="AQ53" s="114">
        <v>0</v>
      </c>
      <c r="AR53" s="114">
        <v>421020</v>
      </c>
      <c r="AS53" s="114">
        <v>0</v>
      </c>
      <c r="AT53" s="114">
        <v>421020</v>
      </c>
      <c r="AU53" s="114">
        <v>0</v>
      </c>
      <c r="AV53" s="114">
        <v>421020</v>
      </c>
      <c r="AW53" s="114">
        <v>0</v>
      </c>
      <c r="AX53" s="114">
        <v>421020</v>
      </c>
      <c r="AY53" s="114">
        <v>0</v>
      </c>
      <c r="AZ53">
        <f>SUM($D$53:$AY$53)</f>
        <v>10104480</v>
      </c>
    </row>
    <row r="54" spans="1:52" x14ac:dyDescent="0.2">
      <c r="A54" s="128"/>
      <c r="B54" s="143" t="s">
        <v>351</v>
      </c>
      <c r="C54" s="128"/>
      <c r="D54" s="128">
        <v>0</v>
      </c>
      <c r="E54" s="128">
        <v>201036.48964636211</v>
      </c>
      <c r="F54" s="128">
        <v>0</v>
      </c>
      <c r="G54" s="128">
        <v>201036.48964636211</v>
      </c>
      <c r="H54" s="128">
        <v>0</v>
      </c>
      <c r="I54" s="128">
        <v>201036.48964636211</v>
      </c>
      <c r="J54" s="128">
        <v>0</v>
      </c>
      <c r="K54" s="128">
        <v>201036.48964636211</v>
      </c>
      <c r="L54" s="128">
        <v>0</v>
      </c>
      <c r="M54" s="128">
        <v>201036.48964636211</v>
      </c>
      <c r="N54" s="128">
        <v>0</v>
      </c>
      <c r="O54" s="128">
        <v>201036.48964636211</v>
      </c>
      <c r="P54" s="128">
        <v>0</v>
      </c>
      <c r="Q54" s="128">
        <v>201036.48964636211</v>
      </c>
      <c r="R54" s="128">
        <v>0</v>
      </c>
      <c r="S54" s="128">
        <v>201036.48964636211</v>
      </c>
      <c r="T54" s="128">
        <v>0</v>
      </c>
      <c r="U54" s="128">
        <v>201036.48964636211</v>
      </c>
      <c r="V54" s="128">
        <v>0</v>
      </c>
      <c r="W54" s="128">
        <v>201036.48964636211</v>
      </c>
      <c r="X54" s="128">
        <v>0</v>
      </c>
      <c r="Y54" s="128">
        <v>201036.48964636211</v>
      </c>
      <c r="Z54" s="128">
        <v>0</v>
      </c>
      <c r="AA54" s="128">
        <v>201036.48964636211</v>
      </c>
      <c r="AB54" s="128">
        <v>0</v>
      </c>
      <c r="AC54" s="128">
        <v>201036.48964636211</v>
      </c>
      <c r="AD54" s="128">
        <v>0</v>
      </c>
      <c r="AE54" s="128">
        <v>201036.48964636211</v>
      </c>
      <c r="AF54" s="128">
        <v>0</v>
      </c>
      <c r="AG54" s="128">
        <v>201036.48964636211</v>
      </c>
      <c r="AH54" s="128">
        <v>0</v>
      </c>
      <c r="AI54" s="128">
        <v>201036.48964636211</v>
      </c>
      <c r="AJ54" s="128">
        <v>0</v>
      </c>
      <c r="AK54" s="128">
        <v>201036.48964636211</v>
      </c>
      <c r="AL54" s="128">
        <v>0</v>
      </c>
      <c r="AM54" s="128">
        <v>201036.48964636211</v>
      </c>
      <c r="AN54" s="128">
        <v>0</v>
      </c>
      <c r="AO54" s="128">
        <v>201036.48964636211</v>
      </c>
      <c r="AP54" s="128">
        <v>0</v>
      </c>
      <c r="AQ54" s="128">
        <v>201036.48964636211</v>
      </c>
      <c r="AR54" s="128">
        <v>0</v>
      </c>
      <c r="AS54" s="128">
        <v>201036.48964636211</v>
      </c>
      <c r="AT54" s="128">
        <v>0</v>
      </c>
      <c r="AU54" s="128">
        <v>201036.48964636211</v>
      </c>
      <c r="AV54" s="128">
        <v>0</v>
      </c>
      <c r="AW54" s="128">
        <v>201036.48964636211</v>
      </c>
      <c r="AX54" s="128">
        <v>0</v>
      </c>
      <c r="AY54" s="128">
        <v>201036.48964636211</v>
      </c>
      <c r="AZ54">
        <f>SUM($D$54:$AY$54)</f>
        <v>4824875.7515126904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12</v>
      </c>
      <c r="E2" s="114"/>
    </row>
    <row r="3" spans="1:52" x14ac:dyDescent="0.2">
      <c r="A3" t="s">
        <v>286</v>
      </c>
      <c r="B3" s="111">
        <v>3589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1819.6571148446767</v>
      </c>
      <c r="E7" s="147">
        <v>1819.6571148446767</v>
      </c>
      <c r="F7" s="147">
        <v>1819.6571148446767</v>
      </c>
      <c r="G7" s="147">
        <v>1819.6571148446767</v>
      </c>
      <c r="H7" s="147">
        <v>1819.6571148446767</v>
      </c>
      <c r="I7" s="147">
        <v>1819.6571148446767</v>
      </c>
      <c r="J7" s="147">
        <v>1819.6571148446767</v>
      </c>
      <c r="K7" s="147">
        <v>1819.6571148446767</v>
      </c>
      <c r="L7" s="147">
        <v>1819.6571148446767</v>
      </c>
      <c r="M7" s="147">
        <v>1819.6571148446767</v>
      </c>
      <c r="N7" s="147">
        <v>1819.6571148446767</v>
      </c>
      <c r="O7" s="147">
        <v>1819.6571148446767</v>
      </c>
      <c r="P7" s="147">
        <v>1819.6571148446767</v>
      </c>
      <c r="Q7" s="147">
        <v>1819.6571148446767</v>
      </c>
      <c r="R7" s="147">
        <v>1819.6571148446767</v>
      </c>
      <c r="S7" s="147">
        <v>1819.6571148446767</v>
      </c>
      <c r="T7" s="147">
        <v>1819.6571148446767</v>
      </c>
      <c r="U7" s="147">
        <v>1819.6571148446767</v>
      </c>
      <c r="V7" s="147">
        <v>1819.6571148446767</v>
      </c>
      <c r="W7" s="147">
        <v>1819.6571148446767</v>
      </c>
      <c r="X7" s="147">
        <v>1819.6571148446767</v>
      </c>
      <c r="Y7" s="147">
        <v>1819.6571148446767</v>
      </c>
      <c r="Z7" s="147">
        <v>1819.6571148446767</v>
      </c>
      <c r="AA7" s="147">
        <v>1819.6571148446767</v>
      </c>
      <c r="AB7" s="147">
        <v>1819.6571148446767</v>
      </c>
      <c r="AC7" s="147">
        <v>1819.6571148446767</v>
      </c>
      <c r="AD7" s="147">
        <v>1819.6571148446767</v>
      </c>
      <c r="AE7" s="147">
        <v>1819.6571148446767</v>
      </c>
      <c r="AF7" s="147">
        <v>1819.6571148446767</v>
      </c>
      <c r="AG7" s="147">
        <v>1819.6571148446767</v>
      </c>
      <c r="AH7" s="147">
        <v>1819.6571148446767</v>
      </c>
      <c r="AI7" s="147">
        <v>1819.6571148446767</v>
      </c>
      <c r="AJ7" s="147">
        <v>1819.6571148446767</v>
      </c>
      <c r="AK7" s="147">
        <v>1819.6571148446767</v>
      </c>
      <c r="AL7" s="147">
        <v>1819.6571148446767</v>
      </c>
      <c r="AM7" s="147">
        <v>1819.6571148446767</v>
      </c>
      <c r="AN7" s="147">
        <v>1819.6571148446767</v>
      </c>
      <c r="AO7" s="147">
        <v>1819.6571148446767</v>
      </c>
      <c r="AP7" s="147">
        <v>1819.6571148446767</v>
      </c>
      <c r="AQ7" s="147">
        <v>1819.6571148446767</v>
      </c>
      <c r="AR7" s="147">
        <v>1819.6571148446767</v>
      </c>
      <c r="AS7" s="147">
        <v>1819.6571148446767</v>
      </c>
      <c r="AT7" s="147">
        <v>1819.6571148446767</v>
      </c>
      <c r="AU7" s="147">
        <v>1819.6571148446767</v>
      </c>
      <c r="AV7" s="147">
        <v>1819.6571148446767</v>
      </c>
      <c r="AW7" s="147">
        <v>1819.6571148446767</v>
      </c>
      <c r="AX7" s="147">
        <v>1819.6571148446767</v>
      </c>
      <c r="AY7" s="147">
        <v>1819.6571148446767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50.314229689353397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0</v>
      </c>
      <c r="AM10" s="147">
        <f t="shared" si="0"/>
        <v>0</v>
      </c>
      <c r="AN10" s="147">
        <f t="shared" si="0"/>
        <v>0</v>
      </c>
      <c r="AO10" s="147">
        <f t="shared" si="0"/>
        <v>0</v>
      </c>
      <c r="AP10" s="147">
        <f t="shared" si="0"/>
        <v>0</v>
      </c>
      <c r="AQ10" s="147">
        <f t="shared" si="0"/>
        <v>0</v>
      </c>
      <c r="AR10" s="147">
        <f t="shared" si="0"/>
        <v>0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0</v>
      </c>
      <c r="AX10" s="147">
        <f t="shared" si="0"/>
        <v>0</v>
      </c>
      <c r="AY10" s="147">
        <f t="shared" si="0"/>
        <v>0</v>
      </c>
      <c r="AZ10" s="154">
        <f>SUM($D10:$AY10)</f>
        <v>50.314229689353397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1133.4686446261117</v>
      </c>
      <c r="D13" s="141">
        <f t="shared" ref="D13:AY13" si="1">D$7-D$10</f>
        <v>1819.6571148446767</v>
      </c>
      <c r="E13" s="141">
        <f t="shared" si="1"/>
        <v>1819.6571148446767</v>
      </c>
      <c r="F13" s="141">
        <f t="shared" si="1"/>
        <v>1819.6571148446767</v>
      </c>
      <c r="G13" s="141">
        <f t="shared" si="1"/>
        <v>1819.6571148446767</v>
      </c>
      <c r="H13" s="141">
        <f t="shared" si="1"/>
        <v>1769.3428851553233</v>
      </c>
      <c r="I13" s="141">
        <f t="shared" si="1"/>
        <v>1819.6571148446767</v>
      </c>
      <c r="J13" s="141">
        <f t="shared" si="1"/>
        <v>1819.6571148446767</v>
      </c>
      <c r="K13" s="141">
        <f t="shared" si="1"/>
        <v>1819.6571148446767</v>
      </c>
      <c r="L13" s="141">
        <f t="shared" si="1"/>
        <v>1819.6571148446767</v>
      </c>
      <c r="M13" s="141">
        <f t="shared" si="1"/>
        <v>1819.6571148446767</v>
      </c>
      <c r="N13" s="141">
        <f t="shared" si="1"/>
        <v>1819.6571148446767</v>
      </c>
      <c r="O13" s="141">
        <f t="shared" si="1"/>
        <v>1819.6571148446767</v>
      </c>
      <c r="P13" s="141">
        <f t="shared" si="1"/>
        <v>1819.6571148446767</v>
      </c>
      <c r="Q13" s="141">
        <f t="shared" si="1"/>
        <v>1819.6571148446767</v>
      </c>
      <c r="R13" s="141">
        <f t="shared" si="1"/>
        <v>1819.6571148446767</v>
      </c>
      <c r="S13" s="141">
        <f t="shared" si="1"/>
        <v>1819.6571148446767</v>
      </c>
      <c r="T13" s="141">
        <f t="shared" si="1"/>
        <v>1819.6571148446767</v>
      </c>
      <c r="U13" s="141">
        <f t="shared" si="1"/>
        <v>1819.6571148446767</v>
      </c>
      <c r="V13" s="141">
        <f t="shared" si="1"/>
        <v>1819.6571148446767</v>
      </c>
      <c r="W13" s="141">
        <f t="shared" si="1"/>
        <v>1819.6571148446767</v>
      </c>
      <c r="X13" s="141">
        <f t="shared" si="1"/>
        <v>1819.6571148446767</v>
      </c>
      <c r="Y13" s="141">
        <f t="shared" si="1"/>
        <v>1819.6571148446767</v>
      </c>
      <c r="Z13" s="141">
        <f t="shared" si="1"/>
        <v>1819.6571148446767</v>
      </c>
      <c r="AA13" s="141">
        <f t="shared" si="1"/>
        <v>1819.6571148446767</v>
      </c>
      <c r="AB13" s="141">
        <f t="shared" si="1"/>
        <v>1819.6571148446767</v>
      </c>
      <c r="AC13" s="141">
        <f t="shared" si="1"/>
        <v>1819.6571148446767</v>
      </c>
      <c r="AD13" s="141">
        <f t="shared" si="1"/>
        <v>1819.6571148446767</v>
      </c>
      <c r="AE13" s="141">
        <f t="shared" si="1"/>
        <v>1819.6571148446767</v>
      </c>
      <c r="AF13" s="141">
        <f t="shared" si="1"/>
        <v>1819.6571148446767</v>
      </c>
      <c r="AG13" s="141">
        <f t="shared" si="1"/>
        <v>1819.6571148446767</v>
      </c>
      <c r="AH13" s="141">
        <f t="shared" si="1"/>
        <v>1819.6571148446767</v>
      </c>
      <c r="AI13" s="141">
        <f t="shared" si="1"/>
        <v>1819.6571148446767</v>
      </c>
      <c r="AJ13" s="141">
        <f t="shared" si="1"/>
        <v>1819.6571148446767</v>
      </c>
      <c r="AK13" s="141">
        <f t="shared" si="1"/>
        <v>1819.6571148446767</v>
      </c>
      <c r="AL13" s="141">
        <f t="shared" si="1"/>
        <v>1819.6571148446767</v>
      </c>
      <c r="AM13" s="141">
        <f t="shared" si="1"/>
        <v>1819.6571148446767</v>
      </c>
      <c r="AN13" s="141">
        <f t="shared" si="1"/>
        <v>1819.6571148446767</v>
      </c>
      <c r="AO13" s="141">
        <f t="shared" si="1"/>
        <v>1819.6571148446767</v>
      </c>
      <c r="AP13" s="141">
        <f t="shared" si="1"/>
        <v>1819.6571148446767</v>
      </c>
      <c r="AQ13" s="141">
        <f t="shared" si="1"/>
        <v>1819.6571148446767</v>
      </c>
      <c r="AR13" s="141">
        <f t="shared" si="1"/>
        <v>1819.6571148446767</v>
      </c>
      <c r="AS13" s="141">
        <f t="shared" si="1"/>
        <v>1819.6571148446767</v>
      </c>
      <c r="AT13" s="141">
        <f t="shared" si="1"/>
        <v>1819.6571148446767</v>
      </c>
      <c r="AU13" s="141">
        <f t="shared" si="1"/>
        <v>1819.6571148446767</v>
      </c>
      <c r="AV13" s="141">
        <f t="shared" si="1"/>
        <v>1819.6571148446767</v>
      </c>
      <c r="AW13" s="141">
        <f t="shared" si="1"/>
        <v>1819.6571148446767</v>
      </c>
      <c r="AX13" s="141">
        <f t="shared" si="1"/>
        <v>1819.6571148446767</v>
      </c>
      <c r="AY13" s="141">
        <f t="shared" si="1"/>
        <v>1819.6571148446767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1819.6571148446767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0</v>
      </c>
      <c r="Y14" s="110">
        <f t="shared" si="2"/>
        <v>0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0</v>
      </c>
      <c r="AD14" s="110">
        <f t="shared" si="2"/>
        <v>0</v>
      </c>
      <c r="AE14" s="110">
        <f t="shared" si="2"/>
        <v>0</v>
      </c>
      <c r="AF14" s="110">
        <f t="shared" si="2"/>
        <v>0</v>
      </c>
      <c r="AG14" s="110">
        <f t="shared" si="2"/>
        <v>0</v>
      </c>
      <c r="AH14" s="110">
        <f t="shared" si="2"/>
        <v>0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0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 t="s">
        <v>339</v>
      </c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 t="s">
        <v>339</v>
      </c>
      <c r="AZ20" s="111"/>
    </row>
    <row r="21" spans="1:52" s="114" customFormat="1" x14ac:dyDescent="0.2">
      <c r="A21" s="158" t="s">
        <v>133</v>
      </c>
      <c r="B21" s="159">
        <f>shipping_manufacturing!$G$19/100</f>
        <v>0.8</v>
      </c>
      <c r="C21" s="159" t="s">
        <v>293</v>
      </c>
      <c r="D21" s="110">
        <f>IF(C$20="Yes",0,SUM(C$13:C$16)*$B$21)</f>
        <v>906.77491570088932</v>
      </c>
      <c r="E21" s="110">
        <f t="shared" ref="E21:AY21" si="3">IF(D$20="Yes",0,SUM(D$13:D$16)*$B$21)</f>
        <v>1455.7256918757414</v>
      </c>
      <c r="F21" s="110">
        <f t="shared" si="3"/>
        <v>1455.7256918757414</v>
      </c>
      <c r="G21" s="110">
        <f t="shared" si="3"/>
        <v>1455.7256918757414</v>
      </c>
      <c r="H21" s="110">
        <f t="shared" si="3"/>
        <v>0</v>
      </c>
      <c r="I21" s="110">
        <f t="shared" si="3"/>
        <v>2871.2000000000003</v>
      </c>
      <c r="J21" s="110">
        <f t="shared" si="3"/>
        <v>1455.7256918757414</v>
      </c>
      <c r="K21" s="110">
        <f t="shared" si="3"/>
        <v>1455.7256918757414</v>
      </c>
      <c r="L21" s="110">
        <f t="shared" si="3"/>
        <v>1455.7256918757414</v>
      </c>
      <c r="M21" s="110">
        <f t="shared" si="3"/>
        <v>1455.7256918757414</v>
      </c>
      <c r="N21" s="110">
        <f t="shared" si="3"/>
        <v>1455.7256918757414</v>
      </c>
      <c r="O21" s="110">
        <f t="shared" si="3"/>
        <v>1455.7256918757414</v>
      </c>
      <c r="P21" s="110">
        <f t="shared" si="3"/>
        <v>1455.7256918757414</v>
      </c>
      <c r="Q21" s="110">
        <f t="shared" si="3"/>
        <v>1455.7256918757414</v>
      </c>
      <c r="R21" s="110">
        <f t="shared" si="3"/>
        <v>1455.7256918757414</v>
      </c>
      <c r="S21" s="110">
        <f t="shared" si="3"/>
        <v>1455.7256918757414</v>
      </c>
      <c r="T21" s="110">
        <f t="shared" si="3"/>
        <v>1455.7256918757414</v>
      </c>
      <c r="U21" s="110">
        <f t="shared" si="3"/>
        <v>1455.7256918757414</v>
      </c>
      <c r="V21" s="110">
        <f t="shared" si="3"/>
        <v>1455.7256918757414</v>
      </c>
      <c r="W21" s="110">
        <f t="shared" si="3"/>
        <v>1455.7256918757414</v>
      </c>
      <c r="X21" s="110">
        <f t="shared" si="3"/>
        <v>1455.7256918757414</v>
      </c>
      <c r="Y21" s="110">
        <f t="shared" si="3"/>
        <v>1455.7256918757414</v>
      </c>
      <c r="Z21" s="110">
        <f t="shared" si="3"/>
        <v>1455.7256918757414</v>
      </c>
      <c r="AA21" s="110">
        <f t="shared" si="3"/>
        <v>1455.7256918757414</v>
      </c>
      <c r="AB21" s="110">
        <f t="shared" si="3"/>
        <v>1455.7256918757414</v>
      </c>
      <c r="AC21" s="110">
        <f t="shared" si="3"/>
        <v>1455.7256918757414</v>
      </c>
      <c r="AD21" s="110">
        <f t="shared" si="3"/>
        <v>1455.7256918757414</v>
      </c>
      <c r="AE21" s="110">
        <f t="shared" si="3"/>
        <v>1455.7256918757414</v>
      </c>
      <c r="AF21" s="110">
        <f t="shared" si="3"/>
        <v>1455.7256918757414</v>
      </c>
      <c r="AG21" s="110">
        <f t="shared" si="3"/>
        <v>1455.7256918757414</v>
      </c>
      <c r="AH21" s="110">
        <f t="shared" si="3"/>
        <v>1455.7256918757414</v>
      </c>
      <c r="AI21" s="110">
        <f t="shared" si="3"/>
        <v>1455.7256918757414</v>
      </c>
      <c r="AJ21" s="110">
        <f t="shared" si="3"/>
        <v>1455.7256918757414</v>
      </c>
      <c r="AK21" s="110">
        <f t="shared" si="3"/>
        <v>1455.7256918757414</v>
      </c>
      <c r="AL21" s="110">
        <f t="shared" si="3"/>
        <v>1455.7256918757414</v>
      </c>
      <c r="AM21" s="110">
        <f t="shared" si="3"/>
        <v>1455.7256918757414</v>
      </c>
      <c r="AN21" s="110">
        <f t="shared" si="3"/>
        <v>1455.7256918757414</v>
      </c>
      <c r="AO21" s="110">
        <f t="shared" si="3"/>
        <v>1455.7256918757414</v>
      </c>
      <c r="AP21" s="110">
        <f t="shared" si="3"/>
        <v>1455.7256918757414</v>
      </c>
      <c r="AQ21" s="110">
        <f t="shared" si="3"/>
        <v>1455.7256918757414</v>
      </c>
      <c r="AR21" s="110">
        <f t="shared" si="3"/>
        <v>1455.7256918757414</v>
      </c>
      <c r="AS21" s="110">
        <f t="shared" si="3"/>
        <v>1455.7256918757414</v>
      </c>
      <c r="AT21" s="110">
        <f t="shared" si="3"/>
        <v>1455.7256918757414</v>
      </c>
      <c r="AU21" s="110">
        <f t="shared" si="3"/>
        <v>1455.7256918757414</v>
      </c>
      <c r="AV21" s="110">
        <f t="shared" si="3"/>
        <v>1455.7256918757414</v>
      </c>
      <c r="AW21" s="110">
        <f t="shared" si="3"/>
        <v>1455.7256918757414</v>
      </c>
      <c r="AX21" s="110">
        <f t="shared" si="3"/>
        <v>1455.7256918757414</v>
      </c>
      <c r="AY21" s="110">
        <f t="shared" si="3"/>
        <v>1455.7256918757414</v>
      </c>
      <c r="AZ21" s="160">
        <f>SUM($D21:$AY21)</f>
        <v>69285.631050109267</v>
      </c>
    </row>
    <row r="22" spans="1:52" s="114" customFormat="1" x14ac:dyDescent="0.2">
      <c r="A22" s="161" t="s">
        <v>123</v>
      </c>
      <c r="B22" s="162">
        <f>1-$B$21</f>
        <v>0.19999999999999996</v>
      </c>
      <c r="C22" s="162" t="s">
        <v>293</v>
      </c>
      <c r="D22" s="117">
        <f>IF(C$20="Yes",0,SUM(C$13:C$16)*$B$22)</f>
        <v>226.69372892522227</v>
      </c>
      <c r="E22" s="117">
        <f t="shared" ref="E22:AY22" si="4">IF(D$20="Yes",0,SUM(D$13:D$16)*$B$22)</f>
        <v>363.93142296893524</v>
      </c>
      <c r="F22" s="117">
        <f t="shared" si="4"/>
        <v>363.93142296893524</v>
      </c>
      <c r="G22" s="117">
        <f t="shared" si="4"/>
        <v>363.93142296893524</v>
      </c>
      <c r="H22" s="117">
        <f t="shared" si="4"/>
        <v>0</v>
      </c>
      <c r="I22" s="117">
        <f t="shared" si="4"/>
        <v>717.79999999999984</v>
      </c>
      <c r="J22" s="117">
        <f t="shared" si="4"/>
        <v>363.93142296893524</v>
      </c>
      <c r="K22" s="117">
        <f t="shared" si="4"/>
        <v>363.93142296893524</v>
      </c>
      <c r="L22" s="117">
        <f t="shared" si="4"/>
        <v>363.93142296893524</v>
      </c>
      <c r="M22" s="117">
        <f t="shared" si="4"/>
        <v>363.93142296893524</v>
      </c>
      <c r="N22" s="117">
        <f t="shared" si="4"/>
        <v>363.93142296893524</v>
      </c>
      <c r="O22" s="117">
        <f t="shared" si="4"/>
        <v>363.93142296893524</v>
      </c>
      <c r="P22" s="117">
        <f t="shared" si="4"/>
        <v>363.93142296893524</v>
      </c>
      <c r="Q22" s="117">
        <f t="shared" si="4"/>
        <v>363.93142296893524</v>
      </c>
      <c r="R22" s="117">
        <f t="shared" si="4"/>
        <v>363.93142296893524</v>
      </c>
      <c r="S22" s="117">
        <f t="shared" si="4"/>
        <v>363.93142296893524</v>
      </c>
      <c r="T22" s="117">
        <f t="shared" si="4"/>
        <v>363.93142296893524</v>
      </c>
      <c r="U22" s="117">
        <f t="shared" si="4"/>
        <v>363.93142296893524</v>
      </c>
      <c r="V22" s="117">
        <f t="shared" si="4"/>
        <v>363.93142296893524</v>
      </c>
      <c r="W22" s="117">
        <f t="shared" si="4"/>
        <v>363.93142296893524</v>
      </c>
      <c r="X22" s="117">
        <f t="shared" si="4"/>
        <v>363.93142296893524</v>
      </c>
      <c r="Y22" s="117">
        <f t="shared" si="4"/>
        <v>363.93142296893524</v>
      </c>
      <c r="Z22" s="117">
        <f t="shared" si="4"/>
        <v>363.93142296893524</v>
      </c>
      <c r="AA22" s="117">
        <f t="shared" si="4"/>
        <v>363.93142296893524</v>
      </c>
      <c r="AB22" s="117">
        <f t="shared" si="4"/>
        <v>363.93142296893524</v>
      </c>
      <c r="AC22" s="117">
        <f t="shared" si="4"/>
        <v>363.93142296893524</v>
      </c>
      <c r="AD22" s="117">
        <f t="shared" si="4"/>
        <v>363.93142296893524</v>
      </c>
      <c r="AE22" s="117">
        <f t="shared" si="4"/>
        <v>363.93142296893524</v>
      </c>
      <c r="AF22" s="117">
        <f t="shared" si="4"/>
        <v>363.93142296893524</v>
      </c>
      <c r="AG22" s="117">
        <f t="shared" si="4"/>
        <v>363.93142296893524</v>
      </c>
      <c r="AH22" s="117">
        <f t="shared" si="4"/>
        <v>363.93142296893524</v>
      </c>
      <c r="AI22" s="117">
        <f t="shared" si="4"/>
        <v>363.93142296893524</v>
      </c>
      <c r="AJ22" s="117">
        <f t="shared" si="4"/>
        <v>363.93142296893524</v>
      </c>
      <c r="AK22" s="117">
        <f t="shared" si="4"/>
        <v>363.93142296893524</v>
      </c>
      <c r="AL22" s="117">
        <f t="shared" si="4"/>
        <v>363.93142296893524</v>
      </c>
      <c r="AM22" s="117">
        <f t="shared" si="4"/>
        <v>363.93142296893524</v>
      </c>
      <c r="AN22" s="117">
        <f t="shared" si="4"/>
        <v>363.93142296893524</v>
      </c>
      <c r="AO22" s="117">
        <f t="shared" si="4"/>
        <v>363.93142296893524</v>
      </c>
      <c r="AP22" s="117">
        <f t="shared" si="4"/>
        <v>363.93142296893524</v>
      </c>
      <c r="AQ22" s="117">
        <f t="shared" si="4"/>
        <v>363.93142296893524</v>
      </c>
      <c r="AR22" s="117">
        <f t="shared" si="4"/>
        <v>363.93142296893524</v>
      </c>
      <c r="AS22" s="117">
        <f t="shared" si="4"/>
        <v>363.93142296893524</v>
      </c>
      <c r="AT22" s="117">
        <f t="shared" si="4"/>
        <v>363.93142296893524</v>
      </c>
      <c r="AU22" s="117">
        <f t="shared" si="4"/>
        <v>363.93142296893524</v>
      </c>
      <c r="AV22" s="117">
        <f t="shared" si="4"/>
        <v>363.93142296893524</v>
      </c>
      <c r="AW22" s="117">
        <f t="shared" si="4"/>
        <v>363.93142296893524</v>
      </c>
      <c r="AX22" s="117">
        <f t="shared" si="4"/>
        <v>363.93142296893524</v>
      </c>
      <c r="AY22" s="117">
        <f t="shared" si="4"/>
        <v>363.93142296893524</v>
      </c>
      <c r="AZ22" s="144">
        <f t="shared" ref="AZ22:AZ30" si="5">SUM($D22:$AY22)</f>
        <v>17321.407762527306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1813549.8314017786</v>
      </c>
      <c r="E23">
        <f t="shared" ref="E23:AY23" si="6">E$21*$B$23</f>
        <v>2911451.3837514827</v>
      </c>
      <c r="F23">
        <f t="shared" si="6"/>
        <v>2911451.3837514827</v>
      </c>
      <c r="G23">
        <f t="shared" si="6"/>
        <v>2911451.3837514827</v>
      </c>
      <c r="H23">
        <f t="shared" si="6"/>
        <v>0</v>
      </c>
      <c r="I23">
        <f t="shared" si="6"/>
        <v>5742400.0000000009</v>
      </c>
      <c r="J23">
        <f t="shared" si="6"/>
        <v>2911451.3837514827</v>
      </c>
      <c r="K23">
        <f t="shared" si="6"/>
        <v>2911451.3837514827</v>
      </c>
      <c r="L23">
        <f t="shared" si="6"/>
        <v>2911451.3837514827</v>
      </c>
      <c r="M23">
        <f t="shared" si="6"/>
        <v>2911451.3837514827</v>
      </c>
      <c r="N23">
        <f t="shared" si="6"/>
        <v>2911451.3837514827</v>
      </c>
      <c r="O23">
        <f t="shared" si="6"/>
        <v>2911451.3837514827</v>
      </c>
      <c r="P23">
        <f t="shared" si="6"/>
        <v>2911451.3837514827</v>
      </c>
      <c r="Q23">
        <f t="shared" si="6"/>
        <v>2911451.3837514827</v>
      </c>
      <c r="R23">
        <f t="shared" si="6"/>
        <v>2911451.3837514827</v>
      </c>
      <c r="S23">
        <f t="shared" si="6"/>
        <v>2911451.3837514827</v>
      </c>
      <c r="T23">
        <f t="shared" si="6"/>
        <v>2911451.3837514827</v>
      </c>
      <c r="U23">
        <f t="shared" si="6"/>
        <v>2911451.3837514827</v>
      </c>
      <c r="V23">
        <f t="shared" si="6"/>
        <v>2911451.3837514827</v>
      </c>
      <c r="W23">
        <f t="shared" si="6"/>
        <v>2911451.3837514827</v>
      </c>
      <c r="X23">
        <f t="shared" si="6"/>
        <v>2911451.3837514827</v>
      </c>
      <c r="Y23">
        <f t="shared" si="6"/>
        <v>2911451.3837514827</v>
      </c>
      <c r="Z23">
        <f t="shared" si="6"/>
        <v>2911451.3837514827</v>
      </c>
      <c r="AA23">
        <f t="shared" si="6"/>
        <v>2911451.3837514827</v>
      </c>
      <c r="AB23">
        <f t="shared" si="6"/>
        <v>2911451.3837514827</v>
      </c>
      <c r="AC23">
        <f t="shared" si="6"/>
        <v>2911451.3837514827</v>
      </c>
      <c r="AD23">
        <f t="shared" si="6"/>
        <v>2911451.3837514827</v>
      </c>
      <c r="AE23">
        <f t="shared" si="6"/>
        <v>2911451.3837514827</v>
      </c>
      <c r="AF23">
        <f t="shared" si="6"/>
        <v>2911451.3837514827</v>
      </c>
      <c r="AG23">
        <f t="shared" si="6"/>
        <v>2911451.3837514827</v>
      </c>
      <c r="AH23">
        <f t="shared" si="6"/>
        <v>2911451.3837514827</v>
      </c>
      <c r="AI23">
        <f t="shared" si="6"/>
        <v>2911451.3837514827</v>
      </c>
      <c r="AJ23">
        <f t="shared" si="6"/>
        <v>2911451.3837514827</v>
      </c>
      <c r="AK23">
        <f t="shared" si="6"/>
        <v>2911451.3837514827</v>
      </c>
      <c r="AL23">
        <f t="shared" si="6"/>
        <v>2911451.3837514827</v>
      </c>
      <c r="AM23">
        <f t="shared" si="6"/>
        <v>2911451.3837514827</v>
      </c>
      <c r="AN23">
        <f t="shared" si="6"/>
        <v>2911451.3837514827</v>
      </c>
      <c r="AO23">
        <f t="shared" si="6"/>
        <v>2911451.3837514827</v>
      </c>
      <c r="AP23">
        <f t="shared" si="6"/>
        <v>2911451.3837514827</v>
      </c>
      <c r="AQ23">
        <f t="shared" si="6"/>
        <v>2911451.3837514827</v>
      </c>
      <c r="AR23">
        <f t="shared" si="6"/>
        <v>2911451.3837514827</v>
      </c>
      <c r="AS23">
        <f t="shared" si="6"/>
        <v>2911451.3837514827</v>
      </c>
      <c r="AT23">
        <f t="shared" si="6"/>
        <v>2911451.3837514827</v>
      </c>
      <c r="AU23">
        <f t="shared" si="6"/>
        <v>2911451.3837514827</v>
      </c>
      <c r="AV23">
        <f t="shared" si="6"/>
        <v>2911451.3837514827</v>
      </c>
      <c r="AW23">
        <f t="shared" si="6"/>
        <v>2911451.3837514827</v>
      </c>
      <c r="AX23">
        <f t="shared" si="6"/>
        <v>2911451.3837514827</v>
      </c>
      <c r="AY23">
        <f t="shared" si="6"/>
        <v>2911451.3837514827</v>
      </c>
      <c r="AZ23" s="142">
        <f t="shared" si="5"/>
        <v>138571262.10021847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226693.72892522227</v>
      </c>
      <c r="E24" s="110">
        <f t="shared" ref="E24:AY24" si="7">E$22*$B$24</f>
        <v>363931.42296893522</v>
      </c>
      <c r="F24" s="110">
        <f t="shared" si="7"/>
        <v>363931.42296893522</v>
      </c>
      <c r="G24" s="110">
        <f t="shared" si="7"/>
        <v>363931.42296893522</v>
      </c>
      <c r="H24" s="110">
        <f t="shared" si="7"/>
        <v>0</v>
      </c>
      <c r="I24" s="110">
        <f t="shared" si="7"/>
        <v>717799.99999999988</v>
      </c>
      <c r="J24" s="110">
        <f t="shared" si="7"/>
        <v>363931.42296893522</v>
      </c>
      <c r="K24" s="110">
        <f t="shared" si="7"/>
        <v>363931.42296893522</v>
      </c>
      <c r="L24" s="110">
        <f t="shared" si="7"/>
        <v>363931.42296893522</v>
      </c>
      <c r="M24" s="110">
        <f t="shared" si="7"/>
        <v>363931.42296893522</v>
      </c>
      <c r="N24" s="110">
        <f t="shared" si="7"/>
        <v>363931.42296893522</v>
      </c>
      <c r="O24" s="110">
        <f t="shared" si="7"/>
        <v>363931.42296893522</v>
      </c>
      <c r="P24" s="110">
        <f t="shared" si="7"/>
        <v>363931.42296893522</v>
      </c>
      <c r="Q24" s="110">
        <f t="shared" si="7"/>
        <v>363931.42296893522</v>
      </c>
      <c r="R24" s="110">
        <f t="shared" si="7"/>
        <v>363931.42296893522</v>
      </c>
      <c r="S24" s="110">
        <f t="shared" si="7"/>
        <v>363931.42296893522</v>
      </c>
      <c r="T24" s="110">
        <f t="shared" si="7"/>
        <v>363931.42296893522</v>
      </c>
      <c r="U24" s="110">
        <f t="shared" si="7"/>
        <v>363931.42296893522</v>
      </c>
      <c r="V24" s="110">
        <f t="shared" si="7"/>
        <v>363931.42296893522</v>
      </c>
      <c r="W24" s="110">
        <f t="shared" si="7"/>
        <v>363931.42296893522</v>
      </c>
      <c r="X24" s="110">
        <f t="shared" si="7"/>
        <v>363931.42296893522</v>
      </c>
      <c r="Y24" s="110">
        <f t="shared" si="7"/>
        <v>363931.42296893522</v>
      </c>
      <c r="Z24" s="110">
        <f t="shared" si="7"/>
        <v>363931.42296893522</v>
      </c>
      <c r="AA24" s="110">
        <f t="shared" si="7"/>
        <v>363931.42296893522</v>
      </c>
      <c r="AB24" s="110">
        <f t="shared" si="7"/>
        <v>363931.42296893522</v>
      </c>
      <c r="AC24" s="110">
        <f t="shared" si="7"/>
        <v>363931.42296893522</v>
      </c>
      <c r="AD24" s="110">
        <f t="shared" si="7"/>
        <v>363931.42296893522</v>
      </c>
      <c r="AE24" s="110">
        <f t="shared" si="7"/>
        <v>363931.42296893522</v>
      </c>
      <c r="AF24" s="110">
        <f t="shared" si="7"/>
        <v>363931.42296893522</v>
      </c>
      <c r="AG24" s="110">
        <f t="shared" si="7"/>
        <v>363931.42296893522</v>
      </c>
      <c r="AH24" s="110">
        <f t="shared" si="7"/>
        <v>363931.42296893522</v>
      </c>
      <c r="AI24" s="110">
        <f t="shared" si="7"/>
        <v>363931.42296893522</v>
      </c>
      <c r="AJ24" s="110">
        <f t="shared" si="7"/>
        <v>363931.42296893522</v>
      </c>
      <c r="AK24" s="110">
        <f t="shared" si="7"/>
        <v>363931.42296893522</v>
      </c>
      <c r="AL24" s="110">
        <f t="shared" si="7"/>
        <v>363931.42296893522</v>
      </c>
      <c r="AM24" s="110">
        <f t="shared" si="7"/>
        <v>363931.42296893522</v>
      </c>
      <c r="AN24" s="110">
        <f t="shared" si="7"/>
        <v>363931.42296893522</v>
      </c>
      <c r="AO24" s="110">
        <f t="shared" si="7"/>
        <v>363931.42296893522</v>
      </c>
      <c r="AP24" s="110">
        <f t="shared" si="7"/>
        <v>363931.42296893522</v>
      </c>
      <c r="AQ24" s="110">
        <f t="shared" si="7"/>
        <v>363931.42296893522</v>
      </c>
      <c r="AR24" s="110">
        <f t="shared" si="7"/>
        <v>363931.42296893522</v>
      </c>
      <c r="AS24" s="110">
        <f t="shared" si="7"/>
        <v>363931.42296893522</v>
      </c>
      <c r="AT24" s="110">
        <f t="shared" si="7"/>
        <v>363931.42296893522</v>
      </c>
      <c r="AU24" s="110">
        <f t="shared" si="7"/>
        <v>363931.42296893522</v>
      </c>
      <c r="AV24" s="110">
        <f t="shared" si="7"/>
        <v>363931.42296893522</v>
      </c>
      <c r="AW24" s="110">
        <f t="shared" si="7"/>
        <v>363931.42296893522</v>
      </c>
      <c r="AX24" s="110">
        <f t="shared" si="7"/>
        <v>363931.42296893522</v>
      </c>
      <c r="AY24" s="110">
        <f t="shared" si="7"/>
        <v>363931.42296893522</v>
      </c>
      <c r="AZ24" s="144">
        <f t="shared" si="5"/>
        <v>17321407.762527306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14</v>
      </c>
      <c r="D27" s="127">
        <f>C$27-C$28+C$29</f>
        <v>39</v>
      </c>
      <c r="E27" s="127">
        <f t="shared" ref="E27:AY27" si="8">D27-D28+D29</f>
        <v>15</v>
      </c>
      <c r="F27" s="127">
        <f t="shared" si="8"/>
        <v>38</v>
      </c>
      <c r="G27" s="127">
        <f t="shared" si="8"/>
        <v>15</v>
      </c>
      <c r="H27" s="127">
        <f t="shared" si="8"/>
        <v>38</v>
      </c>
      <c r="I27" s="127">
        <f t="shared" si="8"/>
        <v>53</v>
      </c>
      <c r="J27" s="127">
        <f t="shared" si="8"/>
        <v>0</v>
      </c>
      <c r="K27" s="127">
        <f t="shared" si="8"/>
        <v>53</v>
      </c>
      <c r="L27" s="127">
        <f t="shared" si="8"/>
        <v>0</v>
      </c>
      <c r="M27" s="127">
        <f t="shared" si="8"/>
        <v>53</v>
      </c>
      <c r="N27" s="127">
        <f t="shared" si="8"/>
        <v>0</v>
      </c>
      <c r="O27" s="127">
        <f t="shared" si="8"/>
        <v>53</v>
      </c>
      <c r="P27" s="127">
        <f t="shared" si="8"/>
        <v>0</v>
      </c>
      <c r="Q27" s="127">
        <f t="shared" si="8"/>
        <v>53</v>
      </c>
      <c r="R27" s="127">
        <f t="shared" si="8"/>
        <v>0</v>
      </c>
      <c r="S27" s="127">
        <f t="shared" si="8"/>
        <v>53</v>
      </c>
      <c r="T27" s="127">
        <f t="shared" si="8"/>
        <v>0</v>
      </c>
      <c r="U27" s="127">
        <f t="shared" si="8"/>
        <v>53</v>
      </c>
      <c r="V27" s="127">
        <f t="shared" si="8"/>
        <v>0</v>
      </c>
      <c r="W27" s="127">
        <f t="shared" si="8"/>
        <v>53</v>
      </c>
      <c r="X27" s="127">
        <f t="shared" si="8"/>
        <v>0</v>
      </c>
      <c r="Y27" s="127">
        <f t="shared" si="8"/>
        <v>53</v>
      </c>
      <c r="Z27" s="127">
        <f t="shared" si="8"/>
        <v>0</v>
      </c>
      <c r="AA27" s="127">
        <f t="shared" si="8"/>
        <v>53</v>
      </c>
      <c r="AB27" s="127">
        <f t="shared" si="8"/>
        <v>0</v>
      </c>
      <c r="AC27" s="127">
        <f t="shared" si="8"/>
        <v>53</v>
      </c>
      <c r="AD27" s="127">
        <f t="shared" si="8"/>
        <v>0</v>
      </c>
      <c r="AE27" s="127">
        <f t="shared" si="8"/>
        <v>53</v>
      </c>
      <c r="AF27" s="127">
        <f t="shared" si="8"/>
        <v>0</v>
      </c>
      <c r="AG27" s="127">
        <f t="shared" si="8"/>
        <v>53</v>
      </c>
      <c r="AH27" s="127">
        <f t="shared" si="8"/>
        <v>0</v>
      </c>
      <c r="AI27" s="127">
        <f t="shared" si="8"/>
        <v>53</v>
      </c>
      <c r="AJ27" s="127">
        <f t="shared" si="8"/>
        <v>0</v>
      </c>
      <c r="AK27" s="127">
        <f t="shared" si="8"/>
        <v>53</v>
      </c>
      <c r="AL27" s="127">
        <f t="shared" si="8"/>
        <v>0</v>
      </c>
      <c r="AM27" s="127">
        <f t="shared" si="8"/>
        <v>53</v>
      </c>
      <c r="AN27" s="127">
        <f t="shared" si="8"/>
        <v>0</v>
      </c>
      <c r="AO27" s="127">
        <f t="shared" si="8"/>
        <v>53</v>
      </c>
      <c r="AP27" s="127">
        <f t="shared" si="8"/>
        <v>0</v>
      </c>
      <c r="AQ27" s="127">
        <f t="shared" si="8"/>
        <v>53</v>
      </c>
      <c r="AR27" s="127">
        <f t="shared" si="8"/>
        <v>0</v>
      </c>
      <c r="AS27" s="127">
        <f t="shared" si="8"/>
        <v>53</v>
      </c>
      <c r="AT27" s="127">
        <f t="shared" si="8"/>
        <v>0</v>
      </c>
      <c r="AU27" s="127">
        <f t="shared" si="8"/>
        <v>53</v>
      </c>
      <c r="AV27" s="127">
        <f t="shared" si="8"/>
        <v>0</v>
      </c>
      <c r="AW27" s="127">
        <f t="shared" si="8"/>
        <v>53</v>
      </c>
      <c r="AX27" s="127">
        <f t="shared" si="8"/>
        <v>0</v>
      </c>
      <c r="AY27" s="167">
        <f t="shared" si="8"/>
        <v>53</v>
      </c>
      <c r="AZ27" s="110"/>
    </row>
    <row r="28" spans="1:52" x14ac:dyDescent="0.2">
      <c r="B28" s="168" t="s">
        <v>310</v>
      </c>
      <c r="C28" s="114">
        <v>14</v>
      </c>
      <c r="D28" s="114">
        <v>38</v>
      </c>
      <c r="E28" s="114">
        <v>15</v>
      </c>
      <c r="F28" s="114">
        <v>38</v>
      </c>
      <c r="G28" s="114">
        <v>15</v>
      </c>
      <c r="H28" s="114">
        <v>0</v>
      </c>
      <c r="I28" s="114">
        <v>53</v>
      </c>
      <c r="J28" s="114">
        <v>0</v>
      </c>
      <c r="K28" s="114">
        <v>53</v>
      </c>
      <c r="L28" s="114">
        <v>0</v>
      </c>
      <c r="M28" s="114">
        <v>53</v>
      </c>
      <c r="N28" s="114">
        <v>0</v>
      </c>
      <c r="O28" s="114">
        <v>53</v>
      </c>
      <c r="P28" s="114">
        <v>0</v>
      </c>
      <c r="Q28" s="114">
        <v>53</v>
      </c>
      <c r="R28" s="114">
        <v>0</v>
      </c>
      <c r="S28" s="114">
        <v>53</v>
      </c>
      <c r="T28" s="114">
        <v>0</v>
      </c>
      <c r="U28" s="114">
        <v>53</v>
      </c>
      <c r="V28" s="114">
        <v>0</v>
      </c>
      <c r="W28" s="114">
        <v>53</v>
      </c>
      <c r="X28" s="114">
        <v>0</v>
      </c>
      <c r="Y28" s="114">
        <v>53</v>
      </c>
      <c r="Z28" s="114">
        <v>0</v>
      </c>
      <c r="AA28" s="114">
        <v>53</v>
      </c>
      <c r="AB28" s="114">
        <v>0</v>
      </c>
      <c r="AC28" s="114">
        <v>53</v>
      </c>
      <c r="AD28" s="114">
        <v>0</v>
      </c>
      <c r="AE28" s="114">
        <v>53</v>
      </c>
      <c r="AF28" s="114">
        <v>0</v>
      </c>
      <c r="AG28" s="114">
        <v>53</v>
      </c>
      <c r="AH28" s="114">
        <v>0</v>
      </c>
      <c r="AI28" s="114">
        <v>53</v>
      </c>
      <c r="AJ28" s="114">
        <v>0</v>
      </c>
      <c r="AK28" s="114">
        <v>53</v>
      </c>
      <c r="AL28" s="114">
        <v>0</v>
      </c>
      <c r="AM28" s="114">
        <v>53</v>
      </c>
      <c r="AN28" s="114">
        <v>0</v>
      </c>
      <c r="AO28" s="114">
        <v>53</v>
      </c>
      <c r="AP28" s="114">
        <v>0</v>
      </c>
      <c r="AQ28" s="114">
        <v>53</v>
      </c>
      <c r="AR28" s="114">
        <v>0</v>
      </c>
      <c r="AS28" s="114">
        <v>53</v>
      </c>
      <c r="AT28" s="114">
        <v>0</v>
      </c>
      <c r="AU28" s="114">
        <v>53</v>
      </c>
      <c r="AV28" s="114">
        <v>0</v>
      </c>
      <c r="AW28" s="114">
        <v>53</v>
      </c>
      <c r="AX28" s="114">
        <v>0</v>
      </c>
      <c r="AY28" s="169">
        <v>53</v>
      </c>
      <c r="AZ28" s="110"/>
    </row>
    <row r="29" spans="1:52" x14ac:dyDescent="0.2">
      <c r="B29" s="139" t="s">
        <v>311</v>
      </c>
      <c r="C29" s="128">
        <v>39</v>
      </c>
      <c r="D29" s="128">
        <f>C$28</f>
        <v>14</v>
      </c>
      <c r="E29" s="128">
        <f t="shared" ref="E29:AY29" si="9">D$28</f>
        <v>38</v>
      </c>
      <c r="F29" s="128">
        <f t="shared" si="9"/>
        <v>15</v>
      </c>
      <c r="G29" s="128">
        <f t="shared" si="9"/>
        <v>38</v>
      </c>
      <c r="H29" s="128">
        <f t="shared" si="9"/>
        <v>15</v>
      </c>
      <c r="I29" s="128">
        <f t="shared" si="9"/>
        <v>0</v>
      </c>
      <c r="J29" s="128">
        <f t="shared" si="9"/>
        <v>53</v>
      </c>
      <c r="K29" s="128">
        <f t="shared" si="9"/>
        <v>0</v>
      </c>
      <c r="L29" s="128">
        <f t="shared" si="9"/>
        <v>53</v>
      </c>
      <c r="M29" s="128">
        <f t="shared" si="9"/>
        <v>0</v>
      </c>
      <c r="N29" s="128">
        <f t="shared" si="9"/>
        <v>53</v>
      </c>
      <c r="O29" s="128">
        <f t="shared" si="9"/>
        <v>0</v>
      </c>
      <c r="P29" s="128">
        <f t="shared" si="9"/>
        <v>53</v>
      </c>
      <c r="Q29" s="128">
        <f t="shared" si="9"/>
        <v>0</v>
      </c>
      <c r="R29" s="128">
        <f t="shared" si="9"/>
        <v>53</v>
      </c>
      <c r="S29" s="128">
        <f t="shared" si="9"/>
        <v>0</v>
      </c>
      <c r="T29" s="128">
        <f t="shared" si="9"/>
        <v>53</v>
      </c>
      <c r="U29" s="128">
        <f t="shared" si="9"/>
        <v>0</v>
      </c>
      <c r="V29" s="128">
        <f t="shared" si="9"/>
        <v>53</v>
      </c>
      <c r="W29" s="128">
        <f t="shared" si="9"/>
        <v>0</v>
      </c>
      <c r="X29" s="128">
        <f t="shared" si="9"/>
        <v>53</v>
      </c>
      <c r="Y29" s="128">
        <f t="shared" si="9"/>
        <v>0</v>
      </c>
      <c r="Z29" s="128">
        <f t="shared" si="9"/>
        <v>53</v>
      </c>
      <c r="AA29" s="128">
        <f t="shared" si="9"/>
        <v>0</v>
      </c>
      <c r="AB29" s="128">
        <f t="shared" si="9"/>
        <v>53</v>
      </c>
      <c r="AC29" s="128">
        <f t="shared" si="9"/>
        <v>0</v>
      </c>
      <c r="AD29" s="128">
        <f t="shared" si="9"/>
        <v>53</v>
      </c>
      <c r="AE29" s="128">
        <f t="shared" si="9"/>
        <v>0</v>
      </c>
      <c r="AF29" s="128">
        <f t="shared" si="9"/>
        <v>53</v>
      </c>
      <c r="AG29" s="128">
        <f t="shared" si="9"/>
        <v>0</v>
      </c>
      <c r="AH29" s="128">
        <f t="shared" si="9"/>
        <v>53</v>
      </c>
      <c r="AI29" s="128">
        <f t="shared" si="9"/>
        <v>0</v>
      </c>
      <c r="AJ29" s="128">
        <f t="shared" si="9"/>
        <v>53</v>
      </c>
      <c r="AK29" s="128">
        <f t="shared" si="9"/>
        <v>0</v>
      </c>
      <c r="AL29" s="128">
        <f t="shared" si="9"/>
        <v>53</v>
      </c>
      <c r="AM29" s="128">
        <f t="shared" si="9"/>
        <v>0</v>
      </c>
      <c r="AN29" s="128">
        <f t="shared" si="9"/>
        <v>53</v>
      </c>
      <c r="AO29" s="128">
        <f t="shared" si="9"/>
        <v>0</v>
      </c>
      <c r="AP29" s="128">
        <f t="shared" si="9"/>
        <v>53</v>
      </c>
      <c r="AQ29" s="128">
        <f t="shared" si="9"/>
        <v>0</v>
      </c>
      <c r="AR29" s="128">
        <f t="shared" si="9"/>
        <v>53</v>
      </c>
      <c r="AS29" s="128">
        <f t="shared" si="9"/>
        <v>0</v>
      </c>
      <c r="AT29" s="128">
        <f t="shared" si="9"/>
        <v>53</v>
      </c>
      <c r="AU29" s="128">
        <f t="shared" si="9"/>
        <v>0</v>
      </c>
      <c r="AV29" s="128">
        <f t="shared" si="9"/>
        <v>53</v>
      </c>
      <c r="AW29" s="128">
        <f t="shared" si="9"/>
        <v>0</v>
      </c>
      <c r="AX29" s="128">
        <f t="shared" si="9"/>
        <v>53</v>
      </c>
      <c r="AY29" s="170">
        <f t="shared" si="9"/>
        <v>0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390</v>
      </c>
      <c r="E30" s="120">
        <f t="shared" ref="E30:AY30" si="10">E$27*$B$30</f>
        <v>150</v>
      </c>
      <c r="F30" s="120">
        <f t="shared" si="10"/>
        <v>380</v>
      </c>
      <c r="G30" s="120">
        <f t="shared" si="10"/>
        <v>150</v>
      </c>
      <c r="H30" s="120">
        <f t="shared" si="10"/>
        <v>380</v>
      </c>
      <c r="I30" s="120">
        <f t="shared" si="10"/>
        <v>530</v>
      </c>
      <c r="J30" s="120">
        <f t="shared" si="10"/>
        <v>0</v>
      </c>
      <c r="K30" s="120">
        <f t="shared" si="10"/>
        <v>530</v>
      </c>
      <c r="L30" s="120">
        <f t="shared" si="10"/>
        <v>0</v>
      </c>
      <c r="M30" s="120">
        <f t="shared" si="10"/>
        <v>530</v>
      </c>
      <c r="N30" s="120">
        <f t="shared" si="10"/>
        <v>0</v>
      </c>
      <c r="O30" s="120">
        <f t="shared" si="10"/>
        <v>530</v>
      </c>
      <c r="P30" s="120">
        <f t="shared" si="10"/>
        <v>0</v>
      </c>
      <c r="Q30" s="120">
        <f t="shared" si="10"/>
        <v>530</v>
      </c>
      <c r="R30" s="120">
        <f>R$27*$B$30</f>
        <v>0</v>
      </c>
      <c r="S30" s="120">
        <f t="shared" si="10"/>
        <v>530</v>
      </c>
      <c r="T30" s="120">
        <f t="shared" si="10"/>
        <v>0</v>
      </c>
      <c r="U30" s="120">
        <f t="shared" si="10"/>
        <v>530</v>
      </c>
      <c r="V30" s="120">
        <f t="shared" si="10"/>
        <v>0</v>
      </c>
      <c r="W30" s="120">
        <f t="shared" si="10"/>
        <v>530</v>
      </c>
      <c r="X30" s="120">
        <f t="shared" si="10"/>
        <v>0</v>
      </c>
      <c r="Y30" s="120">
        <f t="shared" si="10"/>
        <v>530</v>
      </c>
      <c r="Z30" s="120">
        <f t="shared" si="10"/>
        <v>0</v>
      </c>
      <c r="AA30" s="120">
        <f t="shared" si="10"/>
        <v>530</v>
      </c>
      <c r="AB30" s="120">
        <f t="shared" si="10"/>
        <v>0</v>
      </c>
      <c r="AC30" s="120">
        <f t="shared" si="10"/>
        <v>530</v>
      </c>
      <c r="AD30" s="120">
        <f t="shared" si="10"/>
        <v>0</v>
      </c>
      <c r="AE30" s="120">
        <f>AE$27*$B$30</f>
        <v>530</v>
      </c>
      <c r="AF30" s="120">
        <f t="shared" si="10"/>
        <v>0</v>
      </c>
      <c r="AG30" s="120">
        <f t="shared" si="10"/>
        <v>530</v>
      </c>
      <c r="AH30" s="120">
        <f t="shared" si="10"/>
        <v>0</v>
      </c>
      <c r="AI30" s="120">
        <f t="shared" si="10"/>
        <v>530</v>
      </c>
      <c r="AJ30" s="120">
        <f t="shared" si="10"/>
        <v>0</v>
      </c>
      <c r="AK30" s="120">
        <f t="shared" si="10"/>
        <v>530</v>
      </c>
      <c r="AL30" s="120">
        <f t="shared" si="10"/>
        <v>0</v>
      </c>
      <c r="AM30" s="120">
        <f t="shared" si="10"/>
        <v>530</v>
      </c>
      <c r="AN30" s="120">
        <f t="shared" si="10"/>
        <v>0</v>
      </c>
      <c r="AO30" s="120">
        <f t="shared" si="10"/>
        <v>530</v>
      </c>
      <c r="AP30" s="120">
        <f t="shared" si="10"/>
        <v>0</v>
      </c>
      <c r="AQ30" s="120">
        <f t="shared" si="10"/>
        <v>530</v>
      </c>
      <c r="AR30" s="120">
        <f t="shared" si="10"/>
        <v>0</v>
      </c>
      <c r="AS30" s="120">
        <f t="shared" si="10"/>
        <v>530</v>
      </c>
      <c r="AT30" s="120">
        <f t="shared" si="10"/>
        <v>0</v>
      </c>
      <c r="AU30" s="120">
        <f t="shared" si="10"/>
        <v>530</v>
      </c>
      <c r="AV30" s="120">
        <f t="shared" si="10"/>
        <v>0</v>
      </c>
      <c r="AW30" s="120">
        <f t="shared" si="10"/>
        <v>530</v>
      </c>
      <c r="AX30" s="120">
        <f t="shared" si="10"/>
        <v>0</v>
      </c>
      <c r="AY30" s="120">
        <f t="shared" si="10"/>
        <v>530</v>
      </c>
      <c r="AZ30" s="144">
        <f t="shared" si="5"/>
        <v>13110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D$21*shipping_manufacturing!$H$27/100</f>
        <v>906.77491570088921</v>
      </c>
      <c r="E33" s="127">
        <f>E$21*shipping_manufacturing!$H$27/100</f>
        <v>1455.7256918757414</v>
      </c>
      <c r="F33" s="127">
        <f>F$21*shipping_manufacturing!$H$27/100</f>
        <v>1455.7256918757414</v>
      </c>
      <c r="G33" s="127">
        <f>G$21*shipping_manufacturing!$H$27/100</f>
        <v>1455.7256918757414</v>
      </c>
      <c r="H33" s="127">
        <f>H$21*shipping_manufacturing!$H$27/100</f>
        <v>0</v>
      </c>
      <c r="I33" s="127">
        <f>I$21*shipping_manufacturing!$H$27/100</f>
        <v>2871.2</v>
      </c>
      <c r="J33" s="127">
        <f>J$21*shipping_manufacturing!$H$27/100</f>
        <v>1455.7256918757414</v>
      </c>
      <c r="K33" s="127">
        <f>K$21*shipping_manufacturing!$H$27/100</f>
        <v>1455.7256918757414</v>
      </c>
      <c r="L33" s="127">
        <f>L$21*shipping_manufacturing!$H$27/100</f>
        <v>1455.7256918757414</v>
      </c>
      <c r="M33" s="127">
        <f>M$21*shipping_manufacturing!$H$27/100</f>
        <v>1455.7256918757414</v>
      </c>
      <c r="N33" s="127">
        <f>N$21*shipping_manufacturing!$H$27/100</f>
        <v>1455.7256918757414</v>
      </c>
      <c r="O33" s="127">
        <f>O$21*shipping_manufacturing!$H$27/100</f>
        <v>1455.7256918757414</v>
      </c>
      <c r="P33" s="127">
        <f>P$21*shipping_manufacturing!$H$27/100</f>
        <v>1455.7256918757414</v>
      </c>
      <c r="Q33" s="127">
        <f>Q$21*shipping_manufacturing!$H$27/100</f>
        <v>1455.7256918757414</v>
      </c>
      <c r="R33" s="127">
        <f>R$21*shipping_manufacturing!$H$27/100</f>
        <v>1455.7256918757414</v>
      </c>
      <c r="S33" s="127">
        <f>S$21*shipping_manufacturing!$H$27/100</f>
        <v>1455.7256918757414</v>
      </c>
      <c r="T33" s="127">
        <f>T$21*shipping_manufacturing!$H$27/100</f>
        <v>1455.7256918757414</v>
      </c>
      <c r="U33" s="127">
        <f>U$21*shipping_manufacturing!$H$27/100</f>
        <v>1455.7256918757414</v>
      </c>
      <c r="V33" s="127">
        <f>V$21*shipping_manufacturing!$H$27/100</f>
        <v>1455.7256918757414</v>
      </c>
      <c r="W33" s="127">
        <f>W$21*shipping_manufacturing!$H$27/100</f>
        <v>1455.7256918757414</v>
      </c>
      <c r="X33" s="127">
        <f>X$21*shipping_manufacturing!$H$27/100</f>
        <v>1455.7256918757414</v>
      </c>
      <c r="Y33" s="127">
        <f>Y$21*shipping_manufacturing!$H$27/100</f>
        <v>1455.7256918757414</v>
      </c>
      <c r="Z33" s="127">
        <f>Z$21*shipping_manufacturing!$H$27/100</f>
        <v>1455.7256918757414</v>
      </c>
      <c r="AA33" s="127">
        <f>AA$21*shipping_manufacturing!$H$27/100</f>
        <v>1455.7256918757414</v>
      </c>
      <c r="AB33" s="127">
        <f>AB$21*shipping_manufacturing!$H$27/100</f>
        <v>1455.7256918757414</v>
      </c>
      <c r="AC33" s="127">
        <f>AC$21*shipping_manufacturing!$H$27/100</f>
        <v>1455.7256918757414</v>
      </c>
      <c r="AD33" s="127">
        <f>AD$21*shipping_manufacturing!$H$27/100</f>
        <v>1455.7256918757414</v>
      </c>
      <c r="AE33" s="127">
        <f>AE$21*shipping_manufacturing!$H$27/100</f>
        <v>1455.7256918757414</v>
      </c>
      <c r="AF33" s="127">
        <f>AF$21*shipping_manufacturing!$H$27/100</f>
        <v>1455.7256918757414</v>
      </c>
      <c r="AG33" s="127">
        <f>AG$21*shipping_manufacturing!$H$27/100</f>
        <v>1455.7256918757414</v>
      </c>
      <c r="AH33" s="127">
        <f>AH$21*shipping_manufacturing!$H$27/100</f>
        <v>1455.7256918757414</v>
      </c>
      <c r="AI33" s="127">
        <f>AI$21*shipping_manufacturing!$H$27/100</f>
        <v>1455.7256918757414</v>
      </c>
      <c r="AJ33" s="127">
        <f>AJ$21*shipping_manufacturing!$H$27/100</f>
        <v>1455.7256918757414</v>
      </c>
      <c r="AK33" s="127">
        <f>AK$21*shipping_manufacturing!$H$27/100</f>
        <v>1455.7256918757414</v>
      </c>
      <c r="AL33" s="127">
        <f>AL$21*shipping_manufacturing!$H$27/100</f>
        <v>1455.7256918757414</v>
      </c>
      <c r="AM33" s="127">
        <f>AM$21*shipping_manufacturing!$H$27/100</f>
        <v>1455.7256918757414</v>
      </c>
      <c r="AN33" s="127">
        <f>AN$21*shipping_manufacturing!$H$27/100</f>
        <v>1455.7256918757414</v>
      </c>
      <c r="AO33" s="127">
        <f>AO$21*shipping_manufacturing!$H$27/100</f>
        <v>1455.7256918757414</v>
      </c>
      <c r="AP33" s="127">
        <f>AP$21*shipping_manufacturing!$H$27/100</f>
        <v>1455.7256918757414</v>
      </c>
      <c r="AQ33" s="127">
        <f>AQ$21*shipping_manufacturing!$H$27/100</f>
        <v>1455.7256918757414</v>
      </c>
      <c r="AR33" s="127">
        <f>AR$21*shipping_manufacturing!$H$27/100</f>
        <v>1455.7256918757414</v>
      </c>
      <c r="AS33" s="127">
        <f>AS$21*shipping_manufacturing!$H$27/100</f>
        <v>1455.7256918757414</v>
      </c>
      <c r="AT33" s="127">
        <f>AT$21*shipping_manufacturing!$H$27/100</f>
        <v>1455.7256918757414</v>
      </c>
      <c r="AU33" s="127">
        <f>AU$21*shipping_manufacturing!$H$27/100</f>
        <v>1455.7256918757414</v>
      </c>
      <c r="AV33" s="127">
        <f>AV$21*shipping_manufacturing!$H$27/100</f>
        <v>1455.7256918757414</v>
      </c>
      <c r="AW33" s="127">
        <f>AW$21*shipping_manufacturing!$H$27/100</f>
        <v>1455.7256918757414</v>
      </c>
      <c r="AX33" s="127">
        <f>AX$21*shipping_manufacturing!$H$27/100</f>
        <v>1455.7256918757414</v>
      </c>
      <c r="AY33" s="127">
        <f>AY$21*shipping_manufacturing!$H$27/100</f>
        <v>1455.7256918757414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D$22*shipping_manufacturing!$I$27/100</f>
        <v>226.69372892522227</v>
      </c>
      <c r="E34" s="114">
        <f>E$22*shipping_manufacturing!$I$27/100</f>
        <v>363.93142296893524</v>
      </c>
      <c r="F34" s="114">
        <f>F$22*shipping_manufacturing!$I$27/100</f>
        <v>363.93142296893524</v>
      </c>
      <c r="G34" s="114">
        <f>G$22*shipping_manufacturing!$I$27/100</f>
        <v>363.93142296893524</v>
      </c>
      <c r="H34" s="114">
        <f>H$22*shipping_manufacturing!$I$27/100</f>
        <v>0</v>
      </c>
      <c r="I34" s="114">
        <f>I$22*shipping_manufacturing!$I$27/100</f>
        <v>717.79999999999984</v>
      </c>
      <c r="J34" s="114">
        <f>J$22*shipping_manufacturing!$I$27/100</f>
        <v>363.93142296893524</v>
      </c>
      <c r="K34" s="114">
        <f>K$22*shipping_manufacturing!$I$27/100</f>
        <v>363.93142296893524</v>
      </c>
      <c r="L34" s="114">
        <f>L$22*shipping_manufacturing!$I$27/100</f>
        <v>363.93142296893524</v>
      </c>
      <c r="M34" s="114">
        <f>M$22*shipping_manufacturing!$I$27/100</f>
        <v>363.93142296893524</v>
      </c>
      <c r="N34" s="114">
        <f>N$22*shipping_manufacturing!$I$27/100</f>
        <v>363.93142296893524</v>
      </c>
      <c r="O34" s="114">
        <f>O$22*shipping_manufacturing!$I$27/100</f>
        <v>363.93142296893524</v>
      </c>
      <c r="P34" s="114">
        <f>P$22*shipping_manufacturing!$I$27/100</f>
        <v>363.93142296893524</v>
      </c>
      <c r="Q34" s="114">
        <f>Q$22*shipping_manufacturing!$I$27/100</f>
        <v>363.93142296893524</v>
      </c>
      <c r="R34" s="114">
        <f>R$22*shipping_manufacturing!$I$27/100</f>
        <v>363.93142296893524</v>
      </c>
      <c r="S34" s="114">
        <f>S$22*shipping_manufacturing!$I$27/100</f>
        <v>363.93142296893524</v>
      </c>
      <c r="T34" s="114">
        <f>T$22*shipping_manufacturing!$I$27/100</f>
        <v>363.93142296893524</v>
      </c>
      <c r="U34" s="114">
        <f>U$22*shipping_manufacturing!$I$27/100</f>
        <v>363.93142296893524</v>
      </c>
      <c r="V34" s="114">
        <f>V$22*shipping_manufacturing!$I$27/100</f>
        <v>363.93142296893524</v>
      </c>
      <c r="W34" s="114">
        <f>W$22*shipping_manufacturing!$I$27/100</f>
        <v>363.93142296893524</v>
      </c>
      <c r="X34" s="114">
        <f>X$22*shipping_manufacturing!$I$27/100</f>
        <v>363.93142296893524</v>
      </c>
      <c r="Y34" s="114">
        <f>Y$22*shipping_manufacturing!$I$27/100</f>
        <v>363.93142296893524</v>
      </c>
      <c r="Z34" s="114">
        <f>Z$22*shipping_manufacturing!$I$27/100</f>
        <v>363.93142296893524</v>
      </c>
      <c r="AA34" s="114">
        <f>AA$22*shipping_manufacturing!$I$27/100</f>
        <v>363.93142296893524</v>
      </c>
      <c r="AB34" s="114">
        <f>AB$22*shipping_manufacturing!$I$27/100</f>
        <v>363.93142296893524</v>
      </c>
      <c r="AC34" s="114">
        <f>AC$22*shipping_manufacturing!$I$27/100</f>
        <v>363.93142296893524</v>
      </c>
      <c r="AD34" s="114">
        <f>AD$22*shipping_manufacturing!$I$27/100</f>
        <v>363.93142296893524</v>
      </c>
      <c r="AE34" s="114">
        <f>AE$22*shipping_manufacturing!$I$27/100</f>
        <v>363.93142296893524</v>
      </c>
      <c r="AF34" s="114">
        <f>AF$22*shipping_manufacturing!$I$27/100</f>
        <v>363.93142296893524</v>
      </c>
      <c r="AG34" s="114">
        <f>AG$22*shipping_manufacturing!$I$27/100</f>
        <v>363.93142296893524</v>
      </c>
      <c r="AH34" s="114">
        <f>AH$22*shipping_manufacturing!$I$27/100</f>
        <v>363.93142296893524</v>
      </c>
      <c r="AI34" s="114">
        <f>AI$22*shipping_manufacturing!$I$27/100</f>
        <v>363.93142296893524</v>
      </c>
      <c r="AJ34" s="114">
        <f>AJ$22*shipping_manufacturing!$I$27/100</f>
        <v>363.93142296893524</v>
      </c>
      <c r="AK34" s="114">
        <f>AK$22*shipping_manufacturing!$I$27/100</f>
        <v>363.93142296893524</v>
      </c>
      <c r="AL34" s="114">
        <f>AL$22*shipping_manufacturing!$I$27/100</f>
        <v>363.93142296893524</v>
      </c>
      <c r="AM34" s="114">
        <f>AM$22*shipping_manufacturing!$I$27/100</f>
        <v>363.93142296893524</v>
      </c>
      <c r="AN34" s="114">
        <f>AN$22*shipping_manufacturing!$I$27/100</f>
        <v>363.93142296893524</v>
      </c>
      <c r="AO34" s="114">
        <f>AO$22*shipping_manufacturing!$I$27/100</f>
        <v>363.93142296893524</v>
      </c>
      <c r="AP34" s="114">
        <f>AP$22*shipping_manufacturing!$I$27/100</f>
        <v>363.93142296893524</v>
      </c>
      <c r="AQ34" s="114">
        <f>AQ$22*shipping_manufacturing!$I$27/100</f>
        <v>363.93142296893524</v>
      </c>
      <c r="AR34" s="114">
        <f>AR$22*shipping_manufacturing!$I$27/100</f>
        <v>363.93142296893524</v>
      </c>
      <c r="AS34" s="114">
        <f>AS$22*shipping_manufacturing!$I$27/100</f>
        <v>363.93142296893524</v>
      </c>
      <c r="AT34" s="114">
        <f>AT$22*shipping_manufacturing!$I$27/100</f>
        <v>363.93142296893524</v>
      </c>
      <c r="AU34" s="114">
        <f>AU$22*shipping_manufacturing!$I$27/100</f>
        <v>363.93142296893524</v>
      </c>
      <c r="AV34" s="114">
        <f>AV$22*shipping_manufacturing!$I$27/100</f>
        <v>363.93142296893524</v>
      </c>
      <c r="AW34" s="114">
        <f>AW$22*shipping_manufacturing!$I$27/100</f>
        <v>363.93142296893524</v>
      </c>
      <c r="AX34" s="114">
        <f>AX$22*shipping_manufacturing!$I$27/100</f>
        <v>363.93142296893524</v>
      </c>
      <c r="AY34" s="114">
        <f>AY$22*shipping_manufacturing!$I$27/100</f>
        <v>363.93142296893524</v>
      </c>
    </row>
    <row r="35" spans="1:52" x14ac:dyDescent="0.2">
      <c r="A35" s="114">
        <v>1245</v>
      </c>
      <c r="B35" s="168" t="s">
        <v>343</v>
      </c>
      <c r="C35" s="114"/>
      <c r="D35" s="114">
        <f>SUM(D33:D34)</f>
        <v>1133.4686446261114</v>
      </c>
      <c r="E35" s="114">
        <f t="shared" ref="E35:AY35" si="11">SUM(E33:E34)</f>
        <v>1819.6571148446767</v>
      </c>
      <c r="F35" s="114">
        <f t="shared" si="11"/>
        <v>1819.6571148446767</v>
      </c>
      <c r="G35" s="114">
        <f t="shared" si="11"/>
        <v>1819.6571148446767</v>
      </c>
      <c r="H35" s="114">
        <f t="shared" si="11"/>
        <v>0</v>
      </c>
      <c r="I35" s="114">
        <f t="shared" si="11"/>
        <v>3588.9999999999995</v>
      </c>
      <c r="J35" s="114">
        <f t="shared" si="11"/>
        <v>1819.6571148446767</v>
      </c>
      <c r="K35" s="114">
        <f t="shared" si="11"/>
        <v>1819.6571148446767</v>
      </c>
      <c r="L35" s="114">
        <f t="shared" si="11"/>
        <v>1819.6571148446767</v>
      </c>
      <c r="M35" s="114">
        <f t="shared" si="11"/>
        <v>1819.6571148446767</v>
      </c>
      <c r="N35" s="114">
        <f t="shared" si="11"/>
        <v>1819.6571148446767</v>
      </c>
      <c r="O35" s="114">
        <f t="shared" si="11"/>
        <v>1819.6571148446767</v>
      </c>
      <c r="P35" s="114">
        <f t="shared" si="11"/>
        <v>1819.6571148446767</v>
      </c>
      <c r="Q35" s="114">
        <f t="shared" si="11"/>
        <v>1819.6571148446767</v>
      </c>
      <c r="R35" s="114">
        <f t="shared" si="11"/>
        <v>1819.6571148446767</v>
      </c>
      <c r="S35" s="114">
        <f t="shared" si="11"/>
        <v>1819.6571148446767</v>
      </c>
      <c r="T35" s="114">
        <f t="shared" si="11"/>
        <v>1819.6571148446767</v>
      </c>
      <c r="U35" s="114">
        <f t="shared" si="11"/>
        <v>1819.6571148446767</v>
      </c>
      <c r="V35" s="114">
        <f t="shared" si="11"/>
        <v>1819.6571148446767</v>
      </c>
      <c r="W35" s="114">
        <f t="shared" si="11"/>
        <v>1819.6571148446767</v>
      </c>
      <c r="X35" s="114">
        <f t="shared" si="11"/>
        <v>1819.6571148446767</v>
      </c>
      <c r="Y35" s="114">
        <f t="shared" si="11"/>
        <v>1819.6571148446767</v>
      </c>
      <c r="Z35" s="114">
        <f t="shared" si="11"/>
        <v>1819.6571148446767</v>
      </c>
      <c r="AA35" s="114">
        <f t="shared" si="11"/>
        <v>1819.6571148446767</v>
      </c>
      <c r="AB35" s="114">
        <f t="shared" si="11"/>
        <v>1819.6571148446767</v>
      </c>
      <c r="AC35" s="114">
        <f t="shared" si="11"/>
        <v>1819.6571148446767</v>
      </c>
      <c r="AD35" s="114">
        <f t="shared" si="11"/>
        <v>1819.6571148446767</v>
      </c>
      <c r="AE35" s="114">
        <f t="shared" si="11"/>
        <v>1819.6571148446767</v>
      </c>
      <c r="AF35" s="114">
        <f t="shared" si="11"/>
        <v>1819.6571148446767</v>
      </c>
      <c r="AG35" s="114">
        <f t="shared" si="11"/>
        <v>1819.6571148446767</v>
      </c>
      <c r="AH35" s="114">
        <f t="shared" si="11"/>
        <v>1819.6571148446767</v>
      </c>
      <c r="AI35" s="114">
        <f t="shared" si="11"/>
        <v>1819.6571148446767</v>
      </c>
      <c r="AJ35" s="114">
        <f t="shared" si="11"/>
        <v>1819.6571148446767</v>
      </c>
      <c r="AK35" s="114">
        <f t="shared" si="11"/>
        <v>1819.6571148446767</v>
      </c>
      <c r="AL35" s="114">
        <f t="shared" si="11"/>
        <v>1819.6571148446767</v>
      </c>
      <c r="AM35" s="114">
        <f t="shared" si="11"/>
        <v>1819.6571148446767</v>
      </c>
      <c r="AN35" s="114">
        <f t="shared" si="11"/>
        <v>1819.6571148446767</v>
      </c>
      <c r="AO35" s="114">
        <f t="shared" si="11"/>
        <v>1819.6571148446767</v>
      </c>
      <c r="AP35" s="114">
        <f t="shared" si="11"/>
        <v>1819.6571148446767</v>
      </c>
      <c r="AQ35" s="114">
        <f t="shared" si="11"/>
        <v>1819.6571148446767</v>
      </c>
      <c r="AR35" s="114">
        <f t="shared" si="11"/>
        <v>1819.6571148446767</v>
      </c>
      <c r="AS35" s="114">
        <f t="shared" si="11"/>
        <v>1819.6571148446767</v>
      </c>
      <c r="AT35" s="114">
        <f t="shared" si="11"/>
        <v>1819.6571148446767</v>
      </c>
      <c r="AU35" s="114">
        <f t="shared" si="11"/>
        <v>1819.6571148446767</v>
      </c>
      <c r="AV35" s="114">
        <f t="shared" si="11"/>
        <v>1819.6571148446767</v>
      </c>
      <c r="AW35" s="114">
        <f t="shared" si="11"/>
        <v>1819.6571148446767</v>
      </c>
      <c r="AX35" s="114">
        <f t="shared" si="11"/>
        <v>1819.6571148446767</v>
      </c>
      <c r="AY35" s="114">
        <f t="shared" si="11"/>
        <v>1819.6571148446767</v>
      </c>
    </row>
    <row r="36" spans="1:52" x14ac:dyDescent="0.2">
      <c r="A36" s="114"/>
      <c r="B36" s="168" t="s">
        <v>344</v>
      </c>
      <c r="C36" s="114"/>
      <c r="D36" s="114">
        <v>906.77491570088921</v>
      </c>
      <c r="E36" s="114">
        <v>360</v>
      </c>
      <c r="F36" s="114">
        <v>912</v>
      </c>
      <c r="G36" s="114">
        <v>360</v>
      </c>
      <c r="H36" s="114"/>
      <c r="I36" s="114">
        <v>1272</v>
      </c>
      <c r="J36" s="114"/>
      <c r="K36" s="114">
        <v>1272</v>
      </c>
      <c r="L36" s="114"/>
      <c r="M36" s="114">
        <v>1272</v>
      </c>
      <c r="N36" s="114"/>
      <c r="O36" s="114">
        <v>1272</v>
      </c>
      <c r="P36" s="114"/>
      <c r="Q36" s="114">
        <v>1272</v>
      </c>
      <c r="R36" s="114"/>
      <c r="S36" s="114">
        <v>1272</v>
      </c>
      <c r="T36" s="114"/>
      <c r="U36" s="114">
        <v>1272</v>
      </c>
      <c r="V36" s="114"/>
      <c r="W36" s="114">
        <v>1272</v>
      </c>
      <c r="X36" s="114"/>
      <c r="Y36" s="114">
        <v>1272</v>
      </c>
      <c r="Z36" s="114"/>
      <c r="AA36" s="114">
        <v>1272</v>
      </c>
      <c r="AB36" s="114"/>
      <c r="AC36" s="114">
        <v>1272</v>
      </c>
      <c r="AD36" s="114"/>
      <c r="AE36" s="114">
        <v>1272</v>
      </c>
      <c r="AF36" s="114"/>
      <c r="AG36" s="114">
        <v>1272</v>
      </c>
      <c r="AH36" s="114"/>
      <c r="AI36" s="114">
        <v>1272</v>
      </c>
      <c r="AJ36" s="114"/>
      <c r="AK36" s="114">
        <v>1272</v>
      </c>
      <c r="AL36" s="114"/>
      <c r="AM36" s="114">
        <v>1272</v>
      </c>
      <c r="AN36" s="114"/>
      <c r="AO36" s="114">
        <v>1272</v>
      </c>
      <c r="AP36" s="114"/>
      <c r="AQ36" s="114">
        <v>1272</v>
      </c>
      <c r="AR36" s="114"/>
      <c r="AS36" s="114">
        <v>1272</v>
      </c>
      <c r="AT36" s="114"/>
      <c r="AU36" s="114">
        <v>1272</v>
      </c>
      <c r="AV36" s="114"/>
      <c r="AW36" s="114">
        <v>1272</v>
      </c>
      <c r="AX36" s="114"/>
      <c r="AY36" s="114">
        <v>1272</v>
      </c>
    </row>
    <row r="37" spans="1:52" x14ac:dyDescent="0.2">
      <c r="A37" s="114"/>
      <c r="B37" s="168" t="s">
        <v>345</v>
      </c>
      <c r="C37" s="114"/>
      <c r="D37" s="114">
        <v>226.69372892522227</v>
      </c>
      <c r="E37" s="114">
        <v>89.999999999999986</v>
      </c>
      <c r="F37" s="114">
        <v>227.99999999999997</v>
      </c>
      <c r="G37" s="114">
        <v>89.999999999999986</v>
      </c>
      <c r="H37" s="114"/>
      <c r="I37" s="114">
        <v>317.99999999999994</v>
      </c>
      <c r="J37" s="114"/>
      <c r="K37" s="114">
        <v>317.99999999999994</v>
      </c>
      <c r="L37" s="114"/>
      <c r="M37" s="114">
        <v>317.99999999999994</v>
      </c>
      <c r="N37" s="114"/>
      <c r="O37" s="114">
        <v>317.99999999999994</v>
      </c>
      <c r="P37" s="114"/>
      <c r="Q37" s="114">
        <v>317.99999999999994</v>
      </c>
      <c r="R37" s="114"/>
      <c r="S37" s="114">
        <v>317.99999999999994</v>
      </c>
      <c r="T37" s="114"/>
      <c r="U37" s="114">
        <v>317.99999999999994</v>
      </c>
      <c r="V37" s="114"/>
      <c r="W37" s="114">
        <v>317.99999999999994</v>
      </c>
      <c r="X37" s="114"/>
      <c r="Y37" s="114">
        <v>317.99999999999994</v>
      </c>
      <c r="Z37" s="114"/>
      <c r="AA37" s="114">
        <v>317.99999999999994</v>
      </c>
      <c r="AB37" s="114"/>
      <c r="AC37" s="114">
        <v>317.99999999999994</v>
      </c>
      <c r="AD37" s="114"/>
      <c r="AE37" s="114">
        <v>317.99999999999994</v>
      </c>
      <c r="AF37" s="114"/>
      <c r="AG37" s="114">
        <v>317.99999999999994</v>
      </c>
      <c r="AH37" s="114"/>
      <c r="AI37" s="114">
        <v>317.99999999999994</v>
      </c>
      <c r="AJ37" s="114"/>
      <c r="AK37" s="114">
        <v>317.99999999999994</v>
      </c>
      <c r="AL37" s="114"/>
      <c r="AM37" s="114">
        <v>317.99999999999994</v>
      </c>
      <c r="AN37" s="114"/>
      <c r="AO37" s="114">
        <v>317.99999999999994</v>
      </c>
      <c r="AP37" s="114"/>
      <c r="AQ37" s="114">
        <v>317.99999999999994</v>
      </c>
      <c r="AR37" s="114"/>
      <c r="AS37" s="114">
        <v>317.99999999999994</v>
      </c>
      <c r="AT37" s="114"/>
      <c r="AU37" s="114">
        <v>317.99999999999994</v>
      </c>
      <c r="AV37" s="114"/>
      <c r="AW37" s="114">
        <v>317.99999999999994</v>
      </c>
      <c r="AX37" s="114"/>
      <c r="AY37" s="114">
        <v>317.99999999999994</v>
      </c>
    </row>
    <row r="38" spans="1:52" x14ac:dyDescent="0.2">
      <c r="A38" s="114"/>
      <c r="B38" s="168" t="s">
        <v>346</v>
      </c>
      <c r="C38" s="114"/>
      <c r="D38" s="114">
        <v>38</v>
      </c>
      <c r="E38" s="114">
        <v>15</v>
      </c>
      <c r="F38" s="114">
        <v>38</v>
      </c>
      <c r="G38" s="114">
        <v>15</v>
      </c>
      <c r="H38" s="114"/>
      <c r="I38" s="114">
        <v>53</v>
      </c>
      <c r="J38" s="114"/>
      <c r="K38" s="114">
        <v>53</v>
      </c>
      <c r="L38" s="114"/>
      <c r="M38" s="114">
        <v>53</v>
      </c>
      <c r="N38" s="114"/>
      <c r="O38" s="114">
        <v>53</v>
      </c>
      <c r="P38" s="114"/>
      <c r="Q38" s="114">
        <v>53</v>
      </c>
      <c r="R38" s="114"/>
      <c r="S38" s="114">
        <v>53</v>
      </c>
      <c r="T38" s="114"/>
      <c r="U38" s="114">
        <v>53</v>
      </c>
      <c r="V38" s="114"/>
      <c r="W38" s="114">
        <v>53</v>
      </c>
      <c r="X38" s="114"/>
      <c r="Y38" s="114">
        <v>53</v>
      </c>
      <c r="Z38" s="114"/>
      <c r="AA38" s="114">
        <v>53</v>
      </c>
      <c r="AB38" s="114"/>
      <c r="AC38" s="114">
        <v>53</v>
      </c>
      <c r="AD38" s="114"/>
      <c r="AE38" s="114">
        <v>53</v>
      </c>
      <c r="AF38" s="114"/>
      <c r="AG38" s="114">
        <v>53</v>
      </c>
      <c r="AH38" s="114"/>
      <c r="AI38" s="114">
        <v>53</v>
      </c>
      <c r="AJ38" s="114"/>
      <c r="AK38" s="114">
        <v>53</v>
      </c>
      <c r="AL38" s="114"/>
      <c r="AM38" s="114">
        <v>53</v>
      </c>
      <c r="AN38" s="114"/>
      <c r="AO38" s="114">
        <v>53</v>
      </c>
      <c r="AP38" s="114"/>
      <c r="AQ38" s="114">
        <v>53</v>
      </c>
      <c r="AR38" s="114"/>
      <c r="AS38" s="114">
        <v>53</v>
      </c>
      <c r="AT38" s="114"/>
      <c r="AU38" s="114">
        <v>53</v>
      </c>
      <c r="AV38" s="114"/>
      <c r="AW38" s="114">
        <v>53</v>
      </c>
      <c r="AX38" s="114"/>
      <c r="AY38" s="114">
        <v>53</v>
      </c>
    </row>
    <row r="39" spans="1:52" x14ac:dyDescent="0.2">
      <c r="A39" s="114"/>
      <c r="B39" s="168" t="s">
        <v>347</v>
      </c>
      <c r="C39" s="114"/>
      <c r="D39" s="114">
        <f>D33-D36</f>
        <v>0</v>
      </c>
      <c r="E39" s="114">
        <f t="shared" ref="E39:AY39" si="12">E33-E36</f>
        <v>1095.7256918757414</v>
      </c>
      <c r="F39" s="114">
        <f t="shared" si="12"/>
        <v>543.7256918757414</v>
      </c>
      <c r="G39" s="114">
        <f t="shared" si="12"/>
        <v>1095.7256918757414</v>
      </c>
      <c r="H39" s="114">
        <f t="shared" si="12"/>
        <v>0</v>
      </c>
      <c r="I39" s="114">
        <f t="shared" si="12"/>
        <v>1599.1999999999998</v>
      </c>
      <c r="J39" s="114">
        <f t="shared" si="12"/>
        <v>1455.7256918757414</v>
      </c>
      <c r="K39" s="114">
        <f t="shared" si="12"/>
        <v>183.7256918757414</v>
      </c>
      <c r="L39" s="114">
        <f t="shared" si="12"/>
        <v>1455.7256918757414</v>
      </c>
      <c r="M39" s="114">
        <f t="shared" si="12"/>
        <v>183.7256918757414</v>
      </c>
      <c r="N39" s="114">
        <f t="shared" si="12"/>
        <v>1455.7256918757414</v>
      </c>
      <c r="O39" s="114">
        <f t="shared" si="12"/>
        <v>183.7256918757414</v>
      </c>
      <c r="P39" s="114">
        <f t="shared" si="12"/>
        <v>1455.7256918757414</v>
      </c>
      <c r="Q39" s="114">
        <f t="shared" si="12"/>
        <v>183.7256918757414</v>
      </c>
      <c r="R39" s="114">
        <f t="shared" si="12"/>
        <v>1455.7256918757414</v>
      </c>
      <c r="S39" s="114">
        <f t="shared" si="12"/>
        <v>183.7256918757414</v>
      </c>
      <c r="T39" s="114">
        <f t="shared" si="12"/>
        <v>1455.7256918757414</v>
      </c>
      <c r="U39" s="114">
        <f t="shared" si="12"/>
        <v>183.7256918757414</v>
      </c>
      <c r="V39" s="114">
        <f t="shared" si="12"/>
        <v>1455.7256918757414</v>
      </c>
      <c r="W39" s="114">
        <f t="shared" si="12"/>
        <v>183.7256918757414</v>
      </c>
      <c r="X39" s="114">
        <f t="shared" si="12"/>
        <v>1455.7256918757414</v>
      </c>
      <c r="Y39" s="114">
        <f t="shared" si="12"/>
        <v>183.7256918757414</v>
      </c>
      <c r="Z39" s="114">
        <f t="shared" si="12"/>
        <v>1455.7256918757414</v>
      </c>
      <c r="AA39" s="114">
        <f t="shared" si="12"/>
        <v>183.7256918757414</v>
      </c>
      <c r="AB39" s="114">
        <f t="shared" si="12"/>
        <v>1455.7256918757414</v>
      </c>
      <c r="AC39" s="114">
        <f t="shared" si="12"/>
        <v>183.7256918757414</v>
      </c>
      <c r="AD39" s="114">
        <f t="shared" si="12"/>
        <v>1455.7256918757414</v>
      </c>
      <c r="AE39" s="114">
        <f t="shared" si="12"/>
        <v>183.7256918757414</v>
      </c>
      <c r="AF39" s="114">
        <f t="shared" si="12"/>
        <v>1455.7256918757414</v>
      </c>
      <c r="AG39" s="114">
        <f t="shared" si="12"/>
        <v>183.7256918757414</v>
      </c>
      <c r="AH39" s="114">
        <f t="shared" si="12"/>
        <v>1455.7256918757414</v>
      </c>
      <c r="AI39" s="114">
        <f t="shared" si="12"/>
        <v>183.7256918757414</v>
      </c>
      <c r="AJ39" s="114">
        <f t="shared" si="12"/>
        <v>1455.7256918757414</v>
      </c>
      <c r="AK39" s="114">
        <f t="shared" si="12"/>
        <v>183.7256918757414</v>
      </c>
      <c r="AL39" s="114">
        <f t="shared" si="12"/>
        <v>1455.7256918757414</v>
      </c>
      <c r="AM39" s="114">
        <f t="shared" si="12"/>
        <v>183.7256918757414</v>
      </c>
      <c r="AN39" s="114">
        <f t="shared" si="12"/>
        <v>1455.7256918757414</v>
      </c>
      <c r="AO39" s="114">
        <f t="shared" si="12"/>
        <v>183.7256918757414</v>
      </c>
      <c r="AP39" s="114">
        <f t="shared" si="12"/>
        <v>1455.7256918757414</v>
      </c>
      <c r="AQ39" s="114">
        <f t="shared" si="12"/>
        <v>183.7256918757414</v>
      </c>
      <c r="AR39" s="114">
        <f t="shared" si="12"/>
        <v>1455.7256918757414</v>
      </c>
      <c r="AS39" s="114">
        <f t="shared" si="12"/>
        <v>183.7256918757414</v>
      </c>
      <c r="AT39" s="114">
        <f t="shared" si="12"/>
        <v>1455.7256918757414</v>
      </c>
      <c r="AU39" s="114">
        <f t="shared" si="12"/>
        <v>183.7256918757414</v>
      </c>
      <c r="AV39" s="114">
        <f t="shared" si="12"/>
        <v>1455.7256918757414</v>
      </c>
      <c r="AW39" s="114">
        <f t="shared" si="12"/>
        <v>183.7256918757414</v>
      </c>
      <c r="AX39" s="114">
        <f t="shared" si="12"/>
        <v>1455.7256918757414</v>
      </c>
      <c r="AY39" s="114">
        <f t="shared" si="12"/>
        <v>183.7256918757414</v>
      </c>
    </row>
    <row r="40" spans="1:52" x14ac:dyDescent="0.2">
      <c r="A40" s="114"/>
      <c r="B40" s="168" t="s">
        <v>348</v>
      </c>
      <c r="C40" s="114"/>
      <c r="D40" s="114">
        <f>D34-D37</f>
        <v>0</v>
      </c>
      <c r="E40" s="114">
        <f t="shared" ref="E40:AY40" si="13">E34-E37</f>
        <v>273.93142296893524</v>
      </c>
      <c r="F40" s="114">
        <f t="shared" si="13"/>
        <v>135.93142296893527</v>
      </c>
      <c r="G40" s="114">
        <f t="shared" si="13"/>
        <v>273.93142296893524</v>
      </c>
      <c r="H40" s="114">
        <f t="shared" si="13"/>
        <v>0</v>
      </c>
      <c r="I40" s="114">
        <f t="shared" si="13"/>
        <v>399.7999999999999</v>
      </c>
      <c r="J40" s="114">
        <f t="shared" si="13"/>
        <v>363.93142296893524</v>
      </c>
      <c r="K40" s="114">
        <f t="shared" si="13"/>
        <v>45.931422968935294</v>
      </c>
      <c r="L40" s="114">
        <f t="shared" si="13"/>
        <v>363.93142296893524</v>
      </c>
      <c r="M40" s="114">
        <f t="shared" si="13"/>
        <v>45.931422968935294</v>
      </c>
      <c r="N40" s="114">
        <f t="shared" si="13"/>
        <v>363.93142296893524</v>
      </c>
      <c r="O40" s="114">
        <f t="shared" si="13"/>
        <v>45.931422968935294</v>
      </c>
      <c r="P40" s="114">
        <f t="shared" si="13"/>
        <v>363.93142296893524</v>
      </c>
      <c r="Q40" s="114">
        <f t="shared" si="13"/>
        <v>45.931422968935294</v>
      </c>
      <c r="R40" s="114">
        <f t="shared" si="13"/>
        <v>363.93142296893524</v>
      </c>
      <c r="S40" s="114">
        <f t="shared" si="13"/>
        <v>45.931422968935294</v>
      </c>
      <c r="T40" s="114">
        <f t="shared" si="13"/>
        <v>363.93142296893524</v>
      </c>
      <c r="U40" s="114">
        <f t="shared" si="13"/>
        <v>45.931422968935294</v>
      </c>
      <c r="V40" s="114">
        <f t="shared" si="13"/>
        <v>363.93142296893524</v>
      </c>
      <c r="W40" s="114">
        <f t="shared" si="13"/>
        <v>45.931422968935294</v>
      </c>
      <c r="X40" s="114">
        <f t="shared" si="13"/>
        <v>363.93142296893524</v>
      </c>
      <c r="Y40" s="114">
        <f t="shared" si="13"/>
        <v>45.931422968935294</v>
      </c>
      <c r="Z40" s="114">
        <f t="shared" si="13"/>
        <v>363.93142296893524</v>
      </c>
      <c r="AA40" s="114">
        <f t="shared" si="13"/>
        <v>45.931422968935294</v>
      </c>
      <c r="AB40" s="114">
        <f t="shared" si="13"/>
        <v>363.93142296893524</v>
      </c>
      <c r="AC40" s="114">
        <f t="shared" si="13"/>
        <v>45.931422968935294</v>
      </c>
      <c r="AD40" s="114">
        <f t="shared" si="13"/>
        <v>363.93142296893524</v>
      </c>
      <c r="AE40" s="114">
        <f t="shared" si="13"/>
        <v>45.931422968935294</v>
      </c>
      <c r="AF40" s="114">
        <f t="shared" si="13"/>
        <v>363.93142296893524</v>
      </c>
      <c r="AG40" s="114">
        <f t="shared" si="13"/>
        <v>45.931422968935294</v>
      </c>
      <c r="AH40" s="114">
        <f t="shared" si="13"/>
        <v>363.93142296893524</v>
      </c>
      <c r="AI40" s="114">
        <f t="shared" si="13"/>
        <v>45.931422968935294</v>
      </c>
      <c r="AJ40" s="114">
        <f t="shared" si="13"/>
        <v>363.93142296893524</v>
      </c>
      <c r="AK40" s="114">
        <f t="shared" si="13"/>
        <v>45.931422968935294</v>
      </c>
      <c r="AL40" s="114">
        <f t="shared" si="13"/>
        <v>363.93142296893524</v>
      </c>
      <c r="AM40" s="114">
        <f t="shared" si="13"/>
        <v>45.931422968935294</v>
      </c>
      <c r="AN40" s="114">
        <f t="shared" si="13"/>
        <v>363.93142296893524</v>
      </c>
      <c r="AO40" s="114">
        <f t="shared" si="13"/>
        <v>45.931422968935294</v>
      </c>
      <c r="AP40" s="114">
        <f t="shared" si="13"/>
        <v>363.93142296893524</v>
      </c>
      <c r="AQ40" s="114">
        <f t="shared" si="13"/>
        <v>45.931422968935294</v>
      </c>
      <c r="AR40" s="114">
        <f t="shared" si="13"/>
        <v>363.93142296893524</v>
      </c>
      <c r="AS40" s="114">
        <f t="shared" si="13"/>
        <v>45.931422968935294</v>
      </c>
      <c r="AT40" s="114">
        <f t="shared" si="13"/>
        <v>363.93142296893524</v>
      </c>
      <c r="AU40" s="114">
        <f t="shared" si="13"/>
        <v>45.931422968935294</v>
      </c>
      <c r="AV40" s="114">
        <f t="shared" si="13"/>
        <v>363.93142296893524</v>
      </c>
      <c r="AW40" s="114">
        <f t="shared" si="13"/>
        <v>45.931422968935294</v>
      </c>
      <c r="AX40" s="114">
        <f t="shared" si="13"/>
        <v>363.93142296893524</v>
      </c>
      <c r="AY40" s="114">
        <f t="shared" si="13"/>
        <v>45.931422968935294</v>
      </c>
    </row>
    <row r="41" spans="1:52" x14ac:dyDescent="0.2">
      <c r="A41" s="114"/>
      <c r="B41" s="168" t="s">
        <v>349</v>
      </c>
      <c r="C41" s="114"/>
      <c r="D41" s="114">
        <v>1</v>
      </c>
      <c r="E41" s="114">
        <v>2</v>
      </c>
      <c r="F41" s="114">
        <v>1</v>
      </c>
      <c r="G41" s="114">
        <v>1</v>
      </c>
      <c r="H41" s="114">
        <v>1</v>
      </c>
      <c r="I41" s="114">
        <v>1</v>
      </c>
      <c r="J41" s="114">
        <v>2</v>
      </c>
      <c r="K41" s="114">
        <v>1</v>
      </c>
      <c r="L41" s="114">
        <v>1</v>
      </c>
      <c r="M41" s="114">
        <v>3</v>
      </c>
      <c r="N41" s="114">
        <v>1</v>
      </c>
      <c r="O41" s="114">
        <v>3</v>
      </c>
      <c r="P41" s="114">
        <v>2</v>
      </c>
      <c r="Q41" s="114">
        <v>1</v>
      </c>
      <c r="R41" s="114">
        <v>1</v>
      </c>
      <c r="S41" s="114">
        <v>2</v>
      </c>
      <c r="T41" s="114">
        <v>1</v>
      </c>
      <c r="U41" s="114">
        <v>2</v>
      </c>
      <c r="V41" s="114">
        <v>1</v>
      </c>
      <c r="W41" s="114">
        <v>1</v>
      </c>
      <c r="X41" s="114">
        <v>2</v>
      </c>
      <c r="Y41" s="114">
        <v>1</v>
      </c>
      <c r="Z41" s="114">
        <v>3</v>
      </c>
      <c r="AA41" s="114">
        <v>2</v>
      </c>
      <c r="AB41" s="114">
        <v>1</v>
      </c>
      <c r="AC41" s="114">
        <v>1</v>
      </c>
      <c r="AD41" s="114">
        <v>3</v>
      </c>
      <c r="AE41" s="114">
        <v>1</v>
      </c>
      <c r="AF41" s="114">
        <v>1</v>
      </c>
      <c r="AG41" s="114">
        <v>1</v>
      </c>
      <c r="AH41" s="114">
        <v>1</v>
      </c>
      <c r="AI41" s="114">
        <v>1</v>
      </c>
      <c r="AJ41" s="114">
        <v>2</v>
      </c>
      <c r="AK41" s="114">
        <v>1</v>
      </c>
      <c r="AL41" s="114">
        <v>2</v>
      </c>
      <c r="AM41" s="114">
        <v>1</v>
      </c>
      <c r="AN41" s="114">
        <v>2</v>
      </c>
      <c r="AO41" s="114">
        <v>1</v>
      </c>
      <c r="AP41" s="114">
        <v>1</v>
      </c>
      <c r="AQ41" s="114">
        <v>2</v>
      </c>
      <c r="AR41" s="114">
        <v>1</v>
      </c>
      <c r="AS41" s="114">
        <v>1</v>
      </c>
      <c r="AT41" s="114">
        <v>1</v>
      </c>
      <c r="AU41" s="114">
        <v>3</v>
      </c>
      <c r="AV41" s="114">
        <v>1</v>
      </c>
      <c r="AW41" s="114">
        <v>1</v>
      </c>
      <c r="AX41" s="114">
        <v>3</v>
      </c>
      <c r="AY41" s="114">
        <v>1</v>
      </c>
    </row>
    <row r="42" spans="1:52" x14ac:dyDescent="0.2">
      <c r="A42" s="114"/>
      <c r="B42" s="179" t="s">
        <v>350</v>
      </c>
      <c r="C42" s="114"/>
      <c r="D42" s="114">
        <v>1703160</v>
      </c>
      <c r="E42" s="114">
        <v>672300</v>
      </c>
      <c r="F42" s="114">
        <v>1703160</v>
      </c>
      <c r="G42" s="114">
        <v>672300</v>
      </c>
      <c r="H42" s="114">
        <v>0</v>
      </c>
      <c r="I42" s="114">
        <v>2375460</v>
      </c>
      <c r="J42" s="114">
        <v>0</v>
      </c>
      <c r="K42" s="114">
        <v>2375460</v>
      </c>
      <c r="L42" s="114">
        <v>0</v>
      </c>
      <c r="M42" s="114">
        <v>2375460</v>
      </c>
      <c r="N42" s="114">
        <v>0</v>
      </c>
      <c r="O42" s="114">
        <v>2375460</v>
      </c>
      <c r="P42" s="114">
        <v>0</v>
      </c>
      <c r="Q42" s="114">
        <v>2375460</v>
      </c>
      <c r="R42" s="114">
        <v>0</v>
      </c>
      <c r="S42" s="114">
        <v>2375460</v>
      </c>
      <c r="T42" s="114">
        <v>0</v>
      </c>
      <c r="U42" s="114">
        <v>2375460</v>
      </c>
      <c r="V42" s="114">
        <v>0</v>
      </c>
      <c r="W42" s="114">
        <v>2375460</v>
      </c>
      <c r="X42" s="114">
        <v>0</v>
      </c>
      <c r="Y42" s="114">
        <v>2375460</v>
      </c>
      <c r="Z42" s="114">
        <v>0</v>
      </c>
      <c r="AA42" s="114">
        <v>2375460</v>
      </c>
      <c r="AB42" s="114">
        <v>0</v>
      </c>
      <c r="AC42" s="114">
        <v>2375460</v>
      </c>
      <c r="AD42" s="114">
        <v>0</v>
      </c>
      <c r="AE42" s="114">
        <v>2375460</v>
      </c>
      <c r="AF42" s="114">
        <v>0</v>
      </c>
      <c r="AG42" s="114">
        <v>2375460</v>
      </c>
      <c r="AH42" s="114">
        <v>0</v>
      </c>
      <c r="AI42" s="114">
        <v>2375460</v>
      </c>
      <c r="AJ42" s="114">
        <v>0</v>
      </c>
      <c r="AK42" s="114">
        <v>2375460</v>
      </c>
      <c r="AL42" s="114">
        <v>0</v>
      </c>
      <c r="AM42" s="114">
        <v>2375460</v>
      </c>
      <c r="AN42" s="114">
        <v>0</v>
      </c>
      <c r="AO42" s="114">
        <v>2375460</v>
      </c>
      <c r="AP42" s="114">
        <v>0</v>
      </c>
      <c r="AQ42" s="114">
        <v>2375460</v>
      </c>
      <c r="AR42" s="114">
        <v>0</v>
      </c>
      <c r="AS42" s="114">
        <v>2375460</v>
      </c>
      <c r="AT42" s="114">
        <v>0</v>
      </c>
      <c r="AU42" s="114">
        <v>2375460</v>
      </c>
      <c r="AV42" s="114">
        <v>0</v>
      </c>
      <c r="AW42" s="114">
        <v>2375460</v>
      </c>
      <c r="AX42" s="114">
        <v>0</v>
      </c>
      <c r="AY42" s="114">
        <v>2375460</v>
      </c>
      <c r="AZ42">
        <f>SUM($D$42:$AY$42)</f>
        <v>57011040</v>
      </c>
    </row>
    <row r="43" spans="1:52" x14ac:dyDescent="0.2">
      <c r="A43" s="114"/>
      <c r="B43" s="179" t="s">
        <v>351</v>
      </c>
      <c r="C43" s="114"/>
      <c r="D43" s="114">
        <v>0</v>
      </c>
      <c r="E43" s="114">
        <v>1108395.0201880545</v>
      </c>
      <c r="F43" s="114">
        <v>550012.52018805465</v>
      </c>
      <c r="G43" s="114">
        <v>1108395.0201880545</v>
      </c>
      <c r="H43" s="114">
        <v>0</v>
      </c>
      <c r="I43" s="114">
        <v>1617690.7499999998</v>
      </c>
      <c r="J43" s="114">
        <v>1472557.5201880548</v>
      </c>
      <c r="K43" s="114">
        <v>185850.02018805465</v>
      </c>
      <c r="L43" s="114">
        <v>1472557.5201880548</v>
      </c>
      <c r="M43" s="114">
        <v>185850.02018805465</v>
      </c>
      <c r="N43" s="114">
        <v>1472557.5201880548</v>
      </c>
      <c r="O43" s="114">
        <v>185850.02018805465</v>
      </c>
      <c r="P43" s="114">
        <v>1472557.5201880548</v>
      </c>
      <c r="Q43" s="114">
        <v>185850.02018805465</v>
      </c>
      <c r="R43" s="114">
        <v>1472557.5201880548</v>
      </c>
      <c r="S43" s="114">
        <v>185850.02018805465</v>
      </c>
      <c r="T43" s="114">
        <v>1472557.5201880548</v>
      </c>
      <c r="U43" s="114">
        <v>185850.02018805465</v>
      </c>
      <c r="V43" s="114">
        <v>1472557.5201880548</v>
      </c>
      <c r="W43" s="114">
        <v>185850.02018805465</v>
      </c>
      <c r="X43" s="114">
        <v>1472557.5201880548</v>
      </c>
      <c r="Y43" s="114">
        <v>185850.02018805465</v>
      </c>
      <c r="Z43" s="114">
        <v>1472557.5201880548</v>
      </c>
      <c r="AA43" s="114">
        <v>185850.02018805465</v>
      </c>
      <c r="AB43" s="114">
        <v>1472557.5201880548</v>
      </c>
      <c r="AC43" s="114">
        <v>185850.02018805465</v>
      </c>
      <c r="AD43" s="114">
        <v>1472557.5201880548</v>
      </c>
      <c r="AE43" s="114">
        <v>185850.02018805465</v>
      </c>
      <c r="AF43" s="114">
        <v>1472557.5201880548</v>
      </c>
      <c r="AG43" s="114">
        <v>185850.02018805465</v>
      </c>
      <c r="AH43" s="114">
        <v>1472557.5201880548</v>
      </c>
      <c r="AI43" s="114">
        <v>185850.02018805465</v>
      </c>
      <c r="AJ43" s="114">
        <v>1472557.5201880548</v>
      </c>
      <c r="AK43" s="114">
        <v>185850.02018805465</v>
      </c>
      <c r="AL43" s="114">
        <v>1472557.5201880548</v>
      </c>
      <c r="AM43" s="114">
        <v>185850.02018805465</v>
      </c>
      <c r="AN43" s="114">
        <v>1472557.5201880548</v>
      </c>
      <c r="AO43" s="114">
        <v>185850.02018805465</v>
      </c>
      <c r="AP43" s="114">
        <v>1472557.5201880548</v>
      </c>
      <c r="AQ43" s="114">
        <v>185850.02018805465</v>
      </c>
      <c r="AR43" s="114">
        <v>1472557.5201880548</v>
      </c>
      <c r="AS43" s="114">
        <v>185850.02018805465</v>
      </c>
      <c r="AT43" s="114">
        <v>1472557.5201880548</v>
      </c>
      <c r="AU43" s="114">
        <v>185850.02018805465</v>
      </c>
      <c r="AV43" s="114">
        <v>1472557.5201880548</v>
      </c>
      <c r="AW43" s="114">
        <v>185850.02018805465</v>
      </c>
      <c r="AX43" s="114">
        <v>1472557.5201880548</v>
      </c>
      <c r="AY43" s="114">
        <v>185850.02018805465</v>
      </c>
      <c r="AZ43">
        <f>SUM($D$43:$AY$43)</f>
        <v>39211051.658462487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D$21*shipping_manufacturing!$H$28/100</f>
        <v>0</v>
      </c>
      <c r="E44" s="127">
        <f>E$21*shipping_manufacturing!$H$28/100</f>
        <v>0</v>
      </c>
      <c r="F44" s="127">
        <f>F$21*shipping_manufacturing!$H$28/100</f>
        <v>0</v>
      </c>
      <c r="G44" s="127">
        <f>G$21*shipping_manufacturing!$H$28/100</f>
        <v>0</v>
      </c>
      <c r="H44" s="127">
        <f>H$21*shipping_manufacturing!$H$28/100</f>
        <v>0</v>
      </c>
      <c r="I44" s="127">
        <f>I$21*shipping_manufacturing!$H$28/100</f>
        <v>0</v>
      </c>
      <c r="J44" s="127">
        <f>J$21*shipping_manufacturing!$H$28/100</f>
        <v>0</v>
      </c>
      <c r="K44" s="127">
        <f>K$21*shipping_manufacturing!$H$28/100</f>
        <v>0</v>
      </c>
      <c r="L44" s="127">
        <f>L$21*shipping_manufacturing!$H$28/100</f>
        <v>0</v>
      </c>
      <c r="M44" s="127">
        <f>M$21*shipping_manufacturing!$H$28/100</f>
        <v>0</v>
      </c>
      <c r="N44" s="127">
        <f>N$21*shipping_manufacturing!$H$28/100</f>
        <v>0</v>
      </c>
      <c r="O44" s="127">
        <f>O$21*shipping_manufacturing!$H$28/100</f>
        <v>0</v>
      </c>
      <c r="P44" s="127">
        <f>P$21*shipping_manufacturing!$H$28/100</f>
        <v>0</v>
      </c>
      <c r="Q44" s="127">
        <f>Q$21*shipping_manufacturing!$H$28/100</f>
        <v>0</v>
      </c>
      <c r="R44" s="127">
        <f>R$21*shipping_manufacturing!$H$28/100</f>
        <v>0</v>
      </c>
      <c r="S44" s="127">
        <f>S$21*shipping_manufacturing!$H$28/100</f>
        <v>0</v>
      </c>
      <c r="T44" s="127">
        <f>T$21*shipping_manufacturing!$H$28/100</f>
        <v>0</v>
      </c>
      <c r="U44" s="127">
        <f>U$21*shipping_manufacturing!$H$28/100</f>
        <v>0</v>
      </c>
      <c r="V44" s="127">
        <f>V$21*shipping_manufacturing!$H$28/100</f>
        <v>0</v>
      </c>
      <c r="W44" s="127">
        <f>W$21*shipping_manufacturing!$H$28/100</f>
        <v>0</v>
      </c>
      <c r="X44" s="127">
        <f>X$21*shipping_manufacturing!$H$28/100</f>
        <v>0</v>
      </c>
      <c r="Y44" s="127">
        <f>Y$21*shipping_manufacturing!$H$28/100</f>
        <v>0</v>
      </c>
      <c r="Z44" s="127">
        <f>Z$21*shipping_manufacturing!$H$28/100</f>
        <v>0</v>
      </c>
      <c r="AA44" s="127">
        <f>AA$21*shipping_manufacturing!$H$28/100</f>
        <v>0</v>
      </c>
      <c r="AB44" s="127">
        <f>AB$21*shipping_manufacturing!$H$28/100</f>
        <v>0</v>
      </c>
      <c r="AC44" s="127">
        <f>AC$21*shipping_manufacturing!$H$28/100</f>
        <v>0</v>
      </c>
      <c r="AD44" s="127">
        <f>AD$21*shipping_manufacturing!$H$28/100</f>
        <v>0</v>
      </c>
      <c r="AE44" s="127">
        <f>AE$21*shipping_manufacturing!$H$28/100</f>
        <v>0</v>
      </c>
      <c r="AF44" s="127">
        <f>AF$21*shipping_manufacturing!$H$28/100</f>
        <v>0</v>
      </c>
      <c r="AG44" s="127">
        <f>AG$21*shipping_manufacturing!$H$28/100</f>
        <v>0</v>
      </c>
      <c r="AH44" s="127">
        <f>AH$21*shipping_manufacturing!$H$28/100</f>
        <v>0</v>
      </c>
      <c r="AI44" s="127">
        <f>AI$21*shipping_manufacturing!$H$28/100</f>
        <v>0</v>
      </c>
      <c r="AJ44" s="127">
        <f>AJ$21*shipping_manufacturing!$H$28/100</f>
        <v>0</v>
      </c>
      <c r="AK44" s="127">
        <f>AK$21*shipping_manufacturing!$H$28/100</f>
        <v>0</v>
      </c>
      <c r="AL44" s="127">
        <f>AL$21*shipping_manufacturing!$H$28/100</f>
        <v>0</v>
      </c>
      <c r="AM44" s="127">
        <f>AM$21*shipping_manufacturing!$H$28/100</f>
        <v>0</v>
      </c>
      <c r="AN44" s="127">
        <f>AN$21*shipping_manufacturing!$H$28/100</f>
        <v>0</v>
      </c>
      <c r="AO44" s="127">
        <f>AO$21*shipping_manufacturing!$H$28/100</f>
        <v>0</v>
      </c>
      <c r="AP44" s="127">
        <f>AP$21*shipping_manufacturing!$H$28/100</f>
        <v>0</v>
      </c>
      <c r="AQ44" s="127">
        <f>AQ$21*shipping_manufacturing!$H$28/100</f>
        <v>0</v>
      </c>
      <c r="AR44" s="127">
        <f>AR$21*shipping_manufacturing!$H$28/100</f>
        <v>0</v>
      </c>
      <c r="AS44" s="127">
        <f>AS$21*shipping_manufacturing!$H$28/100</f>
        <v>0</v>
      </c>
      <c r="AT44" s="127">
        <f>AT$21*shipping_manufacturing!$H$28/100</f>
        <v>0</v>
      </c>
      <c r="AU44" s="127">
        <f>AU$21*shipping_manufacturing!$H$28/100</f>
        <v>0</v>
      </c>
      <c r="AV44" s="127">
        <f>AV$21*shipping_manufacturing!$H$28/100</f>
        <v>0</v>
      </c>
      <c r="AW44" s="127">
        <f>AW$21*shipping_manufacturing!$H$28/100</f>
        <v>0</v>
      </c>
      <c r="AX44" s="127">
        <f>AX$21*shipping_manufacturing!$H$28/100</f>
        <v>0</v>
      </c>
      <c r="AY44" s="127">
        <f>AY$21*shipping_manufacturing!$H$28/100</f>
        <v>0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D$22*shipping_manufacturing!$I$28/100</f>
        <v>0</v>
      </c>
      <c r="E45" s="114">
        <f>E$22*shipping_manufacturing!$I$28/100</f>
        <v>0</v>
      </c>
      <c r="F45" s="114">
        <f>F$22*shipping_manufacturing!$I$28/100</f>
        <v>0</v>
      </c>
      <c r="G45" s="114">
        <f>G$22*shipping_manufacturing!$I$28/100</f>
        <v>0</v>
      </c>
      <c r="H45" s="114">
        <f>H$22*shipping_manufacturing!$I$28/100</f>
        <v>0</v>
      </c>
      <c r="I45" s="114">
        <f>I$22*shipping_manufacturing!$I$28/100</f>
        <v>0</v>
      </c>
      <c r="J45" s="114">
        <f>J$22*shipping_manufacturing!$I$28/100</f>
        <v>0</v>
      </c>
      <c r="K45" s="114">
        <f>K$22*shipping_manufacturing!$I$28/100</f>
        <v>0</v>
      </c>
      <c r="L45" s="114">
        <f>L$22*shipping_manufacturing!$I$28/100</f>
        <v>0</v>
      </c>
      <c r="M45" s="114">
        <f>M$22*shipping_manufacturing!$I$28/100</f>
        <v>0</v>
      </c>
      <c r="N45" s="114">
        <f>N$22*shipping_manufacturing!$I$28/100</f>
        <v>0</v>
      </c>
      <c r="O45" s="114">
        <f>O$22*shipping_manufacturing!$I$28/100</f>
        <v>0</v>
      </c>
      <c r="P45" s="114">
        <f>P$22*shipping_manufacturing!$I$28/100</f>
        <v>0</v>
      </c>
      <c r="Q45" s="114">
        <f>Q$22*shipping_manufacturing!$I$28/100</f>
        <v>0</v>
      </c>
      <c r="R45" s="114">
        <f>R$22*shipping_manufacturing!$I$28/100</f>
        <v>0</v>
      </c>
      <c r="S45" s="114">
        <f>S$22*shipping_manufacturing!$I$28/100</f>
        <v>0</v>
      </c>
      <c r="T45" s="114">
        <f>T$22*shipping_manufacturing!$I$28/100</f>
        <v>0</v>
      </c>
      <c r="U45" s="114">
        <f>U$22*shipping_manufacturing!$I$28/100</f>
        <v>0</v>
      </c>
      <c r="V45" s="114">
        <f>V$22*shipping_manufacturing!$I$28/100</f>
        <v>0</v>
      </c>
      <c r="W45" s="114">
        <f>W$22*shipping_manufacturing!$I$28/100</f>
        <v>0</v>
      </c>
      <c r="X45" s="114">
        <f>X$22*shipping_manufacturing!$I$28/100</f>
        <v>0</v>
      </c>
      <c r="Y45" s="114">
        <f>Y$22*shipping_manufacturing!$I$28/100</f>
        <v>0</v>
      </c>
      <c r="Z45" s="114">
        <f>Z$22*shipping_manufacturing!$I$28/100</f>
        <v>0</v>
      </c>
      <c r="AA45" s="114">
        <f>AA$22*shipping_manufacturing!$I$28/100</f>
        <v>0</v>
      </c>
      <c r="AB45" s="114">
        <f>AB$22*shipping_manufacturing!$I$28/100</f>
        <v>0</v>
      </c>
      <c r="AC45" s="114">
        <f>AC$22*shipping_manufacturing!$I$28/100</f>
        <v>0</v>
      </c>
      <c r="AD45" s="114">
        <f>AD$22*shipping_manufacturing!$I$28/100</f>
        <v>0</v>
      </c>
      <c r="AE45" s="114">
        <f>AE$22*shipping_manufacturing!$I$28/100</f>
        <v>0</v>
      </c>
      <c r="AF45" s="114">
        <f>AF$22*shipping_manufacturing!$I$28/100</f>
        <v>0</v>
      </c>
      <c r="AG45" s="114">
        <f>AG$22*shipping_manufacturing!$I$28/100</f>
        <v>0</v>
      </c>
      <c r="AH45" s="114">
        <f>AH$22*shipping_manufacturing!$I$28/100</f>
        <v>0</v>
      </c>
      <c r="AI45" s="114">
        <f>AI$22*shipping_manufacturing!$I$28/100</f>
        <v>0</v>
      </c>
      <c r="AJ45" s="114">
        <f>AJ$22*shipping_manufacturing!$I$28/100</f>
        <v>0</v>
      </c>
      <c r="AK45" s="114">
        <f>AK$22*shipping_manufacturing!$I$28/100</f>
        <v>0</v>
      </c>
      <c r="AL45" s="114">
        <f>AL$22*shipping_manufacturing!$I$28/100</f>
        <v>0</v>
      </c>
      <c r="AM45" s="114">
        <f>AM$22*shipping_manufacturing!$I$28/100</f>
        <v>0</v>
      </c>
      <c r="AN45" s="114">
        <f>AN$22*shipping_manufacturing!$I$28/100</f>
        <v>0</v>
      </c>
      <c r="AO45" s="114">
        <f>AO$22*shipping_manufacturing!$I$28/100</f>
        <v>0</v>
      </c>
      <c r="AP45" s="114">
        <f>AP$22*shipping_manufacturing!$I$28/100</f>
        <v>0</v>
      </c>
      <c r="AQ45" s="114">
        <f>AQ$22*shipping_manufacturing!$I$28/100</f>
        <v>0</v>
      </c>
      <c r="AR45" s="114">
        <f>AR$22*shipping_manufacturing!$I$28/100</f>
        <v>0</v>
      </c>
      <c r="AS45" s="114">
        <f>AS$22*shipping_manufacturing!$I$28/100</f>
        <v>0</v>
      </c>
      <c r="AT45" s="114">
        <f>AT$22*shipping_manufacturing!$I$28/100</f>
        <v>0</v>
      </c>
      <c r="AU45" s="114">
        <f>AU$22*shipping_manufacturing!$I$28/100</f>
        <v>0</v>
      </c>
      <c r="AV45" s="114">
        <f>AV$22*shipping_manufacturing!$I$28/100</f>
        <v>0</v>
      </c>
      <c r="AW45" s="114">
        <f>AW$22*shipping_manufacturing!$I$28/100</f>
        <v>0</v>
      </c>
      <c r="AX45" s="114">
        <f>AX$22*shipping_manufacturing!$I$28/100</f>
        <v>0</v>
      </c>
      <c r="AY45" s="114">
        <f>AY$22*shipping_manufacturing!$I$28/100</f>
        <v>0</v>
      </c>
    </row>
    <row r="46" spans="1:52" x14ac:dyDescent="0.2">
      <c r="A46" s="114">
        <v>495</v>
      </c>
      <c r="B46" s="168" t="s">
        <v>343</v>
      </c>
      <c r="C46" s="114"/>
      <c r="D46" s="114">
        <f>SUM(D44:D45)</f>
        <v>0</v>
      </c>
      <c r="E46" s="114">
        <f t="shared" ref="E46:AY46" si="14">SUM(E44:E45)</f>
        <v>0</v>
      </c>
      <c r="F46" s="114">
        <f t="shared" si="14"/>
        <v>0</v>
      </c>
      <c r="G46" s="114">
        <f t="shared" si="14"/>
        <v>0</v>
      </c>
      <c r="H46" s="114">
        <f t="shared" si="14"/>
        <v>0</v>
      </c>
      <c r="I46" s="114">
        <f t="shared" si="14"/>
        <v>0</v>
      </c>
      <c r="J46" s="114">
        <f t="shared" si="14"/>
        <v>0</v>
      </c>
      <c r="K46" s="114">
        <f t="shared" si="14"/>
        <v>0</v>
      </c>
      <c r="L46" s="114">
        <f t="shared" si="14"/>
        <v>0</v>
      </c>
      <c r="M46" s="114">
        <f t="shared" si="14"/>
        <v>0</v>
      </c>
      <c r="N46" s="114">
        <f t="shared" si="14"/>
        <v>0</v>
      </c>
      <c r="O46" s="114">
        <f t="shared" si="14"/>
        <v>0</v>
      </c>
      <c r="P46" s="114">
        <f t="shared" si="14"/>
        <v>0</v>
      </c>
      <c r="Q46" s="114">
        <f t="shared" si="14"/>
        <v>0</v>
      </c>
      <c r="R46" s="114">
        <f t="shared" si="14"/>
        <v>0</v>
      </c>
      <c r="S46" s="114">
        <f t="shared" si="14"/>
        <v>0</v>
      </c>
      <c r="T46" s="114">
        <f t="shared" si="14"/>
        <v>0</v>
      </c>
      <c r="U46" s="114">
        <f t="shared" si="14"/>
        <v>0</v>
      </c>
      <c r="V46" s="114">
        <f t="shared" si="14"/>
        <v>0</v>
      </c>
      <c r="W46" s="114">
        <f t="shared" si="14"/>
        <v>0</v>
      </c>
      <c r="X46" s="114">
        <f t="shared" si="14"/>
        <v>0</v>
      </c>
      <c r="Y46" s="114">
        <f t="shared" si="14"/>
        <v>0</v>
      </c>
      <c r="Z46" s="114">
        <f t="shared" si="14"/>
        <v>0</v>
      </c>
      <c r="AA46" s="114">
        <f t="shared" si="14"/>
        <v>0</v>
      </c>
      <c r="AB46" s="114">
        <f t="shared" si="14"/>
        <v>0</v>
      </c>
      <c r="AC46" s="114">
        <f t="shared" si="14"/>
        <v>0</v>
      </c>
      <c r="AD46" s="114">
        <f t="shared" si="14"/>
        <v>0</v>
      </c>
      <c r="AE46" s="114">
        <f t="shared" si="14"/>
        <v>0</v>
      </c>
      <c r="AF46" s="114">
        <f t="shared" si="14"/>
        <v>0</v>
      </c>
      <c r="AG46" s="114">
        <f t="shared" si="14"/>
        <v>0</v>
      </c>
      <c r="AH46" s="114">
        <f t="shared" si="14"/>
        <v>0</v>
      </c>
      <c r="AI46" s="114">
        <f t="shared" si="14"/>
        <v>0</v>
      </c>
      <c r="AJ46" s="114">
        <f t="shared" si="14"/>
        <v>0</v>
      </c>
      <c r="AK46" s="114">
        <f t="shared" si="14"/>
        <v>0</v>
      </c>
      <c r="AL46" s="114">
        <f t="shared" si="14"/>
        <v>0</v>
      </c>
      <c r="AM46" s="114">
        <f t="shared" si="14"/>
        <v>0</v>
      </c>
      <c r="AN46" s="114">
        <f t="shared" si="14"/>
        <v>0</v>
      </c>
      <c r="AO46" s="114">
        <f t="shared" si="14"/>
        <v>0</v>
      </c>
      <c r="AP46" s="114">
        <f t="shared" si="14"/>
        <v>0</v>
      </c>
      <c r="AQ46" s="114">
        <f t="shared" si="14"/>
        <v>0</v>
      </c>
      <c r="AR46" s="114">
        <f t="shared" si="14"/>
        <v>0</v>
      </c>
      <c r="AS46" s="114">
        <f t="shared" si="14"/>
        <v>0</v>
      </c>
      <c r="AT46" s="114">
        <f t="shared" si="14"/>
        <v>0</v>
      </c>
      <c r="AU46" s="114">
        <f t="shared" si="14"/>
        <v>0</v>
      </c>
      <c r="AV46" s="114">
        <f t="shared" si="14"/>
        <v>0</v>
      </c>
      <c r="AW46" s="114">
        <f t="shared" si="14"/>
        <v>0</v>
      </c>
      <c r="AX46" s="114">
        <f t="shared" si="14"/>
        <v>0</v>
      </c>
      <c r="AY46" s="114">
        <f t="shared" si="14"/>
        <v>0</v>
      </c>
    </row>
    <row r="47" spans="1:52" x14ac:dyDescent="0.2">
      <c r="A47" s="114"/>
      <c r="B47" s="168" t="s">
        <v>344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2" x14ac:dyDescent="0.2">
      <c r="A48" s="114"/>
      <c r="B48" s="168" t="s">
        <v>345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2" x14ac:dyDescent="0.2">
      <c r="A49" s="114"/>
      <c r="B49" s="168" t="s">
        <v>346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2" x14ac:dyDescent="0.2">
      <c r="A50" s="114"/>
      <c r="B50" s="168" t="s">
        <v>347</v>
      </c>
      <c r="C50" s="114"/>
      <c r="D50" s="114">
        <f>D44-D47</f>
        <v>0</v>
      </c>
      <c r="E50" s="114">
        <f t="shared" ref="E50:AY50" si="15">E44-E47</f>
        <v>0</v>
      </c>
      <c r="F50" s="114">
        <f t="shared" si="15"/>
        <v>0</v>
      </c>
      <c r="G50" s="114">
        <f t="shared" si="15"/>
        <v>0</v>
      </c>
      <c r="H50" s="114">
        <f t="shared" si="15"/>
        <v>0</v>
      </c>
      <c r="I50" s="114">
        <f t="shared" si="15"/>
        <v>0</v>
      </c>
      <c r="J50" s="114">
        <f t="shared" si="15"/>
        <v>0</v>
      </c>
      <c r="K50" s="114">
        <f t="shared" si="15"/>
        <v>0</v>
      </c>
      <c r="L50" s="114">
        <f t="shared" si="15"/>
        <v>0</v>
      </c>
      <c r="M50" s="114">
        <f t="shared" si="15"/>
        <v>0</v>
      </c>
      <c r="N50" s="114">
        <f t="shared" si="15"/>
        <v>0</v>
      </c>
      <c r="O50" s="114">
        <f t="shared" si="15"/>
        <v>0</v>
      </c>
      <c r="P50" s="114">
        <f t="shared" si="15"/>
        <v>0</v>
      </c>
      <c r="Q50" s="114">
        <f t="shared" si="15"/>
        <v>0</v>
      </c>
      <c r="R50" s="114">
        <f t="shared" si="15"/>
        <v>0</v>
      </c>
      <c r="S50" s="114">
        <f t="shared" si="15"/>
        <v>0</v>
      </c>
      <c r="T50" s="114">
        <f t="shared" si="15"/>
        <v>0</v>
      </c>
      <c r="U50" s="114">
        <f t="shared" si="15"/>
        <v>0</v>
      </c>
      <c r="V50" s="114">
        <f t="shared" si="15"/>
        <v>0</v>
      </c>
      <c r="W50" s="114">
        <f t="shared" si="15"/>
        <v>0</v>
      </c>
      <c r="X50" s="114">
        <f t="shared" si="15"/>
        <v>0</v>
      </c>
      <c r="Y50" s="114">
        <f t="shared" si="15"/>
        <v>0</v>
      </c>
      <c r="Z50" s="114">
        <f t="shared" si="15"/>
        <v>0</v>
      </c>
      <c r="AA50" s="114">
        <f t="shared" si="15"/>
        <v>0</v>
      </c>
      <c r="AB50" s="114">
        <f t="shared" si="15"/>
        <v>0</v>
      </c>
      <c r="AC50" s="114">
        <f t="shared" si="15"/>
        <v>0</v>
      </c>
      <c r="AD50" s="114">
        <f t="shared" si="15"/>
        <v>0</v>
      </c>
      <c r="AE50" s="114">
        <f t="shared" si="15"/>
        <v>0</v>
      </c>
      <c r="AF50" s="114">
        <f t="shared" si="15"/>
        <v>0</v>
      </c>
      <c r="AG50" s="114">
        <f t="shared" si="15"/>
        <v>0</v>
      </c>
      <c r="AH50" s="114">
        <f t="shared" si="15"/>
        <v>0</v>
      </c>
      <c r="AI50" s="114">
        <f t="shared" si="15"/>
        <v>0</v>
      </c>
      <c r="AJ50" s="114">
        <f t="shared" si="15"/>
        <v>0</v>
      </c>
      <c r="AK50" s="114">
        <f t="shared" si="15"/>
        <v>0</v>
      </c>
      <c r="AL50" s="114">
        <f t="shared" si="15"/>
        <v>0</v>
      </c>
      <c r="AM50" s="114">
        <f t="shared" si="15"/>
        <v>0</v>
      </c>
      <c r="AN50" s="114">
        <f t="shared" si="15"/>
        <v>0</v>
      </c>
      <c r="AO50" s="114">
        <f t="shared" si="15"/>
        <v>0</v>
      </c>
      <c r="AP50" s="114">
        <f t="shared" si="15"/>
        <v>0</v>
      </c>
      <c r="AQ50" s="114">
        <f t="shared" si="15"/>
        <v>0</v>
      </c>
      <c r="AR50" s="114">
        <f t="shared" si="15"/>
        <v>0</v>
      </c>
      <c r="AS50" s="114">
        <f t="shared" si="15"/>
        <v>0</v>
      </c>
      <c r="AT50" s="114">
        <f t="shared" si="15"/>
        <v>0</v>
      </c>
      <c r="AU50" s="114">
        <f t="shared" si="15"/>
        <v>0</v>
      </c>
      <c r="AV50" s="114">
        <f t="shared" si="15"/>
        <v>0</v>
      </c>
      <c r="AW50" s="114">
        <f t="shared" si="15"/>
        <v>0</v>
      </c>
      <c r="AX50" s="114">
        <f t="shared" si="15"/>
        <v>0</v>
      </c>
      <c r="AY50" s="114">
        <f t="shared" si="15"/>
        <v>0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1</v>
      </c>
      <c r="E52" s="114">
        <v>1</v>
      </c>
      <c r="F52" s="114">
        <v>1</v>
      </c>
      <c r="G52" s="114">
        <v>1</v>
      </c>
      <c r="H52" s="114">
        <v>1</v>
      </c>
      <c r="I52" s="114">
        <v>1</v>
      </c>
      <c r="J52" s="114">
        <v>2</v>
      </c>
      <c r="K52" s="114">
        <v>2</v>
      </c>
      <c r="L52" s="114">
        <v>1</v>
      </c>
      <c r="M52" s="114">
        <v>1</v>
      </c>
      <c r="N52" s="114">
        <v>2</v>
      </c>
      <c r="O52" s="114">
        <v>1</v>
      </c>
      <c r="P52" s="114">
        <v>3</v>
      </c>
      <c r="Q52" s="114">
        <v>3</v>
      </c>
      <c r="R52" s="114">
        <v>1</v>
      </c>
      <c r="S52" s="114">
        <v>2</v>
      </c>
      <c r="T52" s="114">
        <v>3</v>
      </c>
      <c r="U52" s="114">
        <v>1</v>
      </c>
      <c r="V52" s="114">
        <v>1</v>
      </c>
      <c r="W52" s="114">
        <v>1</v>
      </c>
      <c r="X52" s="114">
        <v>2</v>
      </c>
      <c r="Y52" s="114">
        <v>1</v>
      </c>
      <c r="Z52" s="114">
        <v>1</v>
      </c>
      <c r="AA52" s="114">
        <v>1</v>
      </c>
      <c r="AB52" s="114">
        <v>3</v>
      </c>
      <c r="AC52" s="114">
        <v>2</v>
      </c>
      <c r="AD52" s="114">
        <v>2</v>
      </c>
      <c r="AE52" s="114">
        <v>1</v>
      </c>
      <c r="AF52" s="114">
        <v>1</v>
      </c>
      <c r="AG52" s="114">
        <v>1</v>
      </c>
      <c r="AH52" s="114">
        <v>3</v>
      </c>
      <c r="AI52" s="114">
        <v>1</v>
      </c>
      <c r="AJ52" s="114">
        <v>1</v>
      </c>
      <c r="AK52" s="114">
        <v>1</v>
      </c>
      <c r="AL52" s="114">
        <v>1</v>
      </c>
      <c r="AM52" s="114">
        <v>1</v>
      </c>
      <c r="AN52" s="114">
        <v>1</v>
      </c>
      <c r="AO52" s="114">
        <v>1</v>
      </c>
      <c r="AP52" s="114">
        <v>3</v>
      </c>
      <c r="AQ52" s="114">
        <v>1</v>
      </c>
      <c r="AR52" s="114">
        <v>1</v>
      </c>
      <c r="AS52" s="114">
        <v>1</v>
      </c>
      <c r="AT52" s="114">
        <v>2</v>
      </c>
      <c r="AU52" s="114">
        <v>2</v>
      </c>
      <c r="AV52" s="114">
        <v>1</v>
      </c>
      <c r="AW52" s="114">
        <v>3</v>
      </c>
      <c r="AX52" s="114">
        <v>2</v>
      </c>
      <c r="AY52" s="114">
        <v>1</v>
      </c>
    </row>
    <row r="53" spans="1:52" x14ac:dyDescent="0.2">
      <c r="A53" s="114"/>
      <c r="B53" s="179" t="s">
        <v>350</v>
      </c>
      <c r="C53" s="114"/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</v>
      </c>
      <c r="AK53" s="114">
        <v>0</v>
      </c>
      <c r="AL53" s="114">
        <v>0</v>
      </c>
      <c r="AM53" s="114">
        <v>0</v>
      </c>
      <c r="AN53" s="114">
        <v>0</v>
      </c>
      <c r="AO53" s="114">
        <v>0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</v>
      </c>
      <c r="AZ53">
        <f>SUM($D$53:$AY$53)</f>
        <v>0</v>
      </c>
    </row>
    <row r="54" spans="1:52" x14ac:dyDescent="0.2">
      <c r="A54" s="128"/>
      <c r="B54" s="143" t="s">
        <v>351</v>
      </c>
      <c r="C54" s="128"/>
      <c r="D54" s="128">
        <v>0</v>
      </c>
      <c r="E54" s="128">
        <v>0</v>
      </c>
      <c r="F54" s="128">
        <v>0</v>
      </c>
      <c r="G54" s="128">
        <v>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28">
        <v>0</v>
      </c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128">
        <v>0</v>
      </c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  <c r="AD54" s="128">
        <v>0</v>
      </c>
      <c r="AE54" s="128">
        <v>0</v>
      </c>
      <c r="AF54" s="128">
        <v>0</v>
      </c>
      <c r="AG54" s="128">
        <v>0</v>
      </c>
      <c r="AH54" s="128">
        <v>0</v>
      </c>
      <c r="AI54" s="128">
        <v>0</v>
      </c>
      <c r="AJ54" s="128">
        <v>0</v>
      </c>
      <c r="AK54" s="128">
        <v>0</v>
      </c>
      <c r="AL54" s="128">
        <v>0</v>
      </c>
      <c r="AM54" s="128">
        <v>0</v>
      </c>
      <c r="AN54" s="128">
        <v>0</v>
      </c>
      <c r="AO54" s="128">
        <v>0</v>
      </c>
      <c r="AP54" s="128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128">
        <v>0</v>
      </c>
      <c r="AW54" s="128">
        <v>0</v>
      </c>
      <c r="AX54" s="128">
        <v>0</v>
      </c>
      <c r="AY54" s="128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11" t="s">
        <v>22</v>
      </c>
    </row>
    <row r="3" spans="1:53" x14ac:dyDescent="0.2">
      <c r="A3" t="s">
        <v>286</v>
      </c>
      <c r="B3" s="112">
        <v>46000</v>
      </c>
      <c r="C3" s="113"/>
    </row>
    <row r="4" spans="1:53" x14ac:dyDescent="0.2">
      <c r="B4" s="114"/>
      <c r="C4" s="114"/>
    </row>
    <row r="5" spans="1:53" x14ac:dyDescent="0.2">
      <c r="C5" s="9" t="s">
        <v>287</v>
      </c>
    </row>
    <row r="6" spans="1:53" x14ac:dyDescent="0.2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3" x14ac:dyDescent="0.2">
      <c r="B7" s="114"/>
      <c r="C7" s="116" t="s">
        <v>288</v>
      </c>
      <c r="D7" s="115" t="s">
        <v>289</v>
      </c>
      <c r="E7" s="115" t="s">
        <v>289</v>
      </c>
      <c r="F7" s="115" t="s">
        <v>289</v>
      </c>
      <c r="G7" s="115" t="s">
        <v>289</v>
      </c>
      <c r="H7" s="115" t="s">
        <v>289</v>
      </c>
      <c r="I7" s="115" t="s">
        <v>289</v>
      </c>
      <c r="J7" s="115" t="s">
        <v>289</v>
      </c>
      <c r="K7" s="115" t="s">
        <v>289</v>
      </c>
      <c r="L7" s="115" t="s">
        <v>289</v>
      </c>
      <c r="M7" s="115" t="s">
        <v>289</v>
      </c>
      <c r="N7" s="115" t="s">
        <v>289</v>
      </c>
      <c r="O7" s="115" t="s">
        <v>289</v>
      </c>
      <c r="P7" s="115" t="s">
        <v>289</v>
      </c>
      <c r="Q7" s="115" t="s">
        <v>289</v>
      </c>
      <c r="R7" s="115" t="s">
        <v>289</v>
      </c>
      <c r="S7" s="115" t="s">
        <v>289</v>
      </c>
      <c r="T7" s="115" t="s">
        <v>289</v>
      </c>
      <c r="U7" s="115" t="s">
        <v>289</v>
      </c>
      <c r="V7" s="115" t="s">
        <v>289</v>
      </c>
      <c r="W7" s="115" t="s">
        <v>289</v>
      </c>
      <c r="X7" s="115" t="s">
        <v>289</v>
      </c>
      <c r="Y7" s="115" t="s">
        <v>289</v>
      </c>
      <c r="Z7" s="115" t="s">
        <v>289</v>
      </c>
      <c r="AA7" s="115" t="s">
        <v>289</v>
      </c>
      <c r="AB7" s="115" t="s">
        <v>289</v>
      </c>
      <c r="AC7" s="115" t="s">
        <v>289</v>
      </c>
      <c r="AD7" s="115" t="s">
        <v>289</v>
      </c>
      <c r="AE7" s="115" t="s">
        <v>289</v>
      </c>
      <c r="AF7" s="115" t="s">
        <v>289</v>
      </c>
      <c r="AG7" s="115" t="s">
        <v>289</v>
      </c>
      <c r="AH7" s="115" t="s">
        <v>289</v>
      </c>
      <c r="AI7" s="115" t="s">
        <v>289</v>
      </c>
      <c r="AJ7" s="115" t="s">
        <v>289</v>
      </c>
      <c r="AK7" s="115" t="s">
        <v>289</v>
      </c>
      <c r="AL7" s="115" t="s">
        <v>289</v>
      </c>
      <c r="AM7" s="115" t="s">
        <v>289</v>
      </c>
      <c r="AN7" s="115" t="s">
        <v>289</v>
      </c>
      <c r="AO7" s="115" t="s">
        <v>289</v>
      </c>
      <c r="AP7" s="115" t="s">
        <v>289</v>
      </c>
      <c r="AQ7" s="115" t="s">
        <v>289</v>
      </c>
      <c r="AR7" s="115" t="s">
        <v>289</v>
      </c>
      <c r="AS7" s="115" t="s">
        <v>289</v>
      </c>
      <c r="AT7" s="115" t="s">
        <v>289</v>
      </c>
      <c r="AU7" s="115" t="s">
        <v>289</v>
      </c>
      <c r="AV7" s="115" t="s">
        <v>289</v>
      </c>
      <c r="AW7" s="115" t="s">
        <v>289</v>
      </c>
      <c r="AX7" s="115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17"/>
      <c r="AY8" s="114"/>
    </row>
    <row r="9" spans="1:53" x14ac:dyDescent="0.2">
      <c r="A9" s="118" t="s">
        <v>125</v>
      </c>
      <c r="B9" s="119">
        <v>1</v>
      </c>
      <c r="C9" s="120" t="s">
        <v>293</v>
      </c>
      <c r="D9" s="120">
        <v>2297.9708840043463</v>
      </c>
      <c r="E9" s="120">
        <v>2297.9708840043463</v>
      </c>
      <c r="F9" s="120">
        <v>2297.9708840043463</v>
      </c>
      <c r="G9" s="120">
        <v>2297.9708840043463</v>
      </c>
      <c r="H9" s="120">
        <v>2297.9708840043463</v>
      </c>
      <c r="I9" s="120">
        <v>2297.9708840043463</v>
      </c>
      <c r="J9" s="120">
        <v>2297.9708840043463</v>
      </c>
      <c r="K9" s="120">
        <v>2297.9708840043463</v>
      </c>
      <c r="L9" s="120">
        <v>2297.9708840043463</v>
      </c>
      <c r="M9" s="120">
        <v>2297.9708840043463</v>
      </c>
      <c r="N9" s="120">
        <v>2297.9708840043463</v>
      </c>
      <c r="O9" s="120">
        <v>2297.9708840043463</v>
      </c>
      <c r="P9" s="120">
        <v>2297.9708840043463</v>
      </c>
      <c r="Q9" s="120">
        <v>2297.9708840043463</v>
      </c>
      <c r="R9" s="120">
        <v>2297.9708840043463</v>
      </c>
      <c r="S9" s="120">
        <v>2297.9708840043463</v>
      </c>
      <c r="T9" s="120">
        <v>2297.9708840043463</v>
      </c>
      <c r="U9" s="120">
        <v>2297.9708840043463</v>
      </c>
      <c r="V9" s="120">
        <v>2297.9708840043463</v>
      </c>
      <c r="W9" s="120">
        <v>2297.9708840043463</v>
      </c>
      <c r="X9" s="120">
        <v>2297.9708840043463</v>
      </c>
      <c r="Y9" s="120">
        <v>2297.9708840043463</v>
      </c>
      <c r="Z9" s="120">
        <v>2297.9708840043463</v>
      </c>
      <c r="AA9" s="120">
        <v>2297.9708840043463</v>
      </c>
      <c r="AB9" s="120">
        <v>2297.9708840043463</v>
      </c>
      <c r="AC9" s="120">
        <v>2297.9708840043463</v>
      </c>
      <c r="AD9" s="120">
        <v>2297.9708840043463</v>
      </c>
      <c r="AE9" s="120">
        <v>2297.9708840043463</v>
      </c>
      <c r="AF9" s="120">
        <v>2297.9708840043463</v>
      </c>
      <c r="AG9" s="120">
        <v>2297.9708840043463</v>
      </c>
      <c r="AH9" s="120">
        <v>2297.9708840043463</v>
      </c>
      <c r="AI9" s="120">
        <v>2297.9708840043463</v>
      </c>
      <c r="AJ9" s="120">
        <v>2297.9708840043463</v>
      </c>
      <c r="AK9" s="120">
        <v>2297.9708840043463</v>
      </c>
      <c r="AL9" s="120">
        <v>2297.9708840043463</v>
      </c>
      <c r="AM9" s="120">
        <v>2297.9708840043463</v>
      </c>
      <c r="AN9" s="120">
        <v>2297.9708840043463</v>
      </c>
      <c r="AO9" s="120">
        <v>2297.9708840043463</v>
      </c>
      <c r="AP9" s="120">
        <v>2297.9708840043463</v>
      </c>
      <c r="AQ9" s="120">
        <v>2297.9708840043463</v>
      </c>
      <c r="AR9" s="120">
        <v>2297.9708840043463</v>
      </c>
      <c r="AS9" s="120">
        <v>2297.9708840043463</v>
      </c>
      <c r="AT9" s="120">
        <v>2297.9708840043463</v>
      </c>
      <c r="AU9" s="120">
        <v>2297.9708840043463</v>
      </c>
      <c r="AV9" s="120">
        <v>2297.9708840043463</v>
      </c>
      <c r="AW9" s="120">
        <v>2297.9708840043463</v>
      </c>
      <c r="AX9" s="120">
        <v>2297.9708840043463</v>
      </c>
      <c r="AY9" s="120">
        <v>2297.9708840043463</v>
      </c>
    </row>
    <row r="10" spans="1:53" x14ac:dyDescent="0.2">
      <c r="A10" s="121" t="s">
        <v>133</v>
      </c>
      <c r="B10" s="122">
        <v>1</v>
      </c>
      <c r="C10" s="110" t="s">
        <v>293</v>
      </c>
      <c r="D10">
        <v>0</v>
      </c>
      <c r="E10">
        <v>1438.5445150389614</v>
      </c>
      <c r="F10">
        <v>723.3708756199585</v>
      </c>
      <c r="G10">
        <v>1999.4952912138135</v>
      </c>
      <c r="H10">
        <v>1723.4952912138135</v>
      </c>
      <c r="I10">
        <v>543.76959933807211</v>
      </c>
      <c r="J10">
        <v>3138.9695993380719</v>
      </c>
      <c r="K10">
        <v>543.76959933807211</v>
      </c>
      <c r="L10">
        <v>1723.4952912138135</v>
      </c>
      <c r="M10">
        <v>1999.4952912138135</v>
      </c>
      <c r="N10">
        <v>1635.3708756199585</v>
      </c>
      <c r="O10">
        <v>1999.4952912138135</v>
      </c>
      <c r="P10">
        <v>1635.3708756199585</v>
      </c>
      <c r="Q10">
        <v>543.76959933807211</v>
      </c>
      <c r="R10">
        <v>1819.0965674956999</v>
      </c>
      <c r="S10">
        <v>1987.4952912138135</v>
      </c>
      <c r="T10">
        <v>1539.7695993380721</v>
      </c>
      <c r="U10">
        <v>1987.4952912138135</v>
      </c>
      <c r="V10">
        <v>1539.7695993380721</v>
      </c>
      <c r="W10">
        <v>1987.4952912138135</v>
      </c>
      <c r="X10">
        <v>1819.0965674956999</v>
      </c>
      <c r="Y10">
        <v>543.76959933807211</v>
      </c>
      <c r="Z10">
        <v>1999.4952912138135</v>
      </c>
      <c r="AA10">
        <v>543.76959933807211</v>
      </c>
      <c r="AB10">
        <v>1359.3708756199585</v>
      </c>
      <c r="AC10">
        <v>1999.4952912138135</v>
      </c>
      <c r="AD10">
        <v>1723.4952912138135</v>
      </c>
      <c r="AE10">
        <v>267.76959933807217</v>
      </c>
      <c r="AF10">
        <v>1999.4952912138135</v>
      </c>
      <c r="AG10">
        <v>1723.4952912138135</v>
      </c>
      <c r="AH10">
        <v>1987.4952912138135</v>
      </c>
      <c r="AI10">
        <v>1999.4952912138135</v>
      </c>
      <c r="AJ10">
        <v>1999.4952912138135</v>
      </c>
      <c r="AK10">
        <v>543.76959933807211</v>
      </c>
      <c r="AL10">
        <v>1987.4952912138135</v>
      </c>
      <c r="AM10">
        <v>267.76959933807217</v>
      </c>
      <c r="AN10">
        <v>1999.4952912138135</v>
      </c>
      <c r="AO10">
        <v>543.76959933807211</v>
      </c>
      <c r="AP10">
        <v>1987.4952912138135</v>
      </c>
      <c r="AQ10">
        <v>1723.4952912138135</v>
      </c>
      <c r="AR10">
        <v>1803.7695993380721</v>
      </c>
      <c r="AS10">
        <v>1723.4952912138135</v>
      </c>
      <c r="AT10">
        <v>1999.4952912138135</v>
      </c>
      <c r="AU10">
        <v>1999.4952912138135</v>
      </c>
      <c r="AV10">
        <v>1815.7695993380721</v>
      </c>
      <c r="AW10">
        <v>1999.4952912138135</v>
      </c>
      <c r="AX10">
        <v>1987.4952912138135</v>
      </c>
      <c r="AY10">
        <v>543.76959933807211</v>
      </c>
      <c r="AZ10">
        <v>1987.4952912138135</v>
      </c>
    </row>
    <row r="11" spans="1:53" x14ac:dyDescent="0.2">
      <c r="B11" s="122">
        <v>2</v>
      </c>
      <c r="C11" s="110" t="s">
        <v>293</v>
      </c>
      <c r="E11">
        <v>0</v>
      </c>
      <c r="F11">
        <v>12</v>
      </c>
      <c r="G11">
        <v>1095.7256918757414</v>
      </c>
      <c r="H11">
        <v>0</v>
      </c>
      <c r="I11">
        <v>276</v>
      </c>
      <c r="K11">
        <v>276</v>
      </c>
      <c r="L11">
        <v>1455.7256918757414</v>
      </c>
      <c r="M11">
        <v>276</v>
      </c>
      <c r="P11">
        <v>0</v>
      </c>
      <c r="Q11">
        <v>180.39872371811367</v>
      </c>
      <c r="R11">
        <v>1455.7256918757414</v>
      </c>
      <c r="S11">
        <v>180.39872371811367</v>
      </c>
      <c r="T11">
        <v>12</v>
      </c>
      <c r="U11">
        <v>459.7256918757414</v>
      </c>
      <c r="V11">
        <v>12</v>
      </c>
      <c r="W11">
        <v>183.7256918757414</v>
      </c>
      <c r="X11">
        <v>12</v>
      </c>
      <c r="Y11">
        <v>180.39872371811367</v>
      </c>
      <c r="Z11">
        <v>1455.7256918757414</v>
      </c>
      <c r="AC11">
        <v>364.12441559385508</v>
      </c>
      <c r="AE11">
        <v>276</v>
      </c>
      <c r="AH11">
        <v>276</v>
      </c>
      <c r="AL11">
        <v>1455.7256918757414</v>
      </c>
      <c r="AM11">
        <v>12</v>
      </c>
      <c r="AN11">
        <v>1731.7256918757414</v>
      </c>
      <c r="AP11">
        <v>1455.7256918757414</v>
      </c>
      <c r="AR11">
        <v>276</v>
      </c>
      <c r="AS11">
        <v>195.7256918757414</v>
      </c>
      <c r="AT11">
        <v>0</v>
      </c>
      <c r="AZ11">
        <v>0</v>
      </c>
      <c r="BA11">
        <v>12</v>
      </c>
    </row>
    <row r="12" spans="1:53" x14ac:dyDescent="0.2">
      <c r="B12" s="123">
        <v>3</v>
      </c>
      <c r="C12" s="110" t="s">
        <v>293</v>
      </c>
      <c r="D12">
        <v>0</v>
      </c>
      <c r="E12">
        <v>10.5</v>
      </c>
      <c r="F12">
        <v>241.49999999999997</v>
      </c>
      <c r="G12">
        <v>0</v>
      </c>
      <c r="H12">
        <v>180.39872371811367</v>
      </c>
      <c r="P12">
        <v>364.12441559385508</v>
      </c>
      <c r="R12">
        <v>183.7256918757414</v>
      </c>
      <c r="X12">
        <v>276</v>
      </c>
      <c r="AC12">
        <v>1455.7256918757414</v>
      </c>
      <c r="AD12">
        <v>276</v>
      </c>
      <c r="AG12">
        <v>1455.7256918757414</v>
      </c>
      <c r="AJ12">
        <v>12</v>
      </c>
      <c r="AM12">
        <v>0</v>
      </c>
      <c r="AR12">
        <v>12</v>
      </c>
      <c r="AU12">
        <v>276</v>
      </c>
      <c r="AX12">
        <v>183.7256918757414</v>
      </c>
      <c r="AZ12">
        <v>12</v>
      </c>
      <c r="BA12">
        <v>1455.7256918757414</v>
      </c>
    </row>
    <row r="13" spans="1:53" x14ac:dyDescent="0.2">
      <c r="B13" s="123">
        <v>4</v>
      </c>
      <c r="C13" s="110" t="s">
        <v>293</v>
      </c>
    </row>
    <row r="14" spans="1:53" x14ac:dyDescent="0.2">
      <c r="A14" s="118" t="s">
        <v>134</v>
      </c>
      <c r="B14" s="124">
        <v>1</v>
      </c>
      <c r="C14" s="120" t="s">
        <v>293</v>
      </c>
      <c r="D14" s="120">
        <v>510.09212662229896</v>
      </c>
      <c r="E14" s="120">
        <f t="shared" ref="E14:AZ14" si="0">D$172*SUM(D$122:D$169)</f>
        <v>1614.4861380916884</v>
      </c>
      <c r="F14" s="120">
        <f t="shared" si="0"/>
        <v>2420.3732467869204</v>
      </c>
      <c r="G14" s="120">
        <f t="shared" si="0"/>
        <v>2755.0953068311192</v>
      </c>
      <c r="H14" s="120">
        <f t="shared" si="0"/>
        <v>3158.7732479794245</v>
      </c>
      <c r="I14" s="120">
        <f t="shared" si="0"/>
        <v>3297.2799524026545</v>
      </c>
      <c r="J14" s="120">
        <f t="shared" si="0"/>
        <v>3248.9248761480267</v>
      </c>
      <c r="K14" s="120">
        <f t="shared" si="0"/>
        <v>3450.0034845835967</v>
      </c>
      <c r="L14" s="120">
        <f t="shared" si="0"/>
        <v>3376.4721278996717</v>
      </c>
      <c r="M14" s="120">
        <f t="shared" si="0"/>
        <v>3529.0991883884017</v>
      </c>
      <c r="N14" s="120">
        <f t="shared" si="0"/>
        <v>3563.5287836681387</v>
      </c>
      <c r="O14" s="120">
        <f t="shared" si="0"/>
        <v>3514.5532569689294</v>
      </c>
      <c r="P14" s="120">
        <f t="shared" si="0"/>
        <v>3529.6557446323973</v>
      </c>
      <c r="Q14" s="120">
        <f t="shared" si="0"/>
        <v>3541.2714023216522</v>
      </c>
      <c r="R14" s="120">
        <f t="shared" si="0"/>
        <v>3400.3603246748107</v>
      </c>
      <c r="S14" s="120">
        <f t="shared" si="0"/>
        <v>3591.1682157705386</v>
      </c>
      <c r="T14" s="120">
        <f t="shared" si="0"/>
        <v>3569.403116628554</v>
      </c>
      <c r="U14" s="120">
        <f t="shared" si="0"/>
        <v>3539.0048409889291</v>
      </c>
      <c r="V14" s="120">
        <f t="shared" si="0"/>
        <v>3567.3152933756796</v>
      </c>
      <c r="W14" s="120">
        <f t="shared" si="0"/>
        <v>3523.1603768098953</v>
      </c>
      <c r="X14" s="120">
        <f t="shared" si="0"/>
        <v>3510.0404007115635</v>
      </c>
      <c r="Y14" s="120">
        <f t="shared" si="0"/>
        <v>3521.7497052620665</v>
      </c>
      <c r="Z14" s="120">
        <f t="shared" si="0"/>
        <v>3380.2723438481735</v>
      </c>
      <c r="AA14" s="120">
        <f t="shared" si="0"/>
        <v>3537.5726952308214</v>
      </c>
      <c r="AB14" s="120">
        <f t="shared" si="0"/>
        <v>3389.125929602722</v>
      </c>
      <c r="AC14" s="120">
        <f t="shared" si="0"/>
        <v>3321.1515509990804</v>
      </c>
      <c r="AD14" s="120">
        <f t="shared" si="0"/>
        <v>3596.2144404506835</v>
      </c>
      <c r="AE14" s="120">
        <f t="shared" si="0"/>
        <v>3568.5436142778776</v>
      </c>
      <c r="AF14" s="120">
        <f t="shared" si="0"/>
        <v>3440.4103492891481</v>
      </c>
      <c r="AG14" s="120">
        <f t="shared" si="0"/>
        <v>3478.1683209130779</v>
      </c>
      <c r="AH14" s="120">
        <f t="shared" si="0"/>
        <v>3628.6133782755896</v>
      </c>
      <c r="AI14" s="120">
        <f t="shared" si="0"/>
        <v>3587.3825142288974</v>
      </c>
      <c r="AJ14" s="120">
        <f t="shared" si="0"/>
        <v>3534.74818341729</v>
      </c>
      <c r="AK14" s="120">
        <f t="shared" si="0"/>
        <v>3502.2761389093635</v>
      </c>
      <c r="AL14" s="120">
        <f t="shared" si="0"/>
        <v>3331.3422319001888</v>
      </c>
      <c r="AM14" s="120">
        <f t="shared" si="0"/>
        <v>3536.4987381195374</v>
      </c>
      <c r="AN14" s="120">
        <f t="shared" si="0"/>
        <v>3364.3303712641818</v>
      </c>
      <c r="AO14" s="120">
        <f t="shared" si="0"/>
        <v>3597.455049872322</v>
      </c>
      <c r="AP14" s="120">
        <f t="shared" si="0"/>
        <v>3442.924335298339</v>
      </c>
      <c r="AQ14" s="120">
        <f t="shared" si="0"/>
        <v>3609.934581301653</v>
      </c>
      <c r="AR14" s="120">
        <f t="shared" si="0"/>
        <v>3540.2339837038862</v>
      </c>
      <c r="AS14" s="120">
        <f t="shared" si="0"/>
        <v>3539.3963793569787</v>
      </c>
      <c r="AT14" s="120">
        <f t="shared" si="0"/>
        <v>3549.169803986229</v>
      </c>
      <c r="AU14" s="120">
        <f t="shared" si="0"/>
        <v>3542.9676274335102</v>
      </c>
      <c r="AV14" s="120">
        <f t="shared" si="0"/>
        <v>3544.1211021323575</v>
      </c>
      <c r="AW14" s="120">
        <f t="shared" si="0"/>
        <v>3518.0445534501596</v>
      </c>
      <c r="AX14" s="120">
        <f t="shared" si="0"/>
        <v>3508.4427850947891</v>
      </c>
      <c r="AY14" s="120">
        <f t="shared" si="0"/>
        <v>3482.1904727368051</v>
      </c>
      <c r="AZ14" s="114">
        <f t="shared" si="0"/>
        <v>3340.4022005504303</v>
      </c>
      <c r="BA14" s="111">
        <f>SUM($E14:$AZ14)</f>
        <v>163633.65270656874</v>
      </c>
    </row>
    <row r="15" spans="1:53" x14ac:dyDescent="0.2">
      <c r="A15" s="125" t="s">
        <v>123</v>
      </c>
      <c r="B15" s="126">
        <v>1</v>
      </c>
      <c r="C15" s="127" t="s">
        <v>293</v>
      </c>
      <c r="D15" s="127">
        <v>3320.0473892065993</v>
      </c>
      <c r="E15" s="127">
        <v>3712.7411181318216</v>
      </c>
      <c r="F15" s="127">
        <v>3511.6765135866408</v>
      </c>
      <c r="G15" s="127">
        <v>3852.9788121755346</v>
      </c>
      <c r="H15" s="127">
        <v>3783.9788121755346</v>
      </c>
      <c r="I15" s="127">
        <v>3489.0473892065993</v>
      </c>
      <c r="J15" s="127">
        <v>4137.8473892065995</v>
      </c>
      <c r="K15" s="127">
        <v>3489.0473892065993</v>
      </c>
      <c r="L15" s="127">
        <v>3783.9788121755346</v>
      </c>
      <c r="M15" s="127">
        <v>3852.9788121755346</v>
      </c>
      <c r="N15" s="127">
        <v>3739.6765135866408</v>
      </c>
      <c r="O15" s="127">
        <v>3852.9788121755346</v>
      </c>
      <c r="P15" s="127">
        <v>3739.6765135866408</v>
      </c>
      <c r="Q15" s="127">
        <v>3489.0473892065993</v>
      </c>
      <c r="R15" s="127">
        <v>3785.6079365555761</v>
      </c>
      <c r="S15" s="127">
        <v>3849.9788121755346</v>
      </c>
      <c r="T15" s="127">
        <v>3738.0473892065993</v>
      </c>
      <c r="U15" s="127">
        <v>3849.9788121755346</v>
      </c>
      <c r="V15" s="127">
        <v>3738.0473892065993</v>
      </c>
      <c r="W15" s="127">
        <v>3849.9788121755346</v>
      </c>
      <c r="X15" s="127">
        <v>3785.6079365555761</v>
      </c>
      <c r="Y15" s="127">
        <v>3489.0473892065993</v>
      </c>
      <c r="Z15" s="127">
        <v>3852.9788121755346</v>
      </c>
      <c r="AA15" s="127">
        <v>3489.0473892065993</v>
      </c>
      <c r="AB15" s="127">
        <v>3670.6765135866408</v>
      </c>
      <c r="AC15" s="127">
        <v>3852.9788121755346</v>
      </c>
      <c r="AD15" s="127">
        <v>3783.9788121755346</v>
      </c>
      <c r="AE15" s="127">
        <v>3420.0473892065993</v>
      </c>
      <c r="AF15" s="127">
        <v>3852.9788121755346</v>
      </c>
      <c r="AG15" s="127">
        <v>3783.9788121755346</v>
      </c>
      <c r="AH15" s="127">
        <v>3849.9788121755346</v>
      </c>
      <c r="AI15" s="127">
        <v>3852.9788121755346</v>
      </c>
      <c r="AJ15" s="127">
        <v>3852.9788121755346</v>
      </c>
      <c r="AK15" s="127">
        <v>3489.0473892065993</v>
      </c>
      <c r="AL15" s="127">
        <v>3849.9788121755346</v>
      </c>
      <c r="AM15" s="127">
        <v>3420.0473892065993</v>
      </c>
      <c r="AN15" s="127">
        <v>3852.9788121755346</v>
      </c>
      <c r="AO15" s="127">
        <v>3489.0473892065993</v>
      </c>
      <c r="AP15" s="127">
        <v>3849.9788121755346</v>
      </c>
      <c r="AQ15" s="127">
        <v>3783.9788121755346</v>
      </c>
      <c r="AR15" s="127">
        <v>3804.0473892065993</v>
      </c>
      <c r="AS15" s="127">
        <v>3783.9788121755346</v>
      </c>
      <c r="AT15" s="127">
        <v>3852.9788121755346</v>
      </c>
      <c r="AU15" s="127">
        <v>3852.9788121755346</v>
      </c>
      <c r="AV15" s="127">
        <v>3807.0473892065993</v>
      </c>
      <c r="AW15" s="127">
        <v>3852.9788121755346</v>
      </c>
      <c r="AX15" s="127">
        <v>3849.9788121755346</v>
      </c>
      <c r="AY15" s="127">
        <v>3489.0473892065993</v>
      </c>
      <c r="AZ15">
        <v>529.93142296893518</v>
      </c>
    </row>
    <row r="16" spans="1:53" x14ac:dyDescent="0.2">
      <c r="A16" s="114"/>
      <c r="B16" s="122">
        <v>2</v>
      </c>
      <c r="C16" s="113" t="s">
        <v>293</v>
      </c>
      <c r="D16" s="110"/>
      <c r="E16" s="114">
        <v>340.04059338783355</v>
      </c>
      <c r="F16" s="114">
        <v>3</v>
      </c>
      <c r="G16" s="114">
        <v>273.93142296893524</v>
      </c>
      <c r="H16" s="114">
        <v>0</v>
      </c>
      <c r="I16" s="114">
        <v>68.999999999999986</v>
      </c>
      <c r="J16" s="114"/>
      <c r="K16" s="114">
        <v>68.999999999999986</v>
      </c>
      <c r="L16" s="114">
        <v>363.93142296893524</v>
      </c>
      <c r="M16" s="114">
        <v>68.999999999999986</v>
      </c>
      <c r="N16" s="114"/>
      <c r="O16" s="114"/>
      <c r="P16" s="114">
        <v>0</v>
      </c>
      <c r="Q16" s="114">
        <v>67.370875619958426</v>
      </c>
      <c r="R16" s="114">
        <v>363.93142296893524</v>
      </c>
      <c r="S16" s="114">
        <v>67.370875619958426</v>
      </c>
      <c r="T16" s="114">
        <v>3</v>
      </c>
      <c r="U16" s="114">
        <v>114.93142296893528</v>
      </c>
      <c r="V16" s="114">
        <v>3</v>
      </c>
      <c r="W16" s="114">
        <v>45.931422968935294</v>
      </c>
      <c r="X16" s="114">
        <v>3</v>
      </c>
      <c r="Y16" s="114">
        <v>67.370875619958426</v>
      </c>
      <c r="Z16" s="114">
        <v>363.93142296893524</v>
      </c>
      <c r="AA16" s="114"/>
      <c r="AB16" s="114"/>
      <c r="AC16" s="114">
        <v>113.30229858889372</v>
      </c>
      <c r="AD16" s="114"/>
      <c r="AE16" s="114">
        <v>68.999999999999986</v>
      </c>
      <c r="AF16" s="114"/>
      <c r="AG16" s="114"/>
      <c r="AH16" s="114">
        <v>68.999999999999986</v>
      </c>
      <c r="AI16" s="114"/>
      <c r="AJ16" s="114"/>
      <c r="AK16" s="114"/>
      <c r="AL16" s="114">
        <v>363.93142296893524</v>
      </c>
      <c r="AM16" s="114">
        <v>3</v>
      </c>
      <c r="AN16" s="114">
        <v>432.93142296893524</v>
      </c>
      <c r="AO16" s="114"/>
      <c r="AP16" s="114">
        <v>363.93142296893524</v>
      </c>
      <c r="AQ16" s="114"/>
      <c r="AR16" s="114">
        <v>68.999999999999986</v>
      </c>
      <c r="AS16" s="114">
        <v>48.931422968935294</v>
      </c>
      <c r="AT16" s="114">
        <v>0</v>
      </c>
      <c r="AU16" s="114"/>
      <c r="AV16" s="114"/>
      <c r="AW16" s="114"/>
      <c r="AX16" s="114"/>
      <c r="AY16" s="114"/>
      <c r="AZ16">
        <v>0</v>
      </c>
      <c r="BA16">
        <v>3</v>
      </c>
    </row>
    <row r="17" spans="1:53" x14ac:dyDescent="0.2">
      <c r="A17" s="114"/>
      <c r="B17" s="122">
        <v>3</v>
      </c>
      <c r="C17" s="113" t="s">
        <v>293</v>
      </c>
      <c r="D17" s="110">
        <v>340.04059338783355</v>
      </c>
      <c r="E17" s="114">
        <v>4.5</v>
      </c>
      <c r="F17" s="114">
        <v>103.50000000000001</v>
      </c>
      <c r="G17" s="114">
        <v>0</v>
      </c>
      <c r="H17" s="114">
        <v>67.370875619958426</v>
      </c>
      <c r="I17" s="114"/>
      <c r="J17" s="114"/>
      <c r="K17" s="114"/>
      <c r="L17" s="114"/>
      <c r="M17" s="114"/>
      <c r="N17" s="114"/>
      <c r="O17" s="114"/>
      <c r="P17" s="114">
        <v>113.30229858889372</v>
      </c>
      <c r="Q17" s="114"/>
      <c r="R17" s="114">
        <v>45.931422968935294</v>
      </c>
      <c r="S17" s="114"/>
      <c r="T17" s="114"/>
      <c r="U17" s="114"/>
      <c r="V17" s="114"/>
      <c r="W17" s="114"/>
      <c r="X17" s="114">
        <v>68.999999999999986</v>
      </c>
      <c r="Y17" s="114"/>
      <c r="Z17" s="114"/>
      <c r="AA17" s="114"/>
      <c r="AB17" s="114"/>
      <c r="AC17" s="114">
        <v>363.93142296893524</v>
      </c>
      <c r="AD17" s="114">
        <v>68.999999999999986</v>
      </c>
      <c r="AE17" s="114"/>
      <c r="AF17" s="114"/>
      <c r="AG17" s="114">
        <v>363.93142296893524</v>
      </c>
      <c r="AH17" s="114"/>
      <c r="AI17" s="114"/>
      <c r="AJ17" s="114">
        <v>3</v>
      </c>
      <c r="AK17" s="114"/>
      <c r="AL17" s="114"/>
      <c r="AM17" s="114">
        <v>0</v>
      </c>
      <c r="AN17" s="114"/>
      <c r="AO17" s="114"/>
      <c r="AP17" s="114"/>
      <c r="AQ17" s="114"/>
      <c r="AR17" s="114">
        <v>3</v>
      </c>
      <c r="AS17" s="114"/>
      <c r="AT17" s="114"/>
      <c r="AU17" s="114">
        <v>68.999999999999986</v>
      </c>
      <c r="AV17" s="114"/>
      <c r="AW17" s="114"/>
      <c r="AX17" s="114">
        <v>45.931422968935294</v>
      </c>
      <c r="AY17" s="114"/>
      <c r="AZ17">
        <v>3</v>
      </c>
      <c r="BA17">
        <v>363.93142296893524</v>
      </c>
    </row>
    <row r="18" spans="1:53" x14ac:dyDescent="0.2">
      <c r="A18" s="128"/>
      <c r="B18" s="119">
        <v>4</v>
      </c>
      <c r="C18" s="128" t="s">
        <v>293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</row>
    <row r="20" spans="1:53" x14ac:dyDescent="0.2">
      <c r="A20" s="1" t="s">
        <v>294</v>
      </c>
    </row>
    <row r="21" spans="1:53" x14ac:dyDescent="0.2">
      <c r="A21" s="129" t="s">
        <v>125</v>
      </c>
      <c r="B21" s="126">
        <v>1</v>
      </c>
      <c r="C21" s="127" t="s">
        <v>293</v>
      </c>
      <c r="D21" s="127"/>
      <c r="E21" s="127"/>
      <c r="F21" s="127"/>
      <c r="G21" s="127"/>
      <c r="H21" s="127"/>
      <c r="I21" s="127"/>
      <c r="J21" s="127"/>
      <c r="K21" s="127"/>
      <c r="L21" s="127"/>
      <c r="M21" s="127">
        <v>1241.9632968985584</v>
      </c>
      <c r="N21" s="127">
        <v>1485.1435154243015</v>
      </c>
      <c r="O21" s="127">
        <v>1641.9926545830265</v>
      </c>
      <c r="P21" s="127">
        <v>1801.156353433938</v>
      </c>
      <c r="Q21" s="127">
        <v>1386.8590753033145</v>
      </c>
      <c r="R21" s="127">
        <v>2023.1156909389822</v>
      </c>
      <c r="S21" s="127">
        <v>2099.9283721606635</v>
      </c>
      <c r="T21" s="127">
        <v>1994.5895181768763</v>
      </c>
      <c r="U21" s="127">
        <v>2162.0245127197372</v>
      </c>
      <c r="V21" s="127">
        <v>1990.4359427086163</v>
      </c>
      <c r="W21" s="127">
        <v>2040.7058913420201</v>
      </c>
      <c r="X21" s="127">
        <v>2071.9414479685147</v>
      </c>
      <c r="Y21" s="127">
        <v>1569.8187659537191</v>
      </c>
      <c r="Z21" s="127">
        <v>2129.320472118774</v>
      </c>
      <c r="AA21" s="127">
        <v>1562.549578887611</v>
      </c>
      <c r="AB21" s="127">
        <v>1287.3817953730263</v>
      </c>
      <c r="AC21" s="127">
        <v>1963.7966123820722</v>
      </c>
      <c r="AD21" s="127">
        <v>1950.0265350742598</v>
      </c>
      <c r="AE21" s="127">
        <v>1435.1368940075354</v>
      </c>
      <c r="AF21" s="127">
        <v>1444.7635562982121</v>
      </c>
      <c r="AG21" s="127">
        <v>1895.3619974789995</v>
      </c>
      <c r="AH21" s="127">
        <v>2009.0730382586573</v>
      </c>
      <c r="AI21" s="127">
        <v>2057.6597429021745</v>
      </c>
      <c r="AJ21" s="127">
        <v>2082.3951180575241</v>
      </c>
      <c r="AK21" s="127">
        <v>1545.5979974185791</v>
      </c>
      <c r="AL21" s="127">
        <v>2091.1671298661295</v>
      </c>
      <c r="AM21" s="127">
        <v>1422.0933797432972</v>
      </c>
      <c r="AN21" s="127">
        <v>2105.7137185521374</v>
      </c>
      <c r="AO21" s="127">
        <v>1576.6248256906442</v>
      </c>
      <c r="AP21" s="127">
        <v>2096.9932649641705</v>
      </c>
      <c r="AQ21" s="127">
        <v>1956.4374932511714</v>
      </c>
      <c r="AR21" s="127">
        <v>1985.9509814190621</v>
      </c>
      <c r="AS21" s="127">
        <v>1982.5996746944759</v>
      </c>
      <c r="AT21" s="127">
        <v>2037.1841879435594</v>
      </c>
      <c r="AU21" s="127">
        <v>2130.5697812586409</v>
      </c>
      <c r="AV21" s="127">
        <v>2102.4260855252965</v>
      </c>
      <c r="AW21" s="127">
        <v>2074.1179067606745</v>
      </c>
      <c r="AX21" s="127">
        <v>2123.488858699</v>
      </c>
      <c r="AY21" s="127">
        <v>1532.4269104794653</v>
      </c>
    </row>
    <row r="22" spans="1:53" x14ac:dyDescent="0.2">
      <c r="A22" s="113"/>
      <c r="B22" s="123">
        <v>2</v>
      </c>
      <c r="C22" s="114" t="s">
        <v>293</v>
      </c>
      <c r="D22" s="114"/>
      <c r="E22" s="114"/>
      <c r="F22" s="114"/>
      <c r="G22" s="114"/>
      <c r="H22" s="114"/>
      <c r="I22" s="114"/>
      <c r="J22" s="114"/>
      <c r="K22" s="114"/>
      <c r="L22" s="114">
        <v>1830.8570122293299</v>
      </c>
      <c r="M22" s="114">
        <v>2297.9708840043463</v>
      </c>
      <c r="N22" s="114">
        <v>836.00758710578793</v>
      </c>
      <c r="O22" s="114">
        <v>513.82736858004478</v>
      </c>
      <c r="P22" s="114">
        <v>400.97822942131984</v>
      </c>
      <c r="Q22" s="114">
        <v>177.81453057040835</v>
      </c>
      <c r="R22" s="114">
        <v>599.1118087010318</v>
      </c>
      <c r="S22" s="114">
        <v>69.855193065364119</v>
      </c>
      <c r="T22" s="114">
        <v>0</v>
      </c>
      <c r="U22" s="114">
        <v>22.381365827470063</v>
      </c>
      <c r="V22" s="114">
        <v>0</v>
      </c>
      <c r="W22" s="114">
        <v>28.53494129573005</v>
      </c>
      <c r="X22" s="114">
        <v>0</v>
      </c>
      <c r="Y22" s="114">
        <v>0</v>
      </c>
      <c r="Z22" s="114">
        <v>508.15211805062722</v>
      </c>
      <c r="AA22" s="114">
        <v>0</v>
      </c>
      <c r="AB22" s="114">
        <v>435.42130511673531</v>
      </c>
      <c r="AC22" s="114">
        <v>739.58908863132001</v>
      </c>
      <c r="AD22" s="114">
        <v>87.174271622274091</v>
      </c>
      <c r="AE22" s="114">
        <v>62.944348930086562</v>
      </c>
      <c r="AF22" s="114">
        <v>585.83398999681094</v>
      </c>
      <c r="AG22" s="114">
        <v>554.20732770613427</v>
      </c>
      <c r="AH22" s="114">
        <v>113.60888652534686</v>
      </c>
      <c r="AI22" s="114">
        <v>27.897845745688983</v>
      </c>
      <c r="AJ22" s="114">
        <v>0</v>
      </c>
      <c r="AK22" s="114">
        <v>0</v>
      </c>
      <c r="AL22" s="114">
        <v>515.37288658576722</v>
      </c>
      <c r="AM22" s="114">
        <v>0</v>
      </c>
      <c r="AN22" s="114">
        <v>656.87750426104913</v>
      </c>
      <c r="AO22" s="114">
        <v>0</v>
      </c>
      <c r="AP22" s="114">
        <v>466.34605831370209</v>
      </c>
      <c r="AQ22" s="114">
        <v>0</v>
      </c>
      <c r="AR22" s="114">
        <v>43.533390753174899</v>
      </c>
      <c r="AS22" s="114">
        <v>26.019902585284171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</row>
    <row r="23" spans="1:53" x14ac:dyDescent="0.2">
      <c r="A23" s="113"/>
      <c r="B23" s="130">
        <v>3</v>
      </c>
      <c r="C23" s="114" t="s">
        <v>293</v>
      </c>
      <c r="D23" s="114"/>
      <c r="E23" s="114"/>
      <c r="F23" s="114"/>
      <c r="G23" s="114"/>
      <c r="H23" s="114"/>
      <c r="I23" s="114"/>
      <c r="J23" s="114"/>
      <c r="K23" s="114">
        <v>1597.9321238879288</v>
      </c>
      <c r="L23" s="114">
        <v>2297.9708840043463</v>
      </c>
      <c r="M23" s="114">
        <v>195.11387177501638</v>
      </c>
      <c r="N23" s="114">
        <v>0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</row>
    <row r="24" spans="1:53" x14ac:dyDescent="0.2">
      <c r="A24" s="131"/>
      <c r="B24" s="132">
        <v>4</v>
      </c>
      <c r="C24" s="131" t="s">
        <v>293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1436.6812889255555</v>
      </c>
      <c r="K24" s="128">
        <v>2297.9708840043463</v>
      </c>
      <c r="L24" s="128">
        <v>402.03876011641751</v>
      </c>
      <c r="M24" s="128">
        <v>0</v>
      </c>
      <c r="N24" s="128">
        <v>0</v>
      </c>
      <c r="O24" s="128">
        <v>0</v>
      </c>
      <c r="P24" s="128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0</v>
      </c>
      <c r="AA24" s="128">
        <v>0</v>
      </c>
      <c r="AB24" s="128">
        <v>0</v>
      </c>
      <c r="AC24" s="128">
        <v>0</v>
      </c>
      <c r="AD24" s="128">
        <v>0</v>
      </c>
      <c r="AE24" s="128">
        <v>0</v>
      </c>
      <c r="AF24" s="128">
        <v>0</v>
      </c>
      <c r="AG24" s="128">
        <v>0</v>
      </c>
      <c r="AH24" s="128">
        <v>0</v>
      </c>
      <c r="AI24" s="128">
        <v>0</v>
      </c>
      <c r="AJ24" s="128">
        <v>0</v>
      </c>
      <c r="AK24" s="128">
        <v>0</v>
      </c>
      <c r="AL24" s="128">
        <v>0</v>
      </c>
      <c r="AM24" s="128">
        <v>0</v>
      </c>
      <c r="AN24" s="128">
        <v>0</v>
      </c>
      <c r="AO24" s="128">
        <v>0</v>
      </c>
      <c r="AP24" s="128">
        <v>0</v>
      </c>
      <c r="AQ24" s="128">
        <v>0</v>
      </c>
      <c r="AR24" s="128">
        <v>0</v>
      </c>
      <c r="AS24" s="128">
        <v>0</v>
      </c>
      <c r="AT24" s="128">
        <v>0</v>
      </c>
      <c r="AU24" s="128">
        <v>0</v>
      </c>
      <c r="AV24" s="128">
        <v>0</v>
      </c>
      <c r="AW24" s="128">
        <v>0</v>
      </c>
      <c r="AX24" s="128">
        <v>0</v>
      </c>
      <c r="AY24" s="128">
        <v>0</v>
      </c>
    </row>
    <row r="25" spans="1:53" x14ac:dyDescent="0.2">
      <c r="A25" s="129" t="s">
        <v>133</v>
      </c>
      <c r="B25" s="126">
        <v>1</v>
      </c>
      <c r="C25" s="113" t="s">
        <v>293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</row>
    <row r="26" spans="1:53" x14ac:dyDescent="0.2">
      <c r="A26" s="113"/>
      <c r="B26" s="122">
        <v>2</v>
      </c>
      <c r="C26" s="113" t="s">
        <v>293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</row>
    <row r="27" spans="1:53" x14ac:dyDescent="0.2">
      <c r="A27" s="113"/>
      <c r="B27" s="123">
        <v>3</v>
      </c>
      <c r="C27" s="113" t="s">
        <v>293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</row>
    <row r="28" spans="1:53" x14ac:dyDescent="0.2">
      <c r="A28" s="113"/>
      <c r="B28" s="123">
        <v>4</v>
      </c>
      <c r="C28" s="113" t="s">
        <v>293</v>
      </c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</row>
    <row r="29" spans="1:53" x14ac:dyDescent="0.2">
      <c r="A29" s="113"/>
      <c r="B29" s="130">
        <v>5</v>
      </c>
      <c r="C29" s="113" t="s">
        <v>293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>
        <v>293.88617978061501</v>
      </c>
      <c r="N29" s="114">
        <v>2088.6972882151058</v>
      </c>
      <c r="O29" s="114">
        <v>1428.7198344851708</v>
      </c>
      <c r="P29" s="114">
        <v>1567.2103038813743</v>
      </c>
      <c r="Q29" s="114">
        <v>1206.724684785378</v>
      </c>
      <c r="R29" s="114">
        <v>1760.340100812881</v>
      </c>
      <c r="S29" s="114">
        <v>1638.1572255391391</v>
      </c>
      <c r="T29" s="114">
        <v>1544.1239634842455</v>
      </c>
      <c r="U29" s="114">
        <v>1713.6094820371804</v>
      </c>
      <c r="V29" s="114">
        <v>1558.4545933609609</v>
      </c>
      <c r="W29" s="114">
        <v>1704.4162979966743</v>
      </c>
      <c r="X29" s="114">
        <v>1593.5265325625974</v>
      </c>
      <c r="Y29" s="114">
        <v>1209.3729145028658</v>
      </c>
      <c r="Z29" s="114">
        <v>1852.7503055511343</v>
      </c>
      <c r="AA29" s="114">
        <v>1226.1479703157167</v>
      </c>
      <c r="AB29" s="114">
        <v>1120.1681691271954</v>
      </c>
      <c r="AC29" s="114">
        <v>1708.72577485284</v>
      </c>
      <c r="AD29" s="114">
        <v>1652.4221747188703</v>
      </c>
      <c r="AE29" s="114">
        <v>1234.269541708157</v>
      </c>
      <c r="AF29" s="114">
        <v>1257.1081504312633</v>
      </c>
      <c r="AG29" s="114">
        <v>1649.1798984419595</v>
      </c>
      <c r="AH29" s="114">
        <v>1748.1214003472194</v>
      </c>
      <c r="AI29" s="114">
        <v>1426.2943079439683</v>
      </c>
      <c r="AJ29" s="114">
        <v>1646.6083481874912</v>
      </c>
      <c r="AK29" s="114">
        <v>1201.8939610613907</v>
      </c>
      <c r="AL29" s="114">
        <v>1819.552570667176</v>
      </c>
      <c r="AM29" s="114">
        <v>1096.8687114684706</v>
      </c>
      <c r="AN29" s="114">
        <v>1832.2097526111929</v>
      </c>
      <c r="AO29" s="114">
        <v>1254.7161833536416</v>
      </c>
      <c r="AP29" s="114">
        <v>1824.6219689679101</v>
      </c>
      <c r="AQ29" s="114">
        <v>1454.4642105481898</v>
      </c>
      <c r="AR29" s="114">
        <v>1534.3348296978049</v>
      </c>
      <c r="AS29" s="114">
        <v>1600.9049490392115</v>
      </c>
      <c r="AT29" s="114">
        <v>1641.9580135269073</v>
      </c>
      <c r="AU29" s="114">
        <v>1763.1548493839362</v>
      </c>
      <c r="AV29" s="114">
        <v>1678.8773167885047</v>
      </c>
      <c r="AW29" s="114">
        <v>1564.7659573679819</v>
      </c>
      <c r="AX29" s="114">
        <v>1652.5864318925874</v>
      </c>
      <c r="AY29" s="114">
        <v>1143.1892118216215</v>
      </c>
    </row>
    <row r="30" spans="1:53" x14ac:dyDescent="0.2">
      <c r="A30" s="113"/>
      <c r="B30" s="130">
        <v>6</v>
      </c>
      <c r="C30" s="113" t="s">
        <v>293</v>
      </c>
      <c r="D30" s="114"/>
      <c r="E30" s="114"/>
      <c r="F30" s="114"/>
      <c r="G30" s="114"/>
      <c r="H30" s="114"/>
      <c r="I30" s="114"/>
      <c r="J30" s="114"/>
      <c r="K30" s="114"/>
      <c r="L30" s="114">
        <v>1593.05324550466</v>
      </c>
      <c r="M30" s="114">
        <v>1966.937336922967</v>
      </c>
      <c r="N30" s="114">
        <v>0</v>
      </c>
      <c r="O30" s="114">
        <v>751.1557306804234</v>
      </c>
      <c r="P30" s="114">
        <v>230.77545672864267</v>
      </c>
      <c r="Q30" s="114">
        <v>51.284987332439187</v>
      </c>
      <c r="R30" s="114">
        <v>434.77060642843549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168.96121941396382</v>
      </c>
      <c r="AA30" s="114">
        <v>0</v>
      </c>
      <c r="AB30" s="114">
        <v>214.09230656077602</v>
      </c>
      <c r="AC30" s="114">
        <v>425.32712208661815</v>
      </c>
      <c r="AD30" s="114">
        <v>0</v>
      </c>
      <c r="AE30" s="114">
        <v>0</v>
      </c>
      <c r="AF30" s="114">
        <v>323.06838236157319</v>
      </c>
      <c r="AG30" s="114">
        <v>286.3871407825502</v>
      </c>
      <c r="AH30" s="114">
        <v>12.315392771854022</v>
      </c>
      <c r="AI30" s="114">
        <v>0</v>
      </c>
      <c r="AJ30" s="114">
        <v>0</v>
      </c>
      <c r="AK30" s="114">
        <v>0</v>
      </c>
      <c r="AL30" s="114">
        <v>154.06314731518455</v>
      </c>
      <c r="AM30" s="114">
        <v>0</v>
      </c>
      <c r="AN30" s="114">
        <v>356.56930029198043</v>
      </c>
      <c r="AO30" s="114">
        <v>0</v>
      </c>
      <c r="AP30" s="114">
        <v>217.06464646279255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</row>
    <row r="31" spans="1:53" x14ac:dyDescent="0.2">
      <c r="A31" s="113"/>
      <c r="B31" s="133">
        <v>7</v>
      </c>
      <c r="C31" s="113" t="s">
        <v>293</v>
      </c>
      <c r="D31" s="114"/>
      <c r="E31" s="114"/>
      <c r="F31" s="114"/>
      <c r="G31" s="114"/>
      <c r="H31" s="114"/>
      <c r="I31" s="114"/>
      <c r="J31" s="114"/>
      <c r="K31" s="114">
        <v>0</v>
      </c>
      <c r="L31" s="114">
        <v>1131.039806252775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</row>
    <row r="32" spans="1:53" x14ac:dyDescent="0.2">
      <c r="A32" s="131"/>
      <c r="B32" s="132">
        <v>8</v>
      </c>
      <c r="C32" s="131" t="s">
        <v>293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0</v>
      </c>
      <c r="AK32" s="128">
        <v>0</v>
      </c>
      <c r="AL32" s="128">
        <v>0</v>
      </c>
      <c r="AM32" s="128">
        <v>0</v>
      </c>
      <c r="AN32" s="128">
        <v>0</v>
      </c>
      <c r="AO32" s="128">
        <v>0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0</v>
      </c>
      <c r="AV32" s="128">
        <v>0</v>
      </c>
      <c r="AW32" s="128">
        <v>0</v>
      </c>
      <c r="AX32" s="128">
        <v>0</v>
      </c>
      <c r="AY32" s="128">
        <v>0</v>
      </c>
    </row>
    <row r="33" spans="1:51" x14ac:dyDescent="0.2">
      <c r="A33" s="134" t="s">
        <v>134</v>
      </c>
      <c r="B33" s="122">
        <v>1</v>
      </c>
      <c r="C33" s="113" t="s">
        <v>293</v>
      </c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</row>
    <row r="34" spans="1:51" x14ac:dyDescent="0.2">
      <c r="A34" s="113"/>
      <c r="B34" s="122">
        <v>2</v>
      </c>
      <c r="C34" s="113" t="s">
        <v>293</v>
      </c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</row>
    <row r="35" spans="1:51" x14ac:dyDescent="0.2">
      <c r="A35" s="113"/>
      <c r="B35" s="122">
        <v>3</v>
      </c>
      <c r="C35" s="113" t="s">
        <v>293</v>
      </c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</row>
    <row r="36" spans="1:51" x14ac:dyDescent="0.2">
      <c r="A36" s="113"/>
      <c r="B36" s="123">
        <v>4</v>
      </c>
      <c r="C36" s="113" t="s">
        <v>293</v>
      </c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1" x14ac:dyDescent="0.2">
      <c r="A37" s="113"/>
      <c r="B37" s="123">
        <v>5</v>
      </c>
      <c r="C37" s="113" t="s">
        <v>293</v>
      </c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1" x14ac:dyDescent="0.2">
      <c r="A38" s="113"/>
      <c r="B38" s="123">
        <v>6</v>
      </c>
      <c r="C38" s="113" t="s">
        <v>293</v>
      </c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1" x14ac:dyDescent="0.2">
      <c r="A39" s="113"/>
      <c r="B39" s="130">
        <v>7</v>
      </c>
      <c r="C39" s="113" t="s">
        <v>293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</row>
    <row r="40" spans="1:51" x14ac:dyDescent="0.2">
      <c r="A40" s="113"/>
      <c r="B40" s="130">
        <v>8</v>
      </c>
      <c r="C40" s="113" t="s">
        <v>293</v>
      </c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</row>
    <row r="41" spans="1:51" x14ac:dyDescent="0.2">
      <c r="A41" s="113"/>
      <c r="B41" s="130">
        <v>9</v>
      </c>
      <c r="C41" s="113" t="s">
        <v>293</v>
      </c>
      <c r="D41" s="110"/>
      <c r="E41" s="110"/>
      <c r="F41" s="110"/>
      <c r="G41" s="110"/>
      <c r="H41" s="110"/>
      <c r="I41" s="110"/>
      <c r="J41" s="110"/>
      <c r="K41" s="110"/>
      <c r="L41" s="110"/>
      <c r="M41" s="110">
        <v>872.56655026338535</v>
      </c>
      <c r="N41" s="110">
        <v>1564.2502946374402</v>
      </c>
      <c r="O41" s="110">
        <v>1968.6264469155524</v>
      </c>
      <c r="P41" s="110">
        <v>2475.8557840128556</v>
      </c>
      <c r="Q41" s="110">
        <v>1989.9567299289829</v>
      </c>
      <c r="R41" s="110">
        <v>2860.3281883899754</v>
      </c>
      <c r="S41" s="110">
        <v>3152.6771082085415</v>
      </c>
      <c r="T41" s="110">
        <v>2930.7055026691633</v>
      </c>
      <c r="U41" s="110">
        <v>3320.3201164234688</v>
      </c>
      <c r="V41" s="110">
        <v>2998.9509651948338</v>
      </c>
      <c r="W41" s="110">
        <v>3121.088081165703</v>
      </c>
      <c r="X41" s="110">
        <v>3182.4772390589624</v>
      </c>
      <c r="Y41" s="110">
        <v>2419.1578498212416</v>
      </c>
      <c r="Z41" s="110">
        <v>3150.8044346034549</v>
      </c>
      <c r="AA41" s="110">
        <v>2441.8840213887652</v>
      </c>
      <c r="AB41" s="110">
        <v>1999.6705026514394</v>
      </c>
      <c r="AC41" s="110">
        <v>3024.3576044911579</v>
      </c>
      <c r="AD41" s="110">
        <v>3027.1747694805149</v>
      </c>
      <c r="AE41" s="110">
        <v>2200.2965640080788</v>
      </c>
      <c r="AF41" s="110">
        <v>2206.8070955040216</v>
      </c>
      <c r="AG41" s="110">
        <v>2904.7324326211797</v>
      </c>
      <c r="AH41" s="110">
        <v>2955.3089968497261</v>
      </c>
      <c r="AI41" s="110">
        <v>3167.6297438034185</v>
      </c>
      <c r="AJ41" s="110">
        <v>3071.1874286191041</v>
      </c>
      <c r="AK41" s="110">
        <v>2233.7816471386059</v>
      </c>
      <c r="AL41" s="110">
        <v>3272.5764639436402</v>
      </c>
      <c r="AM41" s="110">
        <v>2208.3840506919973</v>
      </c>
      <c r="AN41" s="110">
        <v>3152.5722629361248</v>
      </c>
      <c r="AO41" s="110">
        <v>2386.3516116995024</v>
      </c>
      <c r="AP41" s="110">
        <v>3311.2594543162213</v>
      </c>
      <c r="AQ41" s="110">
        <v>3054.2117405947924</v>
      </c>
      <c r="AR41" s="110">
        <v>3054.7978970448685</v>
      </c>
      <c r="AS41" s="110">
        <v>3021.6272895469792</v>
      </c>
      <c r="AT41" s="110">
        <v>2953.2827272509667</v>
      </c>
      <c r="AU41" s="110">
        <v>3278.8741560411127</v>
      </c>
      <c r="AV41" s="110">
        <v>3052.0833674895048</v>
      </c>
      <c r="AW41" s="110">
        <v>3218.0163247859964</v>
      </c>
      <c r="AX41" s="110">
        <v>3177.1738344031105</v>
      </c>
      <c r="AY41" s="110">
        <v>2378.6897249425811</v>
      </c>
    </row>
    <row r="42" spans="1:51" x14ac:dyDescent="0.2">
      <c r="A42" s="113"/>
      <c r="B42" s="133">
        <v>10</v>
      </c>
      <c r="C42" s="113" t="s">
        <v>293</v>
      </c>
      <c r="D42" s="110"/>
      <c r="E42" s="110"/>
      <c r="F42" s="110"/>
      <c r="G42" s="110"/>
      <c r="H42" s="110"/>
      <c r="I42" s="110"/>
      <c r="J42" s="110"/>
      <c r="K42" s="110"/>
      <c r="L42" s="110">
        <v>403.37525138624619</v>
      </c>
      <c r="M42" s="110">
        <v>307.00686774881603</v>
      </c>
      <c r="N42" s="110">
        <v>504.91958782830307</v>
      </c>
      <c r="O42" s="110">
        <v>619.12295214948017</v>
      </c>
      <c r="P42" s="110">
        <v>529.46885991556678</v>
      </c>
      <c r="Q42" s="110">
        <v>368.9174639665689</v>
      </c>
      <c r="R42" s="110">
        <v>1072.3232224736716</v>
      </c>
      <c r="S42" s="110">
        <v>105.5966877580513</v>
      </c>
      <c r="T42" s="110">
        <v>8.3263763750551334</v>
      </c>
      <c r="U42" s="110">
        <v>182.76662523050845</v>
      </c>
      <c r="V42" s="110">
        <v>0</v>
      </c>
      <c r="W42" s="110">
        <v>165.35689043823777</v>
      </c>
      <c r="X42" s="110">
        <v>116.46517580322643</v>
      </c>
      <c r="Y42" s="110">
        <v>56.178505573434904</v>
      </c>
      <c r="Z42" s="110">
        <v>870.11355250041061</v>
      </c>
      <c r="AA42" s="110">
        <v>4.5558900713558614</v>
      </c>
      <c r="AB42" s="110">
        <v>911.28419438177343</v>
      </c>
      <c r="AC42" s="110">
        <v>1217.7326139771146</v>
      </c>
      <c r="AD42" s="110">
        <v>272.64723649777125</v>
      </c>
      <c r="AE42" s="110">
        <v>217.14052389516473</v>
      </c>
      <c r="AF42" s="110">
        <v>1008.8638128018165</v>
      </c>
      <c r="AG42" s="110">
        <v>1063.2333052075419</v>
      </c>
      <c r="AH42" s="110">
        <v>376.01727264088686</v>
      </c>
      <c r="AI42" s="110">
        <v>107.96334699844738</v>
      </c>
      <c r="AJ42" s="110">
        <v>92.942951427402932</v>
      </c>
      <c r="AK42" s="110">
        <v>33.938500983617814</v>
      </c>
      <c r="AL42" s="110">
        <v>793.36990386047455</v>
      </c>
      <c r="AM42" s="110">
        <v>8.6379765070432768</v>
      </c>
      <c r="AN42" s="110">
        <v>1101.1595635858803</v>
      </c>
      <c r="AO42" s="110">
        <v>25.8380863530233</v>
      </c>
      <c r="AP42" s="110">
        <v>798.81670921357545</v>
      </c>
      <c r="AQ42" s="110">
        <v>50.353923959368331</v>
      </c>
      <c r="AR42" s="110">
        <v>211.17077363410499</v>
      </c>
      <c r="AS42" s="110">
        <v>210.95028637242149</v>
      </c>
      <c r="AT42" s="110">
        <v>128.64884936238423</v>
      </c>
      <c r="AU42" s="110">
        <v>62.059504649222163</v>
      </c>
      <c r="AV42" s="110">
        <v>0</v>
      </c>
      <c r="AW42" s="110">
        <v>0</v>
      </c>
      <c r="AX42" s="110">
        <v>0</v>
      </c>
      <c r="AY42" s="110">
        <v>0</v>
      </c>
    </row>
    <row r="43" spans="1:51" x14ac:dyDescent="0.2">
      <c r="A43" s="113"/>
      <c r="B43" s="133">
        <v>11</v>
      </c>
      <c r="C43" s="113" t="s">
        <v>293</v>
      </c>
      <c r="D43" s="110"/>
      <c r="E43" s="110"/>
      <c r="F43" s="110"/>
      <c r="G43" s="110"/>
      <c r="H43" s="110"/>
      <c r="I43" s="110"/>
      <c r="J43" s="110"/>
      <c r="K43" s="110">
        <v>449.86799219146502</v>
      </c>
      <c r="L43" s="110">
        <v>571.76714274458959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0</v>
      </c>
      <c r="AE43" s="110">
        <v>0</v>
      </c>
      <c r="AF43" s="110">
        <v>0</v>
      </c>
      <c r="AG43" s="110">
        <v>0</v>
      </c>
      <c r="AH43" s="110">
        <v>0</v>
      </c>
      <c r="AI43" s="110">
        <v>0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0</v>
      </c>
      <c r="AR43" s="110">
        <v>0</v>
      </c>
      <c r="AS43" s="110">
        <v>0</v>
      </c>
      <c r="AT43" s="110">
        <v>0</v>
      </c>
      <c r="AU43" s="110">
        <v>0</v>
      </c>
      <c r="AV43" s="110">
        <v>0</v>
      </c>
      <c r="AW43" s="110">
        <v>0</v>
      </c>
      <c r="AX43" s="110">
        <v>0</v>
      </c>
      <c r="AY43" s="110">
        <v>0</v>
      </c>
    </row>
    <row r="44" spans="1:51" x14ac:dyDescent="0.2">
      <c r="A44" s="113"/>
      <c r="B44" s="133">
        <v>12</v>
      </c>
      <c r="C44" s="131" t="s">
        <v>293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360.60937635407464</v>
      </c>
      <c r="K44" s="110">
        <v>545.72727738648928</v>
      </c>
      <c r="L44" s="110">
        <v>0</v>
      </c>
      <c r="M44" s="110">
        <v>0</v>
      </c>
      <c r="N44" s="110">
        <v>0</v>
      </c>
      <c r="O44" s="110">
        <v>0</v>
      </c>
      <c r="P44" s="110">
        <v>0</v>
      </c>
      <c r="Q44" s="110">
        <v>0</v>
      </c>
      <c r="R44" s="110">
        <v>0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0</v>
      </c>
      <c r="AU44" s="110">
        <v>0</v>
      </c>
      <c r="AV44" s="110">
        <v>0</v>
      </c>
      <c r="AW44" s="110">
        <v>0</v>
      </c>
      <c r="AX44" s="110">
        <v>0</v>
      </c>
      <c r="AY44" s="110">
        <v>0</v>
      </c>
    </row>
    <row r="45" spans="1:51" x14ac:dyDescent="0.2">
      <c r="A45" s="129" t="s">
        <v>123</v>
      </c>
      <c r="B45" s="126">
        <v>1</v>
      </c>
      <c r="C45" s="113" t="s">
        <v>293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">
      <c r="A46" s="113"/>
      <c r="B46" s="122">
        <v>2</v>
      </c>
      <c r="C46" s="113" t="s">
        <v>293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</row>
    <row r="47" spans="1:51" x14ac:dyDescent="0.2">
      <c r="A47" s="113"/>
      <c r="B47" s="122">
        <v>3</v>
      </c>
      <c r="C47" s="113" t="s">
        <v>293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1" x14ac:dyDescent="0.2">
      <c r="A48" s="113"/>
      <c r="B48" s="122">
        <v>4</v>
      </c>
      <c r="C48" s="113" t="s">
        <v>293</v>
      </c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1" x14ac:dyDescent="0.2">
      <c r="A49" s="113"/>
      <c r="B49" s="122">
        <v>5</v>
      </c>
      <c r="C49" s="113" t="s">
        <v>293</v>
      </c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1" x14ac:dyDescent="0.2">
      <c r="A50" s="113"/>
      <c r="B50" s="122">
        <v>6</v>
      </c>
      <c r="C50" s="113" t="s">
        <v>293</v>
      </c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</row>
    <row r="51" spans="1:51" x14ac:dyDescent="0.2">
      <c r="A51" s="113"/>
      <c r="B51" s="122">
        <v>7</v>
      </c>
      <c r="C51" s="113" t="s">
        <v>293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</row>
    <row r="52" spans="1:51" x14ac:dyDescent="0.2">
      <c r="A52" s="113"/>
      <c r="B52" s="122">
        <v>8</v>
      </c>
      <c r="C52" s="113" t="s">
        <v>293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</row>
    <row r="53" spans="1:51" x14ac:dyDescent="0.2">
      <c r="A53" s="113"/>
      <c r="B53" s="122">
        <v>9</v>
      </c>
      <c r="C53" s="113" t="s">
        <v>293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</row>
    <row r="54" spans="1:51" x14ac:dyDescent="0.2">
      <c r="A54" s="113"/>
      <c r="B54" s="122">
        <v>10</v>
      </c>
      <c r="C54" s="113" t="s">
        <v>293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</row>
    <row r="55" spans="1:51" x14ac:dyDescent="0.2">
      <c r="A55" s="113"/>
      <c r="B55" s="122">
        <v>11</v>
      </c>
      <c r="C55" s="113" t="s">
        <v>293</v>
      </c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</row>
    <row r="56" spans="1:51" x14ac:dyDescent="0.2">
      <c r="A56" s="113"/>
      <c r="B56" s="122">
        <v>12</v>
      </c>
      <c r="C56" s="113" t="s">
        <v>293</v>
      </c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</row>
    <row r="57" spans="1:51" x14ac:dyDescent="0.2">
      <c r="A57" s="113"/>
      <c r="B57" s="123">
        <v>13</v>
      </c>
      <c r="C57" s="113" t="s">
        <v>293</v>
      </c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</row>
    <row r="58" spans="1:51" x14ac:dyDescent="0.2">
      <c r="A58" s="113"/>
      <c r="B58" s="123">
        <v>14</v>
      </c>
      <c r="C58" s="113" t="s">
        <v>293</v>
      </c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</row>
    <row r="59" spans="1:51" x14ac:dyDescent="0.2">
      <c r="A59" s="113"/>
      <c r="B59" s="123">
        <v>15</v>
      </c>
      <c r="C59" s="113" t="s">
        <v>293</v>
      </c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</row>
    <row r="60" spans="1:51" x14ac:dyDescent="0.2">
      <c r="A60" s="113"/>
      <c r="B60" s="123">
        <v>16</v>
      </c>
      <c r="C60" s="113" t="s">
        <v>293</v>
      </c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</row>
    <row r="61" spans="1:51" x14ac:dyDescent="0.2">
      <c r="A61" s="113"/>
      <c r="B61" s="123">
        <v>17</v>
      </c>
      <c r="C61" s="113" t="s">
        <v>293</v>
      </c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</row>
    <row r="62" spans="1:51" x14ac:dyDescent="0.2">
      <c r="A62" s="113"/>
      <c r="B62" s="123">
        <v>18</v>
      </c>
      <c r="C62" s="113" t="s">
        <v>293</v>
      </c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</row>
    <row r="63" spans="1:51" x14ac:dyDescent="0.2">
      <c r="A63" s="113"/>
      <c r="B63" s="123">
        <v>19</v>
      </c>
      <c r="C63" s="113" t="s">
        <v>293</v>
      </c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</row>
    <row r="64" spans="1:51" x14ac:dyDescent="0.2">
      <c r="A64" s="113"/>
      <c r="B64" s="123">
        <v>20</v>
      </c>
      <c r="C64" s="113" t="s">
        <v>293</v>
      </c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</row>
    <row r="65" spans="1:51" x14ac:dyDescent="0.2">
      <c r="A65" s="113"/>
      <c r="B65" s="123">
        <v>21</v>
      </c>
      <c r="C65" s="113" t="s">
        <v>293</v>
      </c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</row>
    <row r="66" spans="1:51" x14ac:dyDescent="0.2">
      <c r="A66" s="113"/>
      <c r="B66" s="123">
        <v>22</v>
      </c>
      <c r="C66" s="113" t="s">
        <v>293</v>
      </c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</row>
    <row r="67" spans="1:51" x14ac:dyDescent="0.2">
      <c r="A67" s="113"/>
      <c r="B67" s="123">
        <v>23</v>
      </c>
      <c r="C67" s="113" t="s">
        <v>293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</row>
    <row r="68" spans="1:51" x14ac:dyDescent="0.2">
      <c r="A68" s="113"/>
      <c r="B68" s="123">
        <v>24</v>
      </c>
      <c r="C68" s="113" t="s">
        <v>293</v>
      </c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</row>
    <row r="69" spans="1:51" x14ac:dyDescent="0.2">
      <c r="A69" s="113"/>
      <c r="B69" s="130">
        <v>25</v>
      </c>
      <c r="C69" s="113" t="s">
        <v>293</v>
      </c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</row>
    <row r="70" spans="1:51" x14ac:dyDescent="0.2">
      <c r="A70" s="113"/>
      <c r="B70" s="130">
        <v>26</v>
      </c>
      <c r="C70" s="113" t="s">
        <v>293</v>
      </c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</row>
    <row r="71" spans="1:51" x14ac:dyDescent="0.2">
      <c r="A71" s="113"/>
      <c r="B71" s="130">
        <v>27</v>
      </c>
      <c r="C71" s="113" t="s">
        <v>293</v>
      </c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</row>
    <row r="72" spans="1:51" x14ac:dyDescent="0.2">
      <c r="A72" s="113"/>
      <c r="B72" s="130">
        <v>28</v>
      </c>
      <c r="C72" s="113" t="s">
        <v>293</v>
      </c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1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</row>
    <row r="73" spans="1:51" x14ac:dyDescent="0.2">
      <c r="A73" s="113"/>
      <c r="B73" s="130">
        <v>29</v>
      </c>
      <c r="C73" s="113" t="s">
        <v>293</v>
      </c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</row>
    <row r="74" spans="1:51" x14ac:dyDescent="0.2">
      <c r="A74" s="113"/>
      <c r="B74" s="130">
        <v>30</v>
      </c>
      <c r="C74" s="113" t="s">
        <v>293</v>
      </c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</row>
    <row r="75" spans="1:51" x14ac:dyDescent="0.2">
      <c r="A75" s="113"/>
      <c r="B75" s="130">
        <v>31</v>
      </c>
      <c r="C75" s="113" t="s">
        <v>293</v>
      </c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</row>
    <row r="76" spans="1:51" x14ac:dyDescent="0.2">
      <c r="A76" s="113"/>
      <c r="B76" s="130">
        <v>32</v>
      </c>
      <c r="C76" s="113" t="s">
        <v>293</v>
      </c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  <c r="AU76" s="114"/>
      <c r="AV76" s="114"/>
      <c r="AW76" s="114"/>
      <c r="AX76" s="114"/>
      <c r="AY76" s="114"/>
    </row>
    <row r="77" spans="1:51" x14ac:dyDescent="0.2">
      <c r="A77" s="113"/>
      <c r="B77" s="130">
        <v>33</v>
      </c>
      <c r="C77" s="113" t="s">
        <v>293</v>
      </c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</row>
    <row r="78" spans="1:51" x14ac:dyDescent="0.2">
      <c r="A78" s="113"/>
      <c r="B78" s="130">
        <v>34</v>
      </c>
      <c r="C78" s="113" t="s">
        <v>293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</row>
    <row r="79" spans="1:51" x14ac:dyDescent="0.2">
      <c r="A79" s="113"/>
      <c r="B79" s="130">
        <v>35</v>
      </c>
      <c r="C79" s="113" t="s">
        <v>293</v>
      </c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</row>
    <row r="80" spans="1:51" x14ac:dyDescent="0.2">
      <c r="A80" s="113"/>
      <c r="B80" s="130">
        <v>36</v>
      </c>
      <c r="C80" s="113" t="s">
        <v>293</v>
      </c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</row>
    <row r="81" spans="1:52" x14ac:dyDescent="0.2">
      <c r="A81" s="113"/>
      <c r="B81" s="133">
        <v>37</v>
      </c>
      <c r="C81" s="113" t="s">
        <v>293</v>
      </c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</row>
    <row r="82" spans="1:52" x14ac:dyDescent="0.2">
      <c r="A82" s="113"/>
      <c r="B82" s="133">
        <v>38</v>
      </c>
      <c r="C82" s="113" t="s">
        <v>293</v>
      </c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</row>
    <row r="83" spans="1:52" x14ac:dyDescent="0.2">
      <c r="A83" s="113"/>
      <c r="B83" s="133">
        <v>39</v>
      </c>
      <c r="C83" s="113" t="s">
        <v>293</v>
      </c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</row>
    <row r="84" spans="1:52" x14ac:dyDescent="0.2">
      <c r="A84" s="113"/>
      <c r="B84" s="133">
        <v>40</v>
      </c>
      <c r="C84" s="113" t="s">
        <v>293</v>
      </c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</row>
    <row r="85" spans="1:52" x14ac:dyDescent="0.2">
      <c r="A85" s="113"/>
      <c r="B85" s="133">
        <v>41</v>
      </c>
      <c r="C85" s="113" t="s">
        <v>293</v>
      </c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</row>
    <row r="86" spans="1:52" x14ac:dyDescent="0.2">
      <c r="A86" s="113"/>
      <c r="B86" s="133">
        <v>42</v>
      </c>
      <c r="C86" s="113" t="s">
        <v>293</v>
      </c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</row>
    <row r="87" spans="1:52" x14ac:dyDescent="0.2">
      <c r="A87" s="113"/>
      <c r="B87" s="133">
        <v>43</v>
      </c>
      <c r="C87" s="113" t="s">
        <v>293</v>
      </c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14"/>
    </row>
    <row r="88" spans="1:52" x14ac:dyDescent="0.2">
      <c r="A88" s="113"/>
      <c r="B88" s="133">
        <v>44</v>
      </c>
      <c r="C88" s="113" t="s">
        <v>293</v>
      </c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14"/>
    </row>
    <row r="89" spans="1:52" x14ac:dyDescent="0.2">
      <c r="A89" s="113"/>
      <c r="B89" s="133">
        <v>45</v>
      </c>
      <c r="C89" s="113" t="s">
        <v>293</v>
      </c>
      <c r="D89" s="114"/>
      <c r="E89" s="114"/>
      <c r="F89" s="114"/>
      <c r="G89" s="114"/>
      <c r="H89" s="114"/>
      <c r="I89" s="114"/>
      <c r="J89" s="114"/>
      <c r="K89" s="114"/>
      <c r="L89" s="114"/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4">
        <v>0</v>
      </c>
      <c r="AP89" s="114">
        <v>0</v>
      </c>
      <c r="AQ89" s="114">
        <v>0</v>
      </c>
      <c r="AR89" s="114">
        <v>0</v>
      </c>
      <c r="AS89" s="114">
        <v>0</v>
      </c>
      <c r="AT89" s="114">
        <v>0</v>
      </c>
      <c r="AU89" s="114">
        <v>0</v>
      </c>
      <c r="AV89" s="114">
        <v>0</v>
      </c>
      <c r="AW89" s="114">
        <v>0</v>
      </c>
      <c r="AX89" s="114">
        <v>0</v>
      </c>
      <c r="AY89" s="114">
        <v>0</v>
      </c>
    </row>
    <row r="90" spans="1:52" x14ac:dyDescent="0.2">
      <c r="A90" s="113"/>
      <c r="B90" s="133">
        <v>46</v>
      </c>
      <c r="C90" s="113" t="s">
        <v>293</v>
      </c>
      <c r="D90" s="114"/>
      <c r="E90" s="114"/>
      <c r="F90" s="114"/>
      <c r="G90" s="114"/>
      <c r="H90" s="114"/>
      <c r="I90" s="114"/>
      <c r="J90" s="114"/>
      <c r="K90" s="114"/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4">
        <v>0</v>
      </c>
      <c r="AP90" s="114">
        <v>0</v>
      </c>
      <c r="AQ90" s="114">
        <v>0</v>
      </c>
      <c r="AR90" s="114">
        <v>0</v>
      </c>
      <c r="AS90" s="114">
        <v>0</v>
      </c>
      <c r="AT90" s="114">
        <v>0</v>
      </c>
      <c r="AU90" s="114">
        <v>0</v>
      </c>
      <c r="AV90" s="114">
        <v>0</v>
      </c>
      <c r="AW90" s="114">
        <v>0</v>
      </c>
      <c r="AX90" s="114">
        <v>0</v>
      </c>
      <c r="AY90" s="114">
        <v>0</v>
      </c>
    </row>
    <row r="91" spans="1:52" x14ac:dyDescent="0.2">
      <c r="A91" s="113"/>
      <c r="B91" s="133">
        <v>47</v>
      </c>
      <c r="C91" s="113" t="s">
        <v>293</v>
      </c>
      <c r="D91" s="114"/>
      <c r="E91" s="114"/>
      <c r="F91" s="114"/>
      <c r="G91" s="114"/>
      <c r="H91" s="114"/>
      <c r="I91" s="114"/>
      <c r="J91" s="114"/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4">
        <v>0</v>
      </c>
      <c r="AP91" s="114">
        <v>0</v>
      </c>
      <c r="AQ91" s="114">
        <v>0</v>
      </c>
      <c r="AR91" s="114">
        <v>0</v>
      </c>
      <c r="AS91" s="114">
        <v>0</v>
      </c>
      <c r="AT91" s="114">
        <v>0</v>
      </c>
      <c r="AU91" s="114">
        <v>0</v>
      </c>
      <c r="AV91" s="114">
        <v>0</v>
      </c>
      <c r="AW91" s="114">
        <v>0</v>
      </c>
      <c r="AX91" s="114">
        <v>0</v>
      </c>
      <c r="AY91" s="114">
        <v>0</v>
      </c>
    </row>
    <row r="92" spans="1:52" x14ac:dyDescent="0.2">
      <c r="A92" s="131"/>
      <c r="B92" s="132">
        <v>48</v>
      </c>
      <c r="C92" s="131" t="s">
        <v>293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1">
        <f>SUM(D21:AY92)</f>
        <v>281824.29045996169</v>
      </c>
    </row>
    <row r="94" spans="1:52" x14ac:dyDescent="0.2">
      <c r="A94" s="1" t="s">
        <v>295</v>
      </c>
      <c r="B94" s="110"/>
      <c r="C94" s="110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">
      <c r="A95" s="129" t="s">
        <v>125</v>
      </c>
      <c r="B95" s="126">
        <v>1</v>
      </c>
      <c r="C95" s="127">
        <v>3440.6512500843255</v>
      </c>
      <c r="D95" s="114">
        <v>2297.9708840043463</v>
      </c>
      <c r="E95" s="114">
        <v>2297.9708840043463</v>
      </c>
      <c r="F95" s="114">
        <v>2297.9708840043463</v>
      </c>
      <c r="G95" s="114">
        <v>2297.9708840043463</v>
      </c>
      <c r="H95" s="114">
        <v>2297.9708840043463</v>
      </c>
      <c r="I95" s="114">
        <v>2297.9708840043463</v>
      </c>
      <c r="J95" s="114">
        <v>2297.9708840043463</v>
      </c>
      <c r="K95" s="114">
        <v>2297.9708840043463</v>
      </c>
      <c r="L95" s="114">
        <v>2297.9708840043463</v>
      </c>
      <c r="M95" s="114">
        <v>1056.0075871057879</v>
      </c>
      <c r="N95" s="114">
        <v>812.82736858004478</v>
      </c>
      <c r="O95" s="114">
        <v>655.97822942131984</v>
      </c>
      <c r="P95" s="114">
        <v>496.81453057040835</v>
      </c>
      <c r="Q95" s="114">
        <v>911.1118087010318</v>
      </c>
      <c r="R95" s="114">
        <v>274.85519306536412</v>
      </c>
      <c r="S95" s="114">
        <v>198.04251184368286</v>
      </c>
      <c r="T95" s="114">
        <v>303.38136582747006</v>
      </c>
      <c r="U95" s="114">
        <v>135.94637128460909</v>
      </c>
      <c r="V95" s="114">
        <v>307.53494129573005</v>
      </c>
      <c r="W95" s="114">
        <v>257.26499266232622</v>
      </c>
      <c r="X95" s="114">
        <v>226.02943603583162</v>
      </c>
      <c r="Y95" s="114">
        <v>728.15211805062722</v>
      </c>
      <c r="Z95" s="114">
        <v>168.65041188557234</v>
      </c>
      <c r="AA95" s="114">
        <v>735.42130511673531</v>
      </c>
      <c r="AB95" s="114">
        <v>1010.58908863132</v>
      </c>
      <c r="AC95" s="114">
        <v>334.17427162227409</v>
      </c>
      <c r="AD95" s="114">
        <v>347.94434893008656</v>
      </c>
      <c r="AE95" s="114">
        <v>862.83398999681094</v>
      </c>
      <c r="AF95" s="114">
        <v>853.20732770613427</v>
      </c>
      <c r="AG95" s="114">
        <v>402.60888652534686</v>
      </c>
      <c r="AH95" s="114">
        <v>288.89784574568898</v>
      </c>
      <c r="AI95" s="114">
        <v>240.31114110217186</v>
      </c>
      <c r="AJ95" s="114">
        <v>215.57576594682223</v>
      </c>
      <c r="AK95" s="114">
        <v>752.37288658576722</v>
      </c>
      <c r="AL95" s="114">
        <v>206.80375413821685</v>
      </c>
      <c r="AM95" s="114">
        <v>875.87750426104913</v>
      </c>
      <c r="AN95" s="114">
        <v>192.25716545220894</v>
      </c>
      <c r="AO95" s="114">
        <v>721.34605831370209</v>
      </c>
      <c r="AP95" s="114">
        <v>200.9776190401758</v>
      </c>
      <c r="AQ95" s="114">
        <v>341.5333907531749</v>
      </c>
      <c r="AR95" s="114">
        <v>312.01990258528417</v>
      </c>
      <c r="AS95" s="114">
        <v>315.37120930987044</v>
      </c>
      <c r="AT95" s="114">
        <v>260.78669606078688</v>
      </c>
      <c r="AU95" s="114">
        <v>167.40110274570543</v>
      </c>
      <c r="AV95" s="114">
        <v>195.54479847904986</v>
      </c>
      <c r="AW95" s="114">
        <v>223.85297724367183</v>
      </c>
      <c r="AX95" s="114">
        <v>174.48202530534627</v>
      </c>
      <c r="AY95" s="114">
        <v>765.54397352488104</v>
      </c>
    </row>
    <row r="96" spans="1:52" x14ac:dyDescent="0.2">
      <c r="A96" s="113"/>
      <c r="B96" s="123">
        <v>2</v>
      </c>
      <c r="C96" s="114">
        <v>3440.6512500843255</v>
      </c>
      <c r="D96" s="114">
        <v>3440.6512500843255</v>
      </c>
      <c r="E96" s="114">
        <v>2297.9708840043463</v>
      </c>
      <c r="F96" s="114">
        <v>2297.9708840043463</v>
      </c>
      <c r="G96" s="114">
        <v>2297.9708840043463</v>
      </c>
      <c r="H96" s="114">
        <v>2297.9708840043463</v>
      </c>
      <c r="I96" s="114">
        <v>2297.9708840043463</v>
      </c>
      <c r="J96" s="114">
        <v>2297.9708840043463</v>
      </c>
      <c r="K96" s="114">
        <v>2297.9708840043463</v>
      </c>
      <c r="L96" s="114">
        <v>467.11387177501638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0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0</v>
      </c>
      <c r="AG96" s="114">
        <v>0</v>
      </c>
      <c r="AH96" s="114">
        <v>0</v>
      </c>
      <c r="AI96" s="114">
        <v>0</v>
      </c>
      <c r="AJ96" s="114">
        <v>0</v>
      </c>
      <c r="AK96" s="114">
        <v>0</v>
      </c>
      <c r="AL96" s="114">
        <v>0</v>
      </c>
      <c r="AM96" s="114">
        <v>0</v>
      </c>
      <c r="AN96" s="114">
        <v>0</v>
      </c>
      <c r="AO96" s="114">
        <v>0</v>
      </c>
      <c r="AP96" s="114">
        <v>0</v>
      </c>
      <c r="AQ96" s="114">
        <v>0</v>
      </c>
      <c r="AR96" s="114">
        <v>0</v>
      </c>
      <c r="AS96" s="114">
        <v>0</v>
      </c>
      <c r="AT96" s="114">
        <v>0</v>
      </c>
      <c r="AU96" s="114">
        <v>0</v>
      </c>
      <c r="AV96" s="114">
        <v>0</v>
      </c>
      <c r="AW96" s="114">
        <v>0</v>
      </c>
      <c r="AX96" s="114">
        <v>0</v>
      </c>
      <c r="AY96" s="114">
        <v>0</v>
      </c>
    </row>
    <row r="97" spans="1:52" x14ac:dyDescent="0.2">
      <c r="A97" s="113"/>
      <c r="B97" s="130">
        <v>3</v>
      </c>
      <c r="C97" s="114">
        <v>3440.6512500843255</v>
      </c>
      <c r="D97" s="114">
        <v>3440.6512500843255</v>
      </c>
      <c r="E97" s="114">
        <v>3440.6512500843255</v>
      </c>
      <c r="F97" s="114">
        <v>2297.9708840043463</v>
      </c>
      <c r="G97" s="114">
        <v>2297.9708840043463</v>
      </c>
      <c r="H97" s="114">
        <v>2297.9708840043463</v>
      </c>
      <c r="I97" s="114">
        <v>2297.9708840043463</v>
      </c>
      <c r="J97" s="114">
        <v>2297.9708840043463</v>
      </c>
      <c r="K97" s="114">
        <v>700.03876011641751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4">
        <v>0</v>
      </c>
      <c r="AP97" s="114">
        <v>0</v>
      </c>
      <c r="AQ97" s="114">
        <v>0</v>
      </c>
      <c r="AR97" s="114">
        <v>0</v>
      </c>
      <c r="AS97" s="114">
        <v>0</v>
      </c>
      <c r="AT97" s="114">
        <v>0</v>
      </c>
      <c r="AU97" s="114">
        <v>0</v>
      </c>
      <c r="AV97" s="114">
        <v>0</v>
      </c>
      <c r="AW97" s="114">
        <v>0</v>
      </c>
      <c r="AX97" s="114">
        <v>0</v>
      </c>
      <c r="AY97" s="114">
        <v>0</v>
      </c>
    </row>
    <row r="98" spans="1:52" x14ac:dyDescent="0.2">
      <c r="A98" s="113"/>
      <c r="B98" s="133">
        <v>4</v>
      </c>
      <c r="C98" s="110">
        <v>3440.6512500843255</v>
      </c>
      <c r="D98" s="114">
        <v>3440.6512500843255</v>
      </c>
      <c r="E98" s="114">
        <v>3440.6512500843255</v>
      </c>
      <c r="F98" s="114">
        <v>3440.6512500843255</v>
      </c>
      <c r="G98" s="114">
        <v>2297.9708840043463</v>
      </c>
      <c r="H98" s="114">
        <v>2297.9708840043463</v>
      </c>
      <c r="I98" s="114">
        <v>2297.9708840043463</v>
      </c>
      <c r="J98" s="114">
        <v>861.28959507879085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0</v>
      </c>
      <c r="AA98" s="114">
        <v>0</v>
      </c>
      <c r="AB98" s="114">
        <v>0</v>
      </c>
      <c r="AC98" s="114">
        <v>0</v>
      </c>
      <c r="AD98" s="114">
        <v>0</v>
      </c>
      <c r="AE98" s="114">
        <v>0</v>
      </c>
      <c r="AF98" s="114">
        <v>0</v>
      </c>
      <c r="AG98" s="114">
        <v>0</v>
      </c>
      <c r="AH98" s="114">
        <v>0</v>
      </c>
      <c r="AI98" s="114">
        <v>0</v>
      </c>
      <c r="AJ98" s="114">
        <v>0</v>
      </c>
      <c r="AK98" s="114">
        <v>0</v>
      </c>
      <c r="AL98" s="114">
        <v>0</v>
      </c>
      <c r="AM98" s="114">
        <v>0</v>
      </c>
      <c r="AN98" s="114">
        <v>0</v>
      </c>
      <c r="AO98" s="114">
        <v>0</v>
      </c>
      <c r="AP98" s="114">
        <v>0</v>
      </c>
      <c r="AQ98" s="114">
        <v>0</v>
      </c>
      <c r="AR98" s="114">
        <v>0</v>
      </c>
      <c r="AS98" s="114">
        <v>0</v>
      </c>
      <c r="AT98" s="114">
        <v>0</v>
      </c>
      <c r="AU98" s="114">
        <v>0</v>
      </c>
      <c r="AV98" s="114">
        <v>0</v>
      </c>
      <c r="AW98" s="114">
        <v>0</v>
      </c>
      <c r="AX98" s="114">
        <v>0</v>
      </c>
      <c r="AY98" s="114">
        <v>0</v>
      </c>
    </row>
    <row r="99" spans="1:52" x14ac:dyDescent="0.2">
      <c r="A99" s="131"/>
      <c r="B99" s="135" t="s">
        <v>296</v>
      </c>
      <c r="C99" s="128">
        <v>3101.6512500843255</v>
      </c>
      <c r="D99" s="128">
        <v>3008.6512500843255</v>
      </c>
      <c r="E99" s="128">
        <v>3150.6512500843255</v>
      </c>
      <c r="F99" s="128">
        <v>3127.6512500843255</v>
      </c>
      <c r="G99" s="128">
        <v>3156.6512500843255</v>
      </c>
      <c r="H99" s="128">
        <v>1990.9708840043463</v>
      </c>
      <c r="I99" s="128">
        <v>2047.9708840043463</v>
      </c>
      <c r="J99" s="128">
        <v>2064.9708840043463</v>
      </c>
      <c r="K99" s="128">
        <v>628.28959507879085</v>
      </c>
      <c r="L99" s="128">
        <v>0</v>
      </c>
      <c r="M99" s="128">
        <v>0</v>
      </c>
      <c r="N99" s="128">
        <v>0</v>
      </c>
      <c r="O99" s="128">
        <v>0</v>
      </c>
      <c r="P99" s="128">
        <v>0</v>
      </c>
      <c r="Q99" s="128">
        <v>0</v>
      </c>
      <c r="R99" s="128">
        <v>0</v>
      </c>
      <c r="S99" s="128">
        <v>0</v>
      </c>
      <c r="T99" s="128">
        <v>0</v>
      </c>
      <c r="U99" s="128">
        <v>0</v>
      </c>
      <c r="V99" s="128">
        <v>0</v>
      </c>
      <c r="W99" s="128">
        <v>0</v>
      </c>
      <c r="X99" s="128">
        <v>0</v>
      </c>
      <c r="Y99" s="128">
        <v>0</v>
      </c>
      <c r="Z99" s="128">
        <v>0</v>
      </c>
      <c r="AA99" s="128">
        <v>0</v>
      </c>
      <c r="AB99" s="128">
        <v>0</v>
      </c>
      <c r="AC99" s="128">
        <v>0</v>
      </c>
      <c r="AD99" s="128">
        <v>0</v>
      </c>
      <c r="AE99" s="128">
        <v>0</v>
      </c>
      <c r="AF99" s="128">
        <v>0</v>
      </c>
      <c r="AG99" s="128">
        <v>0</v>
      </c>
      <c r="AH99" s="128">
        <v>0</v>
      </c>
      <c r="AI99" s="128">
        <v>0</v>
      </c>
      <c r="AJ99" s="128">
        <v>0</v>
      </c>
      <c r="AK99" s="128">
        <v>0</v>
      </c>
      <c r="AL99" s="128">
        <v>0</v>
      </c>
      <c r="AM99" s="128">
        <v>0</v>
      </c>
      <c r="AN99" s="128">
        <v>0</v>
      </c>
      <c r="AO99" s="128">
        <v>0</v>
      </c>
      <c r="AP99" s="128">
        <v>0</v>
      </c>
      <c r="AQ99" s="128">
        <v>0</v>
      </c>
      <c r="AR99" s="128">
        <v>0</v>
      </c>
      <c r="AS99" s="128">
        <v>0</v>
      </c>
      <c r="AT99" s="128">
        <v>0</v>
      </c>
      <c r="AU99" s="128">
        <v>0</v>
      </c>
      <c r="AV99" s="128">
        <v>0</v>
      </c>
      <c r="AW99" s="128">
        <v>0</v>
      </c>
      <c r="AX99" s="128">
        <v>0</v>
      </c>
      <c r="AY99" s="128">
        <v>0</v>
      </c>
      <c r="AZ99" s="111">
        <f>SUM($D99:$AY99)</f>
        <v>19175.807247429129</v>
      </c>
    </row>
    <row r="100" spans="1:52" x14ac:dyDescent="0.2">
      <c r="A100" s="134" t="s">
        <v>133</v>
      </c>
      <c r="B100" s="122">
        <v>1</v>
      </c>
      <c r="C100" s="110">
        <v>230.99999999999997</v>
      </c>
      <c r="D100" s="110">
        <v>0</v>
      </c>
      <c r="E100" s="110">
        <v>1438.5445150389614</v>
      </c>
      <c r="F100" s="110">
        <v>723.3708756199585</v>
      </c>
      <c r="G100" s="110">
        <v>1999.4952912138135</v>
      </c>
      <c r="H100" s="110">
        <v>1723.4952912138135</v>
      </c>
      <c r="I100" s="110">
        <v>543.76959933807211</v>
      </c>
      <c r="J100" s="110">
        <v>3138.9695993380719</v>
      </c>
      <c r="K100" s="110">
        <v>543.76959933807211</v>
      </c>
      <c r="L100" s="110">
        <v>1723.4952912138135</v>
      </c>
      <c r="M100" s="110">
        <v>1999.4952912138135</v>
      </c>
      <c r="N100" s="110">
        <v>1635.3708756199585</v>
      </c>
      <c r="O100" s="110">
        <v>1999.4952912138135</v>
      </c>
      <c r="P100" s="110">
        <v>1635.3708756199585</v>
      </c>
      <c r="Q100" s="110">
        <v>543.76959933807211</v>
      </c>
      <c r="R100" s="110">
        <v>1819.0965674956999</v>
      </c>
      <c r="S100" s="110">
        <v>1987.4952912138135</v>
      </c>
      <c r="T100" s="110">
        <v>1539.7695993380721</v>
      </c>
      <c r="U100" s="110">
        <v>1987.4952912138135</v>
      </c>
      <c r="V100" s="110">
        <v>1539.7695993380721</v>
      </c>
      <c r="W100" s="110">
        <v>1987.4952912138135</v>
      </c>
      <c r="X100" s="110">
        <v>1819.0965674956999</v>
      </c>
      <c r="Y100" s="110">
        <v>543.76959933807211</v>
      </c>
      <c r="Z100" s="110">
        <v>1999.4952912138135</v>
      </c>
      <c r="AA100" s="110">
        <v>543.76959933807211</v>
      </c>
      <c r="AB100" s="110">
        <v>1359.3708756199585</v>
      </c>
      <c r="AC100" s="110">
        <v>1999.4952912138135</v>
      </c>
      <c r="AD100" s="110">
        <v>1723.4952912138135</v>
      </c>
      <c r="AE100" s="110">
        <v>267.76959933807217</v>
      </c>
      <c r="AF100" s="110">
        <v>1999.4952912138135</v>
      </c>
      <c r="AG100" s="110">
        <v>1723.4952912138135</v>
      </c>
      <c r="AH100" s="110">
        <v>1987.4952912138135</v>
      </c>
      <c r="AI100" s="110">
        <v>1999.4952912138135</v>
      </c>
      <c r="AJ100" s="110">
        <v>1999.4952912138135</v>
      </c>
      <c r="AK100" s="110">
        <v>543.76959933807211</v>
      </c>
      <c r="AL100" s="110">
        <v>1987.4952912138135</v>
      </c>
      <c r="AM100" s="110">
        <v>267.76959933807217</v>
      </c>
      <c r="AN100" s="110">
        <v>1999.4952912138135</v>
      </c>
      <c r="AO100" s="110">
        <v>543.76959933807211</v>
      </c>
      <c r="AP100" s="110">
        <v>1987.4952912138135</v>
      </c>
      <c r="AQ100" s="110">
        <v>1723.4952912138135</v>
      </c>
      <c r="AR100" s="110">
        <v>1803.7695993380721</v>
      </c>
      <c r="AS100" s="110">
        <v>1723.4952912138135</v>
      </c>
      <c r="AT100" s="110">
        <v>1999.4952912138135</v>
      </c>
      <c r="AU100" s="110">
        <v>1999.4952912138135</v>
      </c>
      <c r="AV100" s="110">
        <v>1815.7695993380721</v>
      </c>
      <c r="AW100" s="110">
        <v>1999.4952912138135</v>
      </c>
      <c r="AX100" s="110">
        <v>1987.4952912138135</v>
      </c>
      <c r="AY100" s="110">
        <v>543.76959933807211</v>
      </c>
    </row>
    <row r="101" spans="1:52" x14ac:dyDescent="0.2">
      <c r="A101" s="113"/>
      <c r="B101" s="122">
        <v>2</v>
      </c>
      <c r="C101" s="110">
        <v>0</v>
      </c>
      <c r="D101" s="110">
        <v>0</v>
      </c>
      <c r="E101" s="110">
        <v>0</v>
      </c>
      <c r="F101" s="110">
        <v>1103.0445150389614</v>
      </c>
      <c r="G101" s="110">
        <v>1819.0965674956999</v>
      </c>
      <c r="H101" s="110">
        <v>1999.4952912138135</v>
      </c>
      <c r="I101" s="110">
        <v>1999.4952912138135</v>
      </c>
      <c r="J101" s="110">
        <v>543.76959933807211</v>
      </c>
      <c r="K101" s="110">
        <v>3414.9695993380719</v>
      </c>
      <c r="L101" s="110">
        <v>1999.4952912138135</v>
      </c>
      <c r="M101" s="110">
        <v>1999.4952912138135</v>
      </c>
      <c r="N101" s="110">
        <v>1999.4952912138135</v>
      </c>
      <c r="O101" s="110">
        <v>1635.3708756199585</v>
      </c>
      <c r="P101" s="110">
        <v>1999.4952912138135</v>
      </c>
      <c r="Q101" s="110">
        <v>1815.7695993380721</v>
      </c>
      <c r="R101" s="110">
        <v>1999.4952912138135</v>
      </c>
      <c r="S101" s="110">
        <v>1999.4952912138135</v>
      </c>
      <c r="T101" s="110">
        <v>1999.4952912138135</v>
      </c>
      <c r="U101" s="110">
        <v>1999.4952912138135</v>
      </c>
      <c r="V101" s="110">
        <v>1999.4952912138135</v>
      </c>
      <c r="W101" s="110">
        <v>1723.4952912138135</v>
      </c>
      <c r="X101" s="110">
        <v>1999.4952912138135</v>
      </c>
      <c r="Y101" s="110">
        <v>1999.4952912138135</v>
      </c>
      <c r="Z101" s="110">
        <v>1999.4952912138135</v>
      </c>
      <c r="AA101" s="110">
        <v>1999.4952912138135</v>
      </c>
      <c r="AB101" s="110">
        <v>543.76959933807211</v>
      </c>
      <c r="AC101" s="110">
        <v>1723.4952912138135</v>
      </c>
      <c r="AD101" s="110">
        <v>1999.4952912138135</v>
      </c>
      <c r="AE101" s="110">
        <v>1999.4952912138135</v>
      </c>
      <c r="AF101" s="110">
        <v>267.76959933807217</v>
      </c>
      <c r="AG101" s="110">
        <v>1999.4952912138135</v>
      </c>
      <c r="AH101" s="110">
        <v>1999.4952912138135</v>
      </c>
      <c r="AI101" s="110">
        <v>1987.4952912138135</v>
      </c>
      <c r="AJ101" s="110">
        <v>1999.4952912138135</v>
      </c>
      <c r="AK101" s="110">
        <v>1999.4952912138135</v>
      </c>
      <c r="AL101" s="110">
        <v>1999.4952912138135</v>
      </c>
      <c r="AM101" s="110">
        <v>1999.4952912138135</v>
      </c>
      <c r="AN101" s="110">
        <v>1999.4952912138135</v>
      </c>
      <c r="AO101" s="110">
        <v>1999.4952912138135</v>
      </c>
      <c r="AP101" s="110">
        <v>1999.4952912138135</v>
      </c>
      <c r="AQ101" s="110">
        <v>1987.4952912138135</v>
      </c>
      <c r="AR101" s="110">
        <v>1999.4952912138135</v>
      </c>
      <c r="AS101" s="110">
        <v>1999.4952912138135</v>
      </c>
      <c r="AT101" s="110">
        <v>1723.4952912138135</v>
      </c>
      <c r="AU101" s="110">
        <v>1999.4952912138135</v>
      </c>
      <c r="AV101" s="110">
        <v>1999.4952912138135</v>
      </c>
      <c r="AW101" s="110">
        <v>1815.7695993380721</v>
      </c>
      <c r="AX101" s="110">
        <v>1999.4952912138135</v>
      </c>
      <c r="AY101" s="110">
        <v>1987.4952912138135</v>
      </c>
    </row>
    <row r="102" spans="1:52" x14ac:dyDescent="0.2">
      <c r="A102" s="113"/>
      <c r="B102" s="123">
        <v>3</v>
      </c>
      <c r="C102" s="110">
        <v>0</v>
      </c>
      <c r="D102" s="110">
        <v>0</v>
      </c>
      <c r="E102" s="110">
        <v>10.5</v>
      </c>
      <c r="F102" s="110">
        <v>241.49999999999997</v>
      </c>
      <c r="G102" s="110">
        <v>1013.5445150389614</v>
      </c>
      <c r="H102" s="110">
        <v>1999.4952912138135</v>
      </c>
      <c r="I102" s="110">
        <v>1999.4952912138135</v>
      </c>
      <c r="J102" s="110">
        <v>1999.4952912138135</v>
      </c>
      <c r="K102" s="110">
        <v>543.76959933807211</v>
      </c>
      <c r="L102" s="110">
        <v>3414.9695993380719</v>
      </c>
      <c r="M102" s="110">
        <v>1999.4952912138135</v>
      </c>
      <c r="N102" s="110">
        <v>1999.4952912138135</v>
      </c>
      <c r="O102" s="110">
        <v>1999.4952912138135</v>
      </c>
      <c r="P102" s="110">
        <v>1999.4952912138135</v>
      </c>
      <c r="Q102" s="110">
        <v>1999.4952912138135</v>
      </c>
      <c r="R102" s="110">
        <v>1999.4952912138135</v>
      </c>
      <c r="S102" s="110">
        <v>1999.4952912138135</v>
      </c>
      <c r="T102" s="110">
        <v>1999.4952912138135</v>
      </c>
      <c r="U102" s="110">
        <v>1999.4952912138135</v>
      </c>
      <c r="V102" s="110">
        <v>1999.4952912138135</v>
      </c>
      <c r="W102" s="110">
        <v>1999.4952912138135</v>
      </c>
      <c r="X102" s="110">
        <v>1999.4952912138135</v>
      </c>
      <c r="Y102" s="110">
        <v>1999.4952912138135</v>
      </c>
      <c r="Z102" s="110">
        <v>1999.4952912138135</v>
      </c>
      <c r="AA102" s="110">
        <v>1999.4952912138135</v>
      </c>
      <c r="AB102" s="110">
        <v>1999.4952912138135</v>
      </c>
      <c r="AC102" s="110">
        <v>1999.4952912138135</v>
      </c>
      <c r="AD102" s="110">
        <v>1999.4952912138135</v>
      </c>
      <c r="AE102" s="110">
        <v>1999.4952912138135</v>
      </c>
      <c r="AF102" s="110">
        <v>1999.4952912138135</v>
      </c>
      <c r="AG102" s="110">
        <v>1723.4952912138135</v>
      </c>
      <c r="AH102" s="110">
        <v>1999.4952912138135</v>
      </c>
      <c r="AI102" s="110">
        <v>1999.4952912138135</v>
      </c>
      <c r="AJ102" s="110">
        <v>1999.4952912138135</v>
      </c>
      <c r="AK102" s="110">
        <v>1999.4952912138135</v>
      </c>
      <c r="AL102" s="110">
        <v>1999.4952912138135</v>
      </c>
      <c r="AM102" s="110">
        <v>1999.4952912138135</v>
      </c>
      <c r="AN102" s="110">
        <v>1999.4952912138135</v>
      </c>
      <c r="AO102" s="110">
        <v>1999.4952912138135</v>
      </c>
      <c r="AP102" s="110">
        <v>1999.4952912138135</v>
      </c>
      <c r="AQ102" s="110">
        <v>1999.4952912138135</v>
      </c>
      <c r="AR102" s="110">
        <v>1999.4952912138135</v>
      </c>
      <c r="AS102" s="110">
        <v>1999.4952912138135</v>
      </c>
      <c r="AT102" s="110">
        <v>1999.4952912138135</v>
      </c>
      <c r="AU102" s="110">
        <v>1999.4952912138135</v>
      </c>
      <c r="AV102" s="110">
        <v>1999.4952912138135</v>
      </c>
      <c r="AW102" s="110">
        <v>1999.4952912138135</v>
      </c>
      <c r="AX102" s="110">
        <v>1999.4952912138135</v>
      </c>
      <c r="AY102" s="110">
        <v>1999.4952912138135</v>
      </c>
    </row>
    <row r="103" spans="1:52" x14ac:dyDescent="0.2">
      <c r="A103" s="113"/>
      <c r="B103" s="123">
        <v>4</v>
      </c>
      <c r="C103" s="110">
        <v>0</v>
      </c>
      <c r="D103" s="110">
        <v>0</v>
      </c>
      <c r="E103" s="110">
        <v>0</v>
      </c>
      <c r="F103" s="110">
        <v>0</v>
      </c>
      <c r="G103" s="110">
        <v>0</v>
      </c>
      <c r="H103" s="110">
        <v>617.54451503896144</v>
      </c>
      <c r="I103" s="110">
        <v>1999.4952912138135</v>
      </c>
      <c r="J103" s="110">
        <v>1999.4952912138135</v>
      </c>
      <c r="K103" s="110">
        <v>1999.4952912138135</v>
      </c>
      <c r="L103" s="110">
        <v>543.76959933807211</v>
      </c>
      <c r="M103" s="110">
        <v>3414.9695993380719</v>
      </c>
      <c r="N103" s="110">
        <v>1999.4952912138135</v>
      </c>
      <c r="O103" s="110">
        <v>1999.4952912138135</v>
      </c>
      <c r="P103" s="110">
        <v>1999.4952912138135</v>
      </c>
      <c r="Q103" s="110">
        <v>1999.4952912138135</v>
      </c>
      <c r="R103" s="110">
        <v>1999.4952912138135</v>
      </c>
      <c r="S103" s="110">
        <v>1999.4952912138135</v>
      </c>
      <c r="T103" s="110">
        <v>1999.4952912138135</v>
      </c>
      <c r="U103" s="110">
        <v>1999.4952912138135</v>
      </c>
      <c r="V103" s="110">
        <v>1999.4952912138135</v>
      </c>
      <c r="W103" s="110">
        <v>1999.4952912138135</v>
      </c>
      <c r="X103" s="110">
        <v>1999.4952912138135</v>
      </c>
      <c r="Y103" s="110">
        <v>1999.4952912138135</v>
      </c>
      <c r="Z103" s="110">
        <v>1999.4952912138135</v>
      </c>
      <c r="AA103" s="110">
        <v>1999.4952912138135</v>
      </c>
      <c r="AB103" s="110">
        <v>1999.4952912138135</v>
      </c>
      <c r="AC103" s="110">
        <v>1999.4952912138135</v>
      </c>
      <c r="AD103" s="110">
        <v>1999.4952912138135</v>
      </c>
      <c r="AE103" s="110">
        <v>1999.4952912138135</v>
      </c>
      <c r="AF103" s="110">
        <v>1999.4952912138135</v>
      </c>
      <c r="AG103" s="110">
        <v>1999.4952912138135</v>
      </c>
      <c r="AH103" s="110">
        <v>1723.4952912138135</v>
      </c>
      <c r="AI103" s="110">
        <v>1999.4952912138135</v>
      </c>
      <c r="AJ103" s="110">
        <v>1999.4952912138135</v>
      </c>
      <c r="AK103" s="110">
        <v>1999.4952912138135</v>
      </c>
      <c r="AL103" s="110">
        <v>1999.4952912138135</v>
      </c>
      <c r="AM103" s="110">
        <v>1999.4952912138135</v>
      </c>
      <c r="AN103" s="110">
        <v>1999.4952912138135</v>
      </c>
      <c r="AO103" s="110">
        <v>1999.4952912138135</v>
      </c>
      <c r="AP103" s="110">
        <v>1999.4952912138135</v>
      </c>
      <c r="AQ103" s="110">
        <v>1999.4952912138135</v>
      </c>
      <c r="AR103" s="110">
        <v>1999.4952912138135</v>
      </c>
      <c r="AS103" s="110">
        <v>1999.4952912138135</v>
      </c>
      <c r="AT103" s="110">
        <v>1999.4952912138135</v>
      </c>
      <c r="AU103" s="110">
        <v>1999.4952912138135</v>
      </c>
      <c r="AV103" s="110">
        <v>1999.4952912138135</v>
      </c>
      <c r="AW103" s="110">
        <v>1999.4952912138135</v>
      </c>
      <c r="AX103" s="110">
        <v>1999.4952912138135</v>
      </c>
      <c r="AY103" s="110">
        <v>1999.4952912138135</v>
      </c>
    </row>
    <row r="104" spans="1:52" x14ac:dyDescent="0.2">
      <c r="A104" s="113"/>
      <c r="B104" s="130">
        <v>5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243.54451503896144</v>
      </c>
      <c r="J104" s="110">
        <v>1884.039806252775</v>
      </c>
      <c r="K104" s="110">
        <v>1999.4952912138135</v>
      </c>
      <c r="L104" s="110">
        <v>1999.4952912138135</v>
      </c>
      <c r="M104" s="110">
        <v>249.8834195574571</v>
      </c>
      <c r="N104" s="110">
        <v>1143.1557306804234</v>
      </c>
      <c r="O104" s="110">
        <v>570.77545672864267</v>
      </c>
      <c r="P104" s="110">
        <v>432.28498733243919</v>
      </c>
      <c r="Q104" s="110">
        <v>792.77060642843549</v>
      </c>
      <c r="R104" s="110">
        <v>239.1551904009325</v>
      </c>
      <c r="S104" s="110">
        <v>154.49325607560695</v>
      </c>
      <c r="T104" s="110">
        <v>234.86458380517502</v>
      </c>
      <c r="U104" s="110">
        <v>107.75039298180809</v>
      </c>
      <c r="V104" s="110">
        <v>240.79109083466074</v>
      </c>
      <c r="W104" s="110">
        <v>214.87008405179995</v>
      </c>
      <c r="X104" s="110">
        <v>173.8388427030161</v>
      </c>
      <c r="Y104" s="110">
        <v>560.96121941396382</v>
      </c>
      <c r="Z104" s="110">
        <v>146.74498566267926</v>
      </c>
      <c r="AA104" s="110">
        <v>577.09230656077602</v>
      </c>
      <c r="AB104" s="110">
        <v>879.32712208661815</v>
      </c>
      <c r="AC104" s="110">
        <v>290.76951636097351</v>
      </c>
      <c r="AD104" s="110">
        <v>294.84263285591669</v>
      </c>
      <c r="AE104" s="110">
        <v>742.06838236157319</v>
      </c>
      <c r="AF104" s="110">
        <v>742.3871407825502</v>
      </c>
      <c r="AG104" s="110">
        <v>350.31539277185402</v>
      </c>
      <c r="AH104" s="110">
        <v>251.37389086659414</v>
      </c>
      <c r="AI104" s="110">
        <v>166.57487413643935</v>
      </c>
      <c r="AJ104" s="110">
        <v>170.46181716276169</v>
      </c>
      <c r="AK104" s="110">
        <v>585.06314731518455</v>
      </c>
      <c r="AL104" s="110">
        <v>179.94272054663747</v>
      </c>
      <c r="AM104" s="110">
        <v>675.56930029198043</v>
      </c>
      <c r="AN104" s="110">
        <v>167.28553860262059</v>
      </c>
      <c r="AO104" s="110">
        <v>574.06464646279255</v>
      </c>
      <c r="AP104" s="110">
        <v>174.87332224590341</v>
      </c>
      <c r="AQ104" s="110">
        <v>253.90440291152709</v>
      </c>
      <c r="AR104" s="110">
        <v>241.06486442753567</v>
      </c>
      <c r="AS104" s="110">
        <v>254.6552066021377</v>
      </c>
      <c r="AT104" s="110">
        <v>210.19248428904393</v>
      </c>
      <c r="AU104" s="110">
        <v>138.5329261189213</v>
      </c>
      <c r="AV104" s="110">
        <v>156.15090054423013</v>
      </c>
      <c r="AW104" s="110">
        <v>168.88023439006179</v>
      </c>
      <c r="AX104" s="110">
        <v>135.78909371128793</v>
      </c>
      <c r="AY104" s="110">
        <v>571.09517310347996</v>
      </c>
    </row>
    <row r="105" spans="1:52" x14ac:dyDescent="0.2">
      <c r="A105" s="113"/>
      <c r="B105" s="130">
        <v>6</v>
      </c>
      <c r="C105" s="110">
        <v>0</v>
      </c>
      <c r="D105" s="110">
        <v>0</v>
      </c>
      <c r="E105" s="110">
        <v>0</v>
      </c>
      <c r="F105" s="110">
        <v>0</v>
      </c>
      <c r="G105" s="110">
        <v>0</v>
      </c>
      <c r="H105" s="110">
        <v>0</v>
      </c>
      <c r="I105" s="110">
        <v>0</v>
      </c>
      <c r="J105" s="110">
        <v>0</v>
      </c>
      <c r="K105" s="110">
        <v>1589.039806252775</v>
      </c>
      <c r="L105" s="110">
        <v>406.44204570915349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0">
        <v>0</v>
      </c>
      <c r="AP105" s="110">
        <v>0</v>
      </c>
      <c r="AQ105" s="110">
        <v>0</v>
      </c>
      <c r="AR105" s="110">
        <v>0</v>
      </c>
      <c r="AS105" s="110">
        <v>0</v>
      </c>
      <c r="AT105" s="110">
        <v>0</v>
      </c>
      <c r="AU105" s="110">
        <v>0</v>
      </c>
      <c r="AV105" s="110">
        <v>0</v>
      </c>
      <c r="AW105" s="110">
        <v>0</v>
      </c>
      <c r="AX105" s="110">
        <v>0</v>
      </c>
      <c r="AY105" s="110">
        <v>0</v>
      </c>
    </row>
    <row r="106" spans="1:52" x14ac:dyDescent="0.2">
      <c r="A106" s="113"/>
      <c r="B106" s="133">
        <v>7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0">
        <v>0</v>
      </c>
      <c r="AM106" s="110">
        <v>0</v>
      </c>
      <c r="AN106" s="110">
        <v>0</v>
      </c>
      <c r="AO106" s="110">
        <v>0</v>
      </c>
      <c r="AP106" s="110">
        <v>0</v>
      </c>
      <c r="AQ106" s="110">
        <v>0</v>
      </c>
      <c r="AR106" s="110">
        <v>0</v>
      </c>
      <c r="AS106" s="110">
        <v>0</v>
      </c>
      <c r="AT106" s="110">
        <v>0</v>
      </c>
      <c r="AU106" s="110">
        <v>0</v>
      </c>
      <c r="AV106" s="110">
        <v>0</v>
      </c>
      <c r="AW106" s="110">
        <v>0</v>
      </c>
      <c r="AX106" s="110">
        <v>0</v>
      </c>
      <c r="AY106" s="110">
        <v>0</v>
      </c>
    </row>
    <row r="107" spans="1:52" x14ac:dyDescent="0.2">
      <c r="A107" s="113"/>
      <c r="B107" s="133">
        <v>8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0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0">
        <v>0</v>
      </c>
      <c r="AM107" s="110">
        <v>0</v>
      </c>
      <c r="AN107" s="110">
        <v>0</v>
      </c>
      <c r="AO107" s="110">
        <v>0</v>
      </c>
      <c r="AP107" s="110">
        <v>0</v>
      </c>
      <c r="AQ107" s="110">
        <v>0</v>
      </c>
      <c r="AR107" s="110">
        <v>0</v>
      </c>
      <c r="AS107" s="110">
        <v>0</v>
      </c>
      <c r="AT107" s="110">
        <v>0</v>
      </c>
      <c r="AU107" s="110">
        <v>0</v>
      </c>
      <c r="AV107" s="110">
        <v>0</v>
      </c>
      <c r="AW107" s="110">
        <v>0</v>
      </c>
      <c r="AX107" s="110">
        <v>0</v>
      </c>
      <c r="AY107" s="110">
        <v>0</v>
      </c>
    </row>
    <row r="108" spans="1:52" x14ac:dyDescent="0.2">
      <c r="A108" s="131"/>
      <c r="B108" s="135" t="s">
        <v>296</v>
      </c>
      <c r="C108" s="117">
        <v>0</v>
      </c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11">
        <f>SUM($D108:$AY108)</f>
        <v>0</v>
      </c>
    </row>
    <row r="109" spans="1:52" x14ac:dyDescent="0.2">
      <c r="A109" s="134" t="s">
        <v>134</v>
      </c>
      <c r="B109" s="122">
        <v>1</v>
      </c>
      <c r="C109" s="110">
        <v>506.28999251276326</v>
      </c>
      <c r="D109" s="110">
        <v>510.09212662229896</v>
      </c>
      <c r="E109" s="110">
        <v>1614.4861380916884</v>
      </c>
      <c r="F109" s="110">
        <v>2420.3732467869204</v>
      </c>
      <c r="G109" s="110">
        <v>2755.0953068311192</v>
      </c>
      <c r="H109" s="110">
        <v>3158.7732479794245</v>
      </c>
      <c r="I109" s="110">
        <v>3297.2799524026545</v>
      </c>
      <c r="J109" s="110">
        <v>3248.9248761480267</v>
      </c>
      <c r="K109" s="110">
        <v>3450.0034845835967</v>
      </c>
      <c r="L109" s="110">
        <v>3376.4721278996717</v>
      </c>
      <c r="M109" s="110">
        <v>3529.0991883884017</v>
      </c>
      <c r="N109" s="110">
        <v>3563.5287836681387</v>
      </c>
      <c r="O109" s="110">
        <v>3514.5532569689294</v>
      </c>
      <c r="P109" s="110">
        <v>3529.6557446323973</v>
      </c>
      <c r="Q109" s="110">
        <v>3541.2714023216522</v>
      </c>
      <c r="R109" s="110">
        <v>3400.3603246748107</v>
      </c>
      <c r="S109" s="110">
        <v>3591.1682157705386</v>
      </c>
      <c r="T109" s="110">
        <v>3569.403116628554</v>
      </c>
      <c r="U109" s="110">
        <v>3539.0048409889291</v>
      </c>
      <c r="V109" s="110">
        <v>3567.3152933756796</v>
      </c>
      <c r="W109" s="110">
        <v>3523.1603768098953</v>
      </c>
      <c r="X109" s="110">
        <v>3510.0404007115635</v>
      </c>
      <c r="Y109" s="110">
        <v>3521.7497052620665</v>
      </c>
      <c r="Z109" s="110">
        <v>3380.2723438481735</v>
      </c>
      <c r="AA109" s="110">
        <v>3537.5726952308214</v>
      </c>
      <c r="AB109" s="110">
        <v>3389.125929602722</v>
      </c>
      <c r="AC109" s="110">
        <v>3321.1515509990804</v>
      </c>
      <c r="AD109" s="110">
        <v>3596.2144404506835</v>
      </c>
      <c r="AE109" s="110">
        <v>3568.5436142778776</v>
      </c>
      <c r="AF109" s="110">
        <v>3440.4103492891481</v>
      </c>
      <c r="AG109" s="110">
        <v>3478.1683209130779</v>
      </c>
      <c r="AH109" s="110">
        <v>3628.6133782755896</v>
      </c>
      <c r="AI109" s="110">
        <v>3587.3825142288974</v>
      </c>
      <c r="AJ109" s="110">
        <v>3534.74818341729</v>
      </c>
      <c r="AK109" s="110">
        <v>3502.2761389093635</v>
      </c>
      <c r="AL109" s="110">
        <v>3331.3422319001888</v>
      </c>
      <c r="AM109" s="110">
        <v>3536.4987381195374</v>
      </c>
      <c r="AN109" s="110">
        <v>3364.3303712641818</v>
      </c>
      <c r="AO109" s="110">
        <v>3597.455049872322</v>
      </c>
      <c r="AP109" s="110">
        <v>3442.924335298339</v>
      </c>
      <c r="AQ109" s="110">
        <v>3609.934581301653</v>
      </c>
      <c r="AR109" s="110">
        <v>3540.2339837038862</v>
      </c>
      <c r="AS109" s="110">
        <v>3539.3963793569787</v>
      </c>
      <c r="AT109" s="110">
        <v>3549.169803986229</v>
      </c>
      <c r="AU109" s="110">
        <v>3542.9676274335102</v>
      </c>
      <c r="AV109" s="110">
        <v>3544.1211021323575</v>
      </c>
      <c r="AW109" s="110">
        <v>3518.0445534501596</v>
      </c>
      <c r="AX109" s="110">
        <v>3508.4427850947891</v>
      </c>
      <c r="AY109" s="110">
        <v>3482.1904727368051</v>
      </c>
    </row>
    <row r="110" spans="1:52" x14ac:dyDescent="0.2">
      <c r="A110" s="113"/>
      <c r="B110" s="122">
        <v>2</v>
      </c>
      <c r="C110" s="110">
        <v>640.68428374083464</v>
      </c>
      <c r="D110" s="110">
        <v>506.28999251276326</v>
      </c>
      <c r="E110" s="110">
        <v>510.09212662229896</v>
      </c>
      <c r="F110" s="110">
        <v>1614.4861380916884</v>
      </c>
      <c r="G110" s="110">
        <v>2420.3732467869204</v>
      </c>
      <c r="H110" s="110">
        <v>2755.0953068311192</v>
      </c>
      <c r="I110" s="110">
        <v>3158.7732479794245</v>
      </c>
      <c r="J110" s="110">
        <v>3297.2799524026545</v>
      </c>
      <c r="K110" s="110">
        <v>3248.9248761480267</v>
      </c>
      <c r="L110" s="110">
        <v>3450.0034845835967</v>
      </c>
      <c r="M110" s="110">
        <v>3376.4721278996717</v>
      </c>
      <c r="N110" s="110">
        <v>3529.0991883884017</v>
      </c>
      <c r="O110" s="110">
        <v>3563.5287836681387</v>
      </c>
      <c r="P110" s="110">
        <v>3514.5532569689294</v>
      </c>
      <c r="Q110" s="110">
        <v>3529.6557446323973</v>
      </c>
      <c r="R110" s="110">
        <v>3541.2714023216522</v>
      </c>
      <c r="S110" s="110">
        <v>3400.3603246748107</v>
      </c>
      <c r="T110" s="110">
        <v>3591.1682157705386</v>
      </c>
      <c r="U110" s="110">
        <v>3569.403116628554</v>
      </c>
      <c r="V110" s="110">
        <v>3539.0048409889291</v>
      </c>
      <c r="W110" s="110">
        <v>3567.3152933756796</v>
      </c>
      <c r="X110" s="110">
        <v>3523.1603768098953</v>
      </c>
      <c r="Y110" s="110">
        <v>3510.0404007115635</v>
      </c>
      <c r="Z110" s="110">
        <v>3521.7497052620665</v>
      </c>
      <c r="AA110" s="110">
        <v>3380.2723438481735</v>
      </c>
      <c r="AB110" s="110">
        <v>3537.5726952308214</v>
      </c>
      <c r="AC110" s="110">
        <v>3389.125929602722</v>
      </c>
      <c r="AD110" s="110">
        <v>3321.1515509990804</v>
      </c>
      <c r="AE110" s="110">
        <v>3596.2144404506835</v>
      </c>
      <c r="AF110" s="110">
        <v>3568.5436142778776</v>
      </c>
      <c r="AG110" s="110">
        <v>3440.4103492891481</v>
      </c>
      <c r="AH110" s="110">
        <v>3478.1683209130779</v>
      </c>
      <c r="AI110" s="110">
        <v>3628.6133782755896</v>
      </c>
      <c r="AJ110" s="110">
        <v>3587.3825142288974</v>
      </c>
      <c r="AK110" s="110">
        <v>3534.74818341729</v>
      </c>
      <c r="AL110" s="110">
        <v>3502.2761389093635</v>
      </c>
      <c r="AM110" s="110">
        <v>3331.3422319001888</v>
      </c>
      <c r="AN110" s="110">
        <v>3536.4987381195374</v>
      </c>
      <c r="AO110" s="110">
        <v>3364.3303712641818</v>
      </c>
      <c r="AP110" s="110">
        <v>3597.455049872322</v>
      </c>
      <c r="AQ110" s="110">
        <v>3442.924335298339</v>
      </c>
      <c r="AR110" s="110">
        <v>3609.934581301653</v>
      </c>
      <c r="AS110" s="110">
        <v>3540.2339837038862</v>
      </c>
      <c r="AT110" s="110">
        <v>3539.3963793569787</v>
      </c>
      <c r="AU110" s="110">
        <v>3549.169803986229</v>
      </c>
      <c r="AV110" s="110">
        <v>3542.9676274335102</v>
      </c>
      <c r="AW110" s="110">
        <v>3544.1211021323575</v>
      </c>
      <c r="AX110" s="110">
        <v>3518.0445534501596</v>
      </c>
      <c r="AY110" s="110">
        <v>3508.4427850947891</v>
      </c>
    </row>
    <row r="111" spans="1:52" x14ac:dyDescent="0.2">
      <c r="A111" s="113"/>
      <c r="B111" s="122">
        <v>3</v>
      </c>
      <c r="C111" s="110">
        <v>646.95085119522003</v>
      </c>
      <c r="D111" s="110">
        <v>640.68428374083464</v>
      </c>
      <c r="E111" s="110">
        <v>506.28999251276326</v>
      </c>
      <c r="F111" s="110">
        <v>510.09212662229896</v>
      </c>
      <c r="G111" s="110">
        <v>1614.4861380916884</v>
      </c>
      <c r="H111" s="110">
        <v>2420.3732467869204</v>
      </c>
      <c r="I111" s="110">
        <v>2755.0953068311192</v>
      </c>
      <c r="J111" s="110">
        <v>3158.7732479794245</v>
      </c>
      <c r="K111" s="110">
        <v>3297.2799524026545</v>
      </c>
      <c r="L111" s="110">
        <v>3248.9248761480267</v>
      </c>
      <c r="M111" s="110">
        <v>3450.0034845835967</v>
      </c>
      <c r="N111" s="110">
        <v>3376.4721278996717</v>
      </c>
      <c r="O111" s="110">
        <v>3529.0991883884017</v>
      </c>
      <c r="P111" s="110">
        <v>3563.5287836681387</v>
      </c>
      <c r="Q111" s="110">
        <v>3514.5532569689294</v>
      </c>
      <c r="R111" s="110">
        <v>3529.6557446323973</v>
      </c>
      <c r="S111" s="110">
        <v>3541.2714023216522</v>
      </c>
      <c r="T111" s="110">
        <v>3400.3603246748107</v>
      </c>
      <c r="U111" s="110">
        <v>3591.1682157705386</v>
      </c>
      <c r="V111" s="110">
        <v>3569.403116628554</v>
      </c>
      <c r="W111" s="110">
        <v>3539.0048409889291</v>
      </c>
      <c r="X111" s="110">
        <v>3567.3152933756796</v>
      </c>
      <c r="Y111" s="110">
        <v>3523.1603768098953</v>
      </c>
      <c r="Z111" s="110">
        <v>3510.0404007115635</v>
      </c>
      <c r="AA111" s="110">
        <v>3521.7497052620665</v>
      </c>
      <c r="AB111" s="110">
        <v>3380.2723438481735</v>
      </c>
      <c r="AC111" s="110">
        <v>3537.5726952308214</v>
      </c>
      <c r="AD111" s="110">
        <v>3389.125929602722</v>
      </c>
      <c r="AE111" s="110">
        <v>3321.1515509990804</v>
      </c>
      <c r="AF111" s="110">
        <v>3596.2144404506835</v>
      </c>
      <c r="AG111" s="110">
        <v>3568.5436142778776</v>
      </c>
      <c r="AH111" s="110">
        <v>3440.4103492891481</v>
      </c>
      <c r="AI111" s="110">
        <v>3478.1683209130779</v>
      </c>
      <c r="AJ111" s="110">
        <v>3628.6133782755896</v>
      </c>
      <c r="AK111" s="110">
        <v>3587.3825142288974</v>
      </c>
      <c r="AL111" s="110">
        <v>3534.74818341729</v>
      </c>
      <c r="AM111" s="110">
        <v>3502.2761389093635</v>
      </c>
      <c r="AN111" s="110">
        <v>3331.3422319001888</v>
      </c>
      <c r="AO111" s="110">
        <v>3536.4987381195374</v>
      </c>
      <c r="AP111" s="110">
        <v>3364.3303712641818</v>
      </c>
      <c r="AQ111" s="110">
        <v>3597.455049872322</v>
      </c>
      <c r="AR111" s="110">
        <v>3442.924335298339</v>
      </c>
      <c r="AS111" s="110">
        <v>3609.934581301653</v>
      </c>
      <c r="AT111" s="110">
        <v>3540.2339837038862</v>
      </c>
      <c r="AU111" s="110">
        <v>3539.3963793569787</v>
      </c>
      <c r="AV111" s="110">
        <v>3549.169803986229</v>
      </c>
      <c r="AW111" s="110">
        <v>3542.9676274335102</v>
      </c>
      <c r="AX111" s="110">
        <v>3544.1211021323575</v>
      </c>
      <c r="AY111" s="110">
        <v>3518.0445534501596</v>
      </c>
    </row>
    <row r="112" spans="1:52" x14ac:dyDescent="0.2">
      <c r="A112" s="113"/>
      <c r="B112" s="123">
        <v>4</v>
      </c>
      <c r="C112" s="110">
        <v>657.54216650925696</v>
      </c>
      <c r="D112" s="110">
        <v>646.95085119522003</v>
      </c>
      <c r="E112" s="110">
        <v>640.68428374083464</v>
      </c>
      <c r="F112" s="110">
        <v>506.28999251276326</v>
      </c>
      <c r="G112" s="110">
        <v>510.09212662229896</v>
      </c>
      <c r="H112" s="110">
        <v>1614.4861380916884</v>
      </c>
      <c r="I112" s="110">
        <v>2420.3732467869204</v>
      </c>
      <c r="J112" s="110">
        <v>2755.0953068311192</v>
      </c>
      <c r="K112" s="110">
        <v>3158.7732479794245</v>
      </c>
      <c r="L112" s="110">
        <v>3297.2799524026545</v>
      </c>
      <c r="M112" s="110">
        <v>3248.9248761480267</v>
      </c>
      <c r="N112" s="110">
        <v>3450.0034845835967</v>
      </c>
      <c r="O112" s="110">
        <v>3376.4721278996717</v>
      </c>
      <c r="P112" s="110">
        <v>3529.0991883884017</v>
      </c>
      <c r="Q112" s="110">
        <v>3563.5287836681387</v>
      </c>
      <c r="R112" s="110">
        <v>3514.5532569689294</v>
      </c>
      <c r="S112" s="110">
        <v>3529.6557446323973</v>
      </c>
      <c r="T112" s="110">
        <v>3541.2714023216522</v>
      </c>
      <c r="U112" s="110">
        <v>3400.3603246748107</v>
      </c>
      <c r="V112" s="110">
        <v>3591.1682157705386</v>
      </c>
      <c r="W112" s="110">
        <v>3569.403116628554</v>
      </c>
      <c r="X112" s="110">
        <v>3539.0048409889291</v>
      </c>
      <c r="Y112" s="110">
        <v>3567.3152933756796</v>
      </c>
      <c r="Z112" s="110">
        <v>3523.1603768098953</v>
      </c>
      <c r="AA112" s="110">
        <v>3510.0404007115635</v>
      </c>
      <c r="AB112" s="110">
        <v>3521.7497052620665</v>
      </c>
      <c r="AC112" s="110">
        <v>3380.2723438481735</v>
      </c>
      <c r="AD112" s="110">
        <v>3537.5726952308214</v>
      </c>
      <c r="AE112" s="110">
        <v>3389.125929602722</v>
      </c>
      <c r="AF112" s="110">
        <v>3321.1515509990804</v>
      </c>
      <c r="AG112" s="110">
        <v>3596.2144404506835</v>
      </c>
      <c r="AH112" s="110">
        <v>3568.5436142778776</v>
      </c>
      <c r="AI112" s="110">
        <v>3440.4103492891481</v>
      </c>
      <c r="AJ112" s="110">
        <v>3478.1683209130779</v>
      </c>
      <c r="AK112" s="110">
        <v>3628.6133782755896</v>
      </c>
      <c r="AL112" s="110">
        <v>3587.3825142288974</v>
      </c>
      <c r="AM112" s="110">
        <v>3534.74818341729</v>
      </c>
      <c r="AN112" s="110">
        <v>3502.2761389093635</v>
      </c>
      <c r="AO112" s="110">
        <v>3331.3422319001888</v>
      </c>
      <c r="AP112" s="110">
        <v>3536.4987381195374</v>
      </c>
      <c r="AQ112" s="110">
        <v>3364.3303712641818</v>
      </c>
      <c r="AR112" s="110">
        <v>3597.455049872322</v>
      </c>
      <c r="AS112" s="110">
        <v>3442.924335298339</v>
      </c>
      <c r="AT112" s="110">
        <v>3609.934581301653</v>
      </c>
      <c r="AU112" s="110">
        <v>3540.2339837038862</v>
      </c>
      <c r="AV112" s="110">
        <v>3539.3963793569787</v>
      </c>
      <c r="AW112" s="110">
        <v>3549.169803986229</v>
      </c>
      <c r="AX112" s="110">
        <v>3542.9676274335102</v>
      </c>
      <c r="AY112" s="110">
        <v>3544.1211021323575</v>
      </c>
    </row>
    <row r="113" spans="1:52" x14ac:dyDescent="0.2">
      <c r="A113" s="113"/>
      <c r="B113" s="123">
        <v>5</v>
      </c>
      <c r="C113" s="110">
        <v>576.7944872313069</v>
      </c>
      <c r="D113" s="110">
        <v>657.54216650925696</v>
      </c>
      <c r="E113" s="110">
        <v>646.95085119522003</v>
      </c>
      <c r="F113" s="110">
        <v>640.68428374083464</v>
      </c>
      <c r="G113" s="110">
        <v>506.28999251276326</v>
      </c>
      <c r="H113" s="110">
        <v>510.09212662229896</v>
      </c>
      <c r="I113" s="110">
        <v>1614.4861380916884</v>
      </c>
      <c r="J113" s="110">
        <v>2420.3732467869204</v>
      </c>
      <c r="K113" s="110">
        <v>2755.0953068311192</v>
      </c>
      <c r="L113" s="110">
        <v>3158.7732479794245</v>
      </c>
      <c r="M113" s="110">
        <v>3297.2799524026545</v>
      </c>
      <c r="N113" s="110">
        <v>3248.9248761480267</v>
      </c>
      <c r="O113" s="110">
        <v>3450.0034845835967</v>
      </c>
      <c r="P113" s="110">
        <v>3376.4721278996717</v>
      </c>
      <c r="Q113" s="110">
        <v>3529.0991883884017</v>
      </c>
      <c r="R113" s="110">
        <v>3563.5287836681387</v>
      </c>
      <c r="S113" s="110">
        <v>3514.5532569689294</v>
      </c>
      <c r="T113" s="110">
        <v>3529.6557446323973</v>
      </c>
      <c r="U113" s="110">
        <v>3541.2714023216522</v>
      </c>
      <c r="V113" s="110">
        <v>3400.3603246748107</v>
      </c>
      <c r="W113" s="110">
        <v>3591.1682157705386</v>
      </c>
      <c r="X113" s="110">
        <v>3569.403116628554</v>
      </c>
      <c r="Y113" s="110">
        <v>3539.0048409889291</v>
      </c>
      <c r="Z113" s="110">
        <v>3567.3152933756796</v>
      </c>
      <c r="AA113" s="110">
        <v>3523.1603768098953</v>
      </c>
      <c r="AB113" s="110">
        <v>3510.0404007115635</v>
      </c>
      <c r="AC113" s="110">
        <v>3521.7497052620665</v>
      </c>
      <c r="AD113" s="110">
        <v>3380.2723438481735</v>
      </c>
      <c r="AE113" s="110">
        <v>3537.5726952308214</v>
      </c>
      <c r="AF113" s="110">
        <v>3389.125929602722</v>
      </c>
      <c r="AG113" s="110">
        <v>3321.1515509990804</v>
      </c>
      <c r="AH113" s="110">
        <v>3596.2144404506835</v>
      </c>
      <c r="AI113" s="110">
        <v>3568.5436142778776</v>
      </c>
      <c r="AJ113" s="110">
        <v>3440.4103492891481</v>
      </c>
      <c r="AK113" s="110">
        <v>3478.1683209130779</v>
      </c>
      <c r="AL113" s="110">
        <v>3628.6133782755896</v>
      </c>
      <c r="AM113" s="110">
        <v>3587.3825142288974</v>
      </c>
      <c r="AN113" s="110">
        <v>3534.74818341729</v>
      </c>
      <c r="AO113" s="110">
        <v>3502.2761389093635</v>
      </c>
      <c r="AP113" s="110">
        <v>3331.3422319001888</v>
      </c>
      <c r="AQ113" s="110">
        <v>3536.4987381195374</v>
      </c>
      <c r="AR113" s="110">
        <v>3364.3303712641818</v>
      </c>
      <c r="AS113" s="110">
        <v>3597.455049872322</v>
      </c>
      <c r="AT113" s="110">
        <v>3442.924335298339</v>
      </c>
      <c r="AU113" s="110">
        <v>3609.934581301653</v>
      </c>
      <c r="AV113" s="110">
        <v>3540.2339837038862</v>
      </c>
      <c r="AW113" s="110">
        <v>3539.3963793569787</v>
      </c>
      <c r="AX113" s="110">
        <v>3549.169803986229</v>
      </c>
      <c r="AY113" s="110">
        <v>3542.9676274335102</v>
      </c>
    </row>
    <row r="114" spans="1:52" x14ac:dyDescent="0.2">
      <c r="A114" s="113"/>
      <c r="B114" s="123">
        <v>6</v>
      </c>
      <c r="C114" s="110">
        <v>661.19949890792486</v>
      </c>
      <c r="D114" s="110">
        <v>576.7944872313069</v>
      </c>
      <c r="E114" s="110">
        <v>657.54216650925696</v>
      </c>
      <c r="F114" s="110">
        <v>646.95085119522003</v>
      </c>
      <c r="G114" s="110">
        <v>640.68428374083464</v>
      </c>
      <c r="H114" s="110">
        <v>506.28999251276326</v>
      </c>
      <c r="I114" s="110">
        <v>510.09212662229896</v>
      </c>
      <c r="J114" s="110">
        <v>1614.4861380916884</v>
      </c>
      <c r="K114" s="110">
        <v>2420.3732467869204</v>
      </c>
      <c r="L114" s="110">
        <v>2755.0953068311192</v>
      </c>
      <c r="M114" s="110">
        <v>3158.7732479794245</v>
      </c>
      <c r="N114" s="110">
        <v>3297.2799524026545</v>
      </c>
      <c r="O114" s="110">
        <v>3248.9248761480267</v>
      </c>
      <c r="P114" s="110">
        <v>3450.0034845835967</v>
      </c>
      <c r="Q114" s="110">
        <v>3376.4721278996717</v>
      </c>
      <c r="R114" s="110">
        <v>3529.0991883884017</v>
      </c>
      <c r="S114" s="110">
        <v>3563.5287836681387</v>
      </c>
      <c r="T114" s="110">
        <v>3514.5532569689294</v>
      </c>
      <c r="U114" s="110">
        <v>3529.6557446323973</v>
      </c>
      <c r="V114" s="110">
        <v>3541.2714023216522</v>
      </c>
      <c r="W114" s="110">
        <v>3400.3603246748107</v>
      </c>
      <c r="X114" s="110">
        <v>3591.1682157705386</v>
      </c>
      <c r="Y114" s="110">
        <v>3569.403116628554</v>
      </c>
      <c r="Z114" s="110">
        <v>3539.0048409889291</v>
      </c>
      <c r="AA114" s="110">
        <v>3567.3152933756796</v>
      </c>
      <c r="AB114" s="110">
        <v>3523.1603768098953</v>
      </c>
      <c r="AC114" s="110">
        <v>3510.0404007115635</v>
      </c>
      <c r="AD114" s="110">
        <v>3521.7497052620665</v>
      </c>
      <c r="AE114" s="110">
        <v>3380.2723438481735</v>
      </c>
      <c r="AF114" s="110">
        <v>3537.5726952308214</v>
      </c>
      <c r="AG114" s="110">
        <v>3389.125929602722</v>
      </c>
      <c r="AH114" s="110">
        <v>3321.1515509990804</v>
      </c>
      <c r="AI114" s="110">
        <v>3596.2144404506835</v>
      </c>
      <c r="AJ114" s="110">
        <v>3568.5436142778776</v>
      </c>
      <c r="AK114" s="110">
        <v>3440.4103492891481</v>
      </c>
      <c r="AL114" s="110">
        <v>3478.1683209130779</v>
      </c>
      <c r="AM114" s="110">
        <v>3628.6133782755896</v>
      </c>
      <c r="AN114" s="110">
        <v>3587.3825142288974</v>
      </c>
      <c r="AO114" s="110">
        <v>3534.74818341729</v>
      </c>
      <c r="AP114" s="110">
        <v>3502.2761389093635</v>
      </c>
      <c r="AQ114" s="110">
        <v>3331.3422319001888</v>
      </c>
      <c r="AR114" s="110">
        <v>3536.4987381195374</v>
      </c>
      <c r="AS114" s="110">
        <v>3364.3303712641818</v>
      </c>
      <c r="AT114" s="110">
        <v>3597.455049872322</v>
      </c>
      <c r="AU114" s="110">
        <v>3442.924335298339</v>
      </c>
      <c r="AV114" s="110">
        <v>3609.934581301653</v>
      </c>
      <c r="AW114" s="110">
        <v>3540.2339837038862</v>
      </c>
      <c r="AX114" s="110">
        <v>3539.3963793569787</v>
      </c>
      <c r="AY114" s="110">
        <v>3549.169803986229</v>
      </c>
    </row>
    <row r="115" spans="1:52" x14ac:dyDescent="0.2">
      <c r="A115" s="113"/>
      <c r="B115" s="130">
        <v>7</v>
      </c>
      <c r="C115" s="110">
        <v>576.61409954685473</v>
      </c>
      <c r="D115" s="110">
        <v>661.19949890792486</v>
      </c>
      <c r="E115" s="110">
        <v>576.7944872313069</v>
      </c>
      <c r="F115" s="110">
        <v>657.54216650925696</v>
      </c>
      <c r="G115" s="110">
        <v>646.95085119522003</v>
      </c>
      <c r="H115" s="110">
        <v>640.68428374083464</v>
      </c>
      <c r="I115" s="110">
        <v>506.28999251276326</v>
      </c>
      <c r="J115" s="110">
        <v>510.09212662229896</v>
      </c>
      <c r="K115" s="110">
        <v>1614.4861380916884</v>
      </c>
      <c r="L115" s="110">
        <v>2420.3732467869204</v>
      </c>
      <c r="M115" s="110">
        <v>2755.0953068311192</v>
      </c>
      <c r="N115" s="110">
        <v>3158.7732479794245</v>
      </c>
      <c r="O115" s="110">
        <v>3297.2799524026545</v>
      </c>
      <c r="P115" s="110">
        <v>3248.9248761480267</v>
      </c>
      <c r="Q115" s="110">
        <v>3450.0034845835967</v>
      </c>
      <c r="R115" s="110">
        <v>3376.4721278996717</v>
      </c>
      <c r="S115" s="110">
        <v>3529.0991883884017</v>
      </c>
      <c r="T115" s="110">
        <v>3563.5287836681387</v>
      </c>
      <c r="U115" s="110">
        <v>3514.5532569689294</v>
      </c>
      <c r="V115" s="110">
        <v>3529.6557446323973</v>
      </c>
      <c r="W115" s="110">
        <v>3541.2714023216522</v>
      </c>
      <c r="X115" s="110">
        <v>3400.3603246748107</v>
      </c>
      <c r="Y115" s="110">
        <v>3591.1682157705386</v>
      </c>
      <c r="Z115" s="110">
        <v>3569.403116628554</v>
      </c>
      <c r="AA115" s="110">
        <v>3539.0048409889291</v>
      </c>
      <c r="AB115" s="110">
        <v>3567.3152933756796</v>
      </c>
      <c r="AC115" s="110">
        <v>3523.1603768098953</v>
      </c>
      <c r="AD115" s="110">
        <v>3510.0404007115635</v>
      </c>
      <c r="AE115" s="110">
        <v>3521.7497052620665</v>
      </c>
      <c r="AF115" s="110">
        <v>3380.2723438481735</v>
      </c>
      <c r="AG115" s="110">
        <v>3537.5726952308214</v>
      </c>
      <c r="AH115" s="110">
        <v>3389.125929602722</v>
      </c>
      <c r="AI115" s="110">
        <v>3321.1515509990804</v>
      </c>
      <c r="AJ115" s="110">
        <v>3596.2144404506835</v>
      </c>
      <c r="AK115" s="110">
        <v>3568.5436142778776</v>
      </c>
      <c r="AL115" s="110">
        <v>3440.4103492891481</v>
      </c>
      <c r="AM115" s="110">
        <v>3478.1683209130779</v>
      </c>
      <c r="AN115" s="110">
        <v>3628.6133782755896</v>
      </c>
      <c r="AO115" s="110">
        <v>3587.3825142288974</v>
      </c>
      <c r="AP115" s="110">
        <v>3534.74818341729</v>
      </c>
      <c r="AQ115" s="110">
        <v>3502.2761389093635</v>
      </c>
      <c r="AR115" s="110">
        <v>3331.3422319001888</v>
      </c>
      <c r="AS115" s="110">
        <v>3536.4987381195374</v>
      </c>
      <c r="AT115" s="110">
        <v>3364.3303712641818</v>
      </c>
      <c r="AU115" s="110">
        <v>3597.455049872322</v>
      </c>
      <c r="AV115" s="110">
        <v>3442.924335298339</v>
      </c>
      <c r="AW115" s="110">
        <v>3609.934581301653</v>
      </c>
      <c r="AX115" s="110">
        <v>3540.2339837038862</v>
      </c>
      <c r="AY115" s="110">
        <v>3539.3963793569787</v>
      </c>
    </row>
    <row r="116" spans="1:52" x14ac:dyDescent="0.2">
      <c r="A116" s="113"/>
      <c r="B116" s="130">
        <v>8</v>
      </c>
      <c r="C116" s="110">
        <v>589.15244181693163</v>
      </c>
      <c r="D116" s="110">
        <v>576.61409954685473</v>
      </c>
      <c r="E116" s="110">
        <v>661.19949890792486</v>
      </c>
      <c r="F116" s="110">
        <v>576.7944872313069</v>
      </c>
      <c r="G116" s="110">
        <v>657.54216650925696</v>
      </c>
      <c r="H116" s="110">
        <v>646.95085119522003</v>
      </c>
      <c r="I116" s="110">
        <v>640.68428374083464</v>
      </c>
      <c r="J116" s="110">
        <v>506.28999251276326</v>
      </c>
      <c r="K116" s="110">
        <v>510.09212662229896</v>
      </c>
      <c r="L116" s="110">
        <v>1614.4861380916884</v>
      </c>
      <c r="M116" s="110">
        <v>2420.3732467869204</v>
      </c>
      <c r="N116" s="110">
        <v>2755.0953068311192</v>
      </c>
      <c r="O116" s="110">
        <v>3158.7732479794245</v>
      </c>
      <c r="P116" s="110">
        <v>3297.2799524026545</v>
      </c>
      <c r="Q116" s="110">
        <v>3248.9248761480267</v>
      </c>
      <c r="R116" s="110">
        <v>3450.0034845835967</v>
      </c>
      <c r="S116" s="110">
        <v>3376.4721278996717</v>
      </c>
      <c r="T116" s="110">
        <v>3529.0991883884017</v>
      </c>
      <c r="U116" s="110">
        <v>3563.5287836681387</v>
      </c>
      <c r="V116" s="110">
        <v>3514.5532569689294</v>
      </c>
      <c r="W116" s="110">
        <v>3529.6557446323973</v>
      </c>
      <c r="X116" s="110">
        <v>3541.2714023216522</v>
      </c>
      <c r="Y116" s="110">
        <v>3400.3603246748107</v>
      </c>
      <c r="Z116" s="110">
        <v>3591.1682157705386</v>
      </c>
      <c r="AA116" s="110">
        <v>3569.403116628554</v>
      </c>
      <c r="AB116" s="110">
        <v>3539.0048409889291</v>
      </c>
      <c r="AC116" s="110">
        <v>3567.3152933756796</v>
      </c>
      <c r="AD116" s="110">
        <v>3523.1603768098953</v>
      </c>
      <c r="AE116" s="110">
        <v>3510.0404007115635</v>
      </c>
      <c r="AF116" s="110">
        <v>3521.7497052620665</v>
      </c>
      <c r="AG116" s="110">
        <v>3380.2723438481735</v>
      </c>
      <c r="AH116" s="110">
        <v>3537.5726952308214</v>
      </c>
      <c r="AI116" s="110">
        <v>3389.125929602722</v>
      </c>
      <c r="AJ116" s="110">
        <v>3321.1515509990804</v>
      </c>
      <c r="AK116" s="110">
        <v>3596.2144404506835</v>
      </c>
      <c r="AL116" s="110">
        <v>3568.5436142778776</v>
      </c>
      <c r="AM116" s="110">
        <v>3440.4103492891481</v>
      </c>
      <c r="AN116" s="110">
        <v>3478.1683209130779</v>
      </c>
      <c r="AO116" s="110">
        <v>3628.6133782755896</v>
      </c>
      <c r="AP116" s="110">
        <v>3587.3825142288974</v>
      </c>
      <c r="AQ116" s="110">
        <v>3534.74818341729</v>
      </c>
      <c r="AR116" s="110">
        <v>3502.2761389093635</v>
      </c>
      <c r="AS116" s="110">
        <v>3331.3422319001888</v>
      </c>
      <c r="AT116" s="110">
        <v>3536.4987381195374</v>
      </c>
      <c r="AU116" s="110">
        <v>3364.3303712641818</v>
      </c>
      <c r="AV116" s="110">
        <v>3597.455049872322</v>
      </c>
      <c r="AW116" s="110">
        <v>3442.924335298339</v>
      </c>
      <c r="AX116" s="110">
        <v>3609.934581301653</v>
      </c>
      <c r="AY116" s="110">
        <v>3540.2339837038862</v>
      </c>
    </row>
    <row r="117" spans="1:52" x14ac:dyDescent="0.2">
      <c r="A117" s="113"/>
      <c r="B117" s="130">
        <v>9</v>
      </c>
      <c r="C117" s="110">
        <v>570.87177629884059</v>
      </c>
      <c r="D117" s="110">
        <v>589.15244181693163</v>
      </c>
      <c r="E117" s="110">
        <v>576.61409954685473</v>
      </c>
      <c r="F117" s="110">
        <v>661.19949890792486</v>
      </c>
      <c r="G117" s="110">
        <v>576.7944872313069</v>
      </c>
      <c r="H117" s="110">
        <v>657.54216650925696</v>
      </c>
      <c r="I117" s="110">
        <v>646.95085119522003</v>
      </c>
      <c r="J117" s="110">
        <v>640.68428374083464</v>
      </c>
      <c r="K117" s="110">
        <v>506.28999251276326</v>
      </c>
      <c r="L117" s="110">
        <v>510.09212662229896</v>
      </c>
      <c r="M117" s="110">
        <v>741.91958782830307</v>
      </c>
      <c r="N117" s="110">
        <v>856.12295214948017</v>
      </c>
      <c r="O117" s="110">
        <v>786.46885991556678</v>
      </c>
      <c r="P117" s="110">
        <v>682.9174639665689</v>
      </c>
      <c r="Q117" s="110">
        <v>1307.3232224736716</v>
      </c>
      <c r="R117" s="110">
        <v>388.5966877580513</v>
      </c>
      <c r="S117" s="110">
        <v>297.32637637505513</v>
      </c>
      <c r="T117" s="110">
        <v>445.76662523050845</v>
      </c>
      <c r="U117" s="110">
        <v>208.77907196493288</v>
      </c>
      <c r="V117" s="110">
        <v>463.35689043823777</v>
      </c>
      <c r="W117" s="110">
        <v>393.46517580322643</v>
      </c>
      <c r="X117" s="110">
        <v>347.1785055734349</v>
      </c>
      <c r="Y117" s="110">
        <v>1122.1135525004106</v>
      </c>
      <c r="Z117" s="110">
        <v>249.55589007135586</v>
      </c>
      <c r="AA117" s="110">
        <v>1149.2841943817734</v>
      </c>
      <c r="AB117" s="110">
        <v>1569.7326139771146</v>
      </c>
      <c r="AC117" s="110">
        <v>514.64723649777125</v>
      </c>
      <c r="AD117" s="110">
        <v>540.14052389516473</v>
      </c>
      <c r="AE117" s="110">
        <v>1322.8638128018165</v>
      </c>
      <c r="AF117" s="110">
        <v>1303.2333052075419</v>
      </c>
      <c r="AG117" s="110">
        <v>617.01727264088686</v>
      </c>
      <c r="AH117" s="110">
        <v>424.96334699844738</v>
      </c>
      <c r="AI117" s="110">
        <v>369.94295142740293</v>
      </c>
      <c r="AJ117" s="110">
        <v>317.93850098361781</v>
      </c>
      <c r="AK117" s="110">
        <v>1087.3699038604746</v>
      </c>
      <c r="AL117" s="110">
        <v>323.63797650704328</v>
      </c>
      <c r="AM117" s="110">
        <v>1360.1595635858803</v>
      </c>
      <c r="AN117" s="110">
        <v>287.8380863530233</v>
      </c>
      <c r="AO117" s="110">
        <v>1091.8167092135755</v>
      </c>
      <c r="AP117" s="110">
        <v>317.35392395936833</v>
      </c>
      <c r="AQ117" s="110">
        <v>533.17077363410499</v>
      </c>
      <c r="AR117" s="110">
        <v>479.95028637242149</v>
      </c>
      <c r="AS117" s="110">
        <v>480.64884936238423</v>
      </c>
      <c r="AT117" s="110">
        <v>378.05950464922216</v>
      </c>
      <c r="AU117" s="110">
        <v>257.62458207842474</v>
      </c>
      <c r="AV117" s="110">
        <v>283.87158585310181</v>
      </c>
      <c r="AW117" s="110">
        <v>347.31031093942738</v>
      </c>
      <c r="AX117" s="110">
        <v>261.06081183465585</v>
      </c>
      <c r="AY117" s="110">
        <v>1188.3056681937278</v>
      </c>
    </row>
    <row r="118" spans="1:52" x14ac:dyDescent="0.2">
      <c r="A118" s="113"/>
      <c r="B118" s="133">
        <v>10</v>
      </c>
      <c r="C118" s="110">
        <v>672.60264802545817</v>
      </c>
      <c r="D118" s="110">
        <v>570.87177629884059</v>
      </c>
      <c r="E118" s="110">
        <v>589.15244181693163</v>
      </c>
      <c r="F118" s="110">
        <v>576.61409954685473</v>
      </c>
      <c r="G118" s="110">
        <v>661.19949890792486</v>
      </c>
      <c r="H118" s="110">
        <v>576.7944872313069</v>
      </c>
      <c r="I118" s="110">
        <v>657.54216650925696</v>
      </c>
      <c r="J118" s="110">
        <v>646.95085119522003</v>
      </c>
      <c r="K118" s="110">
        <v>640.68428374083464</v>
      </c>
      <c r="L118" s="110">
        <v>102.91474112651707</v>
      </c>
      <c r="M118" s="110">
        <v>0</v>
      </c>
      <c r="N118" s="110">
        <v>0</v>
      </c>
      <c r="O118" s="110">
        <v>0</v>
      </c>
      <c r="P118" s="110">
        <v>0</v>
      </c>
      <c r="Q118" s="110">
        <v>0</v>
      </c>
      <c r="R118" s="110">
        <v>0</v>
      </c>
      <c r="S118" s="110">
        <v>0</v>
      </c>
      <c r="T118" s="110">
        <v>0</v>
      </c>
      <c r="U118" s="110">
        <v>0</v>
      </c>
      <c r="V118" s="110">
        <v>0</v>
      </c>
      <c r="W118" s="110">
        <v>0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0</v>
      </c>
      <c r="AK118" s="110">
        <v>0</v>
      </c>
      <c r="AL118" s="110">
        <v>0</v>
      </c>
      <c r="AM118" s="110">
        <v>0</v>
      </c>
      <c r="AN118" s="110">
        <v>0</v>
      </c>
      <c r="AO118" s="110">
        <v>0</v>
      </c>
      <c r="AP118" s="110">
        <v>0</v>
      </c>
      <c r="AQ118" s="110">
        <v>0</v>
      </c>
      <c r="AR118" s="110">
        <v>0</v>
      </c>
      <c r="AS118" s="110">
        <v>0</v>
      </c>
      <c r="AT118" s="110">
        <v>0</v>
      </c>
      <c r="AU118" s="110">
        <v>0</v>
      </c>
      <c r="AV118" s="110">
        <v>0</v>
      </c>
      <c r="AW118" s="110">
        <v>0</v>
      </c>
      <c r="AX118" s="110">
        <v>0</v>
      </c>
      <c r="AY118" s="110">
        <v>0</v>
      </c>
    </row>
    <row r="119" spans="1:52" x14ac:dyDescent="0.2">
      <c r="A119" s="113"/>
      <c r="B119" s="133">
        <v>11</v>
      </c>
      <c r="C119" s="110">
        <v>573.61492430907219</v>
      </c>
      <c r="D119" s="110">
        <v>672.60264802545817</v>
      </c>
      <c r="E119" s="110">
        <v>570.87177629884059</v>
      </c>
      <c r="F119" s="110">
        <v>589.15244181693163</v>
      </c>
      <c r="G119" s="110">
        <v>576.61409954685473</v>
      </c>
      <c r="H119" s="110">
        <v>661.19949890792486</v>
      </c>
      <c r="I119" s="110">
        <v>576.7944872313069</v>
      </c>
      <c r="J119" s="110">
        <v>657.54216650925696</v>
      </c>
      <c r="K119" s="110">
        <v>197.082859003755</v>
      </c>
      <c r="L119" s="110">
        <v>0</v>
      </c>
      <c r="M119" s="110">
        <v>0</v>
      </c>
      <c r="N119" s="110">
        <v>0</v>
      </c>
      <c r="O119" s="110">
        <v>0</v>
      </c>
      <c r="P119" s="110">
        <v>0</v>
      </c>
      <c r="Q119" s="110">
        <v>0</v>
      </c>
      <c r="R119" s="110">
        <v>0</v>
      </c>
      <c r="S119" s="110">
        <v>0</v>
      </c>
      <c r="T119" s="110">
        <v>0</v>
      </c>
      <c r="U119" s="110">
        <v>0</v>
      </c>
      <c r="V119" s="110">
        <v>0</v>
      </c>
      <c r="W119" s="110">
        <v>0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0">
        <v>0</v>
      </c>
      <c r="AM119" s="110">
        <v>0</v>
      </c>
      <c r="AN119" s="110">
        <v>0</v>
      </c>
      <c r="AO119" s="110">
        <v>0</v>
      </c>
      <c r="AP119" s="110">
        <v>0</v>
      </c>
      <c r="AQ119" s="110">
        <v>0</v>
      </c>
      <c r="AR119" s="110">
        <v>0</v>
      </c>
      <c r="AS119" s="110">
        <v>0</v>
      </c>
      <c r="AT119" s="110">
        <v>0</v>
      </c>
      <c r="AU119" s="110">
        <v>0</v>
      </c>
      <c r="AV119" s="110">
        <v>0</v>
      </c>
      <c r="AW119" s="110">
        <v>0</v>
      </c>
      <c r="AX119" s="110">
        <v>0</v>
      </c>
      <c r="AY119" s="110">
        <v>0</v>
      </c>
    </row>
    <row r="120" spans="1:52" x14ac:dyDescent="0.2">
      <c r="A120" s="113"/>
      <c r="B120" s="133">
        <v>12</v>
      </c>
      <c r="C120" s="110">
        <v>548.4757692162832</v>
      </c>
      <c r="D120" s="110">
        <v>573.61492430907219</v>
      </c>
      <c r="E120" s="110">
        <v>672.60264802545817</v>
      </c>
      <c r="F120" s="110">
        <v>570.87177629884059</v>
      </c>
      <c r="G120" s="110">
        <v>589.15244181693163</v>
      </c>
      <c r="H120" s="110">
        <v>576.61409954685473</v>
      </c>
      <c r="I120" s="110">
        <v>661.19949890792486</v>
      </c>
      <c r="J120" s="110">
        <v>216.18511087723226</v>
      </c>
      <c r="K120" s="110">
        <v>0</v>
      </c>
      <c r="L120" s="110">
        <v>0</v>
      </c>
      <c r="M120" s="110">
        <v>0</v>
      </c>
      <c r="N120" s="110">
        <v>0</v>
      </c>
      <c r="O120" s="110">
        <v>0</v>
      </c>
      <c r="P120" s="110">
        <v>0</v>
      </c>
      <c r="Q120" s="110">
        <v>0</v>
      </c>
      <c r="R120" s="110">
        <v>0</v>
      </c>
      <c r="S120" s="110">
        <v>0</v>
      </c>
      <c r="T120" s="110">
        <v>0</v>
      </c>
      <c r="U120" s="110">
        <v>0</v>
      </c>
      <c r="V120" s="110">
        <v>0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0</v>
      </c>
      <c r="AK120" s="110">
        <v>0</v>
      </c>
      <c r="AL120" s="110">
        <v>0</v>
      </c>
      <c r="AM120" s="110">
        <v>0</v>
      </c>
      <c r="AN120" s="110">
        <v>0</v>
      </c>
      <c r="AO120" s="110">
        <v>0</v>
      </c>
      <c r="AP120" s="110">
        <v>0</v>
      </c>
      <c r="AQ120" s="110">
        <v>0</v>
      </c>
      <c r="AR120" s="110">
        <v>0</v>
      </c>
      <c r="AS120" s="110">
        <v>0</v>
      </c>
      <c r="AT120" s="110">
        <v>0</v>
      </c>
      <c r="AU120" s="110">
        <v>0</v>
      </c>
      <c r="AV120" s="110">
        <v>0</v>
      </c>
      <c r="AW120" s="110">
        <v>0</v>
      </c>
      <c r="AX120" s="110">
        <v>0</v>
      </c>
      <c r="AY120" s="110">
        <v>0</v>
      </c>
    </row>
    <row r="121" spans="1:52" x14ac:dyDescent="0.2">
      <c r="A121" s="131"/>
      <c r="B121" s="135" t="s">
        <v>296</v>
      </c>
      <c r="C121" s="117">
        <v>34.989341573771753</v>
      </c>
      <c r="D121" s="128">
        <v>73.28168637604648</v>
      </c>
      <c r="E121" s="128">
        <v>292.61492430907219</v>
      </c>
      <c r="F121" s="128">
        <v>365.60264802545817</v>
      </c>
      <c r="G121" s="128">
        <v>268.87177629884059</v>
      </c>
      <c r="H121" s="128">
        <v>340.15244181693163</v>
      </c>
      <c r="I121" s="128">
        <v>350.61409954685473</v>
      </c>
      <c r="J121" s="128">
        <v>377.19949890792486</v>
      </c>
      <c r="K121" s="128">
        <v>0</v>
      </c>
      <c r="L121" s="128">
        <v>0</v>
      </c>
      <c r="M121" s="128">
        <v>0</v>
      </c>
      <c r="N121" s="128">
        <v>0</v>
      </c>
      <c r="O121" s="128">
        <v>0</v>
      </c>
      <c r="P121" s="128">
        <v>0</v>
      </c>
      <c r="Q121" s="128">
        <v>0</v>
      </c>
      <c r="R121" s="128">
        <v>0</v>
      </c>
      <c r="S121" s="128">
        <v>0</v>
      </c>
      <c r="T121" s="128">
        <v>0</v>
      </c>
      <c r="U121" s="128">
        <v>0</v>
      </c>
      <c r="V121" s="128">
        <v>0</v>
      </c>
      <c r="W121" s="128">
        <v>0</v>
      </c>
      <c r="X121" s="128">
        <v>0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0</v>
      </c>
      <c r="AH121" s="128">
        <v>0</v>
      </c>
      <c r="AI121" s="128">
        <v>0</v>
      </c>
      <c r="AJ121" s="128">
        <v>0</v>
      </c>
      <c r="AK121" s="128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  <c r="AQ121" s="128">
        <v>0</v>
      </c>
      <c r="AR121" s="128">
        <v>0</v>
      </c>
      <c r="AS121" s="128">
        <v>0</v>
      </c>
      <c r="AT121" s="128">
        <v>0</v>
      </c>
      <c r="AU121" s="128">
        <v>0</v>
      </c>
      <c r="AV121" s="128">
        <v>0</v>
      </c>
      <c r="AW121" s="128">
        <v>0</v>
      </c>
      <c r="AX121" s="128">
        <v>0</v>
      </c>
      <c r="AY121" s="128">
        <v>0</v>
      </c>
      <c r="AZ121" s="111">
        <f>SUM($D121:$AY121)</f>
        <v>2068.3370752811288</v>
      </c>
    </row>
    <row r="122" spans="1:52" x14ac:dyDescent="0.2">
      <c r="A122" s="134" t="s">
        <v>123</v>
      </c>
      <c r="B122" s="122">
        <v>1</v>
      </c>
      <c r="C122" s="110">
        <v>1059.9198273028987</v>
      </c>
      <c r="D122" s="110">
        <v>3320.0473892065993</v>
      </c>
      <c r="E122" s="110">
        <v>3712.7411181318216</v>
      </c>
      <c r="F122" s="110">
        <v>3511.6765135866408</v>
      </c>
      <c r="G122" s="110">
        <v>3852.9788121755346</v>
      </c>
      <c r="H122" s="110">
        <v>3783.9788121755346</v>
      </c>
      <c r="I122" s="110">
        <v>3489.0473892065993</v>
      </c>
      <c r="J122" s="110">
        <v>4137.8473892065995</v>
      </c>
      <c r="K122" s="110">
        <v>3489.0473892065993</v>
      </c>
      <c r="L122" s="110">
        <v>3783.9788121755346</v>
      </c>
      <c r="M122" s="110">
        <v>3852.9788121755346</v>
      </c>
      <c r="N122" s="110">
        <v>3739.6765135866408</v>
      </c>
      <c r="O122" s="110">
        <v>3852.9788121755346</v>
      </c>
      <c r="P122" s="110">
        <v>3739.6765135866408</v>
      </c>
      <c r="Q122" s="110">
        <v>3489.0473892065993</v>
      </c>
      <c r="R122" s="110">
        <v>3785.6079365555761</v>
      </c>
      <c r="S122" s="110">
        <v>3849.9788121755346</v>
      </c>
      <c r="T122" s="110">
        <v>3738.0473892065993</v>
      </c>
      <c r="U122" s="110">
        <v>3849.9788121755346</v>
      </c>
      <c r="V122" s="110">
        <v>3738.0473892065993</v>
      </c>
      <c r="W122" s="110">
        <v>3849.9788121755346</v>
      </c>
      <c r="X122" s="110">
        <v>3785.6079365555761</v>
      </c>
      <c r="Y122" s="110">
        <v>3489.0473892065993</v>
      </c>
      <c r="Z122" s="110">
        <v>3852.9788121755346</v>
      </c>
      <c r="AA122" s="110">
        <v>3489.0473892065993</v>
      </c>
      <c r="AB122" s="110">
        <v>3670.6765135866408</v>
      </c>
      <c r="AC122" s="110">
        <v>3852.9788121755346</v>
      </c>
      <c r="AD122" s="110">
        <v>3783.9788121755346</v>
      </c>
      <c r="AE122" s="110">
        <v>3420.0473892065993</v>
      </c>
      <c r="AF122" s="110">
        <v>3852.9788121755346</v>
      </c>
      <c r="AG122" s="110">
        <v>3783.9788121755346</v>
      </c>
      <c r="AH122" s="110">
        <v>3849.9788121755346</v>
      </c>
      <c r="AI122" s="110">
        <v>3852.9788121755346</v>
      </c>
      <c r="AJ122" s="110">
        <v>3852.9788121755346</v>
      </c>
      <c r="AK122" s="110">
        <v>3489.0473892065993</v>
      </c>
      <c r="AL122" s="110">
        <v>3849.9788121755346</v>
      </c>
      <c r="AM122" s="110">
        <v>3420.0473892065993</v>
      </c>
      <c r="AN122" s="110">
        <v>3852.9788121755346</v>
      </c>
      <c r="AO122" s="110">
        <v>3489.0473892065993</v>
      </c>
      <c r="AP122" s="110">
        <v>3849.9788121755346</v>
      </c>
      <c r="AQ122" s="110">
        <v>3783.9788121755346</v>
      </c>
      <c r="AR122" s="110">
        <v>3804.0473892065993</v>
      </c>
      <c r="AS122" s="110">
        <v>3783.9788121755346</v>
      </c>
      <c r="AT122" s="110">
        <v>3852.9788121755346</v>
      </c>
      <c r="AU122" s="110">
        <v>3852.9788121755346</v>
      </c>
      <c r="AV122" s="110">
        <v>3807.0473892065993</v>
      </c>
      <c r="AW122" s="110">
        <v>3852.9788121755346</v>
      </c>
      <c r="AX122" s="110">
        <v>3849.9788121755346</v>
      </c>
      <c r="AY122" s="110">
        <v>3489.0473892065993</v>
      </c>
    </row>
    <row r="123" spans="1:52" x14ac:dyDescent="0.2">
      <c r="A123" s="113"/>
      <c r="B123" s="122">
        <v>2</v>
      </c>
      <c r="C123" s="110">
        <v>537.63486968890777</v>
      </c>
      <c r="D123" s="110">
        <v>554.582725040132</v>
      </c>
      <c r="E123" s="110">
        <v>2388.299304543737</v>
      </c>
      <c r="F123" s="110">
        <v>2293.5258407463625</v>
      </c>
      <c r="G123" s="110">
        <v>2440.4131524463919</v>
      </c>
      <c r="H123" s="110">
        <v>2377.0436053395042</v>
      </c>
      <c r="I123" s="110">
        <v>2403.4749807080552</v>
      </c>
      <c r="J123" s="110">
        <v>2152.5209946735094</v>
      </c>
      <c r="K123" s="110">
        <v>2621.7894535269006</v>
      </c>
      <c r="L123" s="110">
        <v>2516.4524176424447</v>
      </c>
      <c r="M123" s="110">
        <v>2403.4749807080552</v>
      </c>
      <c r="N123" s="110">
        <v>2377.0436053395042</v>
      </c>
      <c r="O123" s="110">
        <v>2307.1432717378962</v>
      </c>
      <c r="P123" s="110">
        <v>2377.0436053395042</v>
      </c>
      <c r="Q123" s="110">
        <v>2374.5141473578547</v>
      </c>
      <c r="R123" s="110">
        <v>2516.4524176424447</v>
      </c>
      <c r="S123" s="110">
        <v>2402.8509227658678</v>
      </c>
      <c r="T123" s="110">
        <v>2378.1927955729193</v>
      </c>
      <c r="U123" s="110">
        <v>2421.0696282689773</v>
      </c>
      <c r="V123" s="110">
        <v>2378.1927955729193</v>
      </c>
      <c r="W123" s="110">
        <v>2352.0696282689773</v>
      </c>
      <c r="X123" s="110">
        <v>2378.1927955729193</v>
      </c>
      <c r="Y123" s="110">
        <v>2402.8509227658678</v>
      </c>
      <c r="Z123" s="110">
        <v>2516.4524176424447</v>
      </c>
      <c r="AA123" s="110">
        <v>2377.0436053395042</v>
      </c>
      <c r="AB123" s="110">
        <v>2152.5209946735094</v>
      </c>
      <c r="AC123" s="110">
        <v>2377.876945695341</v>
      </c>
      <c r="AD123" s="110">
        <v>2377.0436053395042</v>
      </c>
      <c r="AE123" s="110">
        <v>2403.4749807080552</v>
      </c>
      <c r="AF123" s="110">
        <v>2109.9523700420609</v>
      </c>
      <c r="AG123" s="110">
        <v>2377.0436053395042</v>
      </c>
      <c r="AH123" s="110">
        <v>2403.4749807080552</v>
      </c>
      <c r="AI123" s="110">
        <v>2375.1927955729193</v>
      </c>
      <c r="AJ123" s="110">
        <v>2377.0436053395042</v>
      </c>
      <c r="AK123" s="110">
        <v>2377.0436053395042</v>
      </c>
      <c r="AL123" s="110">
        <v>2516.4524176424447</v>
      </c>
      <c r="AM123" s="110">
        <v>2378.1927955729193</v>
      </c>
      <c r="AN123" s="110">
        <v>2542.8837930109962</v>
      </c>
      <c r="AO123" s="110">
        <v>2377.0436053395042</v>
      </c>
      <c r="AP123" s="110">
        <v>2516.4524176424447</v>
      </c>
      <c r="AQ123" s="110">
        <v>2375.1927955729193</v>
      </c>
      <c r="AR123" s="110">
        <v>2403.4749807080552</v>
      </c>
      <c r="AS123" s="110">
        <v>2395.7874431338414</v>
      </c>
      <c r="AT123" s="110">
        <v>2334.4749807080552</v>
      </c>
      <c r="AU123" s="110">
        <v>2377.0436053395042</v>
      </c>
      <c r="AV123" s="110">
        <v>2377.0436053395042</v>
      </c>
      <c r="AW123" s="110">
        <v>2348.706829931491</v>
      </c>
      <c r="AX123" s="110">
        <v>2377.0436053395042</v>
      </c>
      <c r="AY123" s="110">
        <v>2375.1927955729193</v>
      </c>
    </row>
    <row r="124" spans="1:52" x14ac:dyDescent="0.2">
      <c r="A124" s="113"/>
      <c r="B124" s="122">
        <v>3</v>
      </c>
      <c r="C124" s="110">
        <v>88.314237510861119</v>
      </c>
      <c r="D124" s="110">
        <v>340.04059338783361</v>
      </c>
      <c r="E124" s="110">
        <v>217.42585838697326</v>
      </c>
      <c r="F124" s="110">
        <v>1387.0671935292487</v>
      </c>
      <c r="G124" s="110">
        <v>1414.9600086559408</v>
      </c>
      <c r="H124" s="110">
        <v>1572.9510413031626</v>
      </c>
      <c r="I124" s="110">
        <v>1466.4851734533779</v>
      </c>
      <c r="J124" s="110">
        <v>1482.7916560121716</v>
      </c>
      <c r="K124" s="110">
        <v>1327.9689599068031</v>
      </c>
      <c r="L124" s="110">
        <v>1617.4778421721435</v>
      </c>
      <c r="M124" s="110">
        <v>1552.4915705727979</v>
      </c>
      <c r="N124" s="110">
        <v>1482.7916560121716</v>
      </c>
      <c r="O124" s="110">
        <v>1466.4851734533779</v>
      </c>
      <c r="P124" s="110">
        <v>1536.6633986698093</v>
      </c>
      <c r="Q124" s="110">
        <v>1466.4851734533779</v>
      </c>
      <c r="R124" s="110">
        <v>1510.8560812434455</v>
      </c>
      <c r="S124" s="110">
        <v>1552.4915705727979</v>
      </c>
      <c r="T124" s="110">
        <v>1482.4066518340665</v>
      </c>
      <c r="U124" s="110">
        <v>1467.194150955934</v>
      </c>
      <c r="V124" s="110">
        <v>1493.6464378606286</v>
      </c>
      <c r="W124" s="110">
        <v>1467.194150955934</v>
      </c>
      <c r="X124" s="110">
        <v>1520.0778132291798</v>
      </c>
      <c r="Y124" s="110">
        <v>1467.194150955934</v>
      </c>
      <c r="Z124" s="110">
        <v>1482.4066518340665</v>
      </c>
      <c r="AA124" s="110">
        <v>1552.4915705727979</v>
      </c>
      <c r="AB124" s="110">
        <v>1466.4851734533779</v>
      </c>
      <c r="AC124" s="110">
        <v>1691.9003828757384</v>
      </c>
      <c r="AD124" s="110">
        <v>1535.9992916098684</v>
      </c>
      <c r="AE124" s="110">
        <v>1466.4851734533779</v>
      </c>
      <c r="AF124" s="110">
        <v>1482.7916560121716</v>
      </c>
      <c r="AG124" s="110">
        <v>1665.6382408030838</v>
      </c>
      <c r="AH124" s="110">
        <v>1466.4851734533779</v>
      </c>
      <c r="AI124" s="110">
        <v>1482.7916560121716</v>
      </c>
      <c r="AJ124" s="110">
        <v>1468.3433411893493</v>
      </c>
      <c r="AK124" s="110">
        <v>1466.4851734533779</v>
      </c>
      <c r="AL124" s="110">
        <v>1466.4851734533779</v>
      </c>
      <c r="AM124" s="110">
        <v>1552.4915705727979</v>
      </c>
      <c r="AN124" s="110">
        <v>1467.194150955934</v>
      </c>
      <c r="AO124" s="110">
        <v>1568.7980531315918</v>
      </c>
      <c r="AP124" s="110">
        <v>1466.4851734533779</v>
      </c>
      <c r="AQ124" s="110">
        <v>1552.4915705727979</v>
      </c>
      <c r="AR124" s="110">
        <v>1468.3433411893493</v>
      </c>
      <c r="AS124" s="110">
        <v>1482.7916560121716</v>
      </c>
      <c r="AT124" s="110">
        <v>1478.0489328043909</v>
      </c>
      <c r="AU124" s="110">
        <v>1509.2230313807229</v>
      </c>
      <c r="AV124" s="110">
        <v>1466.4851734533779</v>
      </c>
      <c r="AW124" s="110">
        <v>1466.4851734533779</v>
      </c>
      <c r="AX124" s="110">
        <v>1494.9346028627569</v>
      </c>
      <c r="AY124" s="110">
        <v>1466.4851734533779</v>
      </c>
    </row>
    <row r="125" spans="1:52" x14ac:dyDescent="0.2">
      <c r="A125" s="113"/>
      <c r="B125" s="122">
        <v>4</v>
      </c>
      <c r="C125" s="110">
        <v>0</v>
      </c>
      <c r="D125" s="110">
        <v>0</v>
      </c>
      <c r="E125" s="110">
        <v>0</v>
      </c>
      <c r="F125" s="110">
        <v>0</v>
      </c>
      <c r="G125" s="110">
        <v>537.73250289773523</v>
      </c>
      <c r="H125" s="110">
        <v>872.94060111574322</v>
      </c>
      <c r="I125" s="110">
        <v>970.4110498678383</v>
      </c>
      <c r="J125" s="110">
        <v>904.72836052640469</v>
      </c>
      <c r="K125" s="110">
        <v>914.78842625255766</v>
      </c>
      <c r="L125" s="110">
        <v>819.27264023895907</v>
      </c>
      <c r="M125" s="110">
        <v>997.88126250886603</v>
      </c>
      <c r="N125" s="110">
        <v>957.78885378553377</v>
      </c>
      <c r="O125" s="110">
        <v>914.78842625255766</v>
      </c>
      <c r="P125" s="110">
        <v>904.72836052640469</v>
      </c>
      <c r="Q125" s="110">
        <v>948.02387540378936</v>
      </c>
      <c r="R125" s="110">
        <v>904.72836052640469</v>
      </c>
      <c r="S125" s="110">
        <v>932.10239702310059</v>
      </c>
      <c r="T125" s="110">
        <v>957.78885378553377</v>
      </c>
      <c r="U125" s="110">
        <v>914.55090308822002</v>
      </c>
      <c r="V125" s="110">
        <v>905.1657546884112</v>
      </c>
      <c r="W125" s="110">
        <v>921.4851383389813</v>
      </c>
      <c r="X125" s="110">
        <v>905.1657546884112</v>
      </c>
      <c r="Y125" s="110">
        <v>937.79162089777515</v>
      </c>
      <c r="Z125" s="110">
        <v>905.1657546884112</v>
      </c>
      <c r="AA125" s="110">
        <v>914.55090308822002</v>
      </c>
      <c r="AB125" s="110">
        <v>957.78885378553377</v>
      </c>
      <c r="AC125" s="110">
        <v>904.72836052640469</v>
      </c>
      <c r="AD125" s="110">
        <v>1043.7952509049537</v>
      </c>
      <c r="AE125" s="110">
        <v>947.61416345959049</v>
      </c>
      <c r="AF125" s="110">
        <v>904.72836052640469</v>
      </c>
      <c r="AG125" s="110">
        <v>914.78842625255766</v>
      </c>
      <c r="AH125" s="110">
        <v>1027.5931745584521</v>
      </c>
      <c r="AI125" s="110">
        <v>904.72836052640469</v>
      </c>
      <c r="AJ125" s="110">
        <v>914.78842625255766</v>
      </c>
      <c r="AK125" s="110">
        <v>905.87473219096751</v>
      </c>
      <c r="AL125" s="110">
        <v>904.72836052640469</v>
      </c>
      <c r="AM125" s="110">
        <v>904.72836052640469</v>
      </c>
      <c r="AN125" s="110">
        <v>957.78885378553377</v>
      </c>
      <c r="AO125" s="110">
        <v>905.1657546884112</v>
      </c>
      <c r="AP125" s="110">
        <v>967.84891951168697</v>
      </c>
      <c r="AQ125" s="110">
        <v>904.72836052640469</v>
      </c>
      <c r="AR125" s="110">
        <v>957.78885378553377</v>
      </c>
      <c r="AS125" s="110">
        <v>905.87473219096751</v>
      </c>
      <c r="AT125" s="110">
        <v>914.78842625255766</v>
      </c>
      <c r="AU125" s="110">
        <v>911.86246677483484</v>
      </c>
      <c r="AV125" s="110">
        <v>931.09490881135162</v>
      </c>
      <c r="AW125" s="110">
        <v>904.72836052640469</v>
      </c>
      <c r="AX125" s="110">
        <v>904.72836052640469</v>
      </c>
      <c r="AY125" s="110">
        <v>922.27985446128525</v>
      </c>
    </row>
    <row r="126" spans="1:52" x14ac:dyDescent="0.2">
      <c r="A126" s="113"/>
      <c r="B126" s="122">
        <v>5</v>
      </c>
      <c r="C126" s="110">
        <v>0</v>
      </c>
      <c r="D126" s="110">
        <v>0</v>
      </c>
      <c r="E126" s="110">
        <v>0</v>
      </c>
      <c r="F126" s="110">
        <v>0</v>
      </c>
      <c r="G126" s="110">
        <v>0</v>
      </c>
      <c r="H126" s="110">
        <v>0.7468560577266885</v>
      </c>
      <c r="I126" s="110">
        <v>152.00975955974548</v>
      </c>
      <c r="J126" s="110">
        <v>328.46246543550353</v>
      </c>
      <c r="K126" s="110">
        <v>460.80054158433006</v>
      </c>
      <c r="L126" s="110">
        <v>475.65116549290673</v>
      </c>
      <c r="M126" s="110">
        <v>495.88587554386839</v>
      </c>
      <c r="N126" s="110">
        <v>615.62946218110346</v>
      </c>
      <c r="O126" s="110">
        <v>590.89498830408672</v>
      </c>
      <c r="P126" s="110">
        <v>564.366451222303</v>
      </c>
      <c r="Q126" s="110">
        <v>558.16002858948696</v>
      </c>
      <c r="R126" s="110">
        <v>584.87061585094625</v>
      </c>
      <c r="S126" s="110">
        <v>558.16002858948696</v>
      </c>
      <c r="T126" s="110">
        <v>575.0480732891308</v>
      </c>
      <c r="U126" s="110">
        <v>590.89498830408672</v>
      </c>
      <c r="V126" s="110">
        <v>564.21991449152097</v>
      </c>
      <c r="W126" s="110">
        <v>558.42987305178315</v>
      </c>
      <c r="X126" s="110">
        <v>568.4978979334893</v>
      </c>
      <c r="Y126" s="110">
        <v>527.43127900727086</v>
      </c>
      <c r="Z126" s="110">
        <v>477.94961778928661</v>
      </c>
      <c r="AA126" s="110">
        <v>514.29447989840003</v>
      </c>
      <c r="AB126" s="110">
        <v>422.50699659037866</v>
      </c>
      <c r="AC126" s="110">
        <v>560.55501355070476</v>
      </c>
      <c r="AD126" s="110">
        <v>558.16002858948696</v>
      </c>
      <c r="AE126" s="110">
        <v>643.95548156321581</v>
      </c>
      <c r="AF126" s="110">
        <v>584.61784956167639</v>
      </c>
      <c r="AG126" s="110">
        <v>558.16002858948696</v>
      </c>
      <c r="AH126" s="110">
        <v>564.366451222303</v>
      </c>
      <c r="AI126" s="110">
        <v>611.8881461546257</v>
      </c>
      <c r="AJ126" s="110">
        <v>529.65621424295568</v>
      </c>
      <c r="AK126" s="110">
        <v>458.13074930668859</v>
      </c>
      <c r="AL126" s="110">
        <v>494.50488894365651</v>
      </c>
      <c r="AM126" s="110">
        <v>527.23818794975932</v>
      </c>
      <c r="AN126" s="110">
        <v>558.16002858948696</v>
      </c>
      <c r="AO126" s="110">
        <v>590.89498830408672</v>
      </c>
      <c r="AP126" s="110">
        <v>558.42987305178315</v>
      </c>
      <c r="AQ126" s="110">
        <v>597.10141093690288</v>
      </c>
      <c r="AR126" s="110">
        <v>558.16002858948696</v>
      </c>
      <c r="AS126" s="110">
        <v>590.89498830408672</v>
      </c>
      <c r="AT126" s="110">
        <v>558.86726721378989</v>
      </c>
      <c r="AU126" s="110">
        <v>564.366451222303</v>
      </c>
      <c r="AV126" s="110">
        <v>562.56131976296945</v>
      </c>
      <c r="AW126" s="110">
        <v>574.42651694845608</v>
      </c>
      <c r="AX126" s="110">
        <v>463.69070692969012</v>
      </c>
      <c r="AY126" s="110">
        <v>467.22779160950307</v>
      </c>
    </row>
    <row r="127" spans="1:52" x14ac:dyDescent="0.2">
      <c r="A127" s="113"/>
      <c r="B127" s="122">
        <v>6</v>
      </c>
      <c r="C127" s="110">
        <v>0</v>
      </c>
      <c r="D127" s="110">
        <v>0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110">
        <v>1.9301405226705697</v>
      </c>
      <c r="O127" s="110">
        <v>81.995114710776932</v>
      </c>
      <c r="P127" s="110">
        <v>122.13052483270496</v>
      </c>
      <c r="Q127" s="110">
        <v>40.525102671164177</v>
      </c>
      <c r="R127" s="110">
        <v>72.350762682091442</v>
      </c>
      <c r="S127" s="110">
        <v>22.463915399075404</v>
      </c>
      <c r="T127" s="110">
        <v>107.20815541565889</v>
      </c>
      <c r="U127" s="110">
        <v>68.908830466696713</v>
      </c>
      <c r="V127" s="110">
        <v>118.05711727028913</v>
      </c>
      <c r="W127" s="110">
        <v>13.921664633732803</v>
      </c>
      <c r="X127" s="110">
        <v>36.104605289380459</v>
      </c>
      <c r="Y127" s="110">
        <v>0</v>
      </c>
      <c r="Z127" s="110">
        <v>0</v>
      </c>
      <c r="AA127" s="110">
        <v>0</v>
      </c>
      <c r="AB127" s="110">
        <v>0</v>
      </c>
      <c r="AC127" s="110">
        <v>0</v>
      </c>
      <c r="AD127" s="110">
        <v>16.826897929226732</v>
      </c>
      <c r="AE127" s="110">
        <v>99.730473086457323</v>
      </c>
      <c r="AF127" s="110">
        <v>144.80707604583461</v>
      </c>
      <c r="AG127" s="110">
        <v>173.00892543490721</v>
      </c>
      <c r="AH127" s="110">
        <v>53.08488037729677</v>
      </c>
      <c r="AI127" s="110">
        <v>0</v>
      </c>
      <c r="AJ127" s="110">
        <v>0</v>
      </c>
      <c r="AK127" s="110">
        <v>0</v>
      </c>
      <c r="AL127" s="110">
        <v>0</v>
      </c>
      <c r="AM127" s="110">
        <v>0</v>
      </c>
      <c r="AN127" s="110">
        <v>12.272529191283411</v>
      </c>
      <c r="AO127" s="110">
        <v>56.92071637285278</v>
      </c>
      <c r="AP127" s="110">
        <v>64.661211054349621</v>
      </c>
      <c r="AQ127" s="110">
        <v>28.407687978499382</v>
      </c>
      <c r="AR127" s="110">
        <v>47.899449786746857</v>
      </c>
      <c r="AS127" s="110">
        <v>105.90026723666023</v>
      </c>
      <c r="AT127" s="110">
        <v>109.87848808823912</v>
      </c>
      <c r="AU127" s="110">
        <v>36.573725091692495</v>
      </c>
      <c r="AV127" s="110">
        <v>39.741982485030917</v>
      </c>
      <c r="AW127" s="110">
        <v>11.582944748944612</v>
      </c>
      <c r="AX127" s="110">
        <v>0</v>
      </c>
      <c r="AY127" s="110">
        <v>0</v>
      </c>
    </row>
    <row r="128" spans="1:52" x14ac:dyDescent="0.2">
      <c r="A128" s="113"/>
      <c r="B128" s="122">
        <v>7</v>
      </c>
      <c r="C128" s="110">
        <v>0</v>
      </c>
      <c r="D128" s="110">
        <v>0</v>
      </c>
      <c r="E128" s="110">
        <v>0</v>
      </c>
      <c r="F128" s="110">
        <v>0</v>
      </c>
      <c r="G128" s="110">
        <v>0</v>
      </c>
      <c r="H128" s="110">
        <v>0</v>
      </c>
      <c r="I128" s="110">
        <v>0</v>
      </c>
      <c r="J128" s="110">
        <v>0</v>
      </c>
      <c r="K128" s="110">
        <v>0</v>
      </c>
      <c r="L128" s="110">
        <v>0</v>
      </c>
      <c r="M128" s="110">
        <v>0</v>
      </c>
      <c r="N128" s="110">
        <v>0</v>
      </c>
      <c r="O128" s="110">
        <v>0</v>
      </c>
      <c r="P128" s="110">
        <v>0</v>
      </c>
      <c r="Q128" s="110">
        <v>0</v>
      </c>
      <c r="R128" s="110">
        <v>0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0">
        <v>0</v>
      </c>
      <c r="AP128" s="110">
        <v>0</v>
      </c>
      <c r="AQ128" s="110">
        <v>0</v>
      </c>
      <c r="AR128" s="110">
        <v>0</v>
      </c>
      <c r="AS128" s="110">
        <v>0</v>
      </c>
      <c r="AT128" s="110">
        <v>0</v>
      </c>
      <c r="AU128" s="110">
        <v>0</v>
      </c>
      <c r="AV128" s="110">
        <v>0</v>
      </c>
      <c r="AW128" s="110">
        <v>0</v>
      </c>
      <c r="AX128" s="110">
        <v>0</v>
      </c>
      <c r="AY128" s="110">
        <v>0</v>
      </c>
    </row>
    <row r="129" spans="1:51" x14ac:dyDescent="0.2">
      <c r="A129" s="113"/>
      <c r="B129" s="122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0">
        <v>0</v>
      </c>
      <c r="AP129" s="110">
        <v>0</v>
      </c>
      <c r="AQ129" s="110">
        <v>0</v>
      </c>
      <c r="AR129" s="110">
        <v>0</v>
      </c>
      <c r="AS129" s="110">
        <v>0</v>
      </c>
      <c r="AT129" s="110">
        <v>0</v>
      </c>
      <c r="AU129" s="110">
        <v>0</v>
      </c>
      <c r="AV129" s="110">
        <v>0</v>
      </c>
      <c r="AW129" s="110">
        <v>0</v>
      </c>
      <c r="AX129" s="110">
        <v>0</v>
      </c>
      <c r="AY129" s="110">
        <v>0</v>
      </c>
    </row>
    <row r="130" spans="1:51" x14ac:dyDescent="0.2">
      <c r="A130" s="113"/>
      <c r="B130" s="122">
        <v>9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0">
        <v>0</v>
      </c>
      <c r="AP130" s="110">
        <v>0</v>
      </c>
      <c r="AQ130" s="110">
        <v>0</v>
      </c>
      <c r="AR130" s="110">
        <v>0</v>
      </c>
      <c r="AS130" s="110">
        <v>0</v>
      </c>
      <c r="AT130" s="110">
        <v>0</v>
      </c>
      <c r="AU130" s="110">
        <v>0</v>
      </c>
      <c r="AV130" s="110">
        <v>0</v>
      </c>
      <c r="AW130" s="110">
        <v>0</v>
      </c>
      <c r="AX130" s="110">
        <v>0</v>
      </c>
      <c r="AY130" s="110">
        <v>0</v>
      </c>
    </row>
    <row r="131" spans="1:51" x14ac:dyDescent="0.2">
      <c r="A131" s="113"/>
      <c r="B131" s="122">
        <v>10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0">
        <v>0</v>
      </c>
      <c r="AP131" s="110">
        <v>0</v>
      </c>
      <c r="AQ131" s="110">
        <v>0</v>
      </c>
      <c r="AR131" s="110">
        <v>0</v>
      </c>
      <c r="AS131" s="110">
        <v>0</v>
      </c>
      <c r="AT131" s="110">
        <v>0</v>
      </c>
      <c r="AU131" s="110">
        <v>0</v>
      </c>
      <c r="AV131" s="110">
        <v>0</v>
      </c>
      <c r="AW131" s="110">
        <v>0</v>
      </c>
      <c r="AX131" s="110">
        <v>0</v>
      </c>
      <c r="AY131" s="110">
        <v>0</v>
      </c>
    </row>
    <row r="132" spans="1:51" x14ac:dyDescent="0.2">
      <c r="A132" s="113"/>
      <c r="B132" s="122">
        <v>11</v>
      </c>
      <c r="C132" s="110">
        <v>0</v>
      </c>
      <c r="D132" s="110">
        <v>0</v>
      </c>
      <c r="E132" s="110">
        <v>0</v>
      </c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0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0">
        <v>0</v>
      </c>
      <c r="AM132" s="110">
        <v>0</v>
      </c>
      <c r="AN132" s="110">
        <v>0</v>
      </c>
      <c r="AO132" s="110">
        <v>0</v>
      </c>
      <c r="AP132" s="110">
        <v>0</v>
      </c>
      <c r="AQ132" s="110">
        <v>0</v>
      </c>
      <c r="AR132" s="110">
        <v>0</v>
      </c>
      <c r="AS132" s="110">
        <v>0</v>
      </c>
      <c r="AT132" s="110">
        <v>0</v>
      </c>
      <c r="AU132" s="110">
        <v>0</v>
      </c>
      <c r="AV132" s="110">
        <v>0</v>
      </c>
      <c r="AW132" s="110">
        <v>0</v>
      </c>
      <c r="AX132" s="110">
        <v>0</v>
      </c>
      <c r="AY132" s="110">
        <v>0</v>
      </c>
    </row>
    <row r="133" spans="1:51" x14ac:dyDescent="0.2">
      <c r="A133" s="113"/>
      <c r="B133" s="122">
        <v>12</v>
      </c>
      <c r="C133" s="110">
        <v>0</v>
      </c>
      <c r="D133" s="110">
        <v>0</v>
      </c>
      <c r="E133" s="110">
        <v>0</v>
      </c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0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0">
        <v>0</v>
      </c>
      <c r="AM133" s="110">
        <v>0</v>
      </c>
      <c r="AN133" s="110">
        <v>0</v>
      </c>
      <c r="AO133" s="110">
        <v>0</v>
      </c>
      <c r="AP133" s="110">
        <v>0</v>
      </c>
      <c r="AQ133" s="110">
        <v>0</v>
      </c>
      <c r="AR133" s="110">
        <v>0</v>
      </c>
      <c r="AS133" s="110">
        <v>0</v>
      </c>
      <c r="AT133" s="110">
        <v>0</v>
      </c>
      <c r="AU133" s="110">
        <v>0</v>
      </c>
      <c r="AV133" s="110">
        <v>0</v>
      </c>
      <c r="AW133" s="110">
        <v>0</v>
      </c>
      <c r="AX133" s="110">
        <v>0</v>
      </c>
      <c r="AY133" s="110">
        <v>0</v>
      </c>
    </row>
    <row r="134" spans="1:51" x14ac:dyDescent="0.2">
      <c r="A134" s="113"/>
      <c r="B134" s="123">
        <v>13</v>
      </c>
      <c r="C134" s="110">
        <v>0</v>
      </c>
      <c r="D134" s="110">
        <v>0</v>
      </c>
      <c r="E134" s="110">
        <v>0</v>
      </c>
      <c r="F134" s="110">
        <v>0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10">
        <v>0</v>
      </c>
      <c r="P134" s="110">
        <v>0</v>
      </c>
      <c r="Q134" s="110">
        <v>0</v>
      </c>
      <c r="R134" s="110">
        <v>0</v>
      </c>
      <c r="S134" s="110">
        <v>0</v>
      </c>
      <c r="T134" s="110">
        <v>0</v>
      </c>
      <c r="U134" s="110">
        <v>0</v>
      </c>
      <c r="V134" s="110">
        <v>0</v>
      </c>
      <c r="W134" s="110">
        <v>0</v>
      </c>
      <c r="X134" s="110">
        <v>0</v>
      </c>
      <c r="Y134" s="110">
        <v>0</v>
      </c>
      <c r="Z134" s="110">
        <v>0</v>
      </c>
      <c r="AA134" s="110">
        <v>0</v>
      </c>
      <c r="AB134" s="110">
        <v>0</v>
      </c>
      <c r="AC134" s="110">
        <v>0</v>
      </c>
      <c r="AD134" s="110">
        <v>0</v>
      </c>
      <c r="AE134" s="110">
        <v>0</v>
      </c>
      <c r="AF134" s="110">
        <v>0</v>
      </c>
      <c r="AG134" s="110">
        <v>0</v>
      </c>
      <c r="AH134" s="110">
        <v>0</v>
      </c>
      <c r="AI134" s="110">
        <v>0</v>
      </c>
      <c r="AJ134" s="110">
        <v>0</v>
      </c>
      <c r="AK134" s="110">
        <v>0</v>
      </c>
      <c r="AL134" s="110">
        <v>0</v>
      </c>
      <c r="AM134" s="110">
        <v>0</v>
      </c>
      <c r="AN134" s="110">
        <v>0</v>
      </c>
      <c r="AO134" s="110">
        <v>0</v>
      </c>
      <c r="AP134" s="110">
        <v>0</v>
      </c>
      <c r="AQ134" s="110">
        <v>0</v>
      </c>
      <c r="AR134" s="110">
        <v>0</v>
      </c>
      <c r="AS134" s="110">
        <v>0</v>
      </c>
      <c r="AT134" s="110">
        <v>0</v>
      </c>
      <c r="AU134" s="110">
        <v>0</v>
      </c>
      <c r="AV134" s="110">
        <v>0</v>
      </c>
      <c r="AW134" s="110">
        <v>0</v>
      </c>
      <c r="AX134" s="110">
        <v>0</v>
      </c>
      <c r="AY134" s="110">
        <v>0</v>
      </c>
    </row>
    <row r="135" spans="1:51" x14ac:dyDescent="0.2">
      <c r="A135" s="113"/>
      <c r="B135" s="123">
        <v>14</v>
      </c>
      <c r="C135" s="110">
        <v>0</v>
      </c>
      <c r="D135" s="110">
        <v>0</v>
      </c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0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0">
        <v>0</v>
      </c>
      <c r="AM135" s="110">
        <v>0</v>
      </c>
      <c r="AN135" s="110">
        <v>0</v>
      </c>
      <c r="AO135" s="110">
        <v>0</v>
      </c>
      <c r="AP135" s="110">
        <v>0</v>
      </c>
      <c r="AQ135" s="110">
        <v>0</v>
      </c>
      <c r="AR135" s="110">
        <v>0</v>
      </c>
      <c r="AS135" s="110">
        <v>0</v>
      </c>
      <c r="AT135" s="110">
        <v>0</v>
      </c>
      <c r="AU135" s="110">
        <v>0</v>
      </c>
      <c r="AV135" s="110">
        <v>0</v>
      </c>
      <c r="AW135" s="110">
        <v>0</v>
      </c>
      <c r="AX135" s="110">
        <v>0</v>
      </c>
      <c r="AY135" s="110">
        <v>0</v>
      </c>
    </row>
    <row r="136" spans="1:51" x14ac:dyDescent="0.2">
      <c r="A136" s="113"/>
      <c r="B136" s="123">
        <v>15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0">
        <v>0</v>
      </c>
      <c r="AP136" s="110">
        <v>0</v>
      </c>
      <c r="AQ136" s="110">
        <v>0</v>
      </c>
      <c r="AR136" s="110">
        <v>0</v>
      </c>
      <c r="AS136" s="110">
        <v>0</v>
      </c>
      <c r="AT136" s="110">
        <v>0</v>
      </c>
      <c r="AU136" s="110">
        <v>0</v>
      </c>
      <c r="AV136" s="110">
        <v>0</v>
      </c>
      <c r="AW136" s="110">
        <v>0</v>
      </c>
      <c r="AX136" s="110">
        <v>0</v>
      </c>
      <c r="AY136" s="110">
        <v>0</v>
      </c>
    </row>
    <row r="137" spans="1:51" x14ac:dyDescent="0.2">
      <c r="A137" s="113"/>
      <c r="B137" s="123">
        <v>16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0">
        <v>0</v>
      </c>
      <c r="AP137" s="110">
        <v>0</v>
      </c>
      <c r="AQ137" s="110">
        <v>0</v>
      </c>
      <c r="AR137" s="110">
        <v>0</v>
      </c>
      <c r="AS137" s="110">
        <v>0</v>
      </c>
      <c r="AT137" s="110">
        <v>0</v>
      </c>
      <c r="AU137" s="110">
        <v>0</v>
      </c>
      <c r="AV137" s="110">
        <v>0</v>
      </c>
      <c r="AW137" s="110">
        <v>0</v>
      </c>
      <c r="AX137" s="110">
        <v>0</v>
      </c>
      <c r="AY137" s="110">
        <v>0</v>
      </c>
    </row>
    <row r="138" spans="1:51" x14ac:dyDescent="0.2">
      <c r="A138" s="113"/>
      <c r="B138" s="123">
        <v>17</v>
      </c>
      <c r="C138" s="110">
        <v>0</v>
      </c>
      <c r="D138" s="110">
        <v>0</v>
      </c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0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0">
        <v>0</v>
      </c>
      <c r="AM138" s="110">
        <v>0</v>
      </c>
      <c r="AN138" s="110">
        <v>0</v>
      </c>
      <c r="AO138" s="110">
        <v>0</v>
      </c>
      <c r="AP138" s="110">
        <v>0</v>
      </c>
      <c r="AQ138" s="110">
        <v>0</v>
      </c>
      <c r="AR138" s="110">
        <v>0</v>
      </c>
      <c r="AS138" s="110">
        <v>0</v>
      </c>
      <c r="AT138" s="110">
        <v>0</v>
      </c>
      <c r="AU138" s="110">
        <v>0</v>
      </c>
      <c r="AV138" s="110">
        <v>0</v>
      </c>
      <c r="AW138" s="110">
        <v>0</v>
      </c>
      <c r="AX138" s="110">
        <v>0</v>
      </c>
      <c r="AY138" s="110">
        <v>0</v>
      </c>
    </row>
    <row r="139" spans="1:51" x14ac:dyDescent="0.2">
      <c r="A139" s="113"/>
      <c r="B139" s="123">
        <v>18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0">
        <v>0</v>
      </c>
      <c r="AP139" s="110">
        <v>0</v>
      </c>
      <c r="AQ139" s="110">
        <v>0</v>
      </c>
      <c r="AR139" s="110">
        <v>0</v>
      </c>
      <c r="AS139" s="110">
        <v>0</v>
      </c>
      <c r="AT139" s="110">
        <v>0</v>
      </c>
      <c r="AU139" s="110">
        <v>0</v>
      </c>
      <c r="AV139" s="110">
        <v>0</v>
      </c>
      <c r="AW139" s="110">
        <v>0</v>
      </c>
      <c r="AX139" s="110">
        <v>0</v>
      </c>
      <c r="AY139" s="110">
        <v>0</v>
      </c>
    </row>
    <row r="140" spans="1:51" x14ac:dyDescent="0.2">
      <c r="A140" s="113"/>
      <c r="B140" s="123">
        <v>19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0">
        <v>0</v>
      </c>
      <c r="AP140" s="110">
        <v>0</v>
      </c>
      <c r="AQ140" s="110">
        <v>0</v>
      </c>
      <c r="AR140" s="110">
        <v>0</v>
      </c>
      <c r="AS140" s="110">
        <v>0</v>
      </c>
      <c r="AT140" s="110">
        <v>0</v>
      </c>
      <c r="AU140" s="110">
        <v>0</v>
      </c>
      <c r="AV140" s="110">
        <v>0</v>
      </c>
      <c r="AW140" s="110">
        <v>0</v>
      </c>
      <c r="AX140" s="110">
        <v>0</v>
      </c>
      <c r="AY140" s="110">
        <v>0</v>
      </c>
    </row>
    <row r="141" spans="1:51" x14ac:dyDescent="0.2">
      <c r="A141" s="113"/>
      <c r="B141" s="123">
        <v>20</v>
      </c>
      <c r="C141" s="110">
        <v>0</v>
      </c>
      <c r="D141" s="110">
        <v>0</v>
      </c>
      <c r="E141" s="110">
        <v>0</v>
      </c>
      <c r="F141" s="110">
        <v>0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0">
        <v>0</v>
      </c>
      <c r="AM141" s="110">
        <v>0</v>
      </c>
      <c r="AN141" s="110">
        <v>0</v>
      </c>
      <c r="AO141" s="110">
        <v>0</v>
      </c>
      <c r="AP141" s="110">
        <v>0</v>
      </c>
      <c r="AQ141" s="110">
        <v>0</v>
      </c>
      <c r="AR141" s="110">
        <v>0</v>
      </c>
      <c r="AS141" s="110">
        <v>0</v>
      </c>
      <c r="AT141" s="110">
        <v>0</v>
      </c>
      <c r="AU141" s="110">
        <v>0</v>
      </c>
      <c r="AV141" s="110">
        <v>0</v>
      </c>
      <c r="AW141" s="110">
        <v>0</v>
      </c>
      <c r="AX141" s="110">
        <v>0</v>
      </c>
      <c r="AY141" s="110">
        <v>0</v>
      </c>
    </row>
    <row r="142" spans="1:51" x14ac:dyDescent="0.2">
      <c r="A142" s="113"/>
      <c r="B142" s="123">
        <v>21</v>
      </c>
      <c r="C142" s="110">
        <v>0</v>
      </c>
      <c r="D142" s="110">
        <v>0</v>
      </c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0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0">
        <v>0</v>
      </c>
      <c r="AM142" s="110">
        <v>0</v>
      </c>
      <c r="AN142" s="110">
        <v>0</v>
      </c>
      <c r="AO142" s="110">
        <v>0</v>
      </c>
      <c r="AP142" s="110">
        <v>0</v>
      </c>
      <c r="AQ142" s="110">
        <v>0</v>
      </c>
      <c r="AR142" s="110">
        <v>0</v>
      </c>
      <c r="AS142" s="110">
        <v>0</v>
      </c>
      <c r="AT142" s="110">
        <v>0</v>
      </c>
      <c r="AU142" s="110">
        <v>0</v>
      </c>
      <c r="AV142" s="110">
        <v>0</v>
      </c>
      <c r="AW142" s="110">
        <v>0</v>
      </c>
      <c r="AX142" s="110">
        <v>0</v>
      </c>
      <c r="AY142" s="110">
        <v>0</v>
      </c>
    </row>
    <row r="143" spans="1:51" x14ac:dyDescent="0.2">
      <c r="A143" s="113"/>
      <c r="B143" s="123">
        <v>22</v>
      </c>
      <c r="C143" s="110">
        <v>0</v>
      </c>
      <c r="D143" s="110">
        <v>0</v>
      </c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0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0">
        <v>0</v>
      </c>
      <c r="AM143" s="110">
        <v>0</v>
      </c>
      <c r="AN143" s="110">
        <v>0</v>
      </c>
      <c r="AO143" s="110">
        <v>0</v>
      </c>
      <c r="AP143" s="110">
        <v>0</v>
      </c>
      <c r="AQ143" s="110">
        <v>0</v>
      </c>
      <c r="AR143" s="110">
        <v>0</v>
      </c>
      <c r="AS143" s="110">
        <v>0</v>
      </c>
      <c r="AT143" s="110">
        <v>0</v>
      </c>
      <c r="AU143" s="110">
        <v>0</v>
      </c>
      <c r="AV143" s="110">
        <v>0</v>
      </c>
      <c r="AW143" s="110">
        <v>0</v>
      </c>
      <c r="AX143" s="110">
        <v>0</v>
      </c>
      <c r="AY143" s="110">
        <v>0</v>
      </c>
    </row>
    <row r="144" spans="1:51" x14ac:dyDescent="0.2">
      <c r="A144" s="113"/>
      <c r="B144" s="123">
        <v>23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0">
        <v>0</v>
      </c>
      <c r="AP144" s="110">
        <v>0</v>
      </c>
      <c r="AQ144" s="110">
        <v>0</v>
      </c>
      <c r="AR144" s="110">
        <v>0</v>
      </c>
      <c r="AS144" s="110">
        <v>0</v>
      </c>
      <c r="AT144" s="110">
        <v>0</v>
      </c>
      <c r="AU144" s="110">
        <v>0</v>
      </c>
      <c r="AV144" s="110">
        <v>0</v>
      </c>
      <c r="AW144" s="110">
        <v>0</v>
      </c>
      <c r="AX144" s="110">
        <v>0</v>
      </c>
      <c r="AY144" s="110">
        <v>0</v>
      </c>
    </row>
    <row r="145" spans="1:51" x14ac:dyDescent="0.2">
      <c r="A145" s="113"/>
      <c r="B145" s="123">
        <v>24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0">
        <v>0</v>
      </c>
      <c r="AP145" s="110">
        <v>0</v>
      </c>
      <c r="AQ145" s="110">
        <v>0</v>
      </c>
      <c r="AR145" s="110">
        <v>0</v>
      </c>
      <c r="AS145" s="110">
        <v>0</v>
      </c>
      <c r="AT145" s="110">
        <v>0</v>
      </c>
      <c r="AU145" s="110">
        <v>0</v>
      </c>
      <c r="AV145" s="110">
        <v>0</v>
      </c>
      <c r="AW145" s="110">
        <v>0</v>
      </c>
      <c r="AX145" s="110">
        <v>0</v>
      </c>
      <c r="AY145" s="110">
        <v>0</v>
      </c>
    </row>
    <row r="146" spans="1:51" x14ac:dyDescent="0.2">
      <c r="A146" s="113"/>
      <c r="B146" s="130">
        <v>25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0</v>
      </c>
      <c r="R146" s="110">
        <v>0</v>
      </c>
      <c r="S146" s="110">
        <v>0</v>
      </c>
      <c r="T146" s="110">
        <v>0</v>
      </c>
      <c r="U146" s="110">
        <v>0</v>
      </c>
      <c r="V146" s="110">
        <v>0</v>
      </c>
      <c r="W146" s="110">
        <v>0</v>
      </c>
      <c r="X146" s="110">
        <v>0</v>
      </c>
      <c r="Y146" s="110">
        <v>0</v>
      </c>
      <c r="Z146" s="110">
        <v>0</v>
      </c>
      <c r="AA146" s="110">
        <v>0</v>
      </c>
      <c r="AB146" s="110">
        <v>0</v>
      </c>
      <c r="AC146" s="110">
        <v>0</v>
      </c>
      <c r="AD146" s="110">
        <v>0</v>
      </c>
      <c r="AE146" s="110">
        <v>0</v>
      </c>
      <c r="AF146" s="110">
        <v>0</v>
      </c>
      <c r="AG146" s="110">
        <v>0</v>
      </c>
      <c r="AH146" s="110">
        <v>0</v>
      </c>
      <c r="AI146" s="110">
        <v>0</v>
      </c>
      <c r="AJ146" s="110">
        <v>0</v>
      </c>
      <c r="AK146" s="110">
        <v>0</v>
      </c>
      <c r="AL146" s="110">
        <v>0</v>
      </c>
      <c r="AM146" s="110">
        <v>0</v>
      </c>
      <c r="AN146" s="110">
        <v>0</v>
      </c>
      <c r="AO146" s="110">
        <v>0</v>
      </c>
      <c r="AP146" s="110">
        <v>0</v>
      </c>
      <c r="AQ146" s="110">
        <v>0</v>
      </c>
      <c r="AR146" s="110">
        <v>0</v>
      </c>
      <c r="AS146" s="110">
        <v>0</v>
      </c>
      <c r="AT146" s="110">
        <v>0</v>
      </c>
      <c r="AU146" s="110">
        <v>0</v>
      </c>
      <c r="AV146" s="110">
        <v>0</v>
      </c>
      <c r="AW146" s="110">
        <v>0</v>
      </c>
      <c r="AX146" s="110">
        <v>0</v>
      </c>
      <c r="AY146" s="110">
        <v>0</v>
      </c>
    </row>
    <row r="147" spans="1:51" x14ac:dyDescent="0.2">
      <c r="A147" s="113"/>
      <c r="B147" s="130">
        <v>26</v>
      </c>
      <c r="C147" s="110">
        <v>0</v>
      </c>
      <c r="D147" s="110">
        <v>0</v>
      </c>
      <c r="E147" s="110">
        <v>0</v>
      </c>
      <c r="F147" s="110">
        <v>0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10">
        <v>0</v>
      </c>
      <c r="P147" s="110">
        <v>0</v>
      </c>
      <c r="Q147" s="110">
        <v>0</v>
      </c>
      <c r="R147" s="110">
        <v>0</v>
      </c>
      <c r="S147" s="110">
        <v>0</v>
      </c>
      <c r="T147" s="110">
        <v>0</v>
      </c>
      <c r="U147" s="110">
        <v>0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0</v>
      </c>
      <c r="AC147" s="110">
        <v>0</v>
      </c>
      <c r="AD147" s="110">
        <v>0</v>
      </c>
      <c r="AE147" s="110">
        <v>0</v>
      </c>
      <c r="AF147" s="110">
        <v>0</v>
      </c>
      <c r="AG147" s="110">
        <v>0</v>
      </c>
      <c r="AH147" s="110">
        <v>0</v>
      </c>
      <c r="AI147" s="110">
        <v>0</v>
      </c>
      <c r="AJ147" s="110">
        <v>0</v>
      </c>
      <c r="AK147" s="110">
        <v>0</v>
      </c>
      <c r="AL147" s="110">
        <v>0</v>
      </c>
      <c r="AM147" s="110">
        <v>0</v>
      </c>
      <c r="AN147" s="110">
        <v>0</v>
      </c>
      <c r="AO147" s="110">
        <v>0</v>
      </c>
      <c r="AP147" s="110">
        <v>0</v>
      </c>
      <c r="AQ147" s="110">
        <v>0</v>
      </c>
      <c r="AR147" s="110">
        <v>0</v>
      </c>
      <c r="AS147" s="110">
        <v>0</v>
      </c>
      <c r="AT147" s="110">
        <v>0</v>
      </c>
      <c r="AU147" s="110">
        <v>0</v>
      </c>
      <c r="AV147" s="110">
        <v>0</v>
      </c>
      <c r="AW147" s="110">
        <v>0</v>
      </c>
      <c r="AX147" s="110">
        <v>0</v>
      </c>
      <c r="AY147" s="110">
        <v>0</v>
      </c>
    </row>
    <row r="148" spans="1:51" x14ac:dyDescent="0.2">
      <c r="A148" s="113"/>
      <c r="B148" s="130">
        <v>27</v>
      </c>
      <c r="C148" s="110">
        <v>0</v>
      </c>
      <c r="D148" s="110">
        <v>0</v>
      </c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0">
        <v>0</v>
      </c>
      <c r="AP148" s="110">
        <v>0</v>
      </c>
      <c r="AQ148" s="110">
        <v>0</v>
      </c>
      <c r="AR148" s="110">
        <v>0</v>
      </c>
      <c r="AS148" s="110">
        <v>0</v>
      </c>
      <c r="AT148" s="110">
        <v>0</v>
      </c>
      <c r="AU148" s="110">
        <v>0</v>
      </c>
      <c r="AV148" s="110">
        <v>0</v>
      </c>
      <c r="AW148" s="110">
        <v>0</v>
      </c>
      <c r="AX148" s="110">
        <v>0</v>
      </c>
      <c r="AY148" s="110">
        <v>0</v>
      </c>
    </row>
    <row r="149" spans="1:51" x14ac:dyDescent="0.2">
      <c r="A149" s="113"/>
      <c r="B149" s="130">
        <v>28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0">
        <v>0</v>
      </c>
      <c r="AP149" s="110">
        <v>0</v>
      </c>
      <c r="AQ149" s="110">
        <v>0</v>
      </c>
      <c r="AR149" s="110">
        <v>0</v>
      </c>
      <c r="AS149" s="110">
        <v>0</v>
      </c>
      <c r="AT149" s="110">
        <v>0</v>
      </c>
      <c r="AU149" s="110">
        <v>0</v>
      </c>
      <c r="AV149" s="110">
        <v>0</v>
      </c>
      <c r="AW149" s="110">
        <v>0</v>
      </c>
      <c r="AX149" s="110">
        <v>0</v>
      </c>
      <c r="AY149" s="110">
        <v>0</v>
      </c>
    </row>
    <row r="150" spans="1:51" x14ac:dyDescent="0.2">
      <c r="A150" s="113"/>
      <c r="B150" s="130">
        <v>29</v>
      </c>
      <c r="C150" s="110">
        <v>0</v>
      </c>
      <c r="D150" s="110">
        <v>0</v>
      </c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0">
        <v>0</v>
      </c>
      <c r="AP150" s="110">
        <v>0</v>
      </c>
      <c r="AQ150" s="110">
        <v>0</v>
      </c>
      <c r="AR150" s="110">
        <v>0</v>
      </c>
      <c r="AS150" s="110">
        <v>0</v>
      </c>
      <c r="AT150" s="110">
        <v>0</v>
      </c>
      <c r="AU150" s="110">
        <v>0</v>
      </c>
      <c r="AV150" s="110">
        <v>0</v>
      </c>
      <c r="AW150" s="110">
        <v>0</v>
      </c>
      <c r="AX150" s="110">
        <v>0</v>
      </c>
      <c r="AY150" s="110">
        <v>0</v>
      </c>
    </row>
    <row r="151" spans="1:51" x14ac:dyDescent="0.2">
      <c r="A151" s="113"/>
      <c r="B151" s="130">
        <v>30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0">
        <v>0</v>
      </c>
      <c r="AP151" s="110">
        <v>0</v>
      </c>
      <c r="AQ151" s="110">
        <v>0</v>
      </c>
      <c r="AR151" s="110">
        <v>0</v>
      </c>
      <c r="AS151" s="110">
        <v>0</v>
      </c>
      <c r="AT151" s="110">
        <v>0</v>
      </c>
      <c r="AU151" s="110">
        <v>0</v>
      </c>
      <c r="AV151" s="110">
        <v>0</v>
      </c>
      <c r="AW151" s="110">
        <v>0</v>
      </c>
      <c r="AX151" s="110">
        <v>0</v>
      </c>
      <c r="AY151" s="110">
        <v>0</v>
      </c>
    </row>
    <row r="152" spans="1:51" x14ac:dyDescent="0.2">
      <c r="A152" s="113"/>
      <c r="B152" s="130">
        <v>31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0">
        <v>0</v>
      </c>
      <c r="AP152" s="110">
        <v>0</v>
      </c>
      <c r="AQ152" s="110">
        <v>0</v>
      </c>
      <c r="AR152" s="110">
        <v>0</v>
      </c>
      <c r="AS152" s="110">
        <v>0</v>
      </c>
      <c r="AT152" s="110">
        <v>0</v>
      </c>
      <c r="AU152" s="110">
        <v>0</v>
      </c>
      <c r="AV152" s="110">
        <v>0</v>
      </c>
      <c r="AW152" s="110">
        <v>0</v>
      </c>
      <c r="AX152" s="110">
        <v>0</v>
      </c>
      <c r="AY152" s="110">
        <v>0</v>
      </c>
    </row>
    <row r="153" spans="1:51" x14ac:dyDescent="0.2">
      <c r="A153" s="113"/>
      <c r="B153" s="130">
        <v>32</v>
      </c>
      <c r="C153" s="110">
        <v>0</v>
      </c>
      <c r="D153" s="110">
        <v>0</v>
      </c>
      <c r="E153" s="110">
        <v>0</v>
      </c>
      <c r="F153" s="110">
        <v>0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10">
        <v>0</v>
      </c>
      <c r="P153" s="110">
        <v>0</v>
      </c>
      <c r="Q153" s="110">
        <v>0</v>
      </c>
      <c r="R153" s="110">
        <v>0</v>
      </c>
      <c r="S153" s="110">
        <v>0</v>
      </c>
      <c r="T153" s="110">
        <v>0</v>
      </c>
      <c r="U153" s="110">
        <v>0</v>
      </c>
      <c r="V153" s="110">
        <v>0</v>
      </c>
      <c r="W153" s="110">
        <v>0</v>
      </c>
      <c r="X153" s="110">
        <v>0</v>
      </c>
      <c r="Y153" s="110">
        <v>0</v>
      </c>
      <c r="Z153" s="110">
        <v>0</v>
      </c>
      <c r="AA153" s="110">
        <v>0</v>
      </c>
      <c r="AB153" s="110">
        <v>0</v>
      </c>
      <c r="AC153" s="110">
        <v>0</v>
      </c>
      <c r="AD153" s="110">
        <v>0</v>
      </c>
      <c r="AE153" s="110">
        <v>0</v>
      </c>
      <c r="AF153" s="110">
        <v>0</v>
      </c>
      <c r="AG153" s="110">
        <v>0</v>
      </c>
      <c r="AH153" s="110">
        <v>0</v>
      </c>
      <c r="AI153" s="110">
        <v>0</v>
      </c>
      <c r="AJ153" s="110">
        <v>0</v>
      </c>
      <c r="AK153" s="110">
        <v>0</v>
      </c>
      <c r="AL153" s="110">
        <v>0</v>
      </c>
      <c r="AM153" s="110">
        <v>0</v>
      </c>
      <c r="AN153" s="110">
        <v>0</v>
      </c>
      <c r="AO153" s="110">
        <v>0</v>
      </c>
      <c r="AP153" s="110">
        <v>0</v>
      </c>
      <c r="AQ153" s="110">
        <v>0</v>
      </c>
      <c r="AR153" s="110">
        <v>0</v>
      </c>
      <c r="AS153" s="110">
        <v>0</v>
      </c>
      <c r="AT153" s="110">
        <v>0</v>
      </c>
      <c r="AU153" s="110">
        <v>0</v>
      </c>
      <c r="AV153" s="110">
        <v>0</v>
      </c>
      <c r="AW153" s="110">
        <v>0</v>
      </c>
      <c r="AX153" s="110">
        <v>0</v>
      </c>
      <c r="AY153" s="110">
        <v>0</v>
      </c>
    </row>
    <row r="154" spans="1:51" x14ac:dyDescent="0.2">
      <c r="A154" s="113"/>
      <c r="B154" s="130">
        <v>33</v>
      </c>
      <c r="C154" s="110">
        <v>0</v>
      </c>
      <c r="D154" s="110">
        <v>0</v>
      </c>
      <c r="E154" s="110">
        <v>0</v>
      </c>
      <c r="F154" s="110">
        <v>0</v>
      </c>
      <c r="G154" s="110">
        <v>0</v>
      </c>
      <c r="H154" s="110">
        <v>0</v>
      </c>
      <c r="I154" s="110">
        <v>0</v>
      </c>
      <c r="J154" s="110">
        <v>0</v>
      </c>
      <c r="K154" s="110">
        <v>0</v>
      </c>
      <c r="L154" s="110">
        <v>0</v>
      </c>
      <c r="M154" s="110">
        <v>0</v>
      </c>
      <c r="N154" s="110">
        <v>0</v>
      </c>
      <c r="O154" s="110">
        <v>0</v>
      </c>
      <c r="P154" s="110">
        <v>0</v>
      </c>
      <c r="Q154" s="110">
        <v>0</v>
      </c>
      <c r="R154" s="110">
        <v>0</v>
      </c>
      <c r="S154" s="110">
        <v>0</v>
      </c>
      <c r="T154" s="110">
        <v>0</v>
      </c>
      <c r="U154" s="110">
        <v>0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0</v>
      </c>
      <c r="AK154" s="110">
        <v>0</v>
      </c>
      <c r="AL154" s="110">
        <v>0</v>
      </c>
      <c r="AM154" s="110">
        <v>0</v>
      </c>
      <c r="AN154" s="110">
        <v>0</v>
      </c>
      <c r="AO154" s="110">
        <v>0</v>
      </c>
      <c r="AP154" s="110">
        <v>0</v>
      </c>
      <c r="AQ154" s="110">
        <v>0</v>
      </c>
      <c r="AR154" s="110">
        <v>0</v>
      </c>
      <c r="AS154" s="110">
        <v>0</v>
      </c>
      <c r="AT154" s="110">
        <v>0</v>
      </c>
      <c r="AU154" s="110">
        <v>0</v>
      </c>
      <c r="AV154" s="110">
        <v>0</v>
      </c>
      <c r="AW154" s="110">
        <v>0</v>
      </c>
      <c r="AX154" s="110">
        <v>0</v>
      </c>
      <c r="AY154" s="110">
        <v>0</v>
      </c>
    </row>
    <row r="155" spans="1:51" x14ac:dyDescent="0.2">
      <c r="A155" s="113"/>
      <c r="B155" s="130">
        <v>34</v>
      </c>
      <c r="C155" s="110">
        <v>0</v>
      </c>
      <c r="D155" s="110">
        <v>0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0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0">
        <v>0</v>
      </c>
      <c r="AM155" s="110">
        <v>0</v>
      </c>
      <c r="AN155" s="110">
        <v>0</v>
      </c>
      <c r="AO155" s="110">
        <v>0</v>
      </c>
      <c r="AP155" s="110">
        <v>0</v>
      </c>
      <c r="AQ155" s="110">
        <v>0</v>
      </c>
      <c r="AR155" s="110">
        <v>0</v>
      </c>
      <c r="AS155" s="110">
        <v>0</v>
      </c>
      <c r="AT155" s="110">
        <v>0</v>
      </c>
      <c r="AU155" s="110">
        <v>0</v>
      </c>
      <c r="AV155" s="110">
        <v>0</v>
      </c>
      <c r="AW155" s="110">
        <v>0</v>
      </c>
      <c r="AX155" s="110">
        <v>0</v>
      </c>
      <c r="AY155" s="110">
        <v>0</v>
      </c>
    </row>
    <row r="156" spans="1:51" x14ac:dyDescent="0.2">
      <c r="A156" s="113"/>
      <c r="B156" s="130">
        <v>35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0">
        <v>0</v>
      </c>
      <c r="AP156" s="110">
        <v>0</v>
      </c>
      <c r="AQ156" s="110">
        <v>0</v>
      </c>
      <c r="AR156" s="110">
        <v>0</v>
      </c>
      <c r="AS156" s="110">
        <v>0</v>
      </c>
      <c r="AT156" s="110">
        <v>0</v>
      </c>
      <c r="AU156" s="110">
        <v>0</v>
      </c>
      <c r="AV156" s="110">
        <v>0</v>
      </c>
      <c r="AW156" s="110">
        <v>0</v>
      </c>
      <c r="AX156" s="110">
        <v>0</v>
      </c>
      <c r="AY156" s="110">
        <v>0</v>
      </c>
    </row>
    <row r="157" spans="1:51" x14ac:dyDescent="0.2">
      <c r="A157" s="113"/>
      <c r="B157" s="130">
        <v>36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0">
        <v>0</v>
      </c>
      <c r="AP157" s="110">
        <v>0</v>
      </c>
      <c r="AQ157" s="110">
        <v>0</v>
      </c>
      <c r="AR157" s="110">
        <v>0</v>
      </c>
      <c r="AS157" s="110">
        <v>0</v>
      </c>
      <c r="AT157" s="110">
        <v>0</v>
      </c>
      <c r="AU157" s="110">
        <v>0</v>
      </c>
      <c r="AV157" s="110">
        <v>0</v>
      </c>
      <c r="AW157" s="110">
        <v>0</v>
      </c>
      <c r="AX157" s="110">
        <v>0</v>
      </c>
      <c r="AY157" s="110">
        <v>0</v>
      </c>
    </row>
    <row r="158" spans="1:51" x14ac:dyDescent="0.2">
      <c r="A158" s="113"/>
      <c r="B158" s="133">
        <v>37</v>
      </c>
      <c r="C158" s="110">
        <v>0</v>
      </c>
      <c r="D158" s="110">
        <v>0</v>
      </c>
      <c r="E158" s="110">
        <v>0</v>
      </c>
      <c r="F158" s="110">
        <v>0</v>
      </c>
      <c r="G158" s="110">
        <v>0</v>
      </c>
      <c r="H158" s="110">
        <v>0</v>
      </c>
      <c r="I158" s="110">
        <v>0</v>
      </c>
      <c r="J158" s="110">
        <v>0</v>
      </c>
      <c r="K158" s="110">
        <v>0</v>
      </c>
      <c r="L158" s="110">
        <v>0</v>
      </c>
      <c r="M158" s="110">
        <v>0</v>
      </c>
      <c r="N158" s="110">
        <v>0</v>
      </c>
      <c r="O158" s="110">
        <v>0</v>
      </c>
      <c r="P158" s="110">
        <v>0</v>
      </c>
      <c r="Q158" s="110">
        <v>0</v>
      </c>
      <c r="R158" s="110">
        <v>0</v>
      </c>
      <c r="S158" s="110">
        <v>0</v>
      </c>
      <c r="T158" s="110">
        <v>0</v>
      </c>
      <c r="U158" s="110">
        <v>0</v>
      </c>
      <c r="V158" s="110">
        <v>0</v>
      </c>
      <c r="W158" s="110">
        <v>0</v>
      </c>
      <c r="X158" s="110">
        <v>0</v>
      </c>
      <c r="Y158" s="110">
        <v>0</v>
      </c>
      <c r="Z158" s="110">
        <v>0</v>
      </c>
      <c r="AA158" s="110">
        <v>0</v>
      </c>
      <c r="AB158" s="110">
        <v>0</v>
      </c>
      <c r="AC158" s="110">
        <v>0</v>
      </c>
      <c r="AD158" s="110">
        <v>0</v>
      </c>
      <c r="AE158" s="110">
        <v>0</v>
      </c>
      <c r="AF158" s="110">
        <v>0</v>
      </c>
      <c r="AG158" s="110">
        <v>0</v>
      </c>
      <c r="AH158" s="110">
        <v>0</v>
      </c>
      <c r="AI158" s="110">
        <v>0</v>
      </c>
      <c r="AJ158" s="110">
        <v>0</v>
      </c>
      <c r="AK158" s="110">
        <v>0</v>
      </c>
      <c r="AL158" s="110">
        <v>0</v>
      </c>
      <c r="AM158" s="110">
        <v>0</v>
      </c>
      <c r="AN158" s="110">
        <v>0</v>
      </c>
      <c r="AO158" s="110">
        <v>0</v>
      </c>
      <c r="AP158" s="110">
        <v>0</v>
      </c>
      <c r="AQ158" s="110">
        <v>0</v>
      </c>
      <c r="AR158" s="110">
        <v>0</v>
      </c>
      <c r="AS158" s="110">
        <v>0</v>
      </c>
      <c r="AT158" s="110">
        <v>0</v>
      </c>
      <c r="AU158" s="110">
        <v>0</v>
      </c>
      <c r="AV158" s="110">
        <v>0</v>
      </c>
      <c r="AW158" s="110">
        <v>0</v>
      </c>
      <c r="AX158" s="110">
        <v>0</v>
      </c>
      <c r="AY158" s="110">
        <v>0</v>
      </c>
    </row>
    <row r="159" spans="1:51" x14ac:dyDescent="0.2">
      <c r="A159" s="113"/>
      <c r="B159" s="133">
        <v>38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0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0">
        <v>0</v>
      </c>
      <c r="AM159" s="110">
        <v>0</v>
      </c>
      <c r="AN159" s="110">
        <v>0</v>
      </c>
      <c r="AO159" s="110">
        <v>0</v>
      </c>
      <c r="AP159" s="110">
        <v>0</v>
      </c>
      <c r="AQ159" s="110">
        <v>0</v>
      </c>
      <c r="AR159" s="110">
        <v>0</v>
      </c>
      <c r="AS159" s="110">
        <v>0</v>
      </c>
      <c r="AT159" s="110">
        <v>0</v>
      </c>
      <c r="AU159" s="110">
        <v>0</v>
      </c>
      <c r="AV159" s="110">
        <v>0</v>
      </c>
      <c r="AW159" s="110">
        <v>0</v>
      </c>
      <c r="AX159" s="110">
        <v>0</v>
      </c>
      <c r="AY159" s="110">
        <v>0</v>
      </c>
    </row>
    <row r="160" spans="1:51" x14ac:dyDescent="0.2">
      <c r="A160" s="113"/>
      <c r="B160" s="133">
        <v>39</v>
      </c>
      <c r="C160" s="110">
        <v>0</v>
      </c>
      <c r="D160" s="110">
        <v>0</v>
      </c>
      <c r="E160" s="110">
        <v>0</v>
      </c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0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0">
        <v>0</v>
      </c>
      <c r="AM160" s="110">
        <v>0</v>
      </c>
      <c r="AN160" s="110">
        <v>0</v>
      </c>
      <c r="AO160" s="110">
        <v>0</v>
      </c>
      <c r="AP160" s="110">
        <v>0</v>
      </c>
      <c r="AQ160" s="110">
        <v>0</v>
      </c>
      <c r="AR160" s="110">
        <v>0</v>
      </c>
      <c r="AS160" s="110">
        <v>0</v>
      </c>
      <c r="AT160" s="110">
        <v>0</v>
      </c>
      <c r="AU160" s="110">
        <v>0</v>
      </c>
      <c r="AV160" s="110">
        <v>0</v>
      </c>
      <c r="AW160" s="110">
        <v>0</v>
      </c>
      <c r="AX160" s="110">
        <v>0</v>
      </c>
      <c r="AY160" s="110">
        <v>0</v>
      </c>
    </row>
    <row r="161" spans="1:52" x14ac:dyDescent="0.2">
      <c r="A161" s="113"/>
      <c r="B161" s="133">
        <v>40</v>
      </c>
      <c r="C161" s="110">
        <v>0</v>
      </c>
      <c r="D161" s="110">
        <v>0</v>
      </c>
      <c r="E161" s="110">
        <v>0</v>
      </c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0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0">
        <v>0</v>
      </c>
      <c r="AM161" s="110">
        <v>0</v>
      </c>
      <c r="AN161" s="110">
        <v>0</v>
      </c>
      <c r="AO161" s="110">
        <v>0</v>
      </c>
      <c r="AP161" s="110">
        <v>0</v>
      </c>
      <c r="AQ161" s="110">
        <v>0</v>
      </c>
      <c r="AR161" s="110">
        <v>0</v>
      </c>
      <c r="AS161" s="110">
        <v>0</v>
      </c>
      <c r="AT161" s="110">
        <v>0</v>
      </c>
      <c r="AU161" s="110">
        <v>0</v>
      </c>
      <c r="AV161" s="110">
        <v>0</v>
      </c>
      <c r="AW161" s="110">
        <v>0</v>
      </c>
      <c r="AX161" s="110">
        <v>0</v>
      </c>
      <c r="AY161" s="110">
        <v>0</v>
      </c>
    </row>
    <row r="162" spans="1:52" x14ac:dyDescent="0.2">
      <c r="A162" s="113"/>
      <c r="B162" s="133">
        <v>41</v>
      </c>
      <c r="C162" s="110">
        <v>0</v>
      </c>
      <c r="D162" s="110">
        <v>0</v>
      </c>
      <c r="E162" s="110">
        <v>0</v>
      </c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0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0">
        <v>0</v>
      </c>
      <c r="AM162" s="110">
        <v>0</v>
      </c>
      <c r="AN162" s="110">
        <v>0</v>
      </c>
      <c r="AO162" s="110">
        <v>0</v>
      </c>
      <c r="AP162" s="110">
        <v>0</v>
      </c>
      <c r="AQ162" s="110">
        <v>0</v>
      </c>
      <c r="AR162" s="110">
        <v>0</v>
      </c>
      <c r="AS162" s="110">
        <v>0</v>
      </c>
      <c r="AT162" s="110">
        <v>0</v>
      </c>
      <c r="AU162" s="110">
        <v>0</v>
      </c>
      <c r="AV162" s="110">
        <v>0</v>
      </c>
      <c r="AW162" s="110">
        <v>0</v>
      </c>
      <c r="AX162" s="110">
        <v>0</v>
      </c>
      <c r="AY162" s="110">
        <v>0</v>
      </c>
    </row>
    <row r="163" spans="1:52" x14ac:dyDescent="0.2">
      <c r="A163" s="113"/>
      <c r="B163" s="133">
        <v>42</v>
      </c>
      <c r="C163" s="110">
        <v>0</v>
      </c>
      <c r="D163" s="110">
        <v>0</v>
      </c>
      <c r="E163" s="110">
        <v>0</v>
      </c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0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0">
        <v>0</v>
      </c>
      <c r="AM163" s="110">
        <v>0</v>
      </c>
      <c r="AN163" s="110">
        <v>0</v>
      </c>
      <c r="AO163" s="110">
        <v>0</v>
      </c>
      <c r="AP163" s="110">
        <v>0</v>
      </c>
      <c r="AQ163" s="110">
        <v>0</v>
      </c>
      <c r="AR163" s="110">
        <v>0</v>
      </c>
      <c r="AS163" s="110">
        <v>0</v>
      </c>
      <c r="AT163" s="110">
        <v>0</v>
      </c>
      <c r="AU163" s="110">
        <v>0</v>
      </c>
      <c r="AV163" s="110">
        <v>0</v>
      </c>
      <c r="AW163" s="110">
        <v>0</v>
      </c>
      <c r="AX163" s="110">
        <v>0</v>
      </c>
      <c r="AY163" s="110">
        <v>0</v>
      </c>
    </row>
    <row r="164" spans="1:52" x14ac:dyDescent="0.2">
      <c r="A164" s="113"/>
      <c r="B164" s="133">
        <v>43</v>
      </c>
      <c r="C164" s="110">
        <v>0</v>
      </c>
      <c r="D164" s="110">
        <v>0</v>
      </c>
      <c r="E164" s="110">
        <v>0</v>
      </c>
      <c r="F164" s="110">
        <v>0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10">
        <v>0</v>
      </c>
      <c r="P164" s="110">
        <v>0</v>
      </c>
      <c r="Q164" s="110">
        <v>0</v>
      </c>
      <c r="R164" s="110">
        <v>0</v>
      </c>
      <c r="S164" s="110">
        <v>0</v>
      </c>
      <c r="T164" s="110">
        <v>0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0">
        <v>0</v>
      </c>
      <c r="AP164" s="110">
        <v>0</v>
      </c>
      <c r="AQ164" s="110">
        <v>0</v>
      </c>
      <c r="AR164" s="110">
        <v>0</v>
      </c>
      <c r="AS164" s="110">
        <v>0</v>
      </c>
      <c r="AT164" s="110">
        <v>0</v>
      </c>
      <c r="AU164" s="110">
        <v>0</v>
      </c>
      <c r="AV164" s="110">
        <v>0</v>
      </c>
      <c r="AW164" s="110">
        <v>0</v>
      </c>
      <c r="AX164" s="110">
        <v>0</v>
      </c>
      <c r="AY164" s="110">
        <v>0</v>
      </c>
    </row>
    <row r="165" spans="1:52" x14ac:dyDescent="0.2">
      <c r="A165" s="113"/>
      <c r="B165" s="133">
        <v>44</v>
      </c>
      <c r="C165" s="110">
        <v>0</v>
      </c>
      <c r="D165" s="110">
        <v>0</v>
      </c>
      <c r="E165" s="110">
        <v>0</v>
      </c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0">
        <v>0</v>
      </c>
      <c r="AP165" s="110">
        <v>0</v>
      </c>
      <c r="AQ165" s="110">
        <v>0</v>
      </c>
      <c r="AR165" s="110">
        <v>0</v>
      </c>
      <c r="AS165" s="110">
        <v>0</v>
      </c>
      <c r="AT165" s="110">
        <v>0</v>
      </c>
      <c r="AU165" s="110">
        <v>0</v>
      </c>
      <c r="AV165" s="110">
        <v>0</v>
      </c>
      <c r="AW165" s="110">
        <v>0</v>
      </c>
      <c r="AX165" s="110">
        <v>0</v>
      </c>
      <c r="AY165" s="110">
        <v>0</v>
      </c>
    </row>
    <row r="166" spans="1:52" x14ac:dyDescent="0.2">
      <c r="A166" s="113"/>
      <c r="B166" s="133">
        <v>45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0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0">
        <v>0</v>
      </c>
      <c r="AM166" s="110">
        <v>0</v>
      </c>
      <c r="AN166" s="110">
        <v>0</v>
      </c>
      <c r="AO166" s="110">
        <v>0</v>
      </c>
      <c r="AP166" s="110">
        <v>0</v>
      </c>
      <c r="AQ166" s="110">
        <v>0</v>
      </c>
      <c r="AR166" s="110">
        <v>0</v>
      </c>
      <c r="AS166" s="110">
        <v>0</v>
      </c>
      <c r="AT166" s="110">
        <v>0</v>
      </c>
      <c r="AU166" s="110">
        <v>0</v>
      </c>
      <c r="AV166" s="110">
        <v>0</v>
      </c>
      <c r="AW166" s="110">
        <v>0</v>
      </c>
      <c r="AX166" s="110">
        <v>0</v>
      </c>
      <c r="AY166" s="110">
        <v>0</v>
      </c>
    </row>
    <row r="167" spans="1:52" x14ac:dyDescent="0.2">
      <c r="A167" s="113"/>
      <c r="B167" s="133">
        <v>46</v>
      </c>
      <c r="C167" s="110">
        <v>0</v>
      </c>
      <c r="D167" s="110">
        <v>0</v>
      </c>
      <c r="E167" s="110">
        <v>0</v>
      </c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0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0">
        <v>0</v>
      </c>
      <c r="AM167" s="110">
        <v>0</v>
      </c>
      <c r="AN167" s="110">
        <v>0</v>
      </c>
      <c r="AO167" s="110">
        <v>0</v>
      </c>
      <c r="AP167" s="110">
        <v>0</v>
      </c>
      <c r="AQ167" s="110">
        <v>0</v>
      </c>
      <c r="AR167" s="110">
        <v>0</v>
      </c>
      <c r="AS167" s="110">
        <v>0</v>
      </c>
      <c r="AT167" s="110">
        <v>0</v>
      </c>
      <c r="AU167" s="110">
        <v>0</v>
      </c>
      <c r="AV167" s="110">
        <v>0</v>
      </c>
      <c r="AW167" s="110">
        <v>0</v>
      </c>
      <c r="AX167" s="110">
        <v>0</v>
      </c>
      <c r="AY167" s="110">
        <v>0</v>
      </c>
    </row>
    <row r="168" spans="1:52" x14ac:dyDescent="0.2">
      <c r="A168" s="113"/>
      <c r="B168" s="133">
        <v>47</v>
      </c>
      <c r="C168" s="110">
        <v>0</v>
      </c>
      <c r="D168" s="110">
        <v>0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0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0">
        <v>0</v>
      </c>
      <c r="AM168" s="110">
        <v>0</v>
      </c>
      <c r="AN168" s="110">
        <v>0</v>
      </c>
      <c r="AO168" s="110">
        <v>0</v>
      </c>
      <c r="AP168" s="110">
        <v>0</v>
      </c>
      <c r="AQ168" s="110">
        <v>0</v>
      </c>
      <c r="AR168" s="110">
        <v>0</v>
      </c>
      <c r="AS168" s="110">
        <v>0</v>
      </c>
      <c r="AT168" s="110">
        <v>0</v>
      </c>
      <c r="AU168" s="110">
        <v>0</v>
      </c>
      <c r="AV168" s="110">
        <v>0</v>
      </c>
      <c r="AW168" s="110">
        <v>0</v>
      </c>
      <c r="AX168" s="110">
        <v>0</v>
      </c>
      <c r="AY168" s="110">
        <v>0</v>
      </c>
    </row>
    <row r="169" spans="1:52" x14ac:dyDescent="0.2">
      <c r="A169" s="113"/>
      <c r="B169" s="133">
        <v>48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0">
        <v>0</v>
      </c>
      <c r="AP169" s="110">
        <v>0</v>
      </c>
      <c r="AQ169" s="110">
        <v>0</v>
      </c>
      <c r="AR169" s="110">
        <v>0</v>
      </c>
      <c r="AS169" s="110">
        <v>0</v>
      </c>
      <c r="AT169" s="110">
        <v>0</v>
      </c>
      <c r="AU169" s="110">
        <v>0</v>
      </c>
      <c r="AV169" s="110">
        <v>0</v>
      </c>
      <c r="AW169" s="110">
        <v>0</v>
      </c>
      <c r="AX169" s="110">
        <v>0</v>
      </c>
      <c r="AY169" s="110">
        <v>0</v>
      </c>
    </row>
    <row r="170" spans="1:52" x14ac:dyDescent="0.2">
      <c r="A170" s="131"/>
      <c r="B170" s="135" t="s">
        <v>296</v>
      </c>
      <c r="C170" s="117">
        <v>0</v>
      </c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1">
        <f>SUM($D170:$AY170)</f>
        <v>0</v>
      </c>
    </row>
    <row r="172" spans="1:52" x14ac:dyDescent="0.2">
      <c r="A172" s="1" t="s">
        <v>124</v>
      </c>
      <c r="B172" s="136" t="s">
        <v>297</v>
      </c>
      <c r="C172" s="137">
        <v>0.30256926631890069</v>
      </c>
      <c r="D172" s="137">
        <v>0.38306341113842324</v>
      </c>
      <c r="E172" s="137">
        <v>0.38306341113842324</v>
      </c>
      <c r="F172" s="137">
        <v>0.38306341113842324</v>
      </c>
      <c r="G172" s="137">
        <v>0.38306341113842324</v>
      </c>
      <c r="H172" s="137">
        <v>0.38306341113842324</v>
      </c>
      <c r="I172" s="137">
        <v>0.38306341113842324</v>
      </c>
      <c r="J172" s="137">
        <v>0.38306341113842324</v>
      </c>
      <c r="K172" s="137">
        <v>0.38306341113842324</v>
      </c>
      <c r="L172" s="137">
        <v>0.38306341113842324</v>
      </c>
      <c r="M172" s="137">
        <v>0.38306341113842324</v>
      </c>
      <c r="N172" s="137">
        <v>0.38306341113842324</v>
      </c>
      <c r="O172" s="137">
        <v>0.38306341113842324</v>
      </c>
      <c r="P172" s="137">
        <v>0.38306341113842324</v>
      </c>
      <c r="Q172" s="137">
        <v>0.38306341113842324</v>
      </c>
      <c r="R172" s="137">
        <v>0.38306341113842324</v>
      </c>
      <c r="S172" s="137">
        <v>0.38306341113842324</v>
      </c>
      <c r="T172" s="137">
        <v>0.38306341113842324</v>
      </c>
      <c r="U172" s="137">
        <v>0.38306341113842324</v>
      </c>
      <c r="V172" s="137">
        <v>0.38306341113842324</v>
      </c>
      <c r="W172" s="137">
        <v>0.38306341113842324</v>
      </c>
      <c r="X172" s="137">
        <v>0.38306341113842324</v>
      </c>
      <c r="Y172" s="137">
        <v>0.38306341113842324</v>
      </c>
      <c r="Z172" s="137">
        <v>0.38306341113842324</v>
      </c>
      <c r="AA172" s="137">
        <v>0.38306341113842324</v>
      </c>
      <c r="AB172" s="137">
        <v>0.38306341113842324</v>
      </c>
      <c r="AC172" s="137">
        <v>0.38306341113842324</v>
      </c>
      <c r="AD172" s="137">
        <v>0.38306341113842324</v>
      </c>
      <c r="AE172" s="137">
        <v>0.38306341113842324</v>
      </c>
      <c r="AF172" s="137">
        <v>0.38306341113842324</v>
      </c>
      <c r="AG172" s="137">
        <v>0.38306341113842324</v>
      </c>
      <c r="AH172" s="137">
        <v>0.38306341113842324</v>
      </c>
      <c r="AI172" s="137">
        <v>0.38306341113842324</v>
      </c>
      <c r="AJ172" s="137">
        <v>0.38306341113842324</v>
      </c>
      <c r="AK172" s="137">
        <v>0.38306341113842324</v>
      </c>
      <c r="AL172" s="137">
        <v>0.38306341113842324</v>
      </c>
      <c r="AM172" s="137">
        <v>0.38306341113842324</v>
      </c>
      <c r="AN172" s="137">
        <v>0.38306341113842324</v>
      </c>
      <c r="AO172" s="137">
        <v>0.38306341113842324</v>
      </c>
      <c r="AP172" s="137">
        <v>0.38306341113842324</v>
      </c>
      <c r="AQ172" s="137">
        <v>0.38306341113842324</v>
      </c>
      <c r="AR172" s="137">
        <v>0.38306341113842324</v>
      </c>
      <c r="AS172" s="137">
        <v>0.38306341113842324</v>
      </c>
      <c r="AT172" s="137">
        <v>0.38306341113842324</v>
      </c>
      <c r="AU172" s="137">
        <v>0.38306341113842324</v>
      </c>
      <c r="AV172" s="137">
        <v>0.38306341113842324</v>
      </c>
      <c r="AW172" s="137">
        <v>0.38306341113842324</v>
      </c>
      <c r="AX172" s="137">
        <v>0.38306341113842324</v>
      </c>
      <c r="AY172" s="137">
        <v>0.38306341113842324</v>
      </c>
    </row>
    <row r="174" spans="1:52" x14ac:dyDescent="0.2">
      <c r="A174" s="1" t="s">
        <v>272</v>
      </c>
    </row>
    <row r="175" spans="1:52" x14ac:dyDescent="0.2">
      <c r="A175" s="138" t="s">
        <v>125</v>
      </c>
      <c r="B175" s="138" t="s">
        <v>298</v>
      </c>
      <c r="C175" s="127" t="s">
        <v>293</v>
      </c>
      <c r="D175" s="127">
        <f t="shared" ref="D175:AY175" si="1">SUM(D95:D98)</f>
        <v>12619.924634257322</v>
      </c>
      <c r="E175" s="127">
        <f t="shared" si="1"/>
        <v>11477.244268177343</v>
      </c>
      <c r="F175" s="127">
        <f t="shared" si="1"/>
        <v>10334.563902097365</v>
      </c>
      <c r="G175" s="127">
        <f t="shared" si="1"/>
        <v>9191.8835360173853</v>
      </c>
      <c r="H175" s="127">
        <f t="shared" si="1"/>
        <v>9191.8835360173853</v>
      </c>
      <c r="I175" s="127">
        <f t="shared" si="1"/>
        <v>9191.8835360173853</v>
      </c>
      <c r="J175" s="127">
        <f t="shared" si="1"/>
        <v>7755.20224709183</v>
      </c>
      <c r="K175" s="127">
        <f t="shared" si="1"/>
        <v>5295.9805281251101</v>
      </c>
      <c r="L175" s="127">
        <f t="shared" si="1"/>
        <v>2765.0847557793627</v>
      </c>
      <c r="M175" s="127">
        <f t="shared" si="1"/>
        <v>1056.0075871057879</v>
      </c>
      <c r="N175" s="127">
        <f t="shared" si="1"/>
        <v>812.82736858004478</v>
      </c>
      <c r="O175" s="127">
        <f t="shared" si="1"/>
        <v>655.97822942131984</v>
      </c>
      <c r="P175" s="127">
        <f t="shared" si="1"/>
        <v>496.81453057040835</v>
      </c>
      <c r="Q175" s="127">
        <f t="shared" si="1"/>
        <v>911.1118087010318</v>
      </c>
      <c r="R175" s="127">
        <f t="shared" si="1"/>
        <v>274.85519306536412</v>
      </c>
      <c r="S175" s="127">
        <f t="shared" si="1"/>
        <v>198.04251184368286</v>
      </c>
      <c r="T175" s="127">
        <f t="shared" si="1"/>
        <v>303.38136582747006</v>
      </c>
      <c r="U175" s="127">
        <f t="shared" si="1"/>
        <v>135.94637128460909</v>
      </c>
      <c r="V175" s="127">
        <f t="shared" si="1"/>
        <v>307.53494129573005</v>
      </c>
      <c r="W175" s="127">
        <f t="shared" si="1"/>
        <v>257.26499266232622</v>
      </c>
      <c r="X175" s="127">
        <f t="shared" si="1"/>
        <v>226.02943603583162</v>
      </c>
      <c r="Y175" s="127">
        <f t="shared" si="1"/>
        <v>728.15211805062722</v>
      </c>
      <c r="Z175" s="127">
        <f t="shared" si="1"/>
        <v>168.65041188557234</v>
      </c>
      <c r="AA175" s="127">
        <f t="shared" si="1"/>
        <v>735.42130511673531</v>
      </c>
      <c r="AB175" s="127">
        <f t="shared" si="1"/>
        <v>1010.58908863132</v>
      </c>
      <c r="AC175" s="127">
        <f t="shared" si="1"/>
        <v>334.17427162227409</v>
      </c>
      <c r="AD175" s="127">
        <f t="shared" si="1"/>
        <v>347.94434893008656</v>
      </c>
      <c r="AE175" s="127">
        <f t="shared" si="1"/>
        <v>862.83398999681094</v>
      </c>
      <c r="AF175" s="127">
        <f t="shared" si="1"/>
        <v>853.20732770613427</v>
      </c>
      <c r="AG175" s="127">
        <f t="shared" si="1"/>
        <v>402.60888652534686</v>
      </c>
      <c r="AH175" s="127">
        <f t="shared" si="1"/>
        <v>288.89784574568898</v>
      </c>
      <c r="AI175" s="127">
        <f t="shared" si="1"/>
        <v>240.31114110217186</v>
      </c>
      <c r="AJ175" s="127">
        <f t="shared" si="1"/>
        <v>215.57576594682223</v>
      </c>
      <c r="AK175" s="127">
        <f t="shared" si="1"/>
        <v>752.37288658576722</v>
      </c>
      <c r="AL175" s="127">
        <f t="shared" si="1"/>
        <v>206.80375413821685</v>
      </c>
      <c r="AM175" s="127">
        <f t="shared" si="1"/>
        <v>875.87750426104913</v>
      </c>
      <c r="AN175" s="127">
        <f t="shared" si="1"/>
        <v>192.25716545220894</v>
      </c>
      <c r="AO175" s="127">
        <f t="shared" si="1"/>
        <v>721.34605831370209</v>
      </c>
      <c r="AP175" s="127">
        <f t="shared" si="1"/>
        <v>200.9776190401758</v>
      </c>
      <c r="AQ175" s="127">
        <f t="shared" si="1"/>
        <v>341.5333907531749</v>
      </c>
      <c r="AR175" s="127">
        <f t="shared" si="1"/>
        <v>312.01990258528417</v>
      </c>
      <c r="AS175" s="127">
        <f t="shared" si="1"/>
        <v>315.37120930987044</v>
      </c>
      <c r="AT175" s="127">
        <f t="shared" si="1"/>
        <v>260.78669606078688</v>
      </c>
      <c r="AU175" s="127">
        <f t="shared" si="1"/>
        <v>167.40110274570543</v>
      </c>
      <c r="AV175" s="127">
        <f t="shared" si="1"/>
        <v>195.54479847904986</v>
      </c>
      <c r="AW175" s="127">
        <f t="shared" si="1"/>
        <v>223.85297724367183</v>
      </c>
      <c r="AX175" s="127">
        <f t="shared" si="1"/>
        <v>174.48202530534627</v>
      </c>
      <c r="AY175" s="127">
        <f t="shared" si="1"/>
        <v>765.54397352488104</v>
      </c>
    </row>
    <row r="176" spans="1:52" x14ac:dyDescent="0.2">
      <c r="A176" s="128"/>
      <c r="B176" s="139" t="s">
        <v>299</v>
      </c>
      <c r="C176" s="128" t="s">
        <v>293</v>
      </c>
      <c r="D176" s="128">
        <v>290</v>
      </c>
      <c r="E176" s="128">
        <v>313</v>
      </c>
      <c r="F176" s="128">
        <v>284</v>
      </c>
      <c r="G176" s="128">
        <v>307</v>
      </c>
      <c r="H176" s="128">
        <v>250</v>
      </c>
      <c r="I176" s="128">
        <v>233</v>
      </c>
      <c r="J176" s="128">
        <v>233</v>
      </c>
      <c r="K176" s="128">
        <v>298</v>
      </c>
      <c r="L176" s="128">
        <v>272</v>
      </c>
      <c r="M176" s="128">
        <v>220</v>
      </c>
      <c r="N176" s="128">
        <v>299</v>
      </c>
      <c r="O176" s="128">
        <v>255</v>
      </c>
      <c r="P176" s="128">
        <v>319</v>
      </c>
      <c r="Q176" s="128">
        <v>312</v>
      </c>
      <c r="R176" s="128">
        <v>205</v>
      </c>
      <c r="S176" s="128">
        <v>198.04251184368286</v>
      </c>
      <c r="T176" s="128">
        <v>281</v>
      </c>
      <c r="U176" s="128">
        <v>135.94637128460909</v>
      </c>
      <c r="V176" s="128">
        <v>279</v>
      </c>
      <c r="W176" s="128">
        <v>257.26499266232622</v>
      </c>
      <c r="X176" s="128">
        <v>226.02943603583162</v>
      </c>
      <c r="Y176" s="128">
        <v>220</v>
      </c>
      <c r="Z176" s="128">
        <v>168.65041188557234</v>
      </c>
      <c r="AA176" s="128">
        <v>300</v>
      </c>
      <c r="AB176" s="128">
        <v>271</v>
      </c>
      <c r="AC176" s="128">
        <v>247</v>
      </c>
      <c r="AD176" s="128">
        <v>285</v>
      </c>
      <c r="AE176" s="128">
        <v>277</v>
      </c>
      <c r="AF176" s="128">
        <v>299</v>
      </c>
      <c r="AG176" s="128">
        <v>289</v>
      </c>
      <c r="AH176" s="128">
        <v>261</v>
      </c>
      <c r="AI176" s="128">
        <v>240.31114110217186</v>
      </c>
      <c r="AJ176" s="128">
        <v>215.57576594682223</v>
      </c>
      <c r="AK176" s="128">
        <v>237</v>
      </c>
      <c r="AL176" s="128">
        <v>206.80375413821685</v>
      </c>
      <c r="AM176" s="128">
        <v>219</v>
      </c>
      <c r="AN176" s="128">
        <v>192.25716545220894</v>
      </c>
      <c r="AO176" s="128">
        <v>255</v>
      </c>
      <c r="AP176" s="128">
        <v>200.9776190401758</v>
      </c>
      <c r="AQ176" s="128">
        <v>298</v>
      </c>
      <c r="AR176" s="128">
        <v>286</v>
      </c>
      <c r="AS176" s="128">
        <v>315.37120930987044</v>
      </c>
      <c r="AT176" s="128">
        <v>260.78669606078688</v>
      </c>
      <c r="AU176" s="128">
        <v>167.40110274570543</v>
      </c>
      <c r="AV176" s="128">
        <v>195.54479847904986</v>
      </c>
      <c r="AW176" s="128">
        <v>223.85297724367183</v>
      </c>
      <c r="AX176" s="128">
        <v>174.48202530534627</v>
      </c>
      <c r="AY176" s="128">
        <v>330</v>
      </c>
    </row>
    <row r="177" spans="1:51" x14ac:dyDescent="0.2">
      <c r="A177" s="138" t="s">
        <v>133</v>
      </c>
      <c r="B177" s="138" t="s">
        <v>298</v>
      </c>
      <c r="C177" s="127" t="s">
        <v>293</v>
      </c>
      <c r="D177" s="127">
        <f t="shared" ref="D177:AY177" si="2">SUM(D100:D107)</f>
        <v>0</v>
      </c>
      <c r="E177" s="127">
        <f t="shared" si="2"/>
        <v>1449.0445150389614</v>
      </c>
      <c r="F177" s="127">
        <f t="shared" si="2"/>
        <v>2067.9153906589199</v>
      </c>
      <c r="G177" s="127">
        <f t="shared" si="2"/>
        <v>4832.1363737484753</v>
      </c>
      <c r="H177" s="127">
        <f t="shared" si="2"/>
        <v>6340.0303886804022</v>
      </c>
      <c r="I177" s="127">
        <f t="shared" si="2"/>
        <v>6785.7999880184734</v>
      </c>
      <c r="J177" s="127">
        <f t="shared" si="2"/>
        <v>9565.7695873565463</v>
      </c>
      <c r="K177" s="127">
        <f t="shared" si="2"/>
        <v>10090.539186694617</v>
      </c>
      <c r="L177" s="127">
        <f t="shared" si="2"/>
        <v>10087.667118026737</v>
      </c>
      <c r="M177" s="127">
        <f t="shared" si="2"/>
        <v>9663.3388925369691</v>
      </c>
      <c r="N177" s="127">
        <f t="shared" si="2"/>
        <v>8777.0124799418227</v>
      </c>
      <c r="O177" s="127">
        <f t="shared" si="2"/>
        <v>8204.6322059900413</v>
      </c>
      <c r="P177" s="127">
        <f t="shared" si="2"/>
        <v>8066.1417365938378</v>
      </c>
      <c r="Q177" s="127">
        <f t="shared" si="2"/>
        <v>7151.3003875322065</v>
      </c>
      <c r="R177" s="127">
        <f t="shared" si="2"/>
        <v>8056.7376315380734</v>
      </c>
      <c r="S177" s="127">
        <f t="shared" si="2"/>
        <v>8140.474420930861</v>
      </c>
      <c r="T177" s="127">
        <f t="shared" si="2"/>
        <v>7773.1200567846872</v>
      </c>
      <c r="U177" s="127">
        <f t="shared" si="2"/>
        <v>8093.7315578370617</v>
      </c>
      <c r="V177" s="127">
        <f t="shared" si="2"/>
        <v>7779.0465638141723</v>
      </c>
      <c r="W177" s="127">
        <f t="shared" si="2"/>
        <v>7924.8512489070545</v>
      </c>
      <c r="X177" s="127">
        <f t="shared" si="2"/>
        <v>7991.4212838401563</v>
      </c>
      <c r="Y177" s="127">
        <f t="shared" si="2"/>
        <v>7103.2166923934756</v>
      </c>
      <c r="Z177" s="127">
        <f t="shared" si="2"/>
        <v>8144.7261505179331</v>
      </c>
      <c r="AA177" s="127">
        <f t="shared" si="2"/>
        <v>7119.3477795402878</v>
      </c>
      <c r="AB177" s="127">
        <f t="shared" si="2"/>
        <v>6781.4581794722753</v>
      </c>
      <c r="AC177" s="127">
        <f t="shared" si="2"/>
        <v>8012.7506812162273</v>
      </c>
      <c r="AD177" s="127">
        <f t="shared" si="2"/>
        <v>8016.8237977111712</v>
      </c>
      <c r="AE177" s="127">
        <f t="shared" si="2"/>
        <v>7008.3238553410865</v>
      </c>
      <c r="AF177" s="127">
        <f t="shared" si="2"/>
        <v>7008.6426137620629</v>
      </c>
      <c r="AG177" s="127">
        <f t="shared" si="2"/>
        <v>7796.2965576271081</v>
      </c>
      <c r="AH177" s="127">
        <f t="shared" si="2"/>
        <v>7961.3550557218477</v>
      </c>
      <c r="AI177" s="127">
        <f t="shared" si="2"/>
        <v>8152.5560389916936</v>
      </c>
      <c r="AJ177" s="127">
        <f t="shared" si="2"/>
        <v>8168.4429820180158</v>
      </c>
      <c r="AK177" s="127">
        <f t="shared" si="2"/>
        <v>7127.3186202946963</v>
      </c>
      <c r="AL177" s="127">
        <f t="shared" si="2"/>
        <v>8165.9238854018913</v>
      </c>
      <c r="AM177" s="127">
        <f t="shared" si="2"/>
        <v>6941.8247732714935</v>
      </c>
      <c r="AN177" s="127">
        <f t="shared" si="2"/>
        <v>8165.2667034578744</v>
      </c>
      <c r="AO177" s="127">
        <f t="shared" si="2"/>
        <v>7116.3201194423045</v>
      </c>
      <c r="AP177" s="127">
        <f t="shared" si="2"/>
        <v>8160.8544871011572</v>
      </c>
      <c r="AQ177" s="127">
        <f t="shared" si="2"/>
        <v>7963.8855677667816</v>
      </c>
      <c r="AR177" s="127">
        <f t="shared" si="2"/>
        <v>8043.3203374070472</v>
      </c>
      <c r="AS177" s="127">
        <f t="shared" si="2"/>
        <v>7976.6363714573918</v>
      </c>
      <c r="AT177" s="127">
        <f t="shared" si="2"/>
        <v>7932.173649144298</v>
      </c>
      <c r="AU177" s="127">
        <f t="shared" si="2"/>
        <v>8136.5140909741749</v>
      </c>
      <c r="AV177" s="127">
        <f t="shared" si="2"/>
        <v>7970.4063735237423</v>
      </c>
      <c r="AW177" s="127">
        <f t="shared" si="2"/>
        <v>7983.1357073695735</v>
      </c>
      <c r="AX177" s="127">
        <f t="shared" si="2"/>
        <v>8121.770258566542</v>
      </c>
      <c r="AY177" s="127">
        <f t="shared" si="2"/>
        <v>7101.3506460829922</v>
      </c>
    </row>
    <row r="178" spans="1:51" x14ac:dyDescent="0.2">
      <c r="A178" s="128"/>
      <c r="B178" s="139" t="s">
        <v>299</v>
      </c>
      <c r="C178" s="128" t="s">
        <v>293</v>
      </c>
      <c r="D178" s="128">
        <v>0</v>
      </c>
      <c r="E178" s="128">
        <v>358</v>
      </c>
      <c r="F178" s="128">
        <v>331</v>
      </c>
      <c r="G178" s="128">
        <v>396</v>
      </c>
      <c r="H178" s="128">
        <v>374</v>
      </c>
      <c r="I178" s="128">
        <v>359</v>
      </c>
      <c r="J178" s="128">
        <v>295</v>
      </c>
      <c r="K178" s="128">
        <v>458</v>
      </c>
      <c r="L178" s="128">
        <v>439</v>
      </c>
      <c r="M178" s="128">
        <v>433</v>
      </c>
      <c r="N178" s="128">
        <v>392</v>
      </c>
      <c r="O178" s="128">
        <v>340</v>
      </c>
      <c r="P178" s="128">
        <v>381</v>
      </c>
      <c r="Q178" s="128">
        <v>358</v>
      </c>
      <c r="R178" s="128">
        <v>446</v>
      </c>
      <c r="S178" s="128">
        <v>375</v>
      </c>
      <c r="T178" s="128">
        <v>413</v>
      </c>
      <c r="U178" s="128">
        <v>308</v>
      </c>
      <c r="V178" s="128">
        <v>321</v>
      </c>
      <c r="W178" s="128">
        <v>447</v>
      </c>
      <c r="X178" s="128">
        <v>403</v>
      </c>
      <c r="Y178" s="128">
        <v>392</v>
      </c>
      <c r="Z178" s="128">
        <v>343</v>
      </c>
      <c r="AA178" s="128">
        <v>363</v>
      </c>
      <c r="AB178" s="128">
        <v>454</v>
      </c>
      <c r="AC178" s="128">
        <v>343</v>
      </c>
      <c r="AD178" s="128">
        <v>318</v>
      </c>
      <c r="AE178" s="128">
        <v>419</v>
      </c>
      <c r="AF178" s="128">
        <v>456</v>
      </c>
      <c r="AG178" s="128">
        <v>338</v>
      </c>
      <c r="AH178" s="128">
        <v>382</v>
      </c>
      <c r="AI178" s="128">
        <v>349</v>
      </c>
      <c r="AJ178" s="128">
        <v>383</v>
      </c>
      <c r="AK178" s="128">
        <v>431</v>
      </c>
      <c r="AL178" s="128">
        <v>407</v>
      </c>
      <c r="AM178" s="128">
        <v>319</v>
      </c>
      <c r="AN178" s="128">
        <v>338</v>
      </c>
      <c r="AO178" s="128">
        <v>357</v>
      </c>
      <c r="AP178" s="128">
        <v>466</v>
      </c>
      <c r="AQ178" s="128">
        <v>478</v>
      </c>
      <c r="AR178" s="128">
        <v>385</v>
      </c>
      <c r="AS178" s="128">
        <v>402</v>
      </c>
      <c r="AT178" s="128">
        <v>308</v>
      </c>
      <c r="AU178" s="128">
        <v>303</v>
      </c>
      <c r="AV178" s="128">
        <v>422</v>
      </c>
      <c r="AW178" s="128">
        <v>380</v>
      </c>
      <c r="AX178" s="128">
        <v>421</v>
      </c>
      <c r="AY178" s="128">
        <v>374</v>
      </c>
    </row>
    <row r="179" spans="1:51" x14ac:dyDescent="0.2">
      <c r="A179" s="138" t="s">
        <v>134</v>
      </c>
      <c r="B179" s="138" t="s">
        <v>298</v>
      </c>
      <c r="C179" s="127" t="s">
        <v>293</v>
      </c>
      <c r="D179" s="127">
        <f t="shared" ref="D179:AY179" si="3">SUM(D109:D120)</f>
        <v>7182.4092967167644</v>
      </c>
      <c r="E179" s="127">
        <f t="shared" si="3"/>
        <v>8223.2805104993804</v>
      </c>
      <c r="F179" s="127">
        <f t="shared" si="3"/>
        <v>9971.0511092608394</v>
      </c>
      <c r="G179" s="127">
        <f t="shared" si="3"/>
        <v>12155.274639793119</v>
      </c>
      <c r="H179" s="127">
        <f t="shared" si="3"/>
        <v>14724.895445955615</v>
      </c>
      <c r="I179" s="127">
        <f t="shared" si="3"/>
        <v>17445.561298811412</v>
      </c>
      <c r="J179" s="127">
        <f t="shared" si="3"/>
        <v>19672.677299697436</v>
      </c>
      <c r="K179" s="127">
        <f t="shared" si="3"/>
        <v>21799.085514703082</v>
      </c>
      <c r="L179" s="127">
        <f t="shared" si="3"/>
        <v>23934.415248471912</v>
      </c>
      <c r="M179" s="127">
        <f t="shared" si="3"/>
        <v>25977.941018848116</v>
      </c>
      <c r="N179" s="127">
        <f t="shared" si="3"/>
        <v>27235.299920050511</v>
      </c>
      <c r="O179" s="127">
        <f t="shared" si="3"/>
        <v>27925.103777954413</v>
      </c>
      <c r="P179" s="127">
        <f t="shared" si="3"/>
        <v>28192.434878658387</v>
      </c>
      <c r="Q179" s="127">
        <f t="shared" si="3"/>
        <v>29060.832087084487</v>
      </c>
      <c r="R179" s="127">
        <f t="shared" si="3"/>
        <v>28293.541000895653</v>
      </c>
      <c r="S179" s="127">
        <f t="shared" si="3"/>
        <v>28343.435420699596</v>
      </c>
      <c r="T179" s="127">
        <f t="shared" si="3"/>
        <v>28684.806658283931</v>
      </c>
      <c r="U179" s="127">
        <f t="shared" si="3"/>
        <v>28457.724757618882</v>
      </c>
      <c r="V179" s="127">
        <f t="shared" si="3"/>
        <v>28716.089085799726</v>
      </c>
      <c r="W179" s="127">
        <f t="shared" si="3"/>
        <v>28654.804491005681</v>
      </c>
      <c r="X179" s="127">
        <f t="shared" si="3"/>
        <v>28588.902476855059</v>
      </c>
      <c r="Y179" s="127">
        <f t="shared" si="3"/>
        <v>29344.315826722446</v>
      </c>
      <c r="Z179" s="127">
        <f t="shared" si="3"/>
        <v>28451.670183466755</v>
      </c>
      <c r="AA179" s="127">
        <f t="shared" si="3"/>
        <v>29297.802967237454</v>
      </c>
      <c r="AB179" s="127">
        <f t="shared" si="3"/>
        <v>29537.974199806962</v>
      </c>
      <c r="AC179" s="127">
        <f t="shared" si="3"/>
        <v>28265.035532337773</v>
      </c>
      <c r="AD179" s="127">
        <f t="shared" si="3"/>
        <v>28319.427966810174</v>
      </c>
      <c r="AE179" s="127">
        <f t="shared" si="3"/>
        <v>29147.534493184809</v>
      </c>
      <c r="AF179" s="127">
        <f t="shared" si="3"/>
        <v>29058.273934168115</v>
      </c>
      <c r="AG179" s="127">
        <f t="shared" si="3"/>
        <v>28328.476517252471</v>
      </c>
      <c r="AH179" s="127">
        <f t="shared" si="3"/>
        <v>28384.763626037446</v>
      </c>
      <c r="AI179" s="127">
        <f t="shared" si="3"/>
        <v>28379.553049464477</v>
      </c>
      <c r="AJ179" s="127">
        <f t="shared" si="3"/>
        <v>28473.170852835261</v>
      </c>
      <c r="AK179" s="127">
        <f t="shared" si="3"/>
        <v>29423.726843622404</v>
      </c>
      <c r="AL179" s="127">
        <f t="shared" si="3"/>
        <v>28395.122707718474</v>
      </c>
      <c r="AM179" s="127">
        <f t="shared" si="3"/>
        <v>29399.599418638973</v>
      </c>
      <c r="AN179" s="127">
        <f t="shared" si="3"/>
        <v>28251.19796338115</v>
      </c>
      <c r="AO179" s="127">
        <f t="shared" si="3"/>
        <v>29174.463315200948</v>
      </c>
      <c r="AP179" s="127">
        <f t="shared" si="3"/>
        <v>28214.311486969491</v>
      </c>
      <c r="AQ179" s="127">
        <f t="shared" si="3"/>
        <v>28452.680403716982</v>
      </c>
      <c r="AR179" s="127">
        <f t="shared" si="3"/>
        <v>28404.945716741895</v>
      </c>
      <c r="AS179" s="127">
        <f t="shared" si="3"/>
        <v>28442.764520179473</v>
      </c>
      <c r="AT179" s="127">
        <f t="shared" si="3"/>
        <v>28558.002747552353</v>
      </c>
      <c r="AU179" s="127">
        <f t="shared" si="3"/>
        <v>28444.036714295526</v>
      </c>
      <c r="AV179" s="127">
        <f t="shared" si="3"/>
        <v>28650.074448938376</v>
      </c>
      <c r="AW179" s="127">
        <f t="shared" si="3"/>
        <v>28634.102677602543</v>
      </c>
      <c r="AX179" s="127">
        <f t="shared" si="3"/>
        <v>28613.371628294219</v>
      </c>
      <c r="AY179" s="127">
        <f t="shared" si="3"/>
        <v>29412.872376088439</v>
      </c>
    </row>
    <row r="180" spans="1:51" x14ac:dyDescent="0.2">
      <c r="A180" s="128"/>
      <c r="B180" s="139" t="s">
        <v>299</v>
      </c>
      <c r="C180" s="128" t="s">
        <v>293</v>
      </c>
      <c r="D180" s="128">
        <v>281</v>
      </c>
      <c r="E180" s="128">
        <v>307</v>
      </c>
      <c r="F180" s="128">
        <v>302</v>
      </c>
      <c r="G180" s="128">
        <v>249</v>
      </c>
      <c r="H180" s="128">
        <v>226</v>
      </c>
      <c r="I180" s="128">
        <v>284</v>
      </c>
      <c r="J180" s="128">
        <v>328</v>
      </c>
      <c r="K180" s="128">
        <v>266</v>
      </c>
      <c r="L180" s="128">
        <v>306</v>
      </c>
      <c r="M180" s="128">
        <v>237</v>
      </c>
      <c r="N180" s="128">
        <v>237</v>
      </c>
      <c r="O180" s="128">
        <v>257</v>
      </c>
      <c r="P180" s="128">
        <v>314</v>
      </c>
      <c r="Q180" s="128">
        <v>235</v>
      </c>
      <c r="R180" s="128">
        <v>283</v>
      </c>
      <c r="S180" s="128">
        <v>289</v>
      </c>
      <c r="T180" s="128">
        <v>263</v>
      </c>
      <c r="U180" s="128">
        <v>310</v>
      </c>
      <c r="V180" s="128">
        <v>298</v>
      </c>
      <c r="W180" s="128">
        <v>277</v>
      </c>
      <c r="X180" s="128">
        <v>291</v>
      </c>
      <c r="Y180" s="128">
        <v>252</v>
      </c>
      <c r="Z180" s="128">
        <v>245</v>
      </c>
      <c r="AA180" s="128">
        <v>238</v>
      </c>
      <c r="AB180" s="128">
        <v>352</v>
      </c>
      <c r="AC180" s="128">
        <v>242</v>
      </c>
      <c r="AD180" s="128">
        <v>323</v>
      </c>
      <c r="AE180" s="128">
        <v>314</v>
      </c>
      <c r="AF180" s="128">
        <v>240</v>
      </c>
      <c r="AG180" s="128">
        <v>241</v>
      </c>
      <c r="AH180" s="128">
        <v>317</v>
      </c>
      <c r="AI180" s="128">
        <v>277</v>
      </c>
      <c r="AJ180" s="128">
        <v>284</v>
      </c>
      <c r="AK180" s="128">
        <v>294</v>
      </c>
      <c r="AL180" s="128">
        <v>315</v>
      </c>
      <c r="AM180" s="128">
        <v>259</v>
      </c>
      <c r="AN180" s="128">
        <v>262</v>
      </c>
      <c r="AO180" s="128">
        <v>293</v>
      </c>
      <c r="AP180" s="128">
        <v>267</v>
      </c>
      <c r="AQ180" s="128">
        <v>322</v>
      </c>
      <c r="AR180" s="128">
        <v>269</v>
      </c>
      <c r="AS180" s="128">
        <v>352</v>
      </c>
      <c r="AT180" s="128">
        <v>316</v>
      </c>
      <c r="AU180" s="128">
        <v>286</v>
      </c>
      <c r="AV180" s="128">
        <v>316</v>
      </c>
      <c r="AW180" s="128">
        <v>352</v>
      </c>
      <c r="AX180" s="128">
        <v>304</v>
      </c>
      <c r="AY180" s="128">
        <v>337</v>
      </c>
    </row>
    <row r="181" spans="1:51" x14ac:dyDescent="0.2">
      <c r="A181" s="138" t="s">
        <v>123</v>
      </c>
      <c r="B181" s="138" t="s">
        <v>298</v>
      </c>
      <c r="C181" s="127" t="s">
        <v>293</v>
      </c>
      <c r="D181" s="127">
        <f t="shared" ref="D181:AY181" si="4">(1-D172)*SUM(D122:D169)</f>
        <v>2600.184569542876</v>
      </c>
      <c r="E181" s="127">
        <f t="shared" si="4"/>
        <v>3898.093034275611</v>
      </c>
      <c r="F181" s="127">
        <f t="shared" si="4"/>
        <v>4437.1742410311326</v>
      </c>
      <c r="G181" s="127">
        <f t="shared" si="4"/>
        <v>5087.3112281961785</v>
      </c>
      <c r="H181" s="127">
        <f t="shared" si="4"/>
        <v>5310.3809635890175</v>
      </c>
      <c r="I181" s="127">
        <f t="shared" si="4"/>
        <v>5232.5034766475892</v>
      </c>
      <c r="J181" s="127">
        <f t="shared" si="4"/>
        <v>5556.3473812705906</v>
      </c>
      <c r="K181" s="127">
        <f t="shared" si="4"/>
        <v>5437.9226425775187</v>
      </c>
      <c r="L181" s="127">
        <f t="shared" si="4"/>
        <v>5683.7336893335887</v>
      </c>
      <c r="M181" s="127">
        <f t="shared" si="4"/>
        <v>5739.1837178409842</v>
      </c>
      <c r="N181" s="127">
        <f t="shared" si="4"/>
        <v>5660.3069744586955</v>
      </c>
      <c r="O181" s="127">
        <f t="shared" si="4"/>
        <v>5684.6300420018315</v>
      </c>
      <c r="P181" s="127">
        <f t="shared" si="4"/>
        <v>5703.3374518557139</v>
      </c>
      <c r="Q181" s="127">
        <f t="shared" si="4"/>
        <v>5476.3953920074628</v>
      </c>
      <c r="R181" s="127">
        <f t="shared" si="4"/>
        <v>5783.6979587303704</v>
      </c>
      <c r="S181" s="127">
        <f t="shared" si="4"/>
        <v>5748.6445298973094</v>
      </c>
      <c r="T181" s="127">
        <f t="shared" si="4"/>
        <v>5699.6870781149801</v>
      </c>
      <c r="U181" s="127">
        <f t="shared" si="4"/>
        <v>5745.282019883769</v>
      </c>
      <c r="V181" s="127">
        <f t="shared" si="4"/>
        <v>5674.1690322804734</v>
      </c>
      <c r="W181" s="127">
        <f t="shared" si="4"/>
        <v>5653.0388667133811</v>
      </c>
      <c r="X181" s="127">
        <f t="shared" si="4"/>
        <v>5671.8970980068889</v>
      </c>
      <c r="Y181" s="127">
        <f t="shared" si="4"/>
        <v>5444.0430189852741</v>
      </c>
      <c r="Z181" s="127">
        <f t="shared" si="4"/>
        <v>5697.3805588989217</v>
      </c>
      <c r="AA181" s="127">
        <f t="shared" si="4"/>
        <v>5458.3020185027999</v>
      </c>
      <c r="AB181" s="127">
        <f t="shared" si="4"/>
        <v>5348.8269810903603</v>
      </c>
      <c r="AC181" s="127">
        <f t="shared" si="4"/>
        <v>5791.8250743730405</v>
      </c>
      <c r="AD181" s="127">
        <f t="shared" si="4"/>
        <v>5747.260272270697</v>
      </c>
      <c r="AE181" s="127">
        <f t="shared" si="4"/>
        <v>5540.8973121881481</v>
      </c>
      <c r="AF181" s="127">
        <f t="shared" si="4"/>
        <v>5601.7078034506039</v>
      </c>
      <c r="AG181" s="127">
        <f t="shared" si="4"/>
        <v>5844.004660319486</v>
      </c>
      <c r="AH181" s="127">
        <f t="shared" si="4"/>
        <v>5777.60095826612</v>
      </c>
      <c r="AI181" s="127">
        <f t="shared" si="4"/>
        <v>5692.8315870243678</v>
      </c>
      <c r="AJ181" s="127">
        <f t="shared" si="4"/>
        <v>5640.5342602905384</v>
      </c>
      <c r="AK181" s="127">
        <f t="shared" si="4"/>
        <v>5365.2394175969484</v>
      </c>
      <c r="AL181" s="127">
        <f t="shared" si="4"/>
        <v>5695.6509146218814</v>
      </c>
      <c r="AM181" s="127">
        <f t="shared" si="4"/>
        <v>5418.3679325642997</v>
      </c>
      <c r="AN181" s="127">
        <f t="shared" si="4"/>
        <v>5793.8231178364458</v>
      </c>
      <c r="AO181" s="127">
        <f t="shared" si="4"/>
        <v>5544.9461717447075</v>
      </c>
      <c r="AP181" s="127">
        <f t="shared" si="4"/>
        <v>5813.9218255875248</v>
      </c>
      <c r="AQ181" s="127">
        <f t="shared" si="4"/>
        <v>5701.6666540591714</v>
      </c>
      <c r="AR181" s="127">
        <f t="shared" si="4"/>
        <v>5700.3176639087915</v>
      </c>
      <c r="AS181" s="127">
        <f t="shared" si="4"/>
        <v>5716.0580950670328</v>
      </c>
      <c r="AT181" s="127">
        <f t="shared" si="4"/>
        <v>5706.0692798090577</v>
      </c>
      <c r="AU181" s="127">
        <f t="shared" si="4"/>
        <v>5707.9269898522334</v>
      </c>
      <c r="AV181" s="127">
        <f t="shared" si="4"/>
        <v>5665.9298256086749</v>
      </c>
      <c r="AW181" s="127">
        <f t="shared" si="4"/>
        <v>5650.4658526894218</v>
      </c>
      <c r="AX181" s="127">
        <f t="shared" si="4"/>
        <v>5608.1856150970852</v>
      </c>
      <c r="AY181" s="127">
        <f t="shared" si="4"/>
        <v>5379.8308037532552</v>
      </c>
    </row>
    <row r="182" spans="1:51" x14ac:dyDescent="0.2">
      <c r="A182" s="128"/>
      <c r="B182" s="139" t="s">
        <v>299</v>
      </c>
      <c r="C182" s="128" t="s">
        <v>293</v>
      </c>
      <c r="D182" s="128">
        <v>339</v>
      </c>
      <c r="E182" s="128">
        <v>324</v>
      </c>
      <c r="F182" s="128">
        <v>318</v>
      </c>
      <c r="G182" s="128">
        <v>331</v>
      </c>
      <c r="H182" s="128">
        <v>387</v>
      </c>
      <c r="I182" s="128">
        <v>364</v>
      </c>
      <c r="J182" s="128">
        <v>300</v>
      </c>
      <c r="K182" s="128">
        <v>373</v>
      </c>
      <c r="L182" s="128">
        <v>303</v>
      </c>
      <c r="M182" s="128">
        <v>304</v>
      </c>
      <c r="N182" s="128">
        <v>299</v>
      </c>
      <c r="O182" s="128">
        <v>293</v>
      </c>
      <c r="P182" s="128">
        <v>383</v>
      </c>
      <c r="Q182" s="128">
        <v>297</v>
      </c>
      <c r="R182" s="128">
        <v>383</v>
      </c>
      <c r="S182" s="128">
        <v>251</v>
      </c>
      <c r="T182" s="128">
        <v>352</v>
      </c>
      <c r="U182" s="128">
        <v>289</v>
      </c>
      <c r="V182" s="128">
        <v>407</v>
      </c>
      <c r="W182" s="128">
        <v>317</v>
      </c>
      <c r="X182" s="128">
        <v>404</v>
      </c>
      <c r="Y182" s="128">
        <v>426</v>
      </c>
      <c r="Z182" s="128">
        <v>339</v>
      </c>
      <c r="AA182" s="128">
        <v>459</v>
      </c>
      <c r="AB182" s="128">
        <v>291</v>
      </c>
      <c r="AC182" s="128">
        <v>329</v>
      </c>
      <c r="AD182" s="128">
        <v>255</v>
      </c>
      <c r="AE182" s="128">
        <v>314</v>
      </c>
      <c r="AF182" s="128">
        <v>277</v>
      </c>
      <c r="AG182" s="128">
        <v>398</v>
      </c>
      <c r="AH182" s="128">
        <v>403</v>
      </c>
      <c r="AI182" s="128">
        <v>406</v>
      </c>
      <c r="AJ182" s="128">
        <v>433</v>
      </c>
      <c r="AK182" s="128">
        <v>347</v>
      </c>
      <c r="AL182" s="128">
        <v>336</v>
      </c>
      <c r="AM182" s="128">
        <v>313</v>
      </c>
      <c r="AN182" s="128">
        <v>295</v>
      </c>
      <c r="AO182" s="128">
        <v>335</v>
      </c>
      <c r="AP182" s="128">
        <v>356</v>
      </c>
      <c r="AQ182" s="128">
        <v>338</v>
      </c>
      <c r="AR182" s="128">
        <v>268</v>
      </c>
      <c r="AS182" s="128">
        <v>320</v>
      </c>
      <c r="AT182" s="128">
        <v>376</v>
      </c>
      <c r="AU182" s="128">
        <v>331</v>
      </c>
      <c r="AV182" s="128">
        <v>360</v>
      </c>
      <c r="AW182" s="128">
        <v>456</v>
      </c>
      <c r="AX182" s="128">
        <v>377</v>
      </c>
      <c r="AY182" s="128">
        <v>320</v>
      </c>
    </row>
    <row r="184" spans="1:51" x14ac:dyDescent="0.2">
      <c r="A184" s="1" t="s">
        <v>300</v>
      </c>
    </row>
    <row r="185" spans="1:51" x14ac:dyDescent="0.2">
      <c r="A185" s="129" t="s">
        <v>125</v>
      </c>
      <c r="B185" s="126">
        <v>1</v>
      </c>
      <c r="C185" s="127">
        <v>0</v>
      </c>
      <c r="D185" s="127">
        <v>0</v>
      </c>
      <c r="E185" s="127">
        <v>0</v>
      </c>
      <c r="F185" s="127">
        <v>0</v>
      </c>
      <c r="G185" s="127">
        <v>0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220</v>
      </c>
      <c r="N185" s="127">
        <v>299</v>
      </c>
      <c r="O185" s="127">
        <v>255</v>
      </c>
      <c r="P185" s="127">
        <v>319</v>
      </c>
      <c r="Q185" s="127">
        <v>312</v>
      </c>
      <c r="R185" s="127">
        <v>205</v>
      </c>
      <c r="S185" s="127">
        <v>198.04251184368286</v>
      </c>
      <c r="T185" s="127">
        <v>281</v>
      </c>
      <c r="U185" s="127">
        <v>135.94637128460909</v>
      </c>
      <c r="V185" s="127">
        <v>279</v>
      </c>
      <c r="W185" s="127">
        <v>257.26499266232622</v>
      </c>
      <c r="X185" s="127">
        <v>226.02943603583162</v>
      </c>
      <c r="Y185" s="127">
        <v>220</v>
      </c>
      <c r="Z185" s="127">
        <v>168.65041188557234</v>
      </c>
      <c r="AA185" s="127">
        <v>300</v>
      </c>
      <c r="AB185" s="127">
        <v>271</v>
      </c>
      <c r="AC185" s="127">
        <v>247</v>
      </c>
      <c r="AD185" s="127">
        <v>285</v>
      </c>
      <c r="AE185" s="127">
        <v>277</v>
      </c>
      <c r="AF185" s="127">
        <v>299</v>
      </c>
      <c r="AG185" s="127">
        <v>289</v>
      </c>
      <c r="AH185" s="127">
        <v>261</v>
      </c>
      <c r="AI185" s="127">
        <v>240.31114110217186</v>
      </c>
      <c r="AJ185" s="127">
        <v>215.57576594682223</v>
      </c>
      <c r="AK185" s="127">
        <v>237</v>
      </c>
      <c r="AL185" s="127">
        <v>206.80375413821685</v>
      </c>
      <c r="AM185" s="127">
        <v>219</v>
      </c>
      <c r="AN185" s="127">
        <v>192.25716545220894</v>
      </c>
      <c r="AO185" s="127">
        <v>255</v>
      </c>
      <c r="AP185" s="127">
        <v>200.9776190401758</v>
      </c>
      <c r="AQ185" s="127">
        <v>298</v>
      </c>
      <c r="AR185" s="127">
        <v>286</v>
      </c>
      <c r="AS185" s="127">
        <v>315.37120930987044</v>
      </c>
      <c r="AT185" s="127">
        <v>260.78669606078688</v>
      </c>
      <c r="AU185" s="127">
        <v>167.40110274570543</v>
      </c>
      <c r="AV185" s="127">
        <v>195.54479847904986</v>
      </c>
      <c r="AW185" s="127">
        <v>223.85297724367183</v>
      </c>
      <c r="AX185" s="127">
        <v>174.48202530534627</v>
      </c>
      <c r="AY185" s="127">
        <v>330</v>
      </c>
    </row>
    <row r="186" spans="1:51" x14ac:dyDescent="0.2">
      <c r="A186" s="113"/>
      <c r="B186" s="123">
        <v>2</v>
      </c>
      <c r="C186" s="110">
        <v>0</v>
      </c>
      <c r="D186" s="110">
        <v>0</v>
      </c>
      <c r="E186" s="110">
        <v>0</v>
      </c>
      <c r="F186" s="110">
        <v>0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272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0">
        <v>0</v>
      </c>
      <c r="AP186" s="110">
        <v>0</v>
      </c>
      <c r="AQ186" s="110">
        <v>0</v>
      </c>
      <c r="AR186" s="110">
        <v>0</v>
      </c>
      <c r="AS186" s="110">
        <v>0</v>
      </c>
      <c r="AT186" s="110">
        <v>0</v>
      </c>
      <c r="AU186" s="110">
        <v>0</v>
      </c>
      <c r="AV186" s="110">
        <v>0</v>
      </c>
      <c r="AW186" s="110">
        <v>0</v>
      </c>
      <c r="AX186" s="110">
        <v>0</v>
      </c>
      <c r="AY186" s="110">
        <v>0</v>
      </c>
    </row>
    <row r="187" spans="1:51" x14ac:dyDescent="0.2">
      <c r="A187" s="113"/>
      <c r="B187" s="130">
        <v>3</v>
      </c>
      <c r="C187" s="110">
        <v>0</v>
      </c>
      <c r="D187" s="110">
        <v>0</v>
      </c>
      <c r="E187" s="110">
        <v>0</v>
      </c>
      <c r="F187" s="110">
        <v>0</v>
      </c>
      <c r="G187" s="110">
        <v>0</v>
      </c>
      <c r="H187" s="110">
        <v>0</v>
      </c>
      <c r="I187" s="110">
        <v>0</v>
      </c>
      <c r="J187" s="110">
        <v>0</v>
      </c>
      <c r="K187" s="110">
        <v>298</v>
      </c>
      <c r="L187" s="110">
        <v>0</v>
      </c>
      <c r="M187" s="110">
        <v>0</v>
      </c>
      <c r="N187" s="110">
        <v>0</v>
      </c>
      <c r="O187" s="110">
        <v>0</v>
      </c>
      <c r="P187" s="110">
        <v>0</v>
      </c>
      <c r="Q187" s="110">
        <v>0</v>
      </c>
      <c r="R187" s="110">
        <v>0</v>
      </c>
      <c r="S187" s="110">
        <v>0</v>
      </c>
      <c r="T187" s="110">
        <v>0</v>
      </c>
      <c r="U187" s="110">
        <v>0</v>
      </c>
      <c r="V187" s="110">
        <v>0</v>
      </c>
      <c r="W187" s="110">
        <v>0</v>
      </c>
      <c r="X187" s="110">
        <v>0</v>
      </c>
      <c r="Y187" s="110">
        <v>0</v>
      </c>
      <c r="Z187" s="110">
        <v>0</v>
      </c>
      <c r="AA187" s="110">
        <v>0</v>
      </c>
      <c r="AB187" s="110">
        <v>0</v>
      </c>
      <c r="AC187" s="110">
        <v>0</v>
      </c>
      <c r="AD187" s="110">
        <v>0</v>
      </c>
      <c r="AE187" s="110">
        <v>0</v>
      </c>
      <c r="AF187" s="110">
        <v>0</v>
      </c>
      <c r="AG187" s="110">
        <v>0</v>
      </c>
      <c r="AH187" s="110">
        <v>0</v>
      </c>
      <c r="AI187" s="110">
        <v>0</v>
      </c>
      <c r="AJ187" s="110">
        <v>0</v>
      </c>
      <c r="AK187" s="110">
        <v>0</v>
      </c>
      <c r="AL187" s="110">
        <v>0</v>
      </c>
      <c r="AM187" s="110">
        <v>0</v>
      </c>
      <c r="AN187" s="110">
        <v>0</v>
      </c>
      <c r="AO187" s="110">
        <v>0</v>
      </c>
      <c r="AP187" s="110">
        <v>0</v>
      </c>
      <c r="AQ187" s="110">
        <v>0</v>
      </c>
      <c r="AR187" s="110">
        <v>0</v>
      </c>
      <c r="AS187" s="110">
        <v>0</v>
      </c>
      <c r="AT187" s="110">
        <v>0</v>
      </c>
      <c r="AU187" s="110">
        <v>0</v>
      </c>
      <c r="AV187" s="110">
        <v>0</v>
      </c>
      <c r="AW187" s="110">
        <v>0</v>
      </c>
      <c r="AX187" s="110">
        <v>0</v>
      </c>
      <c r="AY187" s="110">
        <v>0</v>
      </c>
    </row>
    <row r="188" spans="1:51" x14ac:dyDescent="0.2">
      <c r="A188" s="131"/>
      <c r="B188" s="132">
        <v>4</v>
      </c>
      <c r="C188" s="110">
        <v>432</v>
      </c>
      <c r="D188" s="110">
        <v>290</v>
      </c>
      <c r="E188" s="110">
        <v>313</v>
      </c>
      <c r="F188" s="110">
        <v>284</v>
      </c>
      <c r="G188" s="110">
        <v>307</v>
      </c>
      <c r="H188" s="110">
        <v>250</v>
      </c>
      <c r="I188" s="110">
        <v>233</v>
      </c>
      <c r="J188" s="110">
        <v>233</v>
      </c>
      <c r="K188" s="110">
        <v>0</v>
      </c>
      <c r="L188" s="110">
        <v>0</v>
      </c>
      <c r="M188" s="110">
        <v>0</v>
      </c>
      <c r="N188" s="110">
        <v>0</v>
      </c>
      <c r="O188" s="110">
        <v>0</v>
      </c>
      <c r="P188" s="110">
        <v>0</v>
      </c>
      <c r="Q188" s="110">
        <v>0</v>
      </c>
      <c r="R188" s="110">
        <v>0</v>
      </c>
      <c r="S188" s="110">
        <v>0</v>
      </c>
      <c r="T188" s="110">
        <v>0</v>
      </c>
      <c r="U188" s="110">
        <v>0</v>
      </c>
      <c r="V188" s="110">
        <v>0</v>
      </c>
      <c r="W188" s="110">
        <v>0</v>
      </c>
      <c r="X188" s="110">
        <v>0</v>
      </c>
      <c r="Y188" s="110">
        <v>0</v>
      </c>
      <c r="Z188" s="110">
        <v>0</v>
      </c>
      <c r="AA188" s="110">
        <v>0</v>
      </c>
      <c r="AB188" s="110">
        <v>0</v>
      </c>
      <c r="AC188" s="110">
        <v>0</v>
      </c>
      <c r="AD188" s="110">
        <v>0</v>
      </c>
      <c r="AE188" s="110">
        <v>0</v>
      </c>
      <c r="AF188" s="110">
        <v>0</v>
      </c>
      <c r="AG188" s="110">
        <v>0</v>
      </c>
      <c r="AH188" s="110">
        <v>0</v>
      </c>
      <c r="AI188" s="110">
        <v>0</v>
      </c>
      <c r="AJ188" s="110">
        <v>0</v>
      </c>
      <c r="AK188" s="110">
        <v>0</v>
      </c>
      <c r="AL188" s="110">
        <v>0</v>
      </c>
      <c r="AM188" s="110">
        <v>0</v>
      </c>
      <c r="AN188" s="110">
        <v>0</v>
      </c>
      <c r="AO188" s="110">
        <v>0</v>
      </c>
      <c r="AP188" s="110">
        <v>0</v>
      </c>
      <c r="AQ188" s="110">
        <v>0</v>
      </c>
      <c r="AR188" s="110">
        <v>0</v>
      </c>
      <c r="AS188" s="110">
        <v>0</v>
      </c>
      <c r="AT188" s="110">
        <v>0</v>
      </c>
      <c r="AU188" s="110">
        <v>0</v>
      </c>
      <c r="AV188" s="110">
        <v>0</v>
      </c>
      <c r="AW188" s="110">
        <v>0</v>
      </c>
      <c r="AX188" s="110">
        <v>0</v>
      </c>
      <c r="AY188" s="110">
        <v>0</v>
      </c>
    </row>
    <row r="189" spans="1:51" x14ac:dyDescent="0.2">
      <c r="A189" s="129" t="s">
        <v>133</v>
      </c>
      <c r="B189" s="126">
        <v>1</v>
      </c>
      <c r="C189" s="127">
        <v>230.99999999999997</v>
      </c>
      <c r="D189" s="127">
        <v>0</v>
      </c>
      <c r="E189" s="127">
        <v>347.5</v>
      </c>
      <c r="F189" s="127">
        <v>0</v>
      </c>
      <c r="G189" s="127">
        <v>0</v>
      </c>
      <c r="H189" s="127">
        <v>0</v>
      </c>
      <c r="I189" s="127">
        <v>0</v>
      </c>
      <c r="J189" s="127">
        <v>0</v>
      </c>
      <c r="K189" s="127">
        <v>0</v>
      </c>
      <c r="L189" s="127">
        <v>0</v>
      </c>
      <c r="M189" s="127">
        <v>0</v>
      </c>
      <c r="N189" s="127">
        <v>0</v>
      </c>
      <c r="O189" s="127">
        <v>0</v>
      </c>
      <c r="P189" s="127">
        <v>0</v>
      </c>
      <c r="Q189" s="127">
        <v>0</v>
      </c>
      <c r="R189" s="127">
        <v>0</v>
      </c>
      <c r="S189" s="127">
        <v>0</v>
      </c>
      <c r="T189" s="127">
        <v>0</v>
      </c>
      <c r="U189" s="127">
        <v>0</v>
      </c>
      <c r="V189" s="127">
        <v>0</v>
      </c>
      <c r="W189" s="127">
        <v>0</v>
      </c>
      <c r="X189" s="127">
        <v>0</v>
      </c>
      <c r="Y189" s="127">
        <v>0</v>
      </c>
      <c r="Z189" s="127">
        <v>0</v>
      </c>
      <c r="AA189" s="127">
        <v>0</v>
      </c>
      <c r="AB189" s="127">
        <v>0</v>
      </c>
      <c r="AC189" s="127">
        <v>0</v>
      </c>
      <c r="AD189" s="127">
        <v>0</v>
      </c>
      <c r="AE189" s="127">
        <v>0</v>
      </c>
      <c r="AF189" s="127">
        <v>0</v>
      </c>
      <c r="AG189" s="127">
        <v>0</v>
      </c>
      <c r="AH189" s="127">
        <v>0</v>
      </c>
      <c r="AI189" s="127">
        <v>0</v>
      </c>
      <c r="AJ189" s="127">
        <v>0</v>
      </c>
      <c r="AK189" s="127">
        <v>0</v>
      </c>
      <c r="AL189" s="127">
        <v>0</v>
      </c>
      <c r="AM189" s="127">
        <v>0</v>
      </c>
      <c r="AN189" s="127">
        <v>0</v>
      </c>
      <c r="AO189" s="127">
        <v>0</v>
      </c>
      <c r="AP189" s="127">
        <v>0</v>
      </c>
      <c r="AQ189" s="127">
        <v>0</v>
      </c>
      <c r="AR189" s="127">
        <v>0</v>
      </c>
      <c r="AS189" s="127">
        <v>0</v>
      </c>
      <c r="AT189" s="127">
        <v>0</v>
      </c>
      <c r="AU189" s="127">
        <v>0</v>
      </c>
      <c r="AV189" s="127">
        <v>0</v>
      </c>
      <c r="AW189" s="127">
        <v>0</v>
      </c>
      <c r="AX189" s="127">
        <v>0</v>
      </c>
      <c r="AY189" s="127">
        <v>0</v>
      </c>
    </row>
    <row r="190" spans="1:51" x14ac:dyDescent="0.2">
      <c r="A190" s="113"/>
      <c r="B190" s="122">
        <v>2</v>
      </c>
      <c r="C190" s="110">
        <v>0</v>
      </c>
      <c r="D190" s="110">
        <v>0</v>
      </c>
      <c r="E190" s="110">
        <v>0</v>
      </c>
      <c r="F190" s="110">
        <v>89.500000000000028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0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0">
        <v>0</v>
      </c>
      <c r="AM190" s="110">
        <v>0</v>
      </c>
      <c r="AN190" s="110">
        <v>0</v>
      </c>
      <c r="AO190" s="110">
        <v>0</v>
      </c>
      <c r="AP190" s="110">
        <v>0</v>
      </c>
      <c r="AQ190" s="110">
        <v>0</v>
      </c>
      <c r="AR190" s="110">
        <v>0</v>
      </c>
      <c r="AS190" s="110">
        <v>0</v>
      </c>
      <c r="AT190" s="110">
        <v>0</v>
      </c>
      <c r="AU190" s="110">
        <v>0</v>
      </c>
      <c r="AV190" s="110">
        <v>0</v>
      </c>
      <c r="AW190" s="110">
        <v>0</v>
      </c>
      <c r="AX190" s="110">
        <v>0</v>
      </c>
      <c r="AY190" s="110">
        <v>0</v>
      </c>
    </row>
    <row r="191" spans="1:51" x14ac:dyDescent="0.2">
      <c r="A191" s="113"/>
      <c r="B191" s="123">
        <v>3</v>
      </c>
      <c r="C191" s="110">
        <v>0</v>
      </c>
      <c r="D191" s="110">
        <v>0</v>
      </c>
      <c r="E191" s="110">
        <v>10.5</v>
      </c>
      <c r="F191" s="110">
        <v>241.49999999999997</v>
      </c>
      <c r="G191" s="110">
        <v>396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0">
        <v>0</v>
      </c>
      <c r="V191" s="110">
        <v>0</v>
      </c>
      <c r="W191" s="110">
        <v>0</v>
      </c>
      <c r="X191" s="110">
        <v>0</v>
      </c>
      <c r="Y191" s="110">
        <v>0</v>
      </c>
      <c r="Z191" s="110">
        <v>0</v>
      </c>
      <c r="AA191" s="110">
        <v>0</v>
      </c>
      <c r="AB191" s="110">
        <v>0</v>
      </c>
      <c r="AC191" s="110">
        <v>0</v>
      </c>
      <c r="AD191" s="110">
        <v>0</v>
      </c>
      <c r="AE191" s="110">
        <v>0</v>
      </c>
      <c r="AF191" s="110">
        <v>0</v>
      </c>
      <c r="AG191" s="110">
        <v>0</v>
      </c>
      <c r="AH191" s="110">
        <v>0</v>
      </c>
      <c r="AI191" s="110">
        <v>0</v>
      </c>
      <c r="AJ191" s="110">
        <v>0</v>
      </c>
      <c r="AK191" s="110">
        <v>0</v>
      </c>
      <c r="AL191" s="110">
        <v>0</v>
      </c>
      <c r="AM191" s="110">
        <v>0</v>
      </c>
      <c r="AN191" s="110">
        <v>0</v>
      </c>
      <c r="AO191" s="110">
        <v>0</v>
      </c>
      <c r="AP191" s="110">
        <v>0</v>
      </c>
      <c r="AQ191" s="110">
        <v>0</v>
      </c>
      <c r="AR191" s="110">
        <v>0</v>
      </c>
      <c r="AS191" s="110">
        <v>0</v>
      </c>
      <c r="AT191" s="110">
        <v>0</v>
      </c>
      <c r="AU191" s="110">
        <v>0</v>
      </c>
      <c r="AV191" s="110">
        <v>0</v>
      </c>
      <c r="AW191" s="110">
        <v>0</v>
      </c>
      <c r="AX191" s="110">
        <v>0</v>
      </c>
      <c r="AY191" s="110">
        <v>0</v>
      </c>
    </row>
    <row r="192" spans="1:51" x14ac:dyDescent="0.2">
      <c r="A192" s="113"/>
      <c r="B192" s="123">
        <v>4</v>
      </c>
      <c r="C192" s="110">
        <v>0</v>
      </c>
      <c r="D192" s="110">
        <v>0</v>
      </c>
      <c r="E192" s="110">
        <v>0</v>
      </c>
      <c r="F192" s="110">
        <v>0</v>
      </c>
      <c r="G192" s="110">
        <v>0</v>
      </c>
      <c r="H192" s="110">
        <v>374</v>
      </c>
      <c r="I192" s="110">
        <v>115.45548496103856</v>
      </c>
      <c r="J192" s="110">
        <v>0</v>
      </c>
      <c r="K192" s="110">
        <v>0</v>
      </c>
      <c r="L192" s="110">
        <v>0</v>
      </c>
      <c r="M192" s="110">
        <v>183.1165804425429</v>
      </c>
      <c r="N192" s="110">
        <v>0</v>
      </c>
      <c r="O192" s="110">
        <v>0</v>
      </c>
      <c r="P192" s="110">
        <v>0</v>
      </c>
      <c r="Q192" s="110">
        <v>0</v>
      </c>
      <c r="R192" s="110">
        <v>206.8448095990675</v>
      </c>
      <c r="S192" s="110">
        <v>220.50674392439305</v>
      </c>
      <c r="T192" s="110">
        <v>178.13541619482498</v>
      </c>
      <c r="U192" s="110">
        <v>200.24960701819191</v>
      </c>
      <c r="V192" s="110">
        <v>80.208909165339264</v>
      </c>
      <c r="W192" s="110">
        <v>232.12991594820005</v>
      </c>
      <c r="X192" s="110">
        <v>229.1611572969839</v>
      </c>
      <c r="Y192" s="110">
        <v>0</v>
      </c>
      <c r="Z192" s="110">
        <v>196.25501433732074</v>
      </c>
      <c r="AA192" s="110">
        <v>0</v>
      </c>
      <c r="AB192" s="110">
        <v>0</v>
      </c>
      <c r="AC192" s="110">
        <v>52.230483639026488</v>
      </c>
      <c r="AD192" s="110">
        <v>23.15736714408331</v>
      </c>
      <c r="AE192" s="110">
        <v>0</v>
      </c>
      <c r="AF192" s="110">
        <v>0</v>
      </c>
      <c r="AG192" s="110">
        <v>0</v>
      </c>
      <c r="AH192" s="110">
        <v>130.62610913340586</v>
      </c>
      <c r="AI192" s="110">
        <v>182.42512586356065</v>
      </c>
      <c r="AJ192" s="110">
        <v>212.53818283723831</v>
      </c>
      <c r="AK192" s="110">
        <v>0</v>
      </c>
      <c r="AL192" s="110">
        <v>227.05727945336253</v>
      </c>
      <c r="AM192" s="110">
        <v>0</v>
      </c>
      <c r="AN192" s="110">
        <v>170.71446139737941</v>
      </c>
      <c r="AO192" s="110">
        <v>0</v>
      </c>
      <c r="AP192" s="110">
        <v>291.12667775409659</v>
      </c>
      <c r="AQ192" s="110">
        <v>224.09559708847291</v>
      </c>
      <c r="AR192" s="110">
        <v>143.93513557246433</v>
      </c>
      <c r="AS192" s="110">
        <v>147.3447933978623</v>
      </c>
      <c r="AT192" s="110">
        <v>97.807515710956068</v>
      </c>
      <c r="AU192" s="110">
        <v>164.4670738810787</v>
      </c>
      <c r="AV192" s="110">
        <v>265.84909945576987</v>
      </c>
      <c r="AW192" s="110">
        <v>211.11976560993821</v>
      </c>
      <c r="AX192" s="110">
        <v>285.21090628871207</v>
      </c>
      <c r="AY192" s="110">
        <v>0</v>
      </c>
    </row>
    <row r="193" spans="1:51" x14ac:dyDescent="0.2">
      <c r="A193" s="113"/>
      <c r="B193" s="130">
        <v>5</v>
      </c>
      <c r="C193" s="110">
        <v>0</v>
      </c>
      <c r="D193" s="110">
        <v>0</v>
      </c>
      <c r="E193" s="110">
        <v>0</v>
      </c>
      <c r="F193" s="110">
        <v>0</v>
      </c>
      <c r="G193" s="110">
        <v>0</v>
      </c>
      <c r="H193" s="110">
        <v>0</v>
      </c>
      <c r="I193" s="110">
        <v>243.54451503896144</v>
      </c>
      <c r="J193" s="110">
        <v>295</v>
      </c>
      <c r="K193" s="110">
        <v>0</v>
      </c>
      <c r="L193" s="110">
        <v>32.55795429084651</v>
      </c>
      <c r="M193" s="110">
        <v>249.8834195574571</v>
      </c>
      <c r="N193" s="110">
        <v>392</v>
      </c>
      <c r="O193" s="110">
        <v>340</v>
      </c>
      <c r="P193" s="110">
        <v>381</v>
      </c>
      <c r="Q193" s="110">
        <v>358</v>
      </c>
      <c r="R193" s="110">
        <v>239.1551904009325</v>
      </c>
      <c r="S193" s="110">
        <v>154.49325607560695</v>
      </c>
      <c r="T193" s="110">
        <v>234.86458380517502</v>
      </c>
      <c r="U193" s="110">
        <v>107.75039298180809</v>
      </c>
      <c r="V193" s="110">
        <v>240.79109083466074</v>
      </c>
      <c r="W193" s="110">
        <v>214.87008405179995</v>
      </c>
      <c r="X193" s="110">
        <v>173.8388427030161</v>
      </c>
      <c r="Y193" s="110">
        <v>392</v>
      </c>
      <c r="Z193" s="110">
        <v>146.74498566267926</v>
      </c>
      <c r="AA193" s="110">
        <v>363</v>
      </c>
      <c r="AB193" s="110">
        <v>454</v>
      </c>
      <c r="AC193" s="110">
        <v>290.76951636097351</v>
      </c>
      <c r="AD193" s="110">
        <v>294.84263285591669</v>
      </c>
      <c r="AE193" s="110">
        <v>419</v>
      </c>
      <c r="AF193" s="110">
        <v>456</v>
      </c>
      <c r="AG193" s="110">
        <v>338</v>
      </c>
      <c r="AH193" s="110">
        <v>251.37389086659414</v>
      </c>
      <c r="AI193" s="110">
        <v>166.57487413643935</v>
      </c>
      <c r="AJ193" s="110">
        <v>170.46181716276169</v>
      </c>
      <c r="AK193" s="110">
        <v>431</v>
      </c>
      <c r="AL193" s="110">
        <v>179.94272054663747</v>
      </c>
      <c r="AM193" s="110">
        <v>319</v>
      </c>
      <c r="AN193" s="110">
        <v>167.28553860262059</v>
      </c>
      <c r="AO193" s="110">
        <v>357</v>
      </c>
      <c r="AP193" s="110">
        <v>174.87332224590341</v>
      </c>
      <c r="AQ193" s="110">
        <v>253.90440291152709</v>
      </c>
      <c r="AR193" s="110">
        <v>241.06486442753567</v>
      </c>
      <c r="AS193" s="110">
        <v>254.6552066021377</v>
      </c>
      <c r="AT193" s="110">
        <v>210.19248428904393</v>
      </c>
      <c r="AU193" s="110">
        <v>138.5329261189213</v>
      </c>
      <c r="AV193" s="110">
        <v>156.15090054423013</v>
      </c>
      <c r="AW193" s="110">
        <v>168.88023439006179</v>
      </c>
      <c r="AX193" s="110">
        <v>135.78909371128793</v>
      </c>
      <c r="AY193" s="110">
        <v>374</v>
      </c>
    </row>
    <row r="194" spans="1:51" x14ac:dyDescent="0.2">
      <c r="A194" s="113"/>
      <c r="B194" s="130">
        <v>6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458</v>
      </c>
      <c r="L194" s="110">
        <v>406.44204570915349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0">
        <v>0</v>
      </c>
      <c r="AP194" s="110">
        <v>0</v>
      </c>
      <c r="AQ194" s="110">
        <v>0</v>
      </c>
      <c r="AR194" s="110">
        <v>0</v>
      </c>
      <c r="AS194" s="110">
        <v>0</v>
      </c>
      <c r="AT194" s="110">
        <v>0</v>
      </c>
      <c r="AU194" s="110">
        <v>0</v>
      </c>
      <c r="AV194" s="110">
        <v>0</v>
      </c>
      <c r="AW194" s="110">
        <v>0</v>
      </c>
      <c r="AX194" s="110">
        <v>0</v>
      </c>
      <c r="AY194" s="110">
        <v>0</v>
      </c>
    </row>
    <row r="195" spans="1:51" x14ac:dyDescent="0.2">
      <c r="A195" s="113"/>
      <c r="B195" s="133">
        <v>7</v>
      </c>
      <c r="C195" s="110">
        <v>0</v>
      </c>
      <c r="D195" s="110">
        <v>0</v>
      </c>
      <c r="E195" s="110">
        <v>0</v>
      </c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0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0">
        <v>0</v>
      </c>
      <c r="AM195" s="110">
        <v>0</v>
      </c>
      <c r="AN195" s="110">
        <v>0</v>
      </c>
      <c r="AO195" s="110">
        <v>0</v>
      </c>
      <c r="AP195" s="110">
        <v>0</v>
      </c>
      <c r="AQ195" s="110">
        <v>0</v>
      </c>
      <c r="AR195" s="110">
        <v>0</v>
      </c>
      <c r="AS195" s="110">
        <v>0</v>
      </c>
      <c r="AT195" s="110">
        <v>0</v>
      </c>
      <c r="AU195" s="110">
        <v>0</v>
      </c>
      <c r="AV195" s="110">
        <v>0</v>
      </c>
      <c r="AW195" s="110">
        <v>0</v>
      </c>
      <c r="AX195" s="110">
        <v>0</v>
      </c>
      <c r="AY195" s="110">
        <v>0</v>
      </c>
    </row>
    <row r="196" spans="1:51" x14ac:dyDescent="0.2">
      <c r="A196" s="131"/>
      <c r="B196" s="132">
        <v>8</v>
      </c>
      <c r="C196" s="117">
        <v>0</v>
      </c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0</v>
      </c>
      <c r="AM196" s="117">
        <v>0</v>
      </c>
      <c r="AN196" s="117">
        <v>0</v>
      </c>
      <c r="AO196" s="117">
        <v>0</v>
      </c>
      <c r="AP196" s="117">
        <v>0</v>
      </c>
      <c r="AQ196" s="117">
        <v>0</v>
      </c>
      <c r="AR196" s="117">
        <v>0</v>
      </c>
      <c r="AS196" s="117">
        <v>0</v>
      </c>
      <c r="AT196" s="117">
        <v>0</v>
      </c>
      <c r="AU196" s="117">
        <v>0</v>
      </c>
      <c r="AV196" s="117">
        <v>0</v>
      </c>
      <c r="AW196" s="117">
        <v>0</v>
      </c>
      <c r="AX196" s="117">
        <v>0</v>
      </c>
      <c r="AY196" s="117">
        <v>0</v>
      </c>
    </row>
    <row r="197" spans="1:51" x14ac:dyDescent="0.2">
      <c r="A197" s="134" t="s">
        <v>134</v>
      </c>
      <c r="B197" s="122">
        <v>1</v>
      </c>
      <c r="C197" s="110">
        <v>0</v>
      </c>
      <c r="D197" s="110">
        <v>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0">
        <v>0</v>
      </c>
      <c r="AM197" s="110">
        <v>0</v>
      </c>
      <c r="AN197" s="110">
        <v>0</v>
      </c>
      <c r="AO197" s="110">
        <v>0</v>
      </c>
      <c r="AP197" s="110">
        <v>0</v>
      </c>
      <c r="AQ197" s="110">
        <v>0</v>
      </c>
      <c r="AR197" s="110">
        <v>0</v>
      </c>
      <c r="AS197" s="110">
        <v>0</v>
      </c>
      <c r="AT197" s="110">
        <v>0</v>
      </c>
      <c r="AU197" s="110">
        <v>0</v>
      </c>
      <c r="AV197" s="110">
        <v>0</v>
      </c>
      <c r="AW197" s="110">
        <v>0</v>
      </c>
      <c r="AX197" s="110">
        <v>0</v>
      </c>
      <c r="AY197" s="110">
        <v>0</v>
      </c>
    </row>
    <row r="198" spans="1:51" x14ac:dyDescent="0.2">
      <c r="A198" s="113"/>
      <c r="B198" s="122">
        <v>2</v>
      </c>
      <c r="C198" s="110">
        <v>0</v>
      </c>
      <c r="D198" s="110">
        <v>0</v>
      </c>
      <c r="E198" s="110">
        <v>0</v>
      </c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0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0</v>
      </c>
      <c r="AB198" s="110">
        <v>0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0">
        <v>0</v>
      </c>
      <c r="AM198" s="110">
        <v>0</v>
      </c>
      <c r="AN198" s="110">
        <v>0</v>
      </c>
      <c r="AO198" s="110">
        <v>0</v>
      </c>
      <c r="AP198" s="110">
        <v>0</v>
      </c>
      <c r="AQ198" s="110">
        <v>0</v>
      </c>
      <c r="AR198" s="110">
        <v>0</v>
      </c>
      <c r="AS198" s="110">
        <v>0</v>
      </c>
      <c r="AT198" s="110">
        <v>0</v>
      </c>
      <c r="AU198" s="110">
        <v>0</v>
      </c>
      <c r="AV198" s="110">
        <v>0</v>
      </c>
      <c r="AW198" s="110">
        <v>0</v>
      </c>
      <c r="AX198" s="110">
        <v>0</v>
      </c>
      <c r="AY198" s="110">
        <v>0</v>
      </c>
    </row>
    <row r="199" spans="1:51" x14ac:dyDescent="0.2">
      <c r="A199" s="113"/>
      <c r="B199" s="122">
        <v>3</v>
      </c>
      <c r="C199" s="110">
        <v>0</v>
      </c>
      <c r="D199" s="110">
        <v>0</v>
      </c>
      <c r="E199" s="110">
        <v>0</v>
      </c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0">
        <v>0</v>
      </c>
      <c r="AP199" s="110">
        <v>0</v>
      </c>
      <c r="AQ199" s="110">
        <v>0</v>
      </c>
      <c r="AR199" s="110">
        <v>0</v>
      </c>
      <c r="AS199" s="110">
        <v>0</v>
      </c>
      <c r="AT199" s="110">
        <v>0</v>
      </c>
      <c r="AU199" s="110">
        <v>0</v>
      </c>
      <c r="AV199" s="110">
        <v>0</v>
      </c>
      <c r="AW199" s="110">
        <v>0</v>
      </c>
      <c r="AX199" s="110">
        <v>0</v>
      </c>
      <c r="AY199" s="110">
        <v>0</v>
      </c>
    </row>
    <row r="200" spans="1:51" x14ac:dyDescent="0.2">
      <c r="A200" s="113"/>
      <c r="B200" s="123">
        <v>4</v>
      </c>
      <c r="C200" s="110">
        <v>0</v>
      </c>
      <c r="D200" s="110">
        <v>0</v>
      </c>
      <c r="E200" s="110">
        <v>0</v>
      </c>
      <c r="F200" s="110">
        <v>0</v>
      </c>
      <c r="G200" s="110">
        <v>0</v>
      </c>
      <c r="H200" s="110">
        <v>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10">
        <v>0</v>
      </c>
      <c r="P200" s="110">
        <v>0</v>
      </c>
      <c r="Q200" s="110">
        <v>0</v>
      </c>
      <c r="R200" s="110">
        <v>0</v>
      </c>
      <c r="S200" s="110">
        <v>0</v>
      </c>
      <c r="T200" s="110">
        <v>0</v>
      </c>
      <c r="U200" s="110">
        <v>0</v>
      </c>
      <c r="V200" s="110">
        <v>0</v>
      </c>
      <c r="W200" s="110">
        <v>0</v>
      </c>
      <c r="X200" s="110">
        <v>0</v>
      </c>
      <c r="Y200" s="110">
        <v>0</v>
      </c>
      <c r="Z200" s="110">
        <v>0</v>
      </c>
      <c r="AA200" s="110">
        <v>0</v>
      </c>
      <c r="AB200" s="110">
        <v>0</v>
      </c>
      <c r="AC200" s="110">
        <v>0</v>
      </c>
      <c r="AD200" s="110">
        <v>0</v>
      </c>
      <c r="AE200" s="110">
        <v>0</v>
      </c>
      <c r="AF200" s="110">
        <v>0</v>
      </c>
      <c r="AG200" s="110">
        <v>0</v>
      </c>
      <c r="AH200" s="110">
        <v>0</v>
      </c>
      <c r="AI200" s="110">
        <v>0</v>
      </c>
      <c r="AJ200" s="110">
        <v>0</v>
      </c>
      <c r="AK200" s="110">
        <v>0</v>
      </c>
      <c r="AL200" s="110">
        <v>0</v>
      </c>
      <c r="AM200" s="110">
        <v>0</v>
      </c>
      <c r="AN200" s="110">
        <v>0</v>
      </c>
      <c r="AO200" s="110">
        <v>0</v>
      </c>
      <c r="AP200" s="110">
        <v>0</v>
      </c>
      <c r="AQ200" s="110">
        <v>0</v>
      </c>
      <c r="AR200" s="110">
        <v>0</v>
      </c>
      <c r="AS200" s="110">
        <v>0</v>
      </c>
      <c r="AT200" s="110">
        <v>0</v>
      </c>
      <c r="AU200" s="110">
        <v>0</v>
      </c>
      <c r="AV200" s="110">
        <v>0</v>
      </c>
      <c r="AW200" s="110">
        <v>0</v>
      </c>
      <c r="AX200" s="110">
        <v>0</v>
      </c>
      <c r="AY200" s="110">
        <v>0</v>
      </c>
    </row>
    <row r="201" spans="1:51" x14ac:dyDescent="0.2">
      <c r="A201" s="113"/>
      <c r="B201" s="123">
        <v>5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0">
        <v>0</v>
      </c>
      <c r="AP201" s="110">
        <v>0</v>
      </c>
      <c r="AQ201" s="110">
        <v>0</v>
      </c>
      <c r="AR201" s="110">
        <v>0</v>
      </c>
      <c r="AS201" s="110">
        <v>0</v>
      </c>
      <c r="AT201" s="110">
        <v>0</v>
      </c>
      <c r="AU201" s="110">
        <v>0</v>
      </c>
      <c r="AV201" s="110">
        <v>0</v>
      </c>
      <c r="AW201" s="110">
        <v>0</v>
      </c>
      <c r="AX201" s="110">
        <v>0</v>
      </c>
      <c r="AY201" s="110">
        <v>0</v>
      </c>
    </row>
    <row r="202" spans="1:51" x14ac:dyDescent="0.2">
      <c r="A202" s="113"/>
      <c r="B202" s="123">
        <v>6</v>
      </c>
      <c r="C202" s="110">
        <v>0</v>
      </c>
      <c r="D202" s="110">
        <v>0</v>
      </c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0">
        <v>0</v>
      </c>
      <c r="V202" s="110">
        <v>0</v>
      </c>
      <c r="W202" s="110">
        <v>0</v>
      </c>
      <c r="X202" s="110">
        <v>0</v>
      </c>
      <c r="Y202" s="110">
        <v>0</v>
      </c>
      <c r="Z202" s="110">
        <v>0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0">
        <v>0</v>
      </c>
      <c r="AM202" s="110">
        <v>0</v>
      </c>
      <c r="AN202" s="110">
        <v>0</v>
      </c>
      <c r="AO202" s="110">
        <v>0</v>
      </c>
      <c r="AP202" s="110">
        <v>0</v>
      </c>
      <c r="AQ202" s="110">
        <v>0</v>
      </c>
      <c r="AR202" s="110">
        <v>0</v>
      </c>
      <c r="AS202" s="110">
        <v>0</v>
      </c>
      <c r="AT202" s="110">
        <v>0</v>
      </c>
      <c r="AU202" s="110">
        <v>0</v>
      </c>
      <c r="AV202" s="110">
        <v>0</v>
      </c>
      <c r="AW202" s="110">
        <v>0</v>
      </c>
      <c r="AX202" s="110">
        <v>0</v>
      </c>
      <c r="AY202" s="110">
        <v>0</v>
      </c>
    </row>
    <row r="203" spans="1:51" x14ac:dyDescent="0.2">
      <c r="A203" s="113"/>
      <c r="B203" s="130">
        <v>7</v>
      </c>
      <c r="C203" s="110">
        <v>0</v>
      </c>
      <c r="D203" s="110">
        <v>0</v>
      </c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10">
        <v>0</v>
      </c>
      <c r="P203" s="110">
        <v>0</v>
      </c>
      <c r="Q203" s="110">
        <v>0</v>
      </c>
      <c r="R203" s="110">
        <v>0</v>
      </c>
      <c r="S203" s="110">
        <v>0</v>
      </c>
      <c r="T203" s="110">
        <v>0</v>
      </c>
      <c r="U203" s="110">
        <v>0</v>
      </c>
      <c r="V203" s="110">
        <v>0</v>
      </c>
      <c r="W203" s="110">
        <v>0</v>
      </c>
      <c r="X203" s="110">
        <v>0</v>
      </c>
      <c r="Y203" s="110">
        <v>0</v>
      </c>
      <c r="Z203" s="110">
        <v>0</v>
      </c>
      <c r="AA203" s="110">
        <v>0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0</v>
      </c>
      <c r="AL203" s="110">
        <v>0</v>
      </c>
      <c r="AM203" s="110">
        <v>0</v>
      </c>
      <c r="AN203" s="110">
        <v>0</v>
      </c>
      <c r="AO203" s="110">
        <v>0</v>
      </c>
      <c r="AP203" s="110">
        <v>0</v>
      </c>
      <c r="AQ203" s="110">
        <v>0</v>
      </c>
      <c r="AR203" s="110">
        <v>0</v>
      </c>
      <c r="AS203" s="110">
        <v>0</v>
      </c>
      <c r="AT203" s="110">
        <v>0</v>
      </c>
      <c r="AU203" s="110">
        <v>0</v>
      </c>
      <c r="AV203" s="110">
        <v>0</v>
      </c>
      <c r="AW203" s="110">
        <v>0</v>
      </c>
      <c r="AX203" s="110">
        <v>0</v>
      </c>
      <c r="AY203" s="110">
        <v>0</v>
      </c>
    </row>
    <row r="204" spans="1:51" x14ac:dyDescent="0.2">
      <c r="A204" s="113"/>
      <c r="B204" s="130">
        <v>8</v>
      </c>
      <c r="C204" s="110">
        <v>0</v>
      </c>
      <c r="D204" s="110">
        <v>0</v>
      </c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0">
        <v>101.22092803506712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0">
        <v>0</v>
      </c>
      <c r="AM204" s="110">
        <v>0</v>
      </c>
      <c r="AN204" s="110">
        <v>0</v>
      </c>
      <c r="AO204" s="110">
        <v>0</v>
      </c>
      <c r="AP204" s="110">
        <v>0</v>
      </c>
      <c r="AQ204" s="110">
        <v>0</v>
      </c>
      <c r="AR204" s="110">
        <v>0</v>
      </c>
      <c r="AS204" s="110">
        <v>0</v>
      </c>
      <c r="AT204" s="110">
        <v>0</v>
      </c>
      <c r="AU204" s="110">
        <v>28.375417921575263</v>
      </c>
      <c r="AV204" s="110">
        <v>32.128414146898194</v>
      </c>
      <c r="AW204" s="110">
        <v>4.6896890605726185</v>
      </c>
      <c r="AX204" s="110">
        <v>42.939188165344149</v>
      </c>
      <c r="AY204" s="110">
        <v>0</v>
      </c>
    </row>
    <row r="205" spans="1:51" x14ac:dyDescent="0.2">
      <c r="A205" s="113"/>
      <c r="B205" s="130">
        <v>9</v>
      </c>
      <c r="C205" s="110">
        <v>0</v>
      </c>
      <c r="D205" s="110">
        <v>0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203.08525887348293</v>
      </c>
      <c r="M205" s="110">
        <v>237</v>
      </c>
      <c r="N205" s="110">
        <v>237</v>
      </c>
      <c r="O205" s="110">
        <v>257</v>
      </c>
      <c r="P205" s="110">
        <v>314</v>
      </c>
      <c r="Q205" s="110">
        <v>235</v>
      </c>
      <c r="R205" s="110">
        <v>283</v>
      </c>
      <c r="S205" s="110">
        <v>289</v>
      </c>
      <c r="T205" s="110">
        <v>263</v>
      </c>
      <c r="U205" s="110">
        <v>208.77907196493288</v>
      </c>
      <c r="V205" s="110">
        <v>298</v>
      </c>
      <c r="W205" s="110">
        <v>277</v>
      </c>
      <c r="X205" s="110">
        <v>291</v>
      </c>
      <c r="Y205" s="110">
        <v>252</v>
      </c>
      <c r="Z205" s="110">
        <v>245</v>
      </c>
      <c r="AA205" s="110">
        <v>238</v>
      </c>
      <c r="AB205" s="110">
        <v>352</v>
      </c>
      <c r="AC205" s="110">
        <v>242</v>
      </c>
      <c r="AD205" s="110">
        <v>323</v>
      </c>
      <c r="AE205" s="110">
        <v>314</v>
      </c>
      <c r="AF205" s="110">
        <v>240</v>
      </c>
      <c r="AG205" s="110">
        <v>241</v>
      </c>
      <c r="AH205" s="110">
        <v>317</v>
      </c>
      <c r="AI205" s="110">
        <v>277</v>
      </c>
      <c r="AJ205" s="110">
        <v>284</v>
      </c>
      <c r="AK205" s="110">
        <v>294</v>
      </c>
      <c r="AL205" s="110">
        <v>315</v>
      </c>
      <c r="AM205" s="110">
        <v>259</v>
      </c>
      <c r="AN205" s="110">
        <v>262</v>
      </c>
      <c r="AO205" s="110">
        <v>293</v>
      </c>
      <c r="AP205" s="110">
        <v>267</v>
      </c>
      <c r="AQ205" s="110">
        <v>322</v>
      </c>
      <c r="AR205" s="110">
        <v>269</v>
      </c>
      <c r="AS205" s="110">
        <v>352</v>
      </c>
      <c r="AT205" s="110">
        <v>316</v>
      </c>
      <c r="AU205" s="110">
        <v>257.62458207842474</v>
      </c>
      <c r="AV205" s="110">
        <v>283.87158585310181</v>
      </c>
      <c r="AW205" s="110">
        <v>347.31031093942738</v>
      </c>
      <c r="AX205" s="110">
        <v>261.06081183465585</v>
      </c>
      <c r="AY205" s="110">
        <v>337</v>
      </c>
    </row>
    <row r="206" spans="1:51" x14ac:dyDescent="0.2">
      <c r="A206" s="113"/>
      <c r="B206" s="133">
        <v>10</v>
      </c>
      <c r="C206" s="110">
        <v>0</v>
      </c>
      <c r="D206" s="110">
        <v>0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68.917140996244996</v>
      </c>
      <c r="L206" s="110">
        <v>102.91474112651707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0</v>
      </c>
      <c r="W206" s="110">
        <v>0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0">
        <v>0</v>
      </c>
      <c r="AP206" s="110">
        <v>0</v>
      </c>
      <c r="AQ206" s="110">
        <v>0</v>
      </c>
      <c r="AR206" s="110">
        <v>0</v>
      </c>
      <c r="AS206" s="110">
        <v>0</v>
      </c>
      <c r="AT206" s="110">
        <v>0</v>
      </c>
      <c r="AU206" s="110">
        <v>0</v>
      </c>
      <c r="AV206" s="110">
        <v>0</v>
      </c>
      <c r="AW206" s="110">
        <v>0</v>
      </c>
      <c r="AX206" s="110">
        <v>0</v>
      </c>
      <c r="AY206" s="110">
        <v>0</v>
      </c>
    </row>
    <row r="207" spans="1:51" x14ac:dyDescent="0.2">
      <c r="A207" s="113"/>
      <c r="B207" s="133">
        <v>11</v>
      </c>
      <c r="C207" s="110">
        <v>0</v>
      </c>
      <c r="D207" s="110">
        <v>0</v>
      </c>
      <c r="E207" s="110">
        <v>0</v>
      </c>
      <c r="F207" s="110">
        <v>0</v>
      </c>
      <c r="G207" s="110">
        <v>0</v>
      </c>
      <c r="H207" s="110">
        <v>0</v>
      </c>
      <c r="I207" s="110">
        <v>0</v>
      </c>
      <c r="J207" s="110">
        <v>111.81488912276774</v>
      </c>
      <c r="K207" s="110">
        <v>197.082859003755</v>
      </c>
      <c r="L207" s="110">
        <v>0</v>
      </c>
      <c r="M207" s="110">
        <v>0</v>
      </c>
      <c r="N207" s="110">
        <v>0</v>
      </c>
      <c r="O207" s="110">
        <v>0</v>
      </c>
      <c r="P207" s="110">
        <v>0</v>
      </c>
      <c r="Q207" s="110">
        <v>0</v>
      </c>
      <c r="R207" s="110">
        <v>0</v>
      </c>
      <c r="S207" s="110">
        <v>0</v>
      </c>
      <c r="T207" s="110">
        <v>0</v>
      </c>
      <c r="U207" s="110">
        <v>0</v>
      </c>
      <c r="V207" s="110">
        <v>0</v>
      </c>
      <c r="W207" s="110">
        <v>0</v>
      </c>
      <c r="X207" s="110">
        <v>0</v>
      </c>
      <c r="Y207" s="110">
        <v>0</v>
      </c>
      <c r="Z207" s="110">
        <v>0</v>
      </c>
      <c r="AA207" s="110">
        <v>0</v>
      </c>
      <c r="AB207" s="110">
        <v>0</v>
      </c>
      <c r="AC207" s="110">
        <v>0</v>
      </c>
      <c r="AD207" s="110">
        <v>0</v>
      </c>
      <c r="AE207" s="110">
        <v>0</v>
      </c>
      <c r="AF207" s="110">
        <v>0</v>
      </c>
      <c r="AG207" s="110">
        <v>0</v>
      </c>
      <c r="AH207" s="110">
        <v>0</v>
      </c>
      <c r="AI207" s="110">
        <v>0</v>
      </c>
      <c r="AJ207" s="110">
        <v>0</v>
      </c>
      <c r="AK207" s="110">
        <v>0</v>
      </c>
      <c r="AL207" s="110">
        <v>0</v>
      </c>
      <c r="AM207" s="110">
        <v>0</v>
      </c>
      <c r="AN207" s="110">
        <v>0</v>
      </c>
      <c r="AO207" s="110">
        <v>0</v>
      </c>
      <c r="AP207" s="110">
        <v>0</v>
      </c>
      <c r="AQ207" s="110">
        <v>0</v>
      </c>
      <c r="AR207" s="110">
        <v>0</v>
      </c>
      <c r="AS207" s="110">
        <v>0</v>
      </c>
      <c r="AT207" s="110">
        <v>0</v>
      </c>
      <c r="AU207" s="110">
        <v>0</v>
      </c>
      <c r="AV207" s="110">
        <v>0</v>
      </c>
      <c r="AW207" s="110">
        <v>0</v>
      </c>
      <c r="AX207" s="110">
        <v>0</v>
      </c>
      <c r="AY207" s="110">
        <v>0</v>
      </c>
    </row>
    <row r="208" spans="1:51" x14ac:dyDescent="0.2">
      <c r="A208" s="113"/>
      <c r="B208" s="133">
        <v>12</v>
      </c>
      <c r="C208" s="110">
        <v>475.19408284023672</v>
      </c>
      <c r="D208" s="110">
        <v>281</v>
      </c>
      <c r="E208" s="110">
        <v>307</v>
      </c>
      <c r="F208" s="110">
        <v>302</v>
      </c>
      <c r="G208" s="110">
        <v>249</v>
      </c>
      <c r="H208" s="110">
        <v>226</v>
      </c>
      <c r="I208" s="110">
        <v>284</v>
      </c>
      <c r="J208" s="110">
        <v>216.18511087723226</v>
      </c>
      <c r="K208" s="110">
        <v>0</v>
      </c>
      <c r="L208" s="110">
        <v>0</v>
      </c>
      <c r="M208" s="110">
        <v>0</v>
      </c>
      <c r="N208" s="110">
        <v>0</v>
      </c>
      <c r="O208" s="110">
        <v>0</v>
      </c>
      <c r="P208" s="110">
        <v>0</v>
      </c>
      <c r="Q208" s="110">
        <v>0</v>
      </c>
      <c r="R208" s="110">
        <v>0</v>
      </c>
      <c r="S208" s="110">
        <v>0</v>
      </c>
      <c r="T208" s="110">
        <v>0</v>
      </c>
      <c r="U208" s="110">
        <v>0</v>
      </c>
      <c r="V208" s="110">
        <v>0</v>
      </c>
      <c r="W208" s="110">
        <v>0</v>
      </c>
      <c r="X208" s="110">
        <v>0</v>
      </c>
      <c r="Y208" s="110">
        <v>0</v>
      </c>
      <c r="Z208" s="110">
        <v>0</v>
      </c>
      <c r="AA208" s="110">
        <v>0</v>
      </c>
      <c r="AB208" s="110">
        <v>0</v>
      </c>
      <c r="AC208" s="110">
        <v>0</v>
      </c>
      <c r="AD208" s="110">
        <v>0</v>
      </c>
      <c r="AE208" s="110">
        <v>0</v>
      </c>
      <c r="AF208" s="110">
        <v>0</v>
      </c>
      <c r="AG208" s="110">
        <v>0</v>
      </c>
      <c r="AH208" s="110">
        <v>0</v>
      </c>
      <c r="AI208" s="110">
        <v>0</v>
      </c>
      <c r="AJ208" s="110">
        <v>0</v>
      </c>
      <c r="AK208" s="110">
        <v>0</v>
      </c>
      <c r="AL208" s="110">
        <v>0</v>
      </c>
      <c r="AM208" s="110">
        <v>0</v>
      </c>
      <c r="AN208" s="110">
        <v>0</v>
      </c>
      <c r="AO208" s="110">
        <v>0</v>
      </c>
      <c r="AP208" s="110">
        <v>0</v>
      </c>
      <c r="AQ208" s="110">
        <v>0</v>
      </c>
      <c r="AR208" s="110">
        <v>0</v>
      </c>
      <c r="AS208" s="110">
        <v>0</v>
      </c>
      <c r="AT208" s="110">
        <v>0</v>
      </c>
      <c r="AU208" s="110">
        <v>0</v>
      </c>
      <c r="AV208" s="110">
        <v>0</v>
      </c>
      <c r="AW208" s="110">
        <v>0</v>
      </c>
      <c r="AX208" s="110">
        <v>0</v>
      </c>
      <c r="AY208" s="110">
        <v>0</v>
      </c>
    </row>
    <row r="209" spans="1:51" x14ac:dyDescent="0.2">
      <c r="A209" s="129" t="s">
        <v>123</v>
      </c>
      <c r="B209" s="126">
        <v>1</v>
      </c>
      <c r="C209" s="127">
        <v>184.63793775887279</v>
      </c>
      <c r="D209" s="127">
        <v>0</v>
      </c>
      <c r="E209" s="127">
        <v>0</v>
      </c>
      <c r="F209" s="127">
        <v>0</v>
      </c>
      <c r="G209" s="127">
        <v>0</v>
      </c>
      <c r="H209" s="127">
        <v>0</v>
      </c>
      <c r="I209" s="127">
        <v>0</v>
      </c>
      <c r="J209" s="127">
        <v>0</v>
      </c>
      <c r="K209" s="127">
        <v>0</v>
      </c>
      <c r="L209" s="127">
        <v>0</v>
      </c>
      <c r="M209" s="127">
        <v>0</v>
      </c>
      <c r="N209" s="127">
        <v>0</v>
      </c>
      <c r="O209" s="127">
        <v>0</v>
      </c>
      <c r="P209" s="127">
        <v>0</v>
      </c>
      <c r="Q209" s="127">
        <v>0</v>
      </c>
      <c r="R209" s="127">
        <v>0</v>
      </c>
      <c r="S209" s="127">
        <v>0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0</v>
      </c>
      <c r="Z209" s="127">
        <v>0</v>
      </c>
      <c r="AA209" s="127">
        <v>0</v>
      </c>
      <c r="AB209" s="127">
        <v>0</v>
      </c>
      <c r="AC209" s="127">
        <v>0</v>
      </c>
      <c r="AD209" s="127">
        <v>0</v>
      </c>
      <c r="AE209" s="127">
        <v>0</v>
      </c>
      <c r="AF209" s="127">
        <v>0</v>
      </c>
      <c r="AG209" s="127">
        <v>0</v>
      </c>
      <c r="AH209" s="127">
        <v>0</v>
      </c>
      <c r="AI209" s="127">
        <v>0</v>
      </c>
      <c r="AJ209" s="127">
        <v>0</v>
      </c>
      <c r="AK209" s="127">
        <v>0</v>
      </c>
      <c r="AL209" s="127">
        <v>0</v>
      </c>
      <c r="AM209" s="127">
        <v>0</v>
      </c>
      <c r="AN209" s="127">
        <v>0</v>
      </c>
      <c r="AO209" s="127">
        <v>0</v>
      </c>
      <c r="AP209" s="127">
        <v>0</v>
      </c>
      <c r="AQ209" s="127">
        <v>0</v>
      </c>
      <c r="AR209" s="127">
        <v>0</v>
      </c>
      <c r="AS209" s="127">
        <v>0</v>
      </c>
      <c r="AT209" s="127">
        <v>0</v>
      </c>
      <c r="AU209" s="127">
        <v>0</v>
      </c>
      <c r="AV209" s="127">
        <v>0</v>
      </c>
      <c r="AW209" s="127">
        <v>0</v>
      </c>
      <c r="AX209" s="127">
        <v>0</v>
      </c>
      <c r="AY209" s="127">
        <v>0</v>
      </c>
    </row>
    <row r="210" spans="1:51" x14ac:dyDescent="0.2">
      <c r="A210" s="113"/>
      <c r="B210" s="122">
        <v>2</v>
      </c>
      <c r="C210" s="110">
        <v>374.96308161967715</v>
      </c>
      <c r="D210" s="114">
        <v>129.2165162408435</v>
      </c>
      <c r="E210" s="114">
        <v>189.86203259644046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0</v>
      </c>
      <c r="M210" s="114">
        <v>0</v>
      </c>
      <c r="N210" s="114">
        <v>0</v>
      </c>
      <c r="O210" s="114">
        <v>0</v>
      </c>
      <c r="P210" s="114">
        <v>0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0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0</v>
      </c>
      <c r="AJ210" s="114">
        <v>0</v>
      </c>
      <c r="AK210" s="114">
        <v>0</v>
      </c>
      <c r="AL210" s="114">
        <v>0</v>
      </c>
      <c r="AM210" s="114">
        <v>0</v>
      </c>
      <c r="AN210" s="114">
        <v>0</v>
      </c>
      <c r="AO210" s="114">
        <v>0</v>
      </c>
      <c r="AP210" s="114">
        <v>0</v>
      </c>
      <c r="AQ210" s="114">
        <v>0</v>
      </c>
      <c r="AR210" s="114">
        <v>0</v>
      </c>
      <c r="AS210" s="114">
        <v>0</v>
      </c>
      <c r="AT210" s="114">
        <v>0</v>
      </c>
      <c r="AU210" s="114">
        <v>0</v>
      </c>
      <c r="AV210" s="114">
        <v>0</v>
      </c>
      <c r="AW210" s="114">
        <v>0</v>
      </c>
      <c r="AX210" s="114">
        <v>0</v>
      </c>
      <c r="AY210" s="114">
        <v>0</v>
      </c>
    </row>
    <row r="211" spans="1:51" x14ac:dyDescent="0.2">
      <c r="A211" s="113"/>
      <c r="B211" s="122">
        <v>3</v>
      </c>
      <c r="C211" s="110">
        <v>61.593063461686732</v>
      </c>
      <c r="D211" s="114">
        <v>209.7834837591565</v>
      </c>
      <c r="E211" s="114">
        <v>134.13796740355954</v>
      </c>
      <c r="F211" s="114">
        <v>318</v>
      </c>
      <c r="G211" s="114">
        <v>0</v>
      </c>
      <c r="H211" s="114">
        <v>0</v>
      </c>
      <c r="I211" s="114">
        <v>0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4">
        <v>0</v>
      </c>
      <c r="AP211" s="114">
        <v>0</v>
      </c>
      <c r="AQ211" s="114">
        <v>0</v>
      </c>
      <c r="AR211" s="114">
        <v>0</v>
      </c>
      <c r="AS211" s="114">
        <v>0</v>
      </c>
      <c r="AT211" s="114">
        <v>0</v>
      </c>
      <c r="AU211" s="114">
        <v>0</v>
      </c>
      <c r="AV211" s="114">
        <v>0</v>
      </c>
      <c r="AW211" s="114">
        <v>0</v>
      </c>
      <c r="AX211" s="114">
        <v>0</v>
      </c>
      <c r="AY211" s="114">
        <v>0</v>
      </c>
    </row>
    <row r="212" spans="1:51" x14ac:dyDescent="0.2">
      <c r="A212" s="113"/>
      <c r="B212" s="122">
        <v>4</v>
      </c>
      <c r="C212" s="110">
        <v>0</v>
      </c>
      <c r="D212" s="114">
        <v>0</v>
      </c>
      <c r="E212" s="114">
        <v>0</v>
      </c>
      <c r="F212" s="114">
        <v>0</v>
      </c>
      <c r="G212" s="114">
        <v>331</v>
      </c>
      <c r="H212" s="114">
        <v>386.53923717137548</v>
      </c>
      <c r="I212" s="114">
        <v>270.21961746354214</v>
      </c>
      <c r="J212" s="114">
        <v>97.359487005156893</v>
      </c>
      <c r="K212" s="114">
        <v>88.715285729396271</v>
      </c>
      <c r="L212" s="114">
        <v>9.5533924727727708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30.998594044512288</v>
      </c>
      <c r="Y212" s="114">
        <v>100.60834587035578</v>
      </c>
      <c r="Z212" s="114">
        <v>44.13539315338312</v>
      </c>
      <c r="AA212" s="114">
        <v>141.7129179011423</v>
      </c>
      <c r="AB212" s="114">
        <v>30.339974753381966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22.071681694904612</v>
      </c>
      <c r="AI212" s="114">
        <v>28.503814346531271</v>
      </c>
      <c r="AJ212" s="114">
        <v>106.23570191561441</v>
      </c>
      <c r="AK212" s="114">
        <v>64.362378270133377</v>
      </c>
      <c r="AL212" s="114">
        <v>30.921840639727691</v>
      </c>
      <c r="AM212" s="114">
        <v>0</v>
      </c>
      <c r="AN212" s="114">
        <v>0</v>
      </c>
      <c r="AO212" s="114">
        <v>0</v>
      </c>
      <c r="AP212" s="114">
        <v>0</v>
      </c>
      <c r="AQ212" s="114">
        <v>0</v>
      </c>
      <c r="AR212" s="114">
        <v>0</v>
      </c>
      <c r="AS212" s="114">
        <v>0</v>
      </c>
      <c r="AT212" s="114">
        <v>0</v>
      </c>
      <c r="AU212" s="114">
        <v>0</v>
      </c>
      <c r="AV212" s="114">
        <v>0</v>
      </c>
      <c r="AW212" s="114">
        <v>94.469321659796833</v>
      </c>
      <c r="AX212" s="114">
        <v>90.932236979983884</v>
      </c>
      <c r="AY212" s="114">
        <v>31.750080023105511</v>
      </c>
    </row>
    <row r="213" spans="1:51" x14ac:dyDescent="0.2">
      <c r="A213" s="113"/>
      <c r="B213" s="122">
        <v>5</v>
      </c>
      <c r="C213" s="110">
        <v>0</v>
      </c>
      <c r="D213" s="114">
        <v>0</v>
      </c>
      <c r="E213" s="114">
        <v>0</v>
      </c>
      <c r="F213" s="114">
        <v>0</v>
      </c>
      <c r="G213" s="114">
        <v>0</v>
      </c>
      <c r="H213" s="114">
        <v>0.46076282862450807</v>
      </c>
      <c r="I213" s="114">
        <v>93.780382536457836</v>
      </c>
      <c r="J213" s="114">
        <v>202.64051299484311</v>
      </c>
      <c r="K213" s="114">
        <v>284.28471427060373</v>
      </c>
      <c r="L213" s="114">
        <v>293.44660752722723</v>
      </c>
      <c r="M213" s="114">
        <v>304</v>
      </c>
      <c r="N213" s="114">
        <v>297.80922568992014</v>
      </c>
      <c r="O213" s="114">
        <v>242.41421362701959</v>
      </c>
      <c r="P213" s="114">
        <v>307.6532106138369</v>
      </c>
      <c r="Q213" s="114">
        <v>271.99858139478681</v>
      </c>
      <c r="R213" s="114">
        <v>338.36416726937705</v>
      </c>
      <c r="S213" s="114">
        <v>237.14118866121936</v>
      </c>
      <c r="T213" s="114">
        <v>285.85936629972161</v>
      </c>
      <c r="U213" s="114">
        <v>246.48762118943543</v>
      </c>
      <c r="V213" s="114">
        <v>334.16624478043667</v>
      </c>
      <c r="W213" s="114">
        <v>308.41121570959001</v>
      </c>
      <c r="X213" s="114">
        <v>350.72715392606369</v>
      </c>
      <c r="Y213" s="114">
        <v>325.39165412964422</v>
      </c>
      <c r="Z213" s="114">
        <v>294.86460684661688</v>
      </c>
      <c r="AA213" s="114">
        <v>317.2870820988577</v>
      </c>
      <c r="AB213" s="114">
        <v>260.66002524661803</v>
      </c>
      <c r="AC213" s="114">
        <v>329</v>
      </c>
      <c r="AD213" s="114">
        <v>244.61887099042093</v>
      </c>
      <c r="AE213" s="114">
        <v>252.47262212848972</v>
      </c>
      <c r="AF213" s="114">
        <v>187.66321646126386</v>
      </c>
      <c r="AG213" s="114">
        <v>291.26446369958148</v>
      </c>
      <c r="AH213" s="114">
        <v>348.17831328500108</v>
      </c>
      <c r="AI213" s="114">
        <v>377.49618565346873</v>
      </c>
      <c r="AJ213" s="114">
        <v>326.76429808438559</v>
      </c>
      <c r="AK213" s="114">
        <v>282.63762172986662</v>
      </c>
      <c r="AL213" s="114">
        <v>305.07815936027231</v>
      </c>
      <c r="AM213" s="114">
        <v>313</v>
      </c>
      <c r="AN213" s="114">
        <v>287.42862770402547</v>
      </c>
      <c r="AO213" s="114">
        <v>299.88352740537493</v>
      </c>
      <c r="AP213" s="114">
        <v>316.10813302047109</v>
      </c>
      <c r="AQ213" s="114">
        <v>320.47425788110058</v>
      </c>
      <c r="AR213" s="114">
        <v>238.44907684021803</v>
      </c>
      <c r="AS213" s="114">
        <v>254.66625037148543</v>
      </c>
      <c r="AT213" s="114">
        <v>308.21194036957434</v>
      </c>
      <c r="AU213" s="114">
        <v>308.43633079997016</v>
      </c>
      <c r="AV213" s="114">
        <v>335.48171689108847</v>
      </c>
      <c r="AW213" s="114">
        <v>354.38473591781718</v>
      </c>
      <c r="AX213" s="114">
        <v>286.06776302001612</v>
      </c>
      <c r="AY213" s="114">
        <v>288.24991997689449</v>
      </c>
    </row>
    <row r="214" spans="1:51" x14ac:dyDescent="0.2">
      <c r="A214" s="113"/>
      <c r="B214" s="122">
        <v>6</v>
      </c>
      <c r="C214" s="110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1.1907743100798822</v>
      </c>
      <c r="O214" s="114">
        <v>50.585786372980415</v>
      </c>
      <c r="P214" s="114">
        <v>75.346789386163096</v>
      </c>
      <c r="Q214" s="114">
        <v>25.0014186052132</v>
      </c>
      <c r="R214" s="114">
        <v>44.635832730622958</v>
      </c>
      <c r="S214" s="114">
        <v>13.858811338780626</v>
      </c>
      <c r="T214" s="114">
        <v>66.140633700278372</v>
      </c>
      <c r="U214" s="114">
        <v>42.512378810564563</v>
      </c>
      <c r="V214" s="114">
        <v>72.833755219563315</v>
      </c>
      <c r="W214" s="114">
        <v>8.5887842904099685</v>
      </c>
      <c r="X214" s="114">
        <v>22.274252029424023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10.38112900957907</v>
      </c>
      <c r="AE214" s="114">
        <v>61.527377871510268</v>
      </c>
      <c r="AF214" s="114">
        <v>89.336783538736142</v>
      </c>
      <c r="AG214" s="114">
        <v>106.73553630041854</v>
      </c>
      <c r="AH214" s="114">
        <v>32.750005020094321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7.5713722959745127</v>
      </c>
      <c r="AO214" s="114">
        <v>35.116472594625094</v>
      </c>
      <c r="AP214" s="114">
        <v>39.891866979528935</v>
      </c>
      <c r="AQ214" s="114">
        <v>17.52574211889943</v>
      </c>
      <c r="AR214" s="114">
        <v>29.550923159781988</v>
      </c>
      <c r="AS214" s="114">
        <v>65.333749628514553</v>
      </c>
      <c r="AT214" s="114">
        <v>67.788059630425636</v>
      </c>
      <c r="AU214" s="114">
        <v>22.563669200029828</v>
      </c>
      <c r="AV214" s="114">
        <v>24.518283108911504</v>
      </c>
      <c r="AW214" s="114">
        <v>7.1459424223860015</v>
      </c>
      <c r="AX214" s="114">
        <v>0</v>
      </c>
      <c r="AY214" s="114">
        <v>0</v>
      </c>
    </row>
    <row r="215" spans="1:51" x14ac:dyDescent="0.2">
      <c r="A215" s="113"/>
      <c r="B215" s="122">
        <v>7</v>
      </c>
      <c r="C215" s="110">
        <v>0</v>
      </c>
      <c r="D215" s="114">
        <v>0</v>
      </c>
      <c r="E215" s="114">
        <v>0</v>
      </c>
      <c r="F215" s="114">
        <v>0</v>
      </c>
      <c r="G215" s="114">
        <v>0</v>
      </c>
      <c r="H215" s="114">
        <v>0</v>
      </c>
      <c r="I215" s="114">
        <v>0</v>
      </c>
      <c r="J215" s="114">
        <v>0</v>
      </c>
      <c r="K215" s="114">
        <v>0</v>
      </c>
      <c r="L215" s="114">
        <v>0</v>
      </c>
      <c r="M215" s="114">
        <v>0</v>
      </c>
      <c r="N215" s="114">
        <v>0</v>
      </c>
      <c r="O215" s="114">
        <v>0</v>
      </c>
      <c r="P215" s="114">
        <v>0</v>
      </c>
      <c r="Q215" s="114">
        <v>0</v>
      </c>
      <c r="R215" s="114">
        <v>0</v>
      </c>
      <c r="S215" s="114">
        <v>0</v>
      </c>
      <c r="T215" s="114">
        <v>0</v>
      </c>
      <c r="U215" s="114">
        <v>0</v>
      </c>
      <c r="V215" s="114">
        <v>0</v>
      </c>
      <c r="W215" s="114">
        <v>0</v>
      </c>
      <c r="X215" s="114">
        <v>0</v>
      </c>
      <c r="Y215" s="114">
        <v>0</v>
      </c>
      <c r="Z215" s="114">
        <v>0</v>
      </c>
      <c r="AA215" s="114">
        <v>0</v>
      </c>
      <c r="AB215" s="114">
        <v>0</v>
      </c>
      <c r="AC215" s="114">
        <v>0</v>
      </c>
      <c r="AD215" s="114">
        <v>0</v>
      </c>
      <c r="AE215" s="114">
        <v>0</v>
      </c>
      <c r="AF215" s="114">
        <v>0</v>
      </c>
      <c r="AG215" s="114">
        <v>0</v>
      </c>
      <c r="AH215" s="114">
        <v>0</v>
      </c>
      <c r="AI215" s="114">
        <v>0</v>
      </c>
      <c r="AJ215" s="114">
        <v>0</v>
      </c>
      <c r="AK215" s="114">
        <v>0</v>
      </c>
      <c r="AL215" s="114">
        <v>0</v>
      </c>
      <c r="AM215" s="114">
        <v>0</v>
      </c>
      <c r="AN215" s="114">
        <v>0</v>
      </c>
      <c r="AO215" s="114">
        <v>0</v>
      </c>
      <c r="AP215" s="114">
        <v>0</v>
      </c>
      <c r="AQ215" s="114">
        <v>0</v>
      </c>
      <c r="AR215" s="114">
        <v>0</v>
      </c>
      <c r="AS215" s="114">
        <v>0</v>
      </c>
      <c r="AT215" s="114">
        <v>0</v>
      </c>
      <c r="AU215" s="114">
        <v>0</v>
      </c>
      <c r="AV215" s="114">
        <v>0</v>
      </c>
      <c r="AW215" s="114">
        <v>0</v>
      </c>
      <c r="AX215" s="114">
        <v>0</v>
      </c>
      <c r="AY215" s="114">
        <v>0</v>
      </c>
    </row>
    <row r="216" spans="1:51" x14ac:dyDescent="0.2">
      <c r="A216" s="113"/>
      <c r="B216" s="122">
        <v>8</v>
      </c>
      <c r="C216" s="110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4">
        <v>0</v>
      </c>
      <c r="AP216" s="114">
        <v>0</v>
      </c>
      <c r="AQ216" s="114">
        <v>0</v>
      </c>
      <c r="AR216" s="114">
        <v>0</v>
      </c>
      <c r="AS216" s="114">
        <v>0</v>
      </c>
      <c r="AT216" s="114">
        <v>0</v>
      </c>
      <c r="AU216" s="114">
        <v>0</v>
      </c>
      <c r="AV216" s="114">
        <v>0</v>
      </c>
      <c r="AW216" s="114">
        <v>0</v>
      </c>
      <c r="AX216" s="114">
        <v>0</v>
      </c>
      <c r="AY216" s="114">
        <v>0</v>
      </c>
    </row>
    <row r="217" spans="1:51" x14ac:dyDescent="0.2">
      <c r="A217" s="113"/>
      <c r="B217" s="122">
        <v>9</v>
      </c>
      <c r="C217" s="110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4">
        <v>0</v>
      </c>
      <c r="AP217" s="114">
        <v>0</v>
      </c>
      <c r="AQ217" s="114">
        <v>0</v>
      </c>
      <c r="AR217" s="114">
        <v>0</v>
      </c>
      <c r="AS217" s="114">
        <v>0</v>
      </c>
      <c r="AT217" s="114">
        <v>0</v>
      </c>
      <c r="AU217" s="114">
        <v>0</v>
      </c>
      <c r="AV217" s="114">
        <v>0</v>
      </c>
      <c r="AW217" s="114">
        <v>0</v>
      </c>
      <c r="AX217" s="114">
        <v>0</v>
      </c>
      <c r="AY217" s="114">
        <v>0</v>
      </c>
    </row>
    <row r="218" spans="1:51" x14ac:dyDescent="0.2">
      <c r="A218" s="113"/>
      <c r="B218" s="122">
        <v>10</v>
      </c>
      <c r="C218" s="110">
        <v>0</v>
      </c>
      <c r="D218" s="114">
        <v>0</v>
      </c>
      <c r="E218" s="114">
        <v>0</v>
      </c>
      <c r="F218" s="114">
        <v>0</v>
      </c>
      <c r="G218" s="114">
        <v>0</v>
      </c>
      <c r="H218" s="114">
        <v>0</v>
      </c>
      <c r="I218" s="114">
        <v>0</v>
      </c>
      <c r="J218" s="114">
        <v>0</v>
      </c>
      <c r="K218" s="114">
        <v>0</v>
      </c>
      <c r="L218" s="114">
        <v>0</v>
      </c>
      <c r="M218" s="114">
        <v>0</v>
      </c>
      <c r="N218" s="114">
        <v>0</v>
      </c>
      <c r="O218" s="114">
        <v>0</v>
      </c>
      <c r="P218" s="114">
        <v>0</v>
      </c>
      <c r="Q218" s="114">
        <v>0</v>
      </c>
      <c r="R218" s="114">
        <v>0</v>
      </c>
      <c r="S218" s="114">
        <v>0</v>
      </c>
      <c r="T218" s="114">
        <v>0</v>
      </c>
      <c r="U218" s="114">
        <v>0</v>
      </c>
      <c r="V218" s="114">
        <v>0</v>
      </c>
      <c r="W218" s="114">
        <v>0</v>
      </c>
      <c r="X218" s="114">
        <v>0</v>
      </c>
      <c r="Y218" s="114">
        <v>0</v>
      </c>
      <c r="Z218" s="114">
        <v>0</v>
      </c>
      <c r="AA218" s="114">
        <v>0</v>
      </c>
      <c r="AB218" s="114">
        <v>0</v>
      </c>
      <c r="AC218" s="114">
        <v>0</v>
      </c>
      <c r="AD218" s="114">
        <v>0</v>
      </c>
      <c r="AE218" s="114">
        <v>0</v>
      </c>
      <c r="AF218" s="114">
        <v>0</v>
      </c>
      <c r="AG218" s="114">
        <v>0</v>
      </c>
      <c r="AH218" s="114">
        <v>0</v>
      </c>
      <c r="AI218" s="114">
        <v>0</v>
      </c>
      <c r="AJ218" s="114">
        <v>0</v>
      </c>
      <c r="AK218" s="114">
        <v>0</v>
      </c>
      <c r="AL218" s="114">
        <v>0</v>
      </c>
      <c r="AM218" s="114">
        <v>0</v>
      </c>
      <c r="AN218" s="114">
        <v>0</v>
      </c>
      <c r="AO218" s="114">
        <v>0</v>
      </c>
      <c r="AP218" s="114">
        <v>0</v>
      </c>
      <c r="AQ218" s="114">
        <v>0</v>
      </c>
      <c r="AR218" s="114">
        <v>0</v>
      </c>
      <c r="AS218" s="114">
        <v>0</v>
      </c>
      <c r="AT218" s="114">
        <v>0</v>
      </c>
      <c r="AU218" s="114">
        <v>0</v>
      </c>
      <c r="AV218" s="114">
        <v>0</v>
      </c>
      <c r="AW218" s="114">
        <v>0</v>
      </c>
      <c r="AX218" s="114">
        <v>0</v>
      </c>
      <c r="AY218" s="114">
        <v>0</v>
      </c>
    </row>
    <row r="219" spans="1:51" x14ac:dyDescent="0.2">
      <c r="A219" s="113"/>
      <c r="B219" s="122">
        <v>11</v>
      </c>
      <c r="C219" s="110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4">
        <v>0</v>
      </c>
      <c r="AP219" s="114">
        <v>0</v>
      </c>
      <c r="AQ219" s="114">
        <v>0</v>
      </c>
      <c r="AR219" s="114">
        <v>0</v>
      </c>
      <c r="AS219" s="114">
        <v>0</v>
      </c>
      <c r="AT219" s="114">
        <v>0</v>
      </c>
      <c r="AU219" s="114">
        <v>0</v>
      </c>
      <c r="AV219" s="114">
        <v>0</v>
      </c>
      <c r="AW219" s="114">
        <v>0</v>
      </c>
      <c r="AX219" s="114">
        <v>0</v>
      </c>
      <c r="AY219" s="114">
        <v>0</v>
      </c>
    </row>
    <row r="220" spans="1:51" x14ac:dyDescent="0.2">
      <c r="A220" s="113"/>
      <c r="B220" s="122">
        <v>12</v>
      </c>
      <c r="C220" s="110">
        <v>0</v>
      </c>
      <c r="D220" s="114">
        <v>0</v>
      </c>
      <c r="E220" s="114">
        <v>0</v>
      </c>
      <c r="F220" s="114">
        <v>0</v>
      </c>
      <c r="G220" s="114">
        <v>0</v>
      </c>
      <c r="H220" s="114">
        <v>0</v>
      </c>
      <c r="I220" s="114">
        <v>0</v>
      </c>
      <c r="J220" s="114">
        <v>0</v>
      </c>
      <c r="K220" s="114">
        <v>0</v>
      </c>
      <c r="L220" s="114">
        <v>0</v>
      </c>
      <c r="M220" s="114">
        <v>0</v>
      </c>
      <c r="N220" s="114">
        <v>0</v>
      </c>
      <c r="O220" s="114">
        <v>0</v>
      </c>
      <c r="P220" s="114">
        <v>0</v>
      </c>
      <c r="Q220" s="114">
        <v>0</v>
      </c>
      <c r="R220" s="114">
        <v>0</v>
      </c>
      <c r="S220" s="114">
        <v>0</v>
      </c>
      <c r="T220" s="114">
        <v>0</v>
      </c>
      <c r="U220" s="114">
        <v>0</v>
      </c>
      <c r="V220" s="114">
        <v>0</v>
      </c>
      <c r="W220" s="114">
        <v>0</v>
      </c>
      <c r="X220" s="114">
        <v>0</v>
      </c>
      <c r="Y220" s="114">
        <v>0</v>
      </c>
      <c r="Z220" s="114">
        <v>0</v>
      </c>
      <c r="AA220" s="114">
        <v>0</v>
      </c>
      <c r="AB220" s="114">
        <v>0</v>
      </c>
      <c r="AC220" s="114">
        <v>0</v>
      </c>
      <c r="AD220" s="114">
        <v>0</v>
      </c>
      <c r="AE220" s="114">
        <v>0</v>
      </c>
      <c r="AF220" s="114">
        <v>0</v>
      </c>
      <c r="AG220" s="114">
        <v>0</v>
      </c>
      <c r="AH220" s="114">
        <v>0</v>
      </c>
      <c r="AI220" s="114">
        <v>0</v>
      </c>
      <c r="AJ220" s="114">
        <v>0</v>
      </c>
      <c r="AK220" s="114">
        <v>0</v>
      </c>
      <c r="AL220" s="114">
        <v>0</v>
      </c>
      <c r="AM220" s="114">
        <v>0</v>
      </c>
      <c r="AN220" s="114">
        <v>0</v>
      </c>
      <c r="AO220" s="114">
        <v>0</v>
      </c>
      <c r="AP220" s="114">
        <v>0</v>
      </c>
      <c r="AQ220" s="114">
        <v>0</v>
      </c>
      <c r="AR220" s="114">
        <v>0</v>
      </c>
      <c r="AS220" s="114">
        <v>0</v>
      </c>
      <c r="AT220" s="114">
        <v>0</v>
      </c>
      <c r="AU220" s="114">
        <v>0</v>
      </c>
      <c r="AV220" s="114">
        <v>0</v>
      </c>
      <c r="AW220" s="114">
        <v>0</v>
      </c>
      <c r="AX220" s="114">
        <v>0</v>
      </c>
      <c r="AY220" s="114">
        <v>0</v>
      </c>
    </row>
    <row r="221" spans="1:51" x14ac:dyDescent="0.2">
      <c r="A221" s="113"/>
      <c r="B221" s="123">
        <v>13</v>
      </c>
      <c r="C221" s="110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4">
        <v>0</v>
      </c>
      <c r="AP221" s="114">
        <v>0</v>
      </c>
      <c r="AQ221" s="114">
        <v>0</v>
      </c>
      <c r="AR221" s="114">
        <v>0</v>
      </c>
      <c r="AS221" s="114">
        <v>0</v>
      </c>
      <c r="AT221" s="114">
        <v>0</v>
      </c>
      <c r="AU221" s="114">
        <v>0</v>
      </c>
      <c r="AV221" s="114">
        <v>0</v>
      </c>
      <c r="AW221" s="114">
        <v>0</v>
      </c>
      <c r="AX221" s="114">
        <v>0</v>
      </c>
      <c r="AY221" s="114">
        <v>0</v>
      </c>
    </row>
    <row r="222" spans="1:51" x14ac:dyDescent="0.2">
      <c r="A222" s="113"/>
      <c r="B222" s="123">
        <v>14</v>
      </c>
      <c r="C222" s="110">
        <v>0</v>
      </c>
      <c r="D222" s="114">
        <v>0</v>
      </c>
      <c r="E222" s="114">
        <v>0</v>
      </c>
      <c r="F222" s="114">
        <v>0</v>
      </c>
      <c r="G222" s="114">
        <v>0</v>
      </c>
      <c r="H222" s="114">
        <v>0</v>
      </c>
      <c r="I222" s="114">
        <v>0</v>
      </c>
      <c r="J222" s="114">
        <v>0</v>
      </c>
      <c r="K222" s="114">
        <v>0</v>
      </c>
      <c r="L222" s="114">
        <v>0</v>
      </c>
      <c r="M222" s="114">
        <v>0</v>
      </c>
      <c r="N222" s="114">
        <v>0</v>
      </c>
      <c r="O222" s="114">
        <v>0</v>
      </c>
      <c r="P222" s="114">
        <v>0</v>
      </c>
      <c r="Q222" s="114">
        <v>0</v>
      </c>
      <c r="R222" s="114">
        <v>0</v>
      </c>
      <c r="S222" s="114">
        <v>0</v>
      </c>
      <c r="T222" s="114">
        <v>0</v>
      </c>
      <c r="U222" s="114">
        <v>0</v>
      </c>
      <c r="V222" s="114">
        <v>0</v>
      </c>
      <c r="W222" s="114">
        <v>0</v>
      </c>
      <c r="X222" s="114">
        <v>0</v>
      </c>
      <c r="Y222" s="114">
        <v>0</v>
      </c>
      <c r="Z222" s="114">
        <v>0</v>
      </c>
      <c r="AA222" s="114">
        <v>0</v>
      </c>
      <c r="AB222" s="114">
        <v>0</v>
      </c>
      <c r="AC222" s="114">
        <v>0</v>
      </c>
      <c r="AD222" s="114">
        <v>0</v>
      </c>
      <c r="AE222" s="114">
        <v>0</v>
      </c>
      <c r="AF222" s="114">
        <v>0</v>
      </c>
      <c r="AG222" s="114">
        <v>0</v>
      </c>
      <c r="AH222" s="114">
        <v>0</v>
      </c>
      <c r="AI222" s="114">
        <v>0</v>
      </c>
      <c r="AJ222" s="114">
        <v>0</v>
      </c>
      <c r="AK222" s="114">
        <v>0</v>
      </c>
      <c r="AL222" s="114">
        <v>0</v>
      </c>
      <c r="AM222" s="114">
        <v>0</v>
      </c>
      <c r="AN222" s="114">
        <v>0</v>
      </c>
      <c r="AO222" s="114">
        <v>0</v>
      </c>
      <c r="AP222" s="114">
        <v>0</v>
      </c>
      <c r="AQ222" s="114">
        <v>0</v>
      </c>
      <c r="AR222" s="114">
        <v>0</v>
      </c>
      <c r="AS222" s="114">
        <v>0</v>
      </c>
      <c r="AT222" s="114">
        <v>0</v>
      </c>
      <c r="AU222" s="114">
        <v>0</v>
      </c>
      <c r="AV222" s="114">
        <v>0</v>
      </c>
      <c r="AW222" s="114">
        <v>0</v>
      </c>
      <c r="AX222" s="114">
        <v>0</v>
      </c>
      <c r="AY222" s="114">
        <v>0</v>
      </c>
    </row>
    <row r="223" spans="1:51" x14ac:dyDescent="0.2">
      <c r="A223" s="113"/>
      <c r="B223" s="123">
        <v>15</v>
      </c>
      <c r="C223" s="110">
        <v>0</v>
      </c>
      <c r="D223" s="114">
        <v>0</v>
      </c>
      <c r="E223" s="114">
        <v>0</v>
      </c>
      <c r="F223" s="114">
        <v>0</v>
      </c>
      <c r="G223" s="114">
        <v>0</v>
      </c>
      <c r="H223" s="114">
        <v>0</v>
      </c>
      <c r="I223" s="114">
        <v>0</v>
      </c>
      <c r="J223" s="114">
        <v>0</v>
      </c>
      <c r="K223" s="114">
        <v>0</v>
      </c>
      <c r="L223" s="114">
        <v>0</v>
      </c>
      <c r="M223" s="114">
        <v>0</v>
      </c>
      <c r="N223" s="114">
        <v>0</v>
      </c>
      <c r="O223" s="114">
        <v>0</v>
      </c>
      <c r="P223" s="114">
        <v>0</v>
      </c>
      <c r="Q223" s="114">
        <v>0</v>
      </c>
      <c r="R223" s="114">
        <v>0</v>
      </c>
      <c r="S223" s="114">
        <v>0</v>
      </c>
      <c r="T223" s="114">
        <v>0</v>
      </c>
      <c r="U223" s="114">
        <v>0</v>
      </c>
      <c r="V223" s="114">
        <v>0</v>
      </c>
      <c r="W223" s="114">
        <v>0</v>
      </c>
      <c r="X223" s="114">
        <v>0</v>
      </c>
      <c r="Y223" s="114">
        <v>0</v>
      </c>
      <c r="Z223" s="114">
        <v>0</v>
      </c>
      <c r="AA223" s="114">
        <v>0</v>
      </c>
      <c r="AB223" s="114">
        <v>0</v>
      </c>
      <c r="AC223" s="114">
        <v>0</v>
      </c>
      <c r="AD223" s="114">
        <v>0</v>
      </c>
      <c r="AE223" s="114">
        <v>0</v>
      </c>
      <c r="AF223" s="114">
        <v>0</v>
      </c>
      <c r="AG223" s="114">
        <v>0</v>
      </c>
      <c r="AH223" s="114">
        <v>0</v>
      </c>
      <c r="AI223" s="114">
        <v>0</v>
      </c>
      <c r="AJ223" s="114">
        <v>0</v>
      </c>
      <c r="AK223" s="114">
        <v>0</v>
      </c>
      <c r="AL223" s="114">
        <v>0</v>
      </c>
      <c r="AM223" s="114">
        <v>0</v>
      </c>
      <c r="AN223" s="114">
        <v>0</v>
      </c>
      <c r="AO223" s="114">
        <v>0</v>
      </c>
      <c r="AP223" s="114">
        <v>0</v>
      </c>
      <c r="AQ223" s="114">
        <v>0</v>
      </c>
      <c r="AR223" s="114">
        <v>0</v>
      </c>
      <c r="AS223" s="114">
        <v>0</v>
      </c>
      <c r="AT223" s="114">
        <v>0</v>
      </c>
      <c r="AU223" s="114">
        <v>0</v>
      </c>
      <c r="AV223" s="114">
        <v>0</v>
      </c>
      <c r="AW223" s="114">
        <v>0</v>
      </c>
      <c r="AX223" s="114">
        <v>0</v>
      </c>
      <c r="AY223" s="114">
        <v>0</v>
      </c>
    </row>
    <row r="224" spans="1:51" x14ac:dyDescent="0.2">
      <c r="A224" s="113"/>
      <c r="B224" s="123">
        <v>16</v>
      </c>
      <c r="C224" s="110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4">
        <v>0</v>
      </c>
      <c r="AP224" s="114">
        <v>0</v>
      </c>
      <c r="AQ224" s="114">
        <v>0</v>
      </c>
      <c r="AR224" s="114">
        <v>0</v>
      </c>
      <c r="AS224" s="114">
        <v>0</v>
      </c>
      <c r="AT224" s="114">
        <v>0</v>
      </c>
      <c r="AU224" s="114">
        <v>0</v>
      </c>
      <c r="AV224" s="114">
        <v>0</v>
      </c>
      <c r="AW224" s="114">
        <v>0</v>
      </c>
      <c r="AX224" s="114">
        <v>0</v>
      </c>
      <c r="AY224" s="114">
        <v>0</v>
      </c>
    </row>
    <row r="225" spans="1:51" x14ac:dyDescent="0.2">
      <c r="A225" s="113"/>
      <c r="B225" s="123">
        <v>17</v>
      </c>
      <c r="C225" s="110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4">
        <v>0</v>
      </c>
      <c r="AP225" s="114">
        <v>0</v>
      </c>
      <c r="AQ225" s="114">
        <v>0</v>
      </c>
      <c r="AR225" s="114">
        <v>0</v>
      </c>
      <c r="AS225" s="114">
        <v>0</v>
      </c>
      <c r="AT225" s="114">
        <v>0</v>
      </c>
      <c r="AU225" s="114">
        <v>0</v>
      </c>
      <c r="AV225" s="114">
        <v>0</v>
      </c>
      <c r="AW225" s="114">
        <v>0</v>
      </c>
      <c r="AX225" s="114">
        <v>0</v>
      </c>
      <c r="AY225" s="114">
        <v>0</v>
      </c>
    </row>
    <row r="226" spans="1:51" x14ac:dyDescent="0.2">
      <c r="A226" s="113"/>
      <c r="B226" s="123">
        <v>18</v>
      </c>
      <c r="C226" s="110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4">
        <v>0</v>
      </c>
      <c r="AP226" s="114">
        <v>0</v>
      </c>
      <c r="AQ226" s="114">
        <v>0</v>
      </c>
      <c r="AR226" s="114">
        <v>0</v>
      </c>
      <c r="AS226" s="114">
        <v>0</v>
      </c>
      <c r="AT226" s="114">
        <v>0</v>
      </c>
      <c r="AU226" s="114">
        <v>0</v>
      </c>
      <c r="AV226" s="114">
        <v>0</v>
      </c>
      <c r="AW226" s="114">
        <v>0</v>
      </c>
      <c r="AX226" s="114">
        <v>0</v>
      </c>
      <c r="AY226" s="114">
        <v>0</v>
      </c>
    </row>
    <row r="227" spans="1:51" x14ac:dyDescent="0.2">
      <c r="A227" s="113"/>
      <c r="B227" s="123">
        <v>19</v>
      </c>
      <c r="C227" s="110">
        <v>0</v>
      </c>
      <c r="D227" s="114">
        <v>0</v>
      </c>
      <c r="E227" s="114">
        <v>0</v>
      </c>
      <c r="F227" s="114">
        <v>0</v>
      </c>
      <c r="G227" s="114">
        <v>0</v>
      </c>
      <c r="H227" s="114">
        <v>0</v>
      </c>
      <c r="I227" s="114">
        <v>0</v>
      </c>
      <c r="J227" s="114">
        <v>0</v>
      </c>
      <c r="K227" s="114">
        <v>0</v>
      </c>
      <c r="L227" s="114">
        <v>0</v>
      </c>
      <c r="M227" s="114">
        <v>0</v>
      </c>
      <c r="N227" s="114">
        <v>0</v>
      </c>
      <c r="O227" s="114">
        <v>0</v>
      </c>
      <c r="P227" s="114">
        <v>0</v>
      </c>
      <c r="Q227" s="114">
        <v>0</v>
      </c>
      <c r="R227" s="114">
        <v>0</v>
      </c>
      <c r="S227" s="114">
        <v>0</v>
      </c>
      <c r="T227" s="114">
        <v>0</v>
      </c>
      <c r="U227" s="114">
        <v>0</v>
      </c>
      <c r="V227" s="114">
        <v>0</v>
      </c>
      <c r="W227" s="114">
        <v>0</v>
      </c>
      <c r="X227" s="114">
        <v>0</v>
      </c>
      <c r="Y227" s="114">
        <v>0</v>
      </c>
      <c r="Z227" s="114">
        <v>0</v>
      </c>
      <c r="AA227" s="114">
        <v>0</v>
      </c>
      <c r="AB227" s="114">
        <v>0</v>
      </c>
      <c r="AC227" s="114">
        <v>0</v>
      </c>
      <c r="AD227" s="114">
        <v>0</v>
      </c>
      <c r="AE227" s="114">
        <v>0</v>
      </c>
      <c r="AF227" s="114">
        <v>0</v>
      </c>
      <c r="AG227" s="114">
        <v>0</v>
      </c>
      <c r="AH227" s="114">
        <v>0</v>
      </c>
      <c r="AI227" s="114">
        <v>0</v>
      </c>
      <c r="AJ227" s="114">
        <v>0</v>
      </c>
      <c r="AK227" s="114">
        <v>0</v>
      </c>
      <c r="AL227" s="114">
        <v>0</v>
      </c>
      <c r="AM227" s="114">
        <v>0</v>
      </c>
      <c r="AN227" s="114">
        <v>0</v>
      </c>
      <c r="AO227" s="114">
        <v>0</v>
      </c>
      <c r="AP227" s="114">
        <v>0</v>
      </c>
      <c r="AQ227" s="114">
        <v>0</v>
      </c>
      <c r="AR227" s="114">
        <v>0</v>
      </c>
      <c r="AS227" s="114">
        <v>0</v>
      </c>
      <c r="AT227" s="114">
        <v>0</v>
      </c>
      <c r="AU227" s="114">
        <v>0</v>
      </c>
      <c r="AV227" s="114">
        <v>0</v>
      </c>
      <c r="AW227" s="114">
        <v>0</v>
      </c>
      <c r="AX227" s="114">
        <v>0</v>
      </c>
      <c r="AY227" s="114">
        <v>0</v>
      </c>
    </row>
    <row r="228" spans="1:51" x14ac:dyDescent="0.2">
      <c r="A228" s="113"/>
      <c r="B228" s="123">
        <v>20</v>
      </c>
      <c r="C228" s="110">
        <v>0</v>
      </c>
      <c r="D228" s="114">
        <v>0</v>
      </c>
      <c r="E228" s="114">
        <v>0</v>
      </c>
      <c r="F228" s="114">
        <v>0</v>
      </c>
      <c r="G228" s="114">
        <v>0</v>
      </c>
      <c r="H228" s="114">
        <v>0</v>
      </c>
      <c r="I228" s="114">
        <v>0</v>
      </c>
      <c r="J228" s="114">
        <v>0</v>
      </c>
      <c r="K228" s="114">
        <v>0</v>
      </c>
      <c r="L228" s="114">
        <v>0</v>
      </c>
      <c r="M228" s="114">
        <v>0</v>
      </c>
      <c r="N228" s="114">
        <v>0</v>
      </c>
      <c r="O228" s="114">
        <v>0</v>
      </c>
      <c r="P228" s="114">
        <v>0</v>
      </c>
      <c r="Q228" s="114">
        <v>0</v>
      </c>
      <c r="R228" s="114">
        <v>0</v>
      </c>
      <c r="S228" s="114">
        <v>0</v>
      </c>
      <c r="T228" s="114">
        <v>0</v>
      </c>
      <c r="U228" s="114">
        <v>0</v>
      </c>
      <c r="V228" s="114">
        <v>0</v>
      </c>
      <c r="W228" s="114">
        <v>0</v>
      </c>
      <c r="X228" s="114">
        <v>0</v>
      </c>
      <c r="Y228" s="114">
        <v>0</v>
      </c>
      <c r="Z228" s="114">
        <v>0</v>
      </c>
      <c r="AA228" s="114">
        <v>0</v>
      </c>
      <c r="AB228" s="114">
        <v>0</v>
      </c>
      <c r="AC228" s="114">
        <v>0</v>
      </c>
      <c r="AD228" s="114">
        <v>0</v>
      </c>
      <c r="AE228" s="114">
        <v>0</v>
      </c>
      <c r="AF228" s="114">
        <v>0</v>
      </c>
      <c r="AG228" s="114">
        <v>0</v>
      </c>
      <c r="AH228" s="114">
        <v>0</v>
      </c>
      <c r="AI228" s="114">
        <v>0</v>
      </c>
      <c r="AJ228" s="114">
        <v>0</v>
      </c>
      <c r="AK228" s="114">
        <v>0</v>
      </c>
      <c r="AL228" s="114">
        <v>0</v>
      </c>
      <c r="AM228" s="114">
        <v>0</v>
      </c>
      <c r="AN228" s="114">
        <v>0</v>
      </c>
      <c r="AO228" s="114">
        <v>0</v>
      </c>
      <c r="AP228" s="114">
        <v>0</v>
      </c>
      <c r="AQ228" s="114">
        <v>0</v>
      </c>
      <c r="AR228" s="114">
        <v>0</v>
      </c>
      <c r="AS228" s="114">
        <v>0</v>
      </c>
      <c r="AT228" s="114">
        <v>0</v>
      </c>
      <c r="AU228" s="114">
        <v>0</v>
      </c>
      <c r="AV228" s="114">
        <v>0</v>
      </c>
      <c r="AW228" s="114">
        <v>0</v>
      </c>
      <c r="AX228" s="114">
        <v>0</v>
      </c>
      <c r="AY228" s="114">
        <v>0</v>
      </c>
    </row>
    <row r="229" spans="1:51" x14ac:dyDescent="0.2">
      <c r="A229" s="113"/>
      <c r="B229" s="123">
        <v>21</v>
      </c>
      <c r="C229" s="110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4">
        <v>0</v>
      </c>
      <c r="AP229" s="114">
        <v>0</v>
      </c>
      <c r="AQ229" s="114">
        <v>0</v>
      </c>
      <c r="AR229" s="114">
        <v>0</v>
      </c>
      <c r="AS229" s="114">
        <v>0</v>
      </c>
      <c r="AT229" s="114">
        <v>0</v>
      </c>
      <c r="AU229" s="114">
        <v>0</v>
      </c>
      <c r="AV229" s="114">
        <v>0</v>
      </c>
      <c r="AW229" s="114">
        <v>0</v>
      </c>
      <c r="AX229" s="114">
        <v>0</v>
      </c>
      <c r="AY229" s="114">
        <v>0</v>
      </c>
    </row>
    <row r="230" spans="1:51" x14ac:dyDescent="0.2">
      <c r="A230" s="113"/>
      <c r="B230" s="123">
        <v>22</v>
      </c>
      <c r="C230" s="110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4">
        <v>0</v>
      </c>
      <c r="AP230" s="114">
        <v>0</v>
      </c>
      <c r="AQ230" s="114">
        <v>0</v>
      </c>
      <c r="AR230" s="114">
        <v>0</v>
      </c>
      <c r="AS230" s="114">
        <v>0</v>
      </c>
      <c r="AT230" s="114">
        <v>0</v>
      </c>
      <c r="AU230" s="114">
        <v>0</v>
      </c>
      <c r="AV230" s="114">
        <v>0</v>
      </c>
      <c r="AW230" s="114">
        <v>0</v>
      </c>
      <c r="AX230" s="114">
        <v>0</v>
      </c>
      <c r="AY230" s="114">
        <v>0</v>
      </c>
    </row>
    <row r="231" spans="1:51" x14ac:dyDescent="0.2">
      <c r="A231" s="113"/>
      <c r="B231" s="123">
        <v>23</v>
      </c>
      <c r="C231" s="110">
        <v>0</v>
      </c>
      <c r="D231" s="114">
        <v>0</v>
      </c>
      <c r="E231" s="114">
        <v>0</v>
      </c>
      <c r="F231" s="114">
        <v>0</v>
      </c>
      <c r="G231" s="114">
        <v>0</v>
      </c>
      <c r="H231" s="114">
        <v>0</v>
      </c>
      <c r="I231" s="114">
        <v>0</v>
      </c>
      <c r="J231" s="114">
        <v>0</v>
      </c>
      <c r="K231" s="114">
        <v>0</v>
      </c>
      <c r="L231" s="114">
        <v>0</v>
      </c>
      <c r="M231" s="114">
        <v>0</v>
      </c>
      <c r="N231" s="114">
        <v>0</v>
      </c>
      <c r="O231" s="114">
        <v>0</v>
      </c>
      <c r="P231" s="114">
        <v>0</v>
      </c>
      <c r="Q231" s="114">
        <v>0</v>
      </c>
      <c r="R231" s="114">
        <v>0</v>
      </c>
      <c r="S231" s="114">
        <v>0</v>
      </c>
      <c r="T231" s="114">
        <v>0</v>
      </c>
      <c r="U231" s="114">
        <v>0</v>
      </c>
      <c r="V231" s="114">
        <v>0</v>
      </c>
      <c r="W231" s="114">
        <v>0</v>
      </c>
      <c r="X231" s="114">
        <v>0</v>
      </c>
      <c r="Y231" s="114">
        <v>0</v>
      </c>
      <c r="Z231" s="114">
        <v>0</v>
      </c>
      <c r="AA231" s="114">
        <v>0</v>
      </c>
      <c r="AB231" s="114">
        <v>0</v>
      </c>
      <c r="AC231" s="114">
        <v>0</v>
      </c>
      <c r="AD231" s="114">
        <v>0</v>
      </c>
      <c r="AE231" s="114">
        <v>0</v>
      </c>
      <c r="AF231" s="114">
        <v>0</v>
      </c>
      <c r="AG231" s="114">
        <v>0</v>
      </c>
      <c r="AH231" s="114">
        <v>0</v>
      </c>
      <c r="AI231" s="114">
        <v>0</v>
      </c>
      <c r="AJ231" s="114">
        <v>0</v>
      </c>
      <c r="AK231" s="114">
        <v>0</v>
      </c>
      <c r="AL231" s="114">
        <v>0</v>
      </c>
      <c r="AM231" s="114">
        <v>0</v>
      </c>
      <c r="AN231" s="114">
        <v>0</v>
      </c>
      <c r="AO231" s="114">
        <v>0</v>
      </c>
      <c r="AP231" s="114">
        <v>0</v>
      </c>
      <c r="AQ231" s="114">
        <v>0</v>
      </c>
      <c r="AR231" s="114">
        <v>0</v>
      </c>
      <c r="AS231" s="114">
        <v>0</v>
      </c>
      <c r="AT231" s="114">
        <v>0</v>
      </c>
      <c r="AU231" s="114">
        <v>0</v>
      </c>
      <c r="AV231" s="114">
        <v>0</v>
      </c>
      <c r="AW231" s="114">
        <v>0</v>
      </c>
      <c r="AX231" s="114">
        <v>0</v>
      </c>
      <c r="AY231" s="114">
        <v>0</v>
      </c>
    </row>
    <row r="232" spans="1:51" x14ac:dyDescent="0.2">
      <c r="A232" s="113"/>
      <c r="B232" s="123">
        <v>24</v>
      </c>
      <c r="C232" s="110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4">
        <v>0</v>
      </c>
      <c r="AP232" s="114">
        <v>0</v>
      </c>
      <c r="AQ232" s="114">
        <v>0</v>
      </c>
      <c r="AR232" s="114">
        <v>0</v>
      </c>
      <c r="AS232" s="114">
        <v>0</v>
      </c>
      <c r="AT232" s="114">
        <v>0</v>
      </c>
      <c r="AU232" s="114">
        <v>0</v>
      </c>
      <c r="AV232" s="114">
        <v>0</v>
      </c>
      <c r="AW232" s="114">
        <v>0</v>
      </c>
      <c r="AX232" s="114">
        <v>0</v>
      </c>
      <c r="AY232" s="114">
        <v>0</v>
      </c>
    </row>
    <row r="233" spans="1:51" x14ac:dyDescent="0.2">
      <c r="A233" s="113"/>
      <c r="B233" s="130">
        <v>25</v>
      </c>
      <c r="C233" s="110">
        <v>0</v>
      </c>
      <c r="D233" s="114">
        <v>0</v>
      </c>
      <c r="E233" s="114">
        <v>0</v>
      </c>
      <c r="F233" s="114">
        <v>0</v>
      </c>
      <c r="G233" s="114">
        <v>0</v>
      </c>
      <c r="H233" s="114">
        <v>0</v>
      </c>
      <c r="I233" s="114">
        <v>0</v>
      </c>
      <c r="J233" s="114">
        <v>0</v>
      </c>
      <c r="K233" s="114">
        <v>0</v>
      </c>
      <c r="L233" s="114">
        <v>0</v>
      </c>
      <c r="M233" s="114">
        <v>0</v>
      </c>
      <c r="N233" s="114">
        <v>0</v>
      </c>
      <c r="O233" s="114">
        <v>0</v>
      </c>
      <c r="P233" s="114">
        <v>0</v>
      </c>
      <c r="Q233" s="114">
        <v>0</v>
      </c>
      <c r="R233" s="114">
        <v>0</v>
      </c>
      <c r="S233" s="114">
        <v>0</v>
      </c>
      <c r="T233" s="114">
        <v>0</v>
      </c>
      <c r="U233" s="114">
        <v>0</v>
      </c>
      <c r="V233" s="114">
        <v>0</v>
      </c>
      <c r="W233" s="114">
        <v>0</v>
      </c>
      <c r="X233" s="114">
        <v>0</v>
      </c>
      <c r="Y233" s="114">
        <v>0</v>
      </c>
      <c r="Z233" s="114">
        <v>0</v>
      </c>
      <c r="AA233" s="114">
        <v>0</v>
      </c>
      <c r="AB233" s="114">
        <v>0</v>
      </c>
      <c r="AC233" s="114">
        <v>0</v>
      </c>
      <c r="AD233" s="114">
        <v>0</v>
      </c>
      <c r="AE233" s="114">
        <v>0</v>
      </c>
      <c r="AF233" s="114">
        <v>0</v>
      </c>
      <c r="AG233" s="114">
        <v>0</v>
      </c>
      <c r="AH233" s="114">
        <v>0</v>
      </c>
      <c r="AI233" s="114">
        <v>0</v>
      </c>
      <c r="AJ233" s="114">
        <v>0</v>
      </c>
      <c r="AK233" s="114">
        <v>0</v>
      </c>
      <c r="AL233" s="114">
        <v>0</v>
      </c>
      <c r="AM233" s="114">
        <v>0</v>
      </c>
      <c r="AN233" s="114">
        <v>0</v>
      </c>
      <c r="AO233" s="114">
        <v>0</v>
      </c>
      <c r="AP233" s="114">
        <v>0</v>
      </c>
      <c r="AQ233" s="114">
        <v>0</v>
      </c>
      <c r="AR233" s="114">
        <v>0</v>
      </c>
      <c r="AS233" s="114">
        <v>0</v>
      </c>
      <c r="AT233" s="114">
        <v>0</v>
      </c>
      <c r="AU233" s="114">
        <v>0</v>
      </c>
      <c r="AV233" s="114">
        <v>0</v>
      </c>
      <c r="AW233" s="114">
        <v>0</v>
      </c>
      <c r="AX233" s="114">
        <v>0</v>
      </c>
      <c r="AY233" s="114">
        <v>0</v>
      </c>
    </row>
    <row r="234" spans="1:51" x14ac:dyDescent="0.2">
      <c r="A234" s="113"/>
      <c r="B234" s="130">
        <v>26</v>
      </c>
      <c r="C234" s="110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4">
        <v>0</v>
      </c>
      <c r="AP234" s="114">
        <v>0</v>
      </c>
      <c r="AQ234" s="114">
        <v>0</v>
      </c>
      <c r="AR234" s="114">
        <v>0</v>
      </c>
      <c r="AS234" s="114">
        <v>0</v>
      </c>
      <c r="AT234" s="114">
        <v>0</v>
      </c>
      <c r="AU234" s="114">
        <v>0</v>
      </c>
      <c r="AV234" s="114">
        <v>0</v>
      </c>
      <c r="AW234" s="114">
        <v>0</v>
      </c>
      <c r="AX234" s="114">
        <v>0</v>
      </c>
      <c r="AY234" s="114">
        <v>0</v>
      </c>
    </row>
    <row r="235" spans="1:51" x14ac:dyDescent="0.2">
      <c r="A235" s="113"/>
      <c r="B235" s="130">
        <v>27</v>
      </c>
      <c r="C235" s="110">
        <v>0</v>
      </c>
      <c r="D235" s="114">
        <v>0</v>
      </c>
      <c r="E235" s="114">
        <v>0</v>
      </c>
      <c r="F235" s="114">
        <v>0</v>
      </c>
      <c r="G235" s="114">
        <v>0</v>
      </c>
      <c r="H235" s="114">
        <v>0</v>
      </c>
      <c r="I235" s="114">
        <v>0</v>
      </c>
      <c r="J235" s="114">
        <v>0</v>
      </c>
      <c r="K235" s="114">
        <v>0</v>
      </c>
      <c r="L235" s="114">
        <v>0</v>
      </c>
      <c r="M235" s="114">
        <v>0</v>
      </c>
      <c r="N235" s="114">
        <v>0</v>
      </c>
      <c r="O235" s="114">
        <v>0</v>
      </c>
      <c r="P235" s="114">
        <v>0</v>
      </c>
      <c r="Q235" s="114">
        <v>0</v>
      </c>
      <c r="R235" s="114">
        <v>0</v>
      </c>
      <c r="S235" s="114">
        <v>0</v>
      </c>
      <c r="T235" s="114">
        <v>0</v>
      </c>
      <c r="U235" s="114">
        <v>0</v>
      </c>
      <c r="V235" s="114">
        <v>0</v>
      </c>
      <c r="W235" s="114">
        <v>0</v>
      </c>
      <c r="X235" s="114">
        <v>0</v>
      </c>
      <c r="Y235" s="114">
        <v>0</v>
      </c>
      <c r="Z235" s="114">
        <v>0</v>
      </c>
      <c r="AA235" s="114">
        <v>0</v>
      </c>
      <c r="AB235" s="114">
        <v>0</v>
      </c>
      <c r="AC235" s="114">
        <v>0</v>
      </c>
      <c r="AD235" s="114">
        <v>0</v>
      </c>
      <c r="AE235" s="114">
        <v>0</v>
      </c>
      <c r="AF235" s="114">
        <v>0</v>
      </c>
      <c r="AG235" s="114">
        <v>0</v>
      </c>
      <c r="AH235" s="114">
        <v>0</v>
      </c>
      <c r="AI235" s="114">
        <v>0</v>
      </c>
      <c r="AJ235" s="114">
        <v>0</v>
      </c>
      <c r="AK235" s="114">
        <v>0</v>
      </c>
      <c r="AL235" s="114">
        <v>0</v>
      </c>
      <c r="AM235" s="114">
        <v>0</v>
      </c>
      <c r="AN235" s="114">
        <v>0</v>
      </c>
      <c r="AO235" s="114">
        <v>0</v>
      </c>
      <c r="AP235" s="114">
        <v>0</v>
      </c>
      <c r="AQ235" s="114">
        <v>0</v>
      </c>
      <c r="AR235" s="114">
        <v>0</v>
      </c>
      <c r="AS235" s="114">
        <v>0</v>
      </c>
      <c r="AT235" s="114">
        <v>0</v>
      </c>
      <c r="AU235" s="114">
        <v>0</v>
      </c>
      <c r="AV235" s="114">
        <v>0</v>
      </c>
      <c r="AW235" s="114">
        <v>0</v>
      </c>
      <c r="AX235" s="114">
        <v>0</v>
      </c>
      <c r="AY235" s="114">
        <v>0</v>
      </c>
    </row>
    <row r="236" spans="1:51" x14ac:dyDescent="0.2">
      <c r="A236" s="113"/>
      <c r="B236" s="130">
        <v>28</v>
      </c>
      <c r="C236" s="110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4">
        <v>0</v>
      </c>
      <c r="AP236" s="114">
        <v>0</v>
      </c>
      <c r="AQ236" s="114">
        <v>0</v>
      </c>
      <c r="AR236" s="114">
        <v>0</v>
      </c>
      <c r="AS236" s="114">
        <v>0</v>
      </c>
      <c r="AT236" s="114">
        <v>0</v>
      </c>
      <c r="AU236" s="114">
        <v>0</v>
      </c>
      <c r="AV236" s="114">
        <v>0</v>
      </c>
      <c r="AW236" s="114">
        <v>0</v>
      </c>
      <c r="AX236" s="114">
        <v>0</v>
      </c>
      <c r="AY236" s="114">
        <v>0</v>
      </c>
    </row>
    <row r="237" spans="1:51" x14ac:dyDescent="0.2">
      <c r="A237" s="113"/>
      <c r="B237" s="130">
        <v>29</v>
      </c>
      <c r="C237" s="110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4">
        <v>0</v>
      </c>
      <c r="AP237" s="114">
        <v>0</v>
      </c>
      <c r="AQ237" s="114">
        <v>0</v>
      </c>
      <c r="AR237" s="114">
        <v>0</v>
      </c>
      <c r="AS237" s="114">
        <v>0</v>
      </c>
      <c r="AT237" s="114">
        <v>0</v>
      </c>
      <c r="AU237" s="114">
        <v>0</v>
      </c>
      <c r="AV237" s="114">
        <v>0</v>
      </c>
      <c r="AW237" s="114">
        <v>0</v>
      </c>
      <c r="AX237" s="114">
        <v>0</v>
      </c>
      <c r="AY237" s="114">
        <v>0</v>
      </c>
    </row>
    <row r="238" spans="1:51" x14ac:dyDescent="0.2">
      <c r="A238" s="113"/>
      <c r="B238" s="130">
        <v>30</v>
      </c>
      <c r="C238" s="110">
        <v>0</v>
      </c>
      <c r="D238" s="114">
        <v>0</v>
      </c>
      <c r="E238" s="114">
        <v>0</v>
      </c>
      <c r="F238" s="114">
        <v>0</v>
      </c>
      <c r="G238" s="114">
        <v>0</v>
      </c>
      <c r="H238" s="114">
        <v>0</v>
      </c>
      <c r="I238" s="114">
        <v>0</v>
      </c>
      <c r="J238" s="114">
        <v>0</v>
      </c>
      <c r="K238" s="114">
        <v>0</v>
      </c>
      <c r="L238" s="114">
        <v>0</v>
      </c>
      <c r="M238" s="114">
        <v>0</v>
      </c>
      <c r="N238" s="114">
        <v>0</v>
      </c>
      <c r="O238" s="114">
        <v>0</v>
      </c>
      <c r="P238" s="114">
        <v>0</v>
      </c>
      <c r="Q238" s="114">
        <v>0</v>
      </c>
      <c r="R238" s="114">
        <v>0</v>
      </c>
      <c r="S238" s="114">
        <v>0</v>
      </c>
      <c r="T238" s="114">
        <v>0</v>
      </c>
      <c r="U238" s="114">
        <v>0</v>
      </c>
      <c r="V238" s="114">
        <v>0</v>
      </c>
      <c r="W238" s="114">
        <v>0</v>
      </c>
      <c r="X238" s="114">
        <v>0</v>
      </c>
      <c r="Y238" s="114">
        <v>0</v>
      </c>
      <c r="Z238" s="114">
        <v>0</v>
      </c>
      <c r="AA238" s="114">
        <v>0</v>
      </c>
      <c r="AB238" s="114">
        <v>0</v>
      </c>
      <c r="AC238" s="114">
        <v>0</v>
      </c>
      <c r="AD238" s="114">
        <v>0</v>
      </c>
      <c r="AE238" s="114">
        <v>0</v>
      </c>
      <c r="AF238" s="114">
        <v>0</v>
      </c>
      <c r="AG238" s="114">
        <v>0</v>
      </c>
      <c r="AH238" s="114">
        <v>0</v>
      </c>
      <c r="AI238" s="114">
        <v>0</v>
      </c>
      <c r="AJ238" s="114">
        <v>0</v>
      </c>
      <c r="AK238" s="114">
        <v>0</v>
      </c>
      <c r="AL238" s="114">
        <v>0</v>
      </c>
      <c r="AM238" s="114">
        <v>0</v>
      </c>
      <c r="AN238" s="114">
        <v>0</v>
      </c>
      <c r="AO238" s="114">
        <v>0</v>
      </c>
      <c r="AP238" s="114">
        <v>0</v>
      </c>
      <c r="AQ238" s="114">
        <v>0</v>
      </c>
      <c r="AR238" s="114">
        <v>0</v>
      </c>
      <c r="AS238" s="114">
        <v>0</v>
      </c>
      <c r="AT238" s="114">
        <v>0</v>
      </c>
      <c r="AU238" s="114">
        <v>0</v>
      </c>
      <c r="AV238" s="114">
        <v>0</v>
      </c>
      <c r="AW238" s="114">
        <v>0</v>
      </c>
      <c r="AX238" s="114">
        <v>0</v>
      </c>
      <c r="AY238" s="114">
        <v>0</v>
      </c>
    </row>
    <row r="239" spans="1:51" x14ac:dyDescent="0.2">
      <c r="A239" s="113"/>
      <c r="B239" s="130">
        <v>31</v>
      </c>
      <c r="C239" s="110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4">
        <v>0</v>
      </c>
      <c r="AP239" s="114">
        <v>0</v>
      </c>
      <c r="AQ239" s="114">
        <v>0</v>
      </c>
      <c r="AR239" s="114">
        <v>0</v>
      </c>
      <c r="AS239" s="114">
        <v>0</v>
      </c>
      <c r="AT239" s="114">
        <v>0</v>
      </c>
      <c r="AU239" s="114">
        <v>0</v>
      </c>
      <c r="AV239" s="114">
        <v>0</v>
      </c>
      <c r="AW239" s="114">
        <v>0</v>
      </c>
      <c r="AX239" s="114">
        <v>0</v>
      </c>
      <c r="AY239" s="114">
        <v>0</v>
      </c>
    </row>
    <row r="240" spans="1:51" x14ac:dyDescent="0.2">
      <c r="A240" s="113"/>
      <c r="B240" s="130">
        <v>32</v>
      </c>
      <c r="C240" s="110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4">
        <v>0</v>
      </c>
      <c r="AP240" s="114">
        <v>0</v>
      </c>
      <c r="AQ240" s="114">
        <v>0</v>
      </c>
      <c r="AR240" s="114">
        <v>0</v>
      </c>
      <c r="AS240" s="114">
        <v>0</v>
      </c>
      <c r="AT240" s="114">
        <v>0</v>
      </c>
      <c r="AU240" s="114">
        <v>0</v>
      </c>
      <c r="AV240" s="114">
        <v>0</v>
      </c>
      <c r="AW240" s="114">
        <v>0</v>
      </c>
      <c r="AX240" s="114">
        <v>0</v>
      </c>
      <c r="AY240" s="114">
        <v>0</v>
      </c>
    </row>
    <row r="241" spans="1:51" x14ac:dyDescent="0.2">
      <c r="A241" s="113"/>
      <c r="B241" s="130">
        <v>33</v>
      </c>
      <c r="C241" s="110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4">
        <v>0</v>
      </c>
      <c r="AP241" s="114">
        <v>0</v>
      </c>
      <c r="AQ241" s="114">
        <v>0</v>
      </c>
      <c r="AR241" s="114">
        <v>0</v>
      </c>
      <c r="AS241" s="114">
        <v>0</v>
      </c>
      <c r="AT241" s="114">
        <v>0</v>
      </c>
      <c r="AU241" s="114">
        <v>0</v>
      </c>
      <c r="AV241" s="114">
        <v>0</v>
      </c>
      <c r="AW241" s="114">
        <v>0</v>
      </c>
      <c r="AX241" s="114">
        <v>0</v>
      </c>
      <c r="AY241" s="114">
        <v>0</v>
      </c>
    </row>
    <row r="242" spans="1:51" x14ac:dyDescent="0.2">
      <c r="A242" s="113"/>
      <c r="B242" s="130">
        <v>34</v>
      </c>
      <c r="C242" s="110">
        <v>0</v>
      </c>
      <c r="D242" s="114">
        <v>0</v>
      </c>
      <c r="E242" s="114">
        <v>0</v>
      </c>
      <c r="F242" s="114">
        <v>0</v>
      </c>
      <c r="G242" s="114">
        <v>0</v>
      </c>
      <c r="H242" s="114">
        <v>0</v>
      </c>
      <c r="I242" s="114">
        <v>0</v>
      </c>
      <c r="J242" s="114">
        <v>0</v>
      </c>
      <c r="K242" s="114">
        <v>0</v>
      </c>
      <c r="L242" s="114">
        <v>0</v>
      </c>
      <c r="M242" s="114">
        <v>0</v>
      </c>
      <c r="N242" s="114">
        <v>0</v>
      </c>
      <c r="O242" s="114">
        <v>0</v>
      </c>
      <c r="P242" s="114">
        <v>0</v>
      </c>
      <c r="Q242" s="114">
        <v>0</v>
      </c>
      <c r="R242" s="114">
        <v>0</v>
      </c>
      <c r="S242" s="114">
        <v>0</v>
      </c>
      <c r="T242" s="114">
        <v>0</v>
      </c>
      <c r="U242" s="114">
        <v>0</v>
      </c>
      <c r="V242" s="114">
        <v>0</v>
      </c>
      <c r="W242" s="114">
        <v>0</v>
      </c>
      <c r="X242" s="114">
        <v>0</v>
      </c>
      <c r="Y242" s="114">
        <v>0</v>
      </c>
      <c r="Z242" s="114">
        <v>0</v>
      </c>
      <c r="AA242" s="114">
        <v>0</v>
      </c>
      <c r="AB242" s="114">
        <v>0</v>
      </c>
      <c r="AC242" s="114">
        <v>0</v>
      </c>
      <c r="AD242" s="114">
        <v>0</v>
      </c>
      <c r="AE242" s="114">
        <v>0</v>
      </c>
      <c r="AF242" s="114">
        <v>0</v>
      </c>
      <c r="AG242" s="114">
        <v>0</v>
      </c>
      <c r="AH242" s="114">
        <v>0</v>
      </c>
      <c r="AI242" s="114">
        <v>0</v>
      </c>
      <c r="AJ242" s="114">
        <v>0</v>
      </c>
      <c r="AK242" s="114">
        <v>0</v>
      </c>
      <c r="AL242" s="114">
        <v>0</v>
      </c>
      <c r="AM242" s="114">
        <v>0</v>
      </c>
      <c r="AN242" s="114">
        <v>0</v>
      </c>
      <c r="AO242" s="114">
        <v>0</v>
      </c>
      <c r="AP242" s="114">
        <v>0</v>
      </c>
      <c r="AQ242" s="114">
        <v>0</v>
      </c>
      <c r="AR242" s="114">
        <v>0</v>
      </c>
      <c r="AS242" s="114">
        <v>0</v>
      </c>
      <c r="AT242" s="114">
        <v>0</v>
      </c>
      <c r="AU242" s="114">
        <v>0</v>
      </c>
      <c r="AV242" s="114">
        <v>0</v>
      </c>
      <c r="AW242" s="114">
        <v>0</v>
      </c>
      <c r="AX242" s="114">
        <v>0</v>
      </c>
      <c r="AY242" s="114">
        <v>0</v>
      </c>
    </row>
    <row r="243" spans="1:51" x14ac:dyDescent="0.2">
      <c r="A243" s="113"/>
      <c r="B243" s="130">
        <v>35</v>
      </c>
      <c r="C243" s="110">
        <v>0</v>
      </c>
      <c r="D243" s="114">
        <v>0</v>
      </c>
      <c r="E243" s="114">
        <v>0</v>
      </c>
      <c r="F243" s="114">
        <v>0</v>
      </c>
      <c r="G243" s="114">
        <v>0</v>
      </c>
      <c r="H243" s="114">
        <v>0</v>
      </c>
      <c r="I243" s="114">
        <v>0</v>
      </c>
      <c r="J243" s="114">
        <v>0</v>
      </c>
      <c r="K243" s="114">
        <v>0</v>
      </c>
      <c r="L243" s="114">
        <v>0</v>
      </c>
      <c r="M243" s="114">
        <v>0</v>
      </c>
      <c r="N243" s="114">
        <v>0</v>
      </c>
      <c r="O243" s="114">
        <v>0</v>
      </c>
      <c r="P243" s="114">
        <v>0</v>
      </c>
      <c r="Q243" s="114">
        <v>0</v>
      </c>
      <c r="R243" s="114">
        <v>0</v>
      </c>
      <c r="S243" s="114">
        <v>0</v>
      </c>
      <c r="T243" s="114">
        <v>0</v>
      </c>
      <c r="U243" s="114">
        <v>0</v>
      </c>
      <c r="V243" s="114">
        <v>0</v>
      </c>
      <c r="W243" s="114">
        <v>0</v>
      </c>
      <c r="X243" s="114">
        <v>0</v>
      </c>
      <c r="Y243" s="114">
        <v>0</v>
      </c>
      <c r="Z243" s="114">
        <v>0</v>
      </c>
      <c r="AA243" s="114">
        <v>0</v>
      </c>
      <c r="AB243" s="114">
        <v>0</v>
      </c>
      <c r="AC243" s="114">
        <v>0</v>
      </c>
      <c r="AD243" s="114">
        <v>0</v>
      </c>
      <c r="AE243" s="114">
        <v>0</v>
      </c>
      <c r="AF243" s="114">
        <v>0</v>
      </c>
      <c r="AG243" s="114">
        <v>0</v>
      </c>
      <c r="AH243" s="114">
        <v>0</v>
      </c>
      <c r="AI243" s="114">
        <v>0</v>
      </c>
      <c r="AJ243" s="114">
        <v>0</v>
      </c>
      <c r="AK243" s="114">
        <v>0</v>
      </c>
      <c r="AL243" s="114">
        <v>0</v>
      </c>
      <c r="AM243" s="114">
        <v>0</v>
      </c>
      <c r="AN243" s="114">
        <v>0</v>
      </c>
      <c r="AO243" s="114">
        <v>0</v>
      </c>
      <c r="AP243" s="114">
        <v>0</v>
      </c>
      <c r="AQ243" s="114">
        <v>0</v>
      </c>
      <c r="AR243" s="114">
        <v>0</v>
      </c>
      <c r="AS243" s="114">
        <v>0</v>
      </c>
      <c r="AT243" s="114">
        <v>0</v>
      </c>
      <c r="AU243" s="114">
        <v>0</v>
      </c>
      <c r="AV243" s="114">
        <v>0</v>
      </c>
      <c r="AW243" s="114">
        <v>0</v>
      </c>
      <c r="AX243" s="114">
        <v>0</v>
      </c>
      <c r="AY243" s="114">
        <v>0</v>
      </c>
    </row>
    <row r="244" spans="1:51" x14ac:dyDescent="0.2">
      <c r="A244" s="113"/>
      <c r="B244" s="130">
        <v>36</v>
      </c>
      <c r="C244" s="110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4">
        <v>0</v>
      </c>
      <c r="AP244" s="114">
        <v>0</v>
      </c>
      <c r="AQ244" s="114">
        <v>0</v>
      </c>
      <c r="AR244" s="114">
        <v>0</v>
      </c>
      <c r="AS244" s="114">
        <v>0</v>
      </c>
      <c r="AT244" s="114">
        <v>0</v>
      </c>
      <c r="AU244" s="114">
        <v>0</v>
      </c>
      <c r="AV244" s="114">
        <v>0</v>
      </c>
      <c r="AW244" s="114">
        <v>0</v>
      </c>
      <c r="AX244" s="114">
        <v>0</v>
      </c>
      <c r="AY244" s="114">
        <v>0</v>
      </c>
    </row>
    <row r="245" spans="1:51" x14ac:dyDescent="0.2">
      <c r="A245" s="113"/>
      <c r="B245" s="133">
        <v>37</v>
      </c>
      <c r="C245" s="110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4">
        <v>0</v>
      </c>
      <c r="AP245" s="114">
        <v>0</v>
      </c>
      <c r="AQ245" s="114">
        <v>0</v>
      </c>
      <c r="AR245" s="114">
        <v>0</v>
      </c>
      <c r="AS245" s="114">
        <v>0</v>
      </c>
      <c r="AT245" s="114">
        <v>0</v>
      </c>
      <c r="AU245" s="114">
        <v>0</v>
      </c>
      <c r="AV245" s="114">
        <v>0</v>
      </c>
      <c r="AW245" s="114">
        <v>0</v>
      </c>
      <c r="AX245" s="114">
        <v>0</v>
      </c>
      <c r="AY245" s="114">
        <v>0</v>
      </c>
    </row>
    <row r="246" spans="1:51" x14ac:dyDescent="0.2">
      <c r="A246" s="113"/>
      <c r="B246" s="133">
        <v>38</v>
      </c>
      <c r="C246" s="110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4">
        <v>0</v>
      </c>
      <c r="AP246" s="114">
        <v>0</v>
      </c>
      <c r="AQ246" s="114">
        <v>0</v>
      </c>
      <c r="AR246" s="114">
        <v>0</v>
      </c>
      <c r="AS246" s="114">
        <v>0</v>
      </c>
      <c r="AT246" s="114">
        <v>0</v>
      </c>
      <c r="AU246" s="114">
        <v>0</v>
      </c>
      <c r="AV246" s="114">
        <v>0</v>
      </c>
      <c r="AW246" s="114">
        <v>0</v>
      </c>
      <c r="AX246" s="114">
        <v>0</v>
      </c>
      <c r="AY246" s="114">
        <v>0</v>
      </c>
    </row>
    <row r="247" spans="1:51" x14ac:dyDescent="0.2">
      <c r="A247" s="113"/>
      <c r="B247" s="133">
        <v>39</v>
      </c>
      <c r="C247" s="110">
        <v>0</v>
      </c>
      <c r="D247" s="114">
        <v>0</v>
      </c>
      <c r="E247" s="114">
        <v>0</v>
      </c>
      <c r="F247" s="114">
        <v>0</v>
      </c>
      <c r="G247" s="114">
        <v>0</v>
      </c>
      <c r="H247" s="114">
        <v>0</v>
      </c>
      <c r="I247" s="114">
        <v>0</v>
      </c>
      <c r="J247" s="114">
        <v>0</v>
      </c>
      <c r="K247" s="114">
        <v>0</v>
      </c>
      <c r="L247" s="114">
        <v>0</v>
      </c>
      <c r="M247" s="114">
        <v>0</v>
      </c>
      <c r="N247" s="114">
        <v>0</v>
      </c>
      <c r="O247" s="114">
        <v>0</v>
      </c>
      <c r="P247" s="114">
        <v>0</v>
      </c>
      <c r="Q247" s="114">
        <v>0</v>
      </c>
      <c r="R247" s="114">
        <v>0</v>
      </c>
      <c r="S247" s="114">
        <v>0</v>
      </c>
      <c r="T247" s="114">
        <v>0</v>
      </c>
      <c r="U247" s="114">
        <v>0</v>
      </c>
      <c r="V247" s="114">
        <v>0</v>
      </c>
      <c r="W247" s="114">
        <v>0</v>
      </c>
      <c r="X247" s="114">
        <v>0</v>
      </c>
      <c r="Y247" s="114">
        <v>0</v>
      </c>
      <c r="Z247" s="114">
        <v>0</v>
      </c>
      <c r="AA247" s="114">
        <v>0</v>
      </c>
      <c r="AB247" s="114">
        <v>0</v>
      </c>
      <c r="AC247" s="114">
        <v>0</v>
      </c>
      <c r="AD247" s="114">
        <v>0</v>
      </c>
      <c r="AE247" s="114">
        <v>0</v>
      </c>
      <c r="AF247" s="114">
        <v>0</v>
      </c>
      <c r="AG247" s="114">
        <v>0</v>
      </c>
      <c r="AH247" s="114">
        <v>0</v>
      </c>
      <c r="AI247" s="114">
        <v>0</v>
      </c>
      <c r="AJ247" s="114">
        <v>0</v>
      </c>
      <c r="AK247" s="114">
        <v>0</v>
      </c>
      <c r="AL247" s="114">
        <v>0</v>
      </c>
      <c r="AM247" s="114">
        <v>0</v>
      </c>
      <c r="AN247" s="114">
        <v>0</v>
      </c>
      <c r="AO247" s="114">
        <v>0</v>
      </c>
      <c r="AP247" s="114">
        <v>0</v>
      </c>
      <c r="AQ247" s="114">
        <v>0</v>
      </c>
      <c r="AR247" s="114">
        <v>0</v>
      </c>
      <c r="AS247" s="114">
        <v>0</v>
      </c>
      <c r="AT247" s="114">
        <v>0</v>
      </c>
      <c r="AU247" s="114">
        <v>0</v>
      </c>
      <c r="AV247" s="114">
        <v>0</v>
      </c>
      <c r="AW247" s="114">
        <v>0</v>
      </c>
      <c r="AX247" s="114">
        <v>0</v>
      </c>
      <c r="AY247" s="114">
        <v>0</v>
      </c>
    </row>
    <row r="248" spans="1:51" x14ac:dyDescent="0.2">
      <c r="A248" s="113"/>
      <c r="B248" s="133">
        <v>40</v>
      </c>
      <c r="C248" s="110">
        <v>0</v>
      </c>
      <c r="D248" s="114">
        <v>0</v>
      </c>
      <c r="E248" s="114">
        <v>0</v>
      </c>
      <c r="F248" s="114">
        <v>0</v>
      </c>
      <c r="G248" s="114">
        <v>0</v>
      </c>
      <c r="H248" s="114">
        <v>0</v>
      </c>
      <c r="I248" s="114">
        <v>0</v>
      </c>
      <c r="J248" s="114">
        <v>0</v>
      </c>
      <c r="K248" s="114">
        <v>0</v>
      </c>
      <c r="L248" s="114">
        <v>0</v>
      </c>
      <c r="M248" s="114">
        <v>0</v>
      </c>
      <c r="N248" s="114">
        <v>0</v>
      </c>
      <c r="O248" s="114">
        <v>0</v>
      </c>
      <c r="P248" s="114">
        <v>0</v>
      </c>
      <c r="Q248" s="114">
        <v>0</v>
      </c>
      <c r="R248" s="114">
        <v>0</v>
      </c>
      <c r="S248" s="114">
        <v>0</v>
      </c>
      <c r="T248" s="114">
        <v>0</v>
      </c>
      <c r="U248" s="114">
        <v>0</v>
      </c>
      <c r="V248" s="114">
        <v>0</v>
      </c>
      <c r="W248" s="114">
        <v>0</v>
      </c>
      <c r="X248" s="114">
        <v>0</v>
      </c>
      <c r="Y248" s="114">
        <v>0</v>
      </c>
      <c r="Z248" s="114">
        <v>0</v>
      </c>
      <c r="AA248" s="114">
        <v>0</v>
      </c>
      <c r="AB248" s="114">
        <v>0</v>
      </c>
      <c r="AC248" s="114">
        <v>0</v>
      </c>
      <c r="AD248" s="114">
        <v>0</v>
      </c>
      <c r="AE248" s="114">
        <v>0</v>
      </c>
      <c r="AF248" s="114">
        <v>0</v>
      </c>
      <c r="AG248" s="114">
        <v>0</v>
      </c>
      <c r="AH248" s="114">
        <v>0</v>
      </c>
      <c r="AI248" s="114">
        <v>0</v>
      </c>
      <c r="AJ248" s="114">
        <v>0</v>
      </c>
      <c r="AK248" s="114">
        <v>0</v>
      </c>
      <c r="AL248" s="114">
        <v>0</v>
      </c>
      <c r="AM248" s="114">
        <v>0</v>
      </c>
      <c r="AN248" s="114">
        <v>0</v>
      </c>
      <c r="AO248" s="114">
        <v>0</v>
      </c>
      <c r="AP248" s="114">
        <v>0</v>
      </c>
      <c r="AQ248" s="114">
        <v>0</v>
      </c>
      <c r="AR248" s="114">
        <v>0</v>
      </c>
      <c r="AS248" s="114">
        <v>0</v>
      </c>
      <c r="AT248" s="114">
        <v>0</v>
      </c>
      <c r="AU248" s="114">
        <v>0</v>
      </c>
      <c r="AV248" s="114">
        <v>0</v>
      </c>
      <c r="AW248" s="114">
        <v>0</v>
      </c>
      <c r="AX248" s="114">
        <v>0</v>
      </c>
      <c r="AY248" s="114">
        <v>0</v>
      </c>
    </row>
    <row r="249" spans="1:51" x14ac:dyDescent="0.2">
      <c r="A249" s="113"/>
      <c r="B249" s="133">
        <v>41</v>
      </c>
      <c r="C249" s="110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4">
        <v>0</v>
      </c>
      <c r="AP249" s="114">
        <v>0</v>
      </c>
      <c r="AQ249" s="114">
        <v>0</v>
      </c>
      <c r="AR249" s="114">
        <v>0</v>
      </c>
      <c r="AS249" s="114">
        <v>0</v>
      </c>
      <c r="AT249" s="114">
        <v>0</v>
      </c>
      <c r="AU249" s="114">
        <v>0</v>
      </c>
      <c r="AV249" s="114">
        <v>0</v>
      </c>
      <c r="AW249" s="114">
        <v>0</v>
      </c>
      <c r="AX249" s="114">
        <v>0</v>
      </c>
      <c r="AY249" s="114">
        <v>0</v>
      </c>
    </row>
    <row r="250" spans="1:51" x14ac:dyDescent="0.2">
      <c r="A250" s="113"/>
      <c r="B250" s="133">
        <v>42</v>
      </c>
      <c r="C250" s="110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4">
        <v>0</v>
      </c>
      <c r="AP250" s="114">
        <v>0</v>
      </c>
      <c r="AQ250" s="114">
        <v>0</v>
      </c>
      <c r="AR250" s="114">
        <v>0</v>
      </c>
      <c r="AS250" s="114">
        <v>0</v>
      </c>
      <c r="AT250" s="114">
        <v>0</v>
      </c>
      <c r="AU250" s="114">
        <v>0</v>
      </c>
      <c r="AV250" s="114">
        <v>0</v>
      </c>
      <c r="AW250" s="114">
        <v>0</v>
      </c>
      <c r="AX250" s="114">
        <v>0</v>
      </c>
      <c r="AY250" s="114">
        <v>0</v>
      </c>
    </row>
    <row r="251" spans="1:51" x14ac:dyDescent="0.2">
      <c r="A251" s="113"/>
      <c r="B251" s="133">
        <v>43</v>
      </c>
      <c r="C251" s="110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4">
        <v>0</v>
      </c>
      <c r="AP251" s="114">
        <v>0</v>
      </c>
      <c r="AQ251" s="114">
        <v>0</v>
      </c>
      <c r="AR251" s="114">
        <v>0</v>
      </c>
      <c r="AS251" s="114">
        <v>0</v>
      </c>
      <c r="AT251" s="114">
        <v>0</v>
      </c>
      <c r="AU251" s="114">
        <v>0</v>
      </c>
      <c r="AV251" s="114">
        <v>0</v>
      </c>
      <c r="AW251" s="114">
        <v>0</v>
      </c>
      <c r="AX251" s="114">
        <v>0</v>
      </c>
      <c r="AY251" s="114">
        <v>0</v>
      </c>
    </row>
    <row r="252" spans="1:51" x14ac:dyDescent="0.2">
      <c r="A252" s="113"/>
      <c r="B252" s="133">
        <v>44</v>
      </c>
      <c r="C252" s="110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4">
        <v>0</v>
      </c>
      <c r="AP252" s="114">
        <v>0</v>
      </c>
      <c r="AQ252" s="114">
        <v>0</v>
      </c>
      <c r="AR252" s="114">
        <v>0</v>
      </c>
      <c r="AS252" s="114">
        <v>0</v>
      </c>
      <c r="AT252" s="114">
        <v>0</v>
      </c>
      <c r="AU252" s="114">
        <v>0</v>
      </c>
      <c r="AV252" s="114">
        <v>0</v>
      </c>
      <c r="AW252" s="114">
        <v>0</v>
      </c>
      <c r="AX252" s="114">
        <v>0</v>
      </c>
      <c r="AY252" s="114">
        <v>0</v>
      </c>
    </row>
    <row r="253" spans="1:51" x14ac:dyDescent="0.2">
      <c r="A253" s="113"/>
      <c r="B253" s="133">
        <v>45</v>
      </c>
      <c r="C253" s="110">
        <v>0</v>
      </c>
      <c r="D253" s="114">
        <v>0</v>
      </c>
      <c r="E253" s="114">
        <v>0</v>
      </c>
      <c r="F253" s="114">
        <v>0</v>
      </c>
      <c r="G253" s="114">
        <v>0</v>
      </c>
      <c r="H253" s="114">
        <v>0</v>
      </c>
      <c r="I253" s="114">
        <v>0</v>
      </c>
      <c r="J253" s="114">
        <v>0</v>
      </c>
      <c r="K253" s="114">
        <v>0</v>
      </c>
      <c r="L253" s="114">
        <v>0</v>
      </c>
      <c r="M253" s="114">
        <v>0</v>
      </c>
      <c r="N253" s="114">
        <v>0</v>
      </c>
      <c r="O253" s="114">
        <v>0</v>
      </c>
      <c r="P253" s="114">
        <v>0</v>
      </c>
      <c r="Q253" s="114">
        <v>0</v>
      </c>
      <c r="R253" s="114">
        <v>0</v>
      </c>
      <c r="S253" s="114">
        <v>0</v>
      </c>
      <c r="T253" s="114">
        <v>0</v>
      </c>
      <c r="U253" s="114">
        <v>0</v>
      </c>
      <c r="V253" s="114">
        <v>0</v>
      </c>
      <c r="W253" s="114">
        <v>0</v>
      </c>
      <c r="X253" s="114">
        <v>0</v>
      </c>
      <c r="Y253" s="114">
        <v>0</v>
      </c>
      <c r="Z253" s="114">
        <v>0</v>
      </c>
      <c r="AA253" s="114">
        <v>0</v>
      </c>
      <c r="AB253" s="114">
        <v>0</v>
      </c>
      <c r="AC253" s="114">
        <v>0</v>
      </c>
      <c r="AD253" s="114">
        <v>0</v>
      </c>
      <c r="AE253" s="114">
        <v>0</v>
      </c>
      <c r="AF253" s="114">
        <v>0</v>
      </c>
      <c r="AG253" s="114">
        <v>0</v>
      </c>
      <c r="AH253" s="114">
        <v>0</v>
      </c>
      <c r="AI253" s="114">
        <v>0</v>
      </c>
      <c r="AJ253" s="114">
        <v>0</v>
      </c>
      <c r="AK253" s="114">
        <v>0</v>
      </c>
      <c r="AL253" s="114">
        <v>0</v>
      </c>
      <c r="AM253" s="114">
        <v>0</v>
      </c>
      <c r="AN253" s="114">
        <v>0</v>
      </c>
      <c r="AO253" s="114">
        <v>0</v>
      </c>
      <c r="AP253" s="114">
        <v>0</v>
      </c>
      <c r="AQ253" s="114">
        <v>0</v>
      </c>
      <c r="AR253" s="114">
        <v>0</v>
      </c>
      <c r="AS253" s="114">
        <v>0</v>
      </c>
      <c r="AT253" s="114">
        <v>0</v>
      </c>
      <c r="AU253" s="114">
        <v>0</v>
      </c>
      <c r="AV253" s="114">
        <v>0</v>
      </c>
      <c r="AW253" s="114">
        <v>0</v>
      </c>
      <c r="AX253" s="114">
        <v>0</v>
      </c>
      <c r="AY253" s="114">
        <v>0</v>
      </c>
    </row>
    <row r="254" spans="1:51" x14ac:dyDescent="0.2">
      <c r="A254" s="113"/>
      <c r="B254" s="133">
        <v>46</v>
      </c>
      <c r="C254" s="110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4">
        <v>0</v>
      </c>
      <c r="AP254" s="114">
        <v>0</v>
      </c>
      <c r="AQ254" s="114">
        <v>0</v>
      </c>
      <c r="AR254" s="114">
        <v>0</v>
      </c>
      <c r="AS254" s="114">
        <v>0</v>
      </c>
      <c r="AT254" s="114">
        <v>0</v>
      </c>
      <c r="AU254" s="114">
        <v>0</v>
      </c>
      <c r="AV254" s="114">
        <v>0</v>
      </c>
      <c r="AW254" s="114">
        <v>0</v>
      </c>
      <c r="AX254" s="114">
        <v>0</v>
      </c>
      <c r="AY254" s="114">
        <v>0</v>
      </c>
    </row>
    <row r="255" spans="1:51" x14ac:dyDescent="0.2">
      <c r="A255" s="113"/>
      <c r="B255" s="133">
        <v>47</v>
      </c>
      <c r="C255" s="110">
        <v>0</v>
      </c>
      <c r="D255" s="114">
        <v>0</v>
      </c>
      <c r="E255" s="114">
        <v>0</v>
      </c>
      <c r="F255" s="114">
        <v>0</v>
      </c>
      <c r="G255" s="114">
        <v>0</v>
      </c>
      <c r="H255" s="114">
        <v>0</v>
      </c>
      <c r="I255" s="114">
        <v>0</v>
      </c>
      <c r="J255" s="114">
        <v>0</v>
      </c>
      <c r="K255" s="114">
        <v>0</v>
      </c>
      <c r="L255" s="114">
        <v>0</v>
      </c>
      <c r="M255" s="114">
        <v>0</v>
      </c>
      <c r="N255" s="114">
        <v>0</v>
      </c>
      <c r="O255" s="114">
        <v>0</v>
      </c>
      <c r="P255" s="114">
        <v>0</v>
      </c>
      <c r="Q255" s="114">
        <v>0</v>
      </c>
      <c r="R255" s="114">
        <v>0</v>
      </c>
      <c r="S255" s="114">
        <v>0</v>
      </c>
      <c r="T255" s="114">
        <v>0</v>
      </c>
      <c r="U255" s="114">
        <v>0</v>
      </c>
      <c r="V255" s="114">
        <v>0</v>
      </c>
      <c r="W255" s="114">
        <v>0</v>
      </c>
      <c r="X255" s="114">
        <v>0</v>
      </c>
      <c r="Y255" s="114">
        <v>0</v>
      </c>
      <c r="Z255" s="114">
        <v>0</v>
      </c>
      <c r="AA255" s="114">
        <v>0</v>
      </c>
      <c r="AB255" s="114">
        <v>0</v>
      </c>
      <c r="AC255" s="114">
        <v>0</v>
      </c>
      <c r="AD255" s="114">
        <v>0</v>
      </c>
      <c r="AE255" s="114">
        <v>0</v>
      </c>
      <c r="AF255" s="114">
        <v>0</v>
      </c>
      <c r="AG255" s="114">
        <v>0</v>
      </c>
      <c r="AH255" s="114">
        <v>0</v>
      </c>
      <c r="AI255" s="114">
        <v>0</v>
      </c>
      <c r="AJ255" s="114">
        <v>0</v>
      </c>
      <c r="AK255" s="114">
        <v>0</v>
      </c>
      <c r="AL255" s="114">
        <v>0</v>
      </c>
      <c r="AM255" s="114">
        <v>0</v>
      </c>
      <c r="AN255" s="114">
        <v>0</v>
      </c>
      <c r="AO255" s="114">
        <v>0</v>
      </c>
      <c r="AP255" s="114">
        <v>0</v>
      </c>
      <c r="AQ255" s="114">
        <v>0</v>
      </c>
      <c r="AR255" s="114">
        <v>0</v>
      </c>
      <c r="AS255" s="114">
        <v>0</v>
      </c>
      <c r="AT255" s="114">
        <v>0</v>
      </c>
      <c r="AU255" s="114">
        <v>0</v>
      </c>
      <c r="AV255" s="114">
        <v>0</v>
      </c>
      <c r="AW255" s="114">
        <v>0</v>
      </c>
      <c r="AX255" s="114">
        <v>0</v>
      </c>
      <c r="AY255" s="114">
        <v>0</v>
      </c>
    </row>
    <row r="256" spans="1:51" x14ac:dyDescent="0.2">
      <c r="A256" s="131"/>
      <c r="B256" s="132">
        <v>48</v>
      </c>
      <c r="C256" s="117">
        <v>0</v>
      </c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">
      <c r="A258" s="1" t="s">
        <v>301</v>
      </c>
    </row>
    <row r="259" spans="1:52" x14ac:dyDescent="0.2">
      <c r="A259" s="140" t="s">
        <v>124</v>
      </c>
      <c r="B259" s="141">
        <v>650</v>
      </c>
      <c r="C259" s="127" t="s">
        <v>293</v>
      </c>
      <c r="D259" s="127">
        <f>E$14*$B$259</f>
        <v>1049415.9897595975</v>
      </c>
      <c r="E259" s="127">
        <f t="shared" ref="E259:AX259" si="5">F$14*$B$259</f>
        <v>1573242.6104114982</v>
      </c>
      <c r="F259" s="127">
        <f t="shared" si="5"/>
        <v>1790811.9494402274</v>
      </c>
      <c r="G259" s="127">
        <f t="shared" si="5"/>
        <v>2053202.6111866259</v>
      </c>
      <c r="H259" s="127">
        <f t="shared" si="5"/>
        <v>2143231.9690617253</v>
      </c>
      <c r="I259" s="127">
        <f t="shared" si="5"/>
        <v>2111801.1694962173</v>
      </c>
      <c r="J259" s="127">
        <f t="shared" si="5"/>
        <v>2242502.2649793378</v>
      </c>
      <c r="K259" s="127">
        <f t="shared" si="5"/>
        <v>2194706.8831347865</v>
      </c>
      <c r="L259" s="127">
        <f t="shared" si="5"/>
        <v>2293914.4724524613</v>
      </c>
      <c r="M259" s="127">
        <f t="shared" si="5"/>
        <v>2316293.70938429</v>
      </c>
      <c r="N259" s="127">
        <f t="shared" si="5"/>
        <v>2284459.6170298043</v>
      </c>
      <c r="O259" s="127">
        <f t="shared" si="5"/>
        <v>2294276.2340110582</v>
      </c>
      <c r="P259" s="127">
        <f t="shared" si="5"/>
        <v>2301826.4115090738</v>
      </c>
      <c r="Q259" s="127">
        <f t="shared" si="5"/>
        <v>2210234.2110386272</v>
      </c>
      <c r="R259" s="127">
        <f t="shared" si="5"/>
        <v>2334259.3402508502</v>
      </c>
      <c r="S259" s="127">
        <f t="shared" si="5"/>
        <v>2320112.0258085602</v>
      </c>
      <c r="T259" s="127">
        <f t="shared" si="5"/>
        <v>2300353.1466428041</v>
      </c>
      <c r="U259" s="127">
        <f t="shared" si="5"/>
        <v>2318754.940694192</v>
      </c>
      <c r="V259" s="127">
        <f t="shared" si="5"/>
        <v>2290054.2449264321</v>
      </c>
      <c r="W259" s="127">
        <f t="shared" si="5"/>
        <v>2281526.2604625165</v>
      </c>
      <c r="X259" s="127">
        <f t="shared" si="5"/>
        <v>2289137.3084203433</v>
      </c>
      <c r="Y259" s="127">
        <f t="shared" si="5"/>
        <v>2197177.0235013128</v>
      </c>
      <c r="Z259" s="127">
        <f t="shared" si="5"/>
        <v>2299422.251900034</v>
      </c>
      <c r="AA259" s="127">
        <f t="shared" si="5"/>
        <v>2202931.8542417693</v>
      </c>
      <c r="AB259" s="127">
        <f t="shared" si="5"/>
        <v>2158748.5081494022</v>
      </c>
      <c r="AC259" s="127">
        <f t="shared" si="5"/>
        <v>2337539.3862929442</v>
      </c>
      <c r="AD259" s="127">
        <f t="shared" si="5"/>
        <v>2319553.3492806205</v>
      </c>
      <c r="AE259" s="127">
        <f t="shared" si="5"/>
        <v>2236266.7270379462</v>
      </c>
      <c r="AF259" s="127">
        <f t="shared" si="5"/>
        <v>2260809.4085935005</v>
      </c>
      <c r="AG259" s="127">
        <f t="shared" si="5"/>
        <v>2358598.6958791334</v>
      </c>
      <c r="AH259" s="127">
        <f t="shared" si="5"/>
        <v>2331798.6342487833</v>
      </c>
      <c r="AI259" s="127">
        <f t="shared" si="5"/>
        <v>2297586.3192212386</v>
      </c>
      <c r="AJ259" s="127">
        <f t="shared" si="5"/>
        <v>2276479.490291086</v>
      </c>
      <c r="AK259" s="127">
        <f t="shared" si="5"/>
        <v>2165372.4507351229</v>
      </c>
      <c r="AL259" s="127">
        <f t="shared" si="5"/>
        <v>2298724.1797776995</v>
      </c>
      <c r="AM259" s="127">
        <f t="shared" si="5"/>
        <v>2186814.7413217183</v>
      </c>
      <c r="AN259" s="127">
        <f t="shared" si="5"/>
        <v>2338345.7824170091</v>
      </c>
      <c r="AO259" s="127">
        <f t="shared" si="5"/>
        <v>2237900.8179439204</v>
      </c>
      <c r="AP259" s="127">
        <f t="shared" si="5"/>
        <v>2346457.4778460744</v>
      </c>
      <c r="AQ259" s="127">
        <f t="shared" si="5"/>
        <v>2301152.089407526</v>
      </c>
      <c r="AR259" s="127">
        <f t="shared" si="5"/>
        <v>2300607.6465820363</v>
      </c>
      <c r="AS259" s="127">
        <f t="shared" si="5"/>
        <v>2306960.3725910489</v>
      </c>
      <c r="AT259" s="127">
        <f t="shared" si="5"/>
        <v>2302928.9578317818</v>
      </c>
      <c r="AU259" s="127">
        <f t="shared" si="5"/>
        <v>2303678.7163860323</v>
      </c>
      <c r="AV259" s="127">
        <f t="shared" si="5"/>
        <v>2286728.9597426038</v>
      </c>
      <c r="AW259" s="127">
        <f t="shared" si="5"/>
        <v>2280487.8103116131</v>
      </c>
      <c r="AX259" s="127">
        <f t="shared" si="5"/>
        <v>2263423.8072789232</v>
      </c>
      <c r="AY259" s="127">
        <f>AZ$14*$B$259</f>
        <v>2171261.4303577798</v>
      </c>
      <c r="AZ259" s="142">
        <f>SUM($D259:$AY259)</f>
        <v>106361874.25926967</v>
      </c>
    </row>
    <row r="260" spans="1:52" x14ac:dyDescent="0.2">
      <c r="A260" s="143" t="s">
        <v>302</v>
      </c>
      <c r="B260" s="117">
        <v>60</v>
      </c>
      <c r="C260" s="128" t="s">
        <v>293</v>
      </c>
      <c r="D260" s="128">
        <f>(D$175-D$176+D$177-D$178+D$179-D$180+D$181-D$182)*$B$260</f>
        <v>1289551.1100310178</v>
      </c>
      <c r="E260" s="128">
        <f t="shared" ref="E260:AY260" si="6">(E$175-E$176+E$177-E$178+E$179-E$180+E$181-E$182)*$B$260</f>
        <v>1424739.7396794779</v>
      </c>
      <c r="F260" s="128">
        <f t="shared" si="6"/>
        <v>1534542.2785828956</v>
      </c>
      <c r="G260" s="128">
        <f t="shared" si="6"/>
        <v>1799016.3466653097</v>
      </c>
      <c r="H260" s="128">
        <f t="shared" si="6"/>
        <v>2059811.4200545452</v>
      </c>
      <c r="I260" s="128">
        <f t="shared" si="6"/>
        <v>2244944.8979696915</v>
      </c>
      <c r="J260" s="128">
        <f t="shared" si="6"/>
        <v>2483639.7909249845</v>
      </c>
      <c r="K260" s="128">
        <f t="shared" si="6"/>
        <v>2473711.6723260195</v>
      </c>
      <c r="L260" s="128">
        <f t="shared" si="6"/>
        <v>2469054.0486966963</v>
      </c>
      <c r="M260" s="128">
        <f t="shared" si="6"/>
        <v>2474548.2729799114</v>
      </c>
      <c r="N260" s="128">
        <f t="shared" si="6"/>
        <v>2475506.8045818647</v>
      </c>
      <c r="O260" s="128">
        <f t="shared" si="6"/>
        <v>2479520.6553220563</v>
      </c>
      <c r="P260" s="128">
        <f t="shared" si="6"/>
        <v>2463703.7158607007</v>
      </c>
      <c r="Q260" s="128">
        <f t="shared" si="6"/>
        <v>2483858.3805195112</v>
      </c>
      <c r="R260" s="128">
        <f t="shared" si="6"/>
        <v>2465509.9070537677</v>
      </c>
      <c r="S260" s="128">
        <f t="shared" si="6"/>
        <v>2479053.2622916661</v>
      </c>
      <c r="T260" s="128">
        <f t="shared" si="6"/>
        <v>2469119.7095406638</v>
      </c>
      <c r="U260" s="128">
        <f t="shared" si="6"/>
        <v>2483384.300120383</v>
      </c>
      <c r="V260" s="128">
        <f t="shared" si="6"/>
        <v>2470310.3773914059</v>
      </c>
      <c r="W260" s="128">
        <f t="shared" si="6"/>
        <v>2471501.6763975667</v>
      </c>
      <c r="X260" s="128">
        <f t="shared" si="6"/>
        <v>2469253.2515221266</v>
      </c>
      <c r="Y260" s="128">
        <f t="shared" si="6"/>
        <v>2479783.6593691092</v>
      </c>
      <c r="Z260" s="128">
        <f t="shared" si="6"/>
        <v>2482006.6135730166</v>
      </c>
      <c r="AA260" s="128">
        <f t="shared" si="6"/>
        <v>2475052.444223837</v>
      </c>
      <c r="AB260" s="128">
        <f t="shared" si="6"/>
        <v>2478650.9069400551</v>
      </c>
      <c r="AC260" s="128">
        <f t="shared" si="6"/>
        <v>2474567.1335729589</v>
      </c>
      <c r="AD260" s="128">
        <f t="shared" si="6"/>
        <v>2475027.3831433272</v>
      </c>
      <c r="AE260" s="128">
        <f t="shared" si="6"/>
        <v>2474135.3790426515</v>
      </c>
      <c r="AF260" s="128">
        <f t="shared" si="6"/>
        <v>2474989.9007452154</v>
      </c>
      <c r="AG260" s="128">
        <f t="shared" si="6"/>
        <v>2466323.1973034646</v>
      </c>
      <c r="AH260" s="128">
        <f t="shared" si="6"/>
        <v>2462977.0491462662</v>
      </c>
      <c r="AI260" s="128">
        <f t="shared" si="6"/>
        <v>2471576.4405288324</v>
      </c>
      <c r="AJ260" s="128">
        <f t="shared" si="6"/>
        <v>2470928.8857086287</v>
      </c>
      <c r="AK260" s="128">
        <f t="shared" si="6"/>
        <v>2481579.466085989</v>
      </c>
      <c r="AL260" s="128">
        <f t="shared" si="6"/>
        <v>2471921.8504645349</v>
      </c>
      <c r="AM260" s="128">
        <f t="shared" si="6"/>
        <v>2491540.1777241491</v>
      </c>
      <c r="AN260" s="128">
        <f t="shared" si="6"/>
        <v>2478917.2670805282</v>
      </c>
      <c r="AO260" s="128">
        <f t="shared" si="6"/>
        <v>2479024.5398820997</v>
      </c>
      <c r="AP260" s="128">
        <f t="shared" si="6"/>
        <v>2466005.2679794901</v>
      </c>
      <c r="AQ260" s="128">
        <f t="shared" si="6"/>
        <v>2461425.9609777667</v>
      </c>
      <c r="AR260" s="128">
        <f t="shared" si="6"/>
        <v>2475156.2172385808</v>
      </c>
      <c r="AS260" s="128">
        <f t="shared" si="6"/>
        <v>2463687.5392022338</v>
      </c>
      <c r="AT260" s="128">
        <f t="shared" si="6"/>
        <v>2471774.7405903428</v>
      </c>
      <c r="AU260" s="128">
        <f t="shared" si="6"/>
        <v>2482108.6677073156</v>
      </c>
      <c r="AV260" s="128">
        <f t="shared" si="6"/>
        <v>2471304.6388842477</v>
      </c>
      <c r="AW260" s="128">
        <f t="shared" si="6"/>
        <v>2464782.254259692</v>
      </c>
      <c r="AX260" s="128">
        <f t="shared" si="6"/>
        <v>2474479.6501174704</v>
      </c>
      <c r="AY260" s="128">
        <f t="shared" si="6"/>
        <v>2477915.8679669742</v>
      </c>
      <c r="AZ260" s="144">
        <f>SUM($D260:$AY260)</f>
        <v>114261924.71797104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11" t="s">
        <v>59</v>
      </c>
    </row>
    <row r="3" spans="1:54" x14ac:dyDescent="0.2">
      <c r="A3" t="s">
        <v>286</v>
      </c>
      <c r="B3" s="112">
        <v>46000</v>
      </c>
      <c r="C3" s="113"/>
    </row>
    <row r="4" spans="1:54" x14ac:dyDescent="0.2">
      <c r="B4" s="114"/>
      <c r="C4" s="114"/>
    </row>
    <row r="5" spans="1:54" x14ac:dyDescent="0.2">
      <c r="C5" s="9" t="s">
        <v>287</v>
      </c>
    </row>
    <row r="6" spans="1:54" x14ac:dyDescent="0.2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4" x14ac:dyDescent="0.2">
      <c r="B7" s="114"/>
      <c r="C7" s="116" t="s">
        <v>288</v>
      </c>
      <c r="D7" s="115" t="s">
        <v>289</v>
      </c>
      <c r="E7" s="115" t="s">
        <v>289</v>
      </c>
      <c r="F7" s="115" t="s">
        <v>289</v>
      </c>
      <c r="G7" s="115" t="s">
        <v>289</v>
      </c>
      <c r="H7" s="115" t="s">
        <v>289</v>
      </c>
      <c r="I7" s="115" t="s">
        <v>289</v>
      </c>
      <c r="J7" s="115" t="s">
        <v>289</v>
      </c>
      <c r="K7" s="115" t="s">
        <v>289</v>
      </c>
      <c r="L7" s="115" t="s">
        <v>289</v>
      </c>
      <c r="M7" s="115" t="s">
        <v>289</v>
      </c>
      <c r="N7" s="115" t="s">
        <v>289</v>
      </c>
      <c r="O7" s="115" t="s">
        <v>289</v>
      </c>
      <c r="P7" s="115" t="s">
        <v>289</v>
      </c>
      <c r="Q7" s="115" t="s">
        <v>289</v>
      </c>
      <c r="R7" s="115" t="s">
        <v>289</v>
      </c>
      <c r="S7" s="115" t="s">
        <v>289</v>
      </c>
      <c r="T7" s="115" t="s">
        <v>289</v>
      </c>
      <c r="U7" s="115" t="s">
        <v>289</v>
      </c>
      <c r="V7" s="115" t="s">
        <v>289</v>
      </c>
      <c r="W7" s="115" t="s">
        <v>289</v>
      </c>
      <c r="X7" s="115" t="s">
        <v>289</v>
      </c>
      <c r="Y7" s="115" t="s">
        <v>289</v>
      </c>
      <c r="Z7" s="115" t="s">
        <v>289</v>
      </c>
      <c r="AA7" s="115" t="s">
        <v>289</v>
      </c>
      <c r="AB7" s="115" t="s">
        <v>289</v>
      </c>
      <c r="AC7" s="115" t="s">
        <v>289</v>
      </c>
      <c r="AD7" s="115" t="s">
        <v>289</v>
      </c>
      <c r="AE7" s="115" t="s">
        <v>289</v>
      </c>
      <c r="AF7" s="115" t="s">
        <v>289</v>
      </c>
      <c r="AG7" s="115" t="s">
        <v>289</v>
      </c>
      <c r="AH7" s="115" t="s">
        <v>289</v>
      </c>
      <c r="AI7" s="115" t="s">
        <v>289</v>
      </c>
      <c r="AJ7" s="115" t="s">
        <v>289</v>
      </c>
      <c r="AK7" s="115" t="s">
        <v>289</v>
      </c>
      <c r="AL7" s="115" t="s">
        <v>289</v>
      </c>
      <c r="AM7" s="115" t="s">
        <v>289</v>
      </c>
      <c r="AN7" s="115" t="s">
        <v>289</v>
      </c>
      <c r="AO7" s="115" t="s">
        <v>289</v>
      </c>
      <c r="AP7" s="115" t="s">
        <v>289</v>
      </c>
      <c r="AQ7" s="115" t="s">
        <v>289</v>
      </c>
      <c r="AR7" s="115" t="s">
        <v>289</v>
      </c>
      <c r="AS7" s="115" t="s">
        <v>289</v>
      </c>
      <c r="AT7" s="115" t="s">
        <v>289</v>
      </c>
      <c r="AU7" s="115" t="s">
        <v>289</v>
      </c>
      <c r="AV7" s="115" t="s">
        <v>289</v>
      </c>
      <c r="AW7" s="115" t="s">
        <v>289</v>
      </c>
      <c r="AX7" s="115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17"/>
      <c r="AY8" s="114"/>
    </row>
    <row r="9" spans="1:54" x14ac:dyDescent="0.2">
      <c r="A9" s="118" t="s">
        <v>125</v>
      </c>
      <c r="B9" s="119">
        <v>1</v>
      </c>
      <c r="C9" s="120" t="s">
        <v>293</v>
      </c>
      <c r="D9" s="120">
        <v>9785.0517924368523</v>
      </c>
      <c r="E9" s="120">
        <v>9785.0517924368523</v>
      </c>
      <c r="F9" s="120">
        <v>9785.0517924368523</v>
      </c>
      <c r="G9" s="120">
        <v>9785.0517924368523</v>
      </c>
      <c r="H9" s="120">
        <v>9619.7382774646176</v>
      </c>
      <c r="I9" s="120">
        <v>9785.0517924368523</v>
      </c>
      <c r="J9" s="120">
        <v>9785.0517924368523</v>
      </c>
      <c r="K9" s="120">
        <v>9785.0517924368523</v>
      </c>
      <c r="L9" s="120">
        <v>9540.4920486011979</v>
      </c>
      <c r="M9" s="120">
        <v>9008.7632300440964</v>
      </c>
      <c r="N9" s="120">
        <v>9785.0517924368523</v>
      </c>
      <c r="O9" s="120">
        <v>9785.0517924368523</v>
      </c>
      <c r="P9" s="120">
        <v>9785.0517924368523</v>
      </c>
      <c r="Q9" s="120">
        <v>9785.0517924368523</v>
      </c>
      <c r="R9" s="120">
        <v>9785.0517924368523</v>
      </c>
      <c r="S9" s="120">
        <v>9785.0517924368523</v>
      </c>
      <c r="T9" s="120">
        <v>9785.0517924368523</v>
      </c>
      <c r="U9" s="120">
        <v>9785.0517924368523</v>
      </c>
      <c r="V9" s="120">
        <v>9785.0517924368523</v>
      </c>
      <c r="W9" s="120">
        <v>9785.0517924368523</v>
      </c>
      <c r="X9" s="120">
        <v>9785.0517924368523</v>
      </c>
      <c r="Y9" s="120">
        <v>9785.0517924368523</v>
      </c>
      <c r="Z9" s="120">
        <v>9785.0517924368523</v>
      </c>
      <c r="AA9" s="120">
        <v>9785.0517924368523</v>
      </c>
      <c r="AB9" s="120">
        <v>9785.0517924368523</v>
      </c>
      <c r="AC9" s="120">
        <v>9785.0517924368523</v>
      </c>
      <c r="AD9" s="120">
        <v>9785.0517924368523</v>
      </c>
      <c r="AE9" s="120">
        <v>9785.0517924368523</v>
      </c>
      <c r="AF9" s="120">
        <v>9785.0517924368523</v>
      </c>
      <c r="AG9" s="120">
        <v>9785.0517924368523</v>
      </c>
      <c r="AH9" s="120">
        <v>9785.0517924368523</v>
      </c>
      <c r="AI9" s="120">
        <v>9785.0517924368523</v>
      </c>
      <c r="AJ9" s="120">
        <v>9785.0517924368523</v>
      </c>
      <c r="AK9" s="120">
        <v>8827.4322915542853</v>
      </c>
      <c r="AL9" s="120">
        <v>9785.0517924368523</v>
      </c>
      <c r="AM9" s="120">
        <v>9785.0517924368523</v>
      </c>
      <c r="AN9" s="120">
        <v>9785.0517924368523</v>
      </c>
      <c r="AO9" s="120">
        <v>9785.0517924368523</v>
      </c>
      <c r="AP9" s="120">
        <v>9785.0517924368523</v>
      </c>
      <c r="AQ9" s="120">
        <v>9785.0517924368523</v>
      </c>
      <c r="AR9" s="120">
        <v>9785.0517924368523</v>
      </c>
      <c r="AS9" s="120">
        <v>9785.0517924368523</v>
      </c>
      <c r="AT9" s="120">
        <v>9696.5010362135436</v>
      </c>
      <c r="AU9" s="120">
        <v>9785.0517924368523</v>
      </c>
      <c r="AV9" s="120">
        <v>9611.2612440435951</v>
      </c>
      <c r="AW9" s="120">
        <v>9785.0517924368523</v>
      </c>
      <c r="AX9" s="120">
        <v>9785.0517924368523</v>
      </c>
      <c r="AY9" s="120">
        <v>9785.0517924368523</v>
      </c>
    </row>
    <row r="10" spans="1:54" x14ac:dyDescent="0.2">
      <c r="A10" s="121" t="s">
        <v>133</v>
      </c>
      <c r="B10" s="122">
        <v>1</v>
      </c>
      <c r="C10" s="110" t="s">
        <v>293</v>
      </c>
      <c r="D10">
        <v>793.42805123827816</v>
      </c>
      <c r="E10">
        <v>132.23040066192792</v>
      </c>
      <c r="F10">
        <v>0</v>
      </c>
      <c r="G10">
        <v>132.23040066192792</v>
      </c>
      <c r="H10">
        <v>0</v>
      </c>
      <c r="I10">
        <v>132.23040066192792</v>
      </c>
      <c r="J10">
        <v>0</v>
      </c>
      <c r="K10">
        <v>132.23040066192792</v>
      </c>
      <c r="L10">
        <v>0</v>
      </c>
      <c r="M10">
        <v>132.23040066192792</v>
      </c>
      <c r="N10">
        <v>0</v>
      </c>
      <c r="O10">
        <v>132.23040066192792</v>
      </c>
      <c r="P10">
        <v>0</v>
      </c>
      <c r="Q10">
        <v>132.23040066192792</v>
      </c>
      <c r="R10">
        <v>0</v>
      </c>
      <c r="S10">
        <v>132.23040066192792</v>
      </c>
      <c r="T10">
        <v>0</v>
      </c>
      <c r="U10">
        <v>132.23040066192792</v>
      </c>
      <c r="V10">
        <v>0</v>
      </c>
      <c r="W10">
        <v>132.23040066192792</v>
      </c>
      <c r="X10">
        <v>0</v>
      </c>
      <c r="Y10">
        <v>132.23040066192792</v>
      </c>
      <c r="Z10">
        <v>0</v>
      </c>
      <c r="AA10">
        <v>132.23040066192792</v>
      </c>
      <c r="AB10">
        <v>0</v>
      </c>
      <c r="AC10">
        <v>132.23040066192792</v>
      </c>
      <c r="AD10">
        <v>0</v>
      </c>
      <c r="AE10">
        <v>132.23040066192792</v>
      </c>
      <c r="AF10">
        <v>0</v>
      </c>
      <c r="AG10">
        <v>132.23040066192792</v>
      </c>
      <c r="AH10">
        <v>0</v>
      </c>
      <c r="AI10">
        <v>132.23040066192792</v>
      </c>
      <c r="AJ10">
        <v>0</v>
      </c>
      <c r="AK10">
        <v>132.23040066192792</v>
      </c>
      <c r="AL10">
        <v>0</v>
      </c>
      <c r="AM10">
        <v>132.23040066192792</v>
      </c>
      <c r="AN10">
        <v>0</v>
      </c>
      <c r="AO10">
        <v>132.23040066192792</v>
      </c>
      <c r="AP10">
        <v>0</v>
      </c>
      <c r="AQ10">
        <v>132.23040066192792</v>
      </c>
      <c r="AR10">
        <v>0</v>
      </c>
      <c r="AS10">
        <v>132.23040066192792</v>
      </c>
      <c r="AT10">
        <v>0</v>
      </c>
      <c r="AU10">
        <v>132.23040066192792</v>
      </c>
      <c r="AV10">
        <v>0</v>
      </c>
      <c r="AW10">
        <v>132.23040066192792</v>
      </c>
      <c r="AX10">
        <v>0</v>
      </c>
      <c r="AY10">
        <v>132.23040066192792</v>
      </c>
      <c r="AZ10">
        <v>0</v>
      </c>
    </row>
    <row r="11" spans="1:54" x14ac:dyDescent="0.2">
      <c r="B11" s="122">
        <v>2</v>
      </c>
      <c r="C11" s="110" t="s">
        <v>293</v>
      </c>
      <c r="D11">
        <v>0</v>
      </c>
      <c r="E11">
        <v>0</v>
      </c>
      <c r="F11">
        <v>0</v>
      </c>
      <c r="G11">
        <v>132.23040066192792</v>
      </c>
      <c r="H11">
        <v>0</v>
      </c>
      <c r="I11">
        <v>132.23040066192792</v>
      </c>
      <c r="J11">
        <v>0</v>
      </c>
      <c r="K11">
        <v>132.23040066192792</v>
      </c>
      <c r="L11">
        <v>0</v>
      </c>
      <c r="M11">
        <v>132.23040066192792</v>
      </c>
      <c r="O11">
        <v>132.23040066192792</v>
      </c>
      <c r="P11">
        <v>0</v>
      </c>
      <c r="R11">
        <v>0</v>
      </c>
      <c r="T11">
        <v>0</v>
      </c>
      <c r="U11">
        <v>0</v>
      </c>
      <c r="V11">
        <v>0</v>
      </c>
      <c r="W11">
        <v>132.23040066192792</v>
      </c>
      <c r="Y11">
        <v>132.23040066192792</v>
      </c>
      <c r="Z11">
        <v>0</v>
      </c>
      <c r="AA11">
        <v>132.23040066192792</v>
      </c>
      <c r="AC11">
        <v>132.23040066192792</v>
      </c>
      <c r="AD11">
        <v>0</v>
      </c>
      <c r="AE11">
        <v>132.23040066192792</v>
      </c>
      <c r="AF11">
        <v>0</v>
      </c>
      <c r="AJ11">
        <v>0</v>
      </c>
      <c r="AK11">
        <v>132.23040066192792</v>
      </c>
      <c r="AM11">
        <v>132.23040066192792</v>
      </c>
      <c r="AN11">
        <v>0</v>
      </c>
      <c r="AP11">
        <v>0</v>
      </c>
      <c r="AQ11">
        <v>132.23040066192792</v>
      </c>
      <c r="AR11">
        <v>0</v>
      </c>
      <c r="AV11">
        <v>0</v>
      </c>
      <c r="AW11">
        <v>132.23040066192792</v>
      </c>
      <c r="AX11">
        <v>0</v>
      </c>
      <c r="AY11">
        <v>132.23040066192792</v>
      </c>
      <c r="AZ11">
        <v>0</v>
      </c>
      <c r="BA11">
        <v>0</v>
      </c>
    </row>
    <row r="12" spans="1:54" x14ac:dyDescent="0.2">
      <c r="B12" s="123">
        <v>3</v>
      </c>
      <c r="C12" s="110" t="s">
        <v>293</v>
      </c>
      <c r="F12">
        <v>0</v>
      </c>
      <c r="M12">
        <v>0</v>
      </c>
      <c r="R12">
        <v>132.23040066192792</v>
      </c>
      <c r="S12">
        <v>0</v>
      </c>
      <c r="T12">
        <v>0</v>
      </c>
      <c r="V12">
        <v>132.23040066192792</v>
      </c>
      <c r="W12">
        <v>0</v>
      </c>
      <c r="Y12">
        <v>0</v>
      </c>
      <c r="Z12">
        <v>0</v>
      </c>
      <c r="AC12">
        <v>0</v>
      </c>
      <c r="AE12">
        <v>0</v>
      </c>
      <c r="AH12">
        <v>132.23040066192792</v>
      </c>
      <c r="AI12">
        <v>0</v>
      </c>
      <c r="AJ12">
        <v>132.23040066192792</v>
      </c>
      <c r="AK12">
        <v>0</v>
      </c>
      <c r="AM12">
        <v>0</v>
      </c>
      <c r="AP12">
        <v>132.23040066192792</v>
      </c>
      <c r="AS12">
        <v>0</v>
      </c>
      <c r="AT12">
        <v>132.23040066192792</v>
      </c>
      <c r="AU12">
        <v>0</v>
      </c>
      <c r="AV12">
        <v>132.23040066192792</v>
      </c>
      <c r="AW12">
        <v>0</v>
      </c>
      <c r="AZ12">
        <v>0</v>
      </c>
      <c r="BA12">
        <v>0</v>
      </c>
      <c r="BB12">
        <v>132.23040066192792</v>
      </c>
    </row>
    <row r="13" spans="1:54" x14ac:dyDescent="0.2">
      <c r="B13" s="123">
        <v>4</v>
      </c>
      <c r="C13" s="110" t="s">
        <v>293</v>
      </c>
      <c r="P13">
        <v>0</v>
      </c>
      <c r="U13">
        <v>132.23040066192792</v>
      </c>
    </row>
    <row r="14" spans="1:54" x14ac:dyDescent="0.2">
      <c r="A14" s="118" t="s">
        <v>134</v>
      </c>
      <c r="B14" s="124">
        <v>1</v>
      </c>
      <c r="C14" s="120" t="s">
        <v>293</v>
      </c>
      <c r="D14" s="120">
        <v>4646.1415481560625</v>
      </c>
      <c r="E14" s="120">
        <f t="shared" ref="E14:AZ14" si="0">D$172*SUM(D$122:D$169)</f>
        <v>2535.2430031080785</v>
      </c>
      <c r="F14" s="120">
        <f t="shared" si="0"/>
        <v>1795.1644445730706</v>
      </c>
      <c r="G14" s="120">
        <f t="shared" si="0"/>
        <v>1305.3821830637005</v>
      </c>
      <c r="H14" s="120">
        <f t="shared" si="0"/>
        <v>976.96034708402954</v>
      </c>
      <c r="I14" s="120">
        <f t="shared" si="0"/>
        <v>777.95701825050173</v>
      </c>
      <c r="J14" s="120">
        <f t="shared" si="0"/>
        <v>602.48351390261098</v>
      </c>
      <c r="K14" s="120">
        <f t="shared" si="0"/>
        <v>465.48064812189676</v>
      </c>
      <c r="L14" s="120">
        <f t="shared" si="0"/>
        <v>384.6445584537214</v>
      </c>
      <c r="M14" s="120">
        <f t="shared" si="0"/>
        <v>317.78612138530684</v>
      </c>
      <c r="N14" s="120">
        <f t="shared" si="0"/>
        <v>302.48256131300423</v>
      </c>
      <c r="O14" s="120">
        <f t="shared" si="0"/>
        <v>306.41724132606231</v>
      </c>
      <c r="P14" s="120">
        <f t="shared" si="0"/>
        <v>313.11388868753681</v>
      </c>
      <c r="Q14" s="120">
        <f t="shared" si="0"/>
        <v>314.13390311637511</v>
      </c>
      <c r="R14" s="120">
        <f t="shared" si="0"/>
        <v>301.03544552102585</v>
      </c>
      <c r="S14" s="120">
        <f t="shared" si="0"/>
        <v>280.64056083106317</v>
      </c>
      <c r="T14" s="120">
        <f t="shared" si="0"/>
        <v>280.64056083106317</v>
      </c>
      <c r="U14" s="120">
        <f t="shared" si="0"/>
        <v>280.64056083106317</v>
      </c>
      <c r="V14" s="120">
        <f t="shared" si="0"/>
        <v>280.64056083106317</v>
      </c>
      <c r="W14" s="120">
        <f t="shared" si="0"/>
        <v>289.04322968921605</v>
      </c>
      <c r="X14" s="120">
        <f t="shared" si="0"/>
        <v>280.64056083106317</v>
      </c>
      <c r="Y14" s="120">
        <f t="shared" si="0"/>
        <v>281.3478940409741</v>
      </c>
      <c r="Z14" s="120">
        <f t="shared" si="0"/>
        <v>280.64056083106317</v>
      </c>
      <c r="AA14" s="120">
        <f t="shared" si="0"/>
        <v>280.64056083106317</v>
      </c>
      <c r="AB14" s="120">
        <f t="shared" si="0"/>
        <v>280.64056083106317</v>
      </c>
      <c r="AC14" s="120">
        <f t="shared" si="0"/>
        <v>280.64056083106317</v>
      </c>
      <c r="AD14" s="120">
        <f t="shared" si="0"/>
        <v>280.64056083106317</v>
      </c>
      <c r="AE14" s="120">
        <f t="shared" si="0"/>
        <v>280.64056083106317</v>
      </c>
      <c r="AF14" s="120">
        <f t="shared" si="0"/>
        <v>280.64056083106317</v>
      </c>
      <c r="AG14" s="120">
        <f t="shared" si="0"/>
        <v>280.64056083106317</v>
      </c>
      <c r="AH14" s="120">
        <f t="shared" si="0"/>
        <v>280.64056083106317</v>
      </c>
      <c r="AI14" s="120">
        <f t="shared" si="0"/>
        <v>280.64056083106317</v>
      </c>
      <c r="AJ14" s="120">
        <f t="shared" si="0"/>
        <v>300.66315021176342</v>
      </c>
      <c r="AK14" s="120">
        <f t="shared" si="0"/>
        <v>297.58216441703769</v>
      </c>
      <c r="AL14" s="120">
        <f t="shared" si="0"/>
        <v>282.26482384771845</v>
      </c>
      <c r="AM14" s="120">
        <f t="shared" si="0"/>
        <v>280.64056083106317</v>
      </c>
      <c r="AN14" s="120">
        <f t="shared" si="0"/>
        <v>280.64056083106317</v>
      </c>
      <c r="AO14" s="120">
        <f t="shared" si="0"/>
        <v>280.64056083106317</v>
      </c>
      <c r="AP14" s="120">
        <f t="shared" si="0"/>
        <v>283.28537600252173</v>
      </c>
      <c r="AQ14" s="120">
        <f t="shared" si="0"/>
        <v>280.64056083106317</v>
      </c>
      <c r="AR14" s="120">
        <f t="shared" si="0"/>
        <v>280.64056083106317</v>
      </c>
      <c r="AS14" s="120">
        <f t="shared" si="0"/>
        <v>280.64056083106317</v>
      </c>
      <c r="AT14" s="120">
        <f t="shared" si="0"/>
        <v>303.83737054690135</v>
      </c>
      <c r="AU14" s="120">
        <f t="shared" si="0"/>
        <v>280.64056083106317</v>
      </c>
      <c r="AV14" s="120">
        <f t="shared" si="0"/>
        <v>280.64056083106317</v>
      </c>
      <c r="AW14" s="120">
        <f t="shared" si="0"/>
        <v>284.89758103155617</v>
      </c>
      <c r="AX14" s="120">
        <f t="shared" si="0"/>
        <v>280.64056083106317</v>
      </c>
      <c r="AY14" s="120">
        <f t="shared" si="0"/>
        <v>280.64056083106317</v>
      </c>
      <c r="AZ14" s="114">
        <f t="shared" si="0"/>
        <v>280.64056083106317</v>
      </c>
      <c r="BA14" s="111">
        <f>SUM($E14:$AZ14)</f>
        <v>20317.861049302253</v>
      </c>
    </row>
    <row r="15" spans="1:54" x14ac:dyDescent="0.2">
      <c r="A15" s="125" t="s">
        <v>123</v>
      </c>
      <c r="B15" s="126">
        <v>1</v>
      </c>
      <c r="C15" s="127" t="s">
        <v>293</v>
      </c>
      <c r="D15" s="127">
        <v>846.61927746006677</v>
      </c>
      <c r="E15" s="127">
        <v>846.61927746006677</v>
      </c>
      <c r="F15" s="127">
        <v>846.61927746006677</v>
      </c>
      <c r="G15" s="127">
        <v>846.61927746006677</v>
      </c>
      <c r="H15" s="127">
        <v>846.61927746006677</v>
      </c>
      <c r="I15" s="127">
        <v>846.61927746006677</v>
      </c>
      <c r="J15" s="127">
        <v>846.61927746006677</v>
      </c>
      <c r="K15" s="127">
        <v>846.61927746006677</v>
      </c>
      <c r="L15" s="127">
        <v>846.61927746006677</v>
      </c>
      <c r="M15" s="127">
        <v>846.61927746006677</v>
      </c>
      <c r="N15" s="127">
        <v>846.61927746006677</v>
      </c>
      <c r="O15" s="127">
        <v>846.61927746006677</v>
      </c>
      <c r="P15" s="127">
        <v>846.61927746006677</v>
      </c>
      <c r="Q15" s="127">
        <v>846.61927746006677</v>
      </c>
      <c r="R15" s="127">
        <v>846.61927746006677</v>
      </c>
      <c r="S15" s="127">
        <v>846.61927746006677</v>
      </c>
      <c r="T15" s="127">
        <v>846.61927746006677</v>
      </c>
      <c r="U15" s="127">
        <v>846.61927746006677</v>
      </c>
      <c r="V15" s="127">
        <v>846.61927746006677</v>
      </c>
      <c r="W15" s="127">
        <v>846.61927746006677</v>
      </c>
      <c r="X15" s="127">
        <v>846.61927746006677</v>
      </c>
      <c r="Y15" s="127">
        <v>846.61927746006677</v>
      </c>
      <c r="Z15" s="127">
        <v>846.61927746006677</v>
      </c>
      <c r="AA15" s="127">
        <v>846.61927746006677</v>
      </c>
      <c r="AB15" s="127">
        <v>846.61927746006677</v>
      </c>
      <c r="AC15" s="127">
        <v>846.61927746006677</v>
      </c>
      <c r="AD15" s="127">
        <v>846.61927746006677</v>
      </c>
      <c r="AE15" s="127">
        <v>846.61927746006677</v>
      </c>
      <c r="AF15" s="127">
        <v>846.61927746006677</v>
      </c>
      <c r="AG15" s="127">
        <v>846.61927746006677</v>
      </c>
      <c r="AH15" s="127">
        <v>846.61927746006677</v>
      </c>
      <c r="AI15" s="127">
        <v>846.61927746006677</v>
      </c>
      <c r="AJ15" s="127">
        <v>846.61927746006677</v>
      </c>
      <c r="AK15" s="127">
        <v>846.61927746006677</v>
      </c>
      <c r="AL15" s="127">
        <v>846.61927746006677</v>
      </c>
      <c r="AM15" s="127">
        <v>846.61927746006677</v>
      </c>
      <c r="AN15" s="127">
        <v>846.61927746006677</v>
      </c>
      <c r="AO15" s="127">
        <v>846.61927746006677</v>
      </c>
      <c r="AP15" s="127">
        <v>846.61927746006677</v>
      </c>
      <c r="AQ15" s="127">
        <v>846.61927746006677</v>
      </c>
      <c r="AR15" s="127">
        <v>846.61927746006677</v>
      </c>
      <c r="AS15" s="127">
        <v>846.61927746006677</v>
      </c>
      <c r="AT15" s="127">
        <v>846.61927746006677</v>
      </c>
      <c r="AU15" s="127">
        <v>846.61927746006677</v>
      </c>
      <c r="AV15" s="127">
        <v>846.61927746006677</v>
      </c>
      <c r="AW15" s="127">
        <v>846.61927746006677</v>
      </c>
      <c r="AX15" s="127">
        <v>846.61927746006677</v>
      </c>
      <c r="AY15" s="127">
        <v>846.61927746006677</v>
      </c>
      <c r="AZ15">
        <v>0</v>
      </c>
    </row>
    <row r="16" spans="1:54" x14ac:dyDescent="0.2">
      <c r="A16" s="114"/>
      <c r="B16" s="122">
        <v>2</v>
      </c>
      <c r="C16" s="113" t="s">
        <v>293</v>
      </c>
      <c r="D16" s="110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/>
      <c r="O16" s="114">
        <v>0</v>
      </c>
      <c r="P16" s="114">
        <v>0</v>
      </c>
      <c r="Q16" s="114"/>
      <c r="R16" s="114">
        <v>0</v>
      </c>
      <c r="S16" s="114"/>
      <c r="T16" s="114">
        <v>0</v>
      </c>
      <c r="U16" s="114">
        <v>0</v>
      </c>
      <c r="V16" s="114">
        <v>0</v>
      </c>
      <c r="W16" s="114">
        <v>0</v>
      </c>
      <c r="X16" s="114"/>
      <c r="Y16" s="114">
        <v>0</v>
      </c>
      <c r="Z16" s="114">
        <v>0</v>
      </c>
      <c r="AA16" s="114">
        <v>0</v>
      </c>
      <c r="AB16" s="114"/>
      <c r="AC16" s="114">
        <v>0</v>
      </c>
      <c r="AD16" s="114">
        <v>0</v>
      </c>
      <c r="AE16" s="114">
        <v>0</v>
      </c>
      <c r="AF16" s="114">
        <v>0</v>
      </c>
      <c r="AG16" s="114"/>
      <c r="AH16" s="114"/>
      <c r="AI16" s="114"/>
      <c r="AJ16" s="114">
        <v>0</v>
      </c>
      <c r="AK16" s="114">
        <v>0</v>
      </c>
      <c r="AL16" s="114"/>
      <c r="AM16" s="114">
        <v>0</v>
      </c>
      <c r="AN16" s="114">
        <v>0</v>
      </c>
      <c r="AO16" s="114"/>
      <c r="AP16" s="114">
        <v>0</v>
      </c>
      <c r="AQ16" s="114">
        <v>0</v>
      </c>
      <c r="AR16" s="114">
        <v>0</v>
      </c>
      <c r="AS16" s="114"/>
      <c r="AT16" s="114"/>
      <c r="AU16" s="114"/>
      <c r="AV16" s="114">
        <v>0</v>
      </c>
      <c r="AW16" s="114">
        <v>0</v>
      </c>
      <c r="AX16" s="114">
        <v>0</v>
      </c>
      <c r="AY16" s="114">
        <v>0</v>
      </c>
      <c r="AZ16">
        <v>0</v>
      </c>
      <c r="BA16">
        <v>0</v>
      </c>
    </row>
    <row r="17" spans="1:54" x14ac:dyDescent="0.2">
      <c r="A17" s="114"/>
      <c r="B17" s="122">
        <v>3</v>
      </c>
      <c r="C17" s="113" t="s">
        <v>293</v>
      </c>
      <c r="D17" s="110"/>
      <c r="E17" s="114"/>
      <c r="F17" s="114">
        <v>0</v>
      </c>
      <c r="G17" s="114"/>
      <c r="H17" s="114"/>
      <c r="I17" s="114"/>
      <c r="J17" s="114"/>
      <c r="K17" s="114"/>
      <c r="L17" s="114"/>
      <c r="M17" s="114">
        <v>0</v>
      </c>
      <c r="N17" s="114"/>
      <c r="O17" s="114"/>
      <c r="P17" s="114"/>
      <c r="Q17" s="114"/>
      <c r="R17" s="114">
        <v>0</v>
      </c>
      <c r="S17" s="114">
        <v>0</v>
      </c>
      <c r="T17" s="114">
        <v>0</v>
      </c>
      <c r="U17" s="114"/>
      <c r="V17" s="114">
        <v>0</v>
      </c>
      <c r="W17" s="114">
        <v>0</v>
      </c>
      <c r="X17" s="114"/>
      <c r="Y17" s="114">
        <v>0</v>
      </c>
      <c r="Z17" s="114">
        <v>0</v>
      </c>
      <c r="AA17" s="114"/>
      <c r="AB17" s="114"/>
      <c r="AC17" s="114">
        <v>0</v>
      </c>
      <c r="AD17" s="114"/>
      <c r="AE17" s="114">
        <v>0</v>
      </c>
      <c r="AF17" s="114"/>
      <c r="AG17" s="114"/>
      <c r="AH17" s="114">
        <v>0</v>
      </c>
      <c r="AI17" s="114">
        <v>0</v>
      </c>
      <c r="AJ17" s="114">
        <v>0</v>
      </c>
      <c r="AK17" s="114">
        <v>0</v>
      </c>
      <c r="AL17" s="114"/>
      <c r="AM17" s="114">
        <v>0</v>
      </c>
      <c r="AN17" s="114"/>
      <c r="AO17" s="114"/>
      <c r="AP17" s="114">
        <v>0</v>
      </c>
      <c r="AQ17" s="114"/>
      <c r="AR17" s="114"/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/>
      <c r="AY17" s="114"/>
      <c r="AZ17">
        <v>0</v>
      </c>
      <c r="BA17">
        <v>0</v>
      </c>
      <c r="BB17">
        <v>0</v>
      </c>
    </row>
    <row r="18" spans="1:54" x14ac:dyDescent="0.2">
      <c r="A18" s="128"/>
      <c r="B18" s="119">
        <v>4</v>
      </c>
      <c r="C18" s="128" t="s">
        <v>293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>
        <v>0</v>
      </c>
      <c r="Q18" s="128"/>
      <c r="R18" s="128"/>
      <c r="S18" s="128"/>
      <c r="T18" s="128"/>
      <c r="U18" s="128">
        <v>0</v>
      </c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</row>
    <row r="20" spans="1:54" x14ac:dyDescent="0.2">
      <c r="A20" s="1" t="s">
        <v>294</v>
      </c>
    </row>
    <row r="21" spans="1:54" x14ac:dyDescent="0.2">
      <c r="A21" s="129" t="s">
        <v>125</v>
      </c>
      <c r="B21" s="126">
        <v>1</v>
      </c>
      <c r="C21" s="127" t="s">
        <v>293</v>
      </c>
      <c r="D21" s="127">
        <v>5317.0991211352011</v>
      </c>
      <c r="E21" s="127">
        <v>4497.9487992571903</v>
      </c>
      <c r="F21" s="127">
        <v>2897.145007940861</v>
      </c>
      <c r="G21" s="127">
        <v>685.40429818323616</v>
      </c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</row>
    <row r="22" spans="1:54" x14ac:dyDescent="0.2">
      <c r="A22" s="113"/>
      <c r="B22" s="123">
        <v>2</v>
      </c>
      <c r="C22" s="114" t="s">
        <v>293</v>
      </c>
      <c r="D22" s="114">
        <v>0</v>
      </c>
      <c r="E22" s="114">
        <v>3931.9526713016512</v>
      </c>
      <c r="F22" s="114">
        <v>4710.102993179662</v>
      </c>
      <c r="G22" s="114">
        <v>6349.9067844959918</v>
      </c>
      <c r="H22" s="114">
        <v>5796.5012764805151</v>
      </c>
      <c r="I22" s="114">
        <v>4175.9196447954073</v>
      </c>
      <c r="J22" s="114">
        <v>1108.6331649717158</v>
      </c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</row>
    <row r="23" spans="1:54" x14ac:dyDescent="0.2">
      <c r="A23" s="113"/>
      <c r="B23" s="130">
        <v>3</v>
      </c>
      <c r="C23" s="114" t="s">
        <v>293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2359.1462177731019</v>
      </c>
      <c r="J23" s="114">
        <v>4956.8186326692103</v>
      </c>
      <c r="K23" s="114">
        <v>6435.912450849888</v>
      </c>
      <c r="L23" s="114">
        <v>4639.8001989164386</v>
      </c>
      <c r="M23" s="114">
        <v>1340.3940721317058</v>
      </c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</row>
    <row r="24" spans="1:54" x14ac:dyDescent="0.2">
      <c r="A24" s="131"/>
      <c r="B24" s="132">
        <v>4</v>
      </c>
      <c r="C24" s="131" t="s">
        <v>293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8">
        <v>1338.5061766152485</v>
      </c>
      <c r="M24" s="128">
        <v>4694.2515935204137</v>
      </c>
      <c r="N24" s="128">
        <v>6105.9721291624564</v>
      </c>
      <c r="O24" s="128">
        <v>5208.1965730412203</v>
      </c>
      <c r="P24" s="128">
        <v>2649.1665536707246</v>
      </c>
      <c r="Q24" s="128">
        <v>1725.9472410343733</v>
      </c>
      <c r="R24" s="128">
        <v>429.62044057064168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0</v>
      </c>
      <c r="AA24" s="128">
        <v>0</v>
      </c>
      <c r="AB24" s="128">
        <v>0</v>
      </c>
      <c r="AC24" s="128">
        <v>0</v>
      </c>
      <c r="AD24" s="128">
        <v>0</v>
      </c>
      <c r="AE24" s="128">
        <v>0</v>
      </c>
      <c r="AF24" s="128">
        <v>0</v>
      </c>
      <c r="AG24" s="128">
        <v>0</v>
      </c>
      <c r="AH24" s="128">
        <v>0</v>
      </c>
      <c r="AI24" s="128">
        <v>0</v>
      </c>
      <c r="AJ24" s="128">
        <v>0</v>
      </c>
      <c r="AK24" s="128">
        <v>0</v>
      </c>
      <c r="AL24" s="128">
        <v>0</v>
      </c>
      <c r="AM24" s="128">
        <v>0</v>
      </c>
      <c r="AN24" s="128">
        <v>0</v>
      </c>
      <c r="AO24" s="128">
        <v>0</v>
      </c>
      <c r="AP24" s="128">
        <v>0</v>
      </c>
      <c r="AQ24" s="128">
        <v>0</v>
      </c>
      <c r="AR24" s="128">
        <v>0</v>
      </c>
      <c r="AS24" s="128">
        <v>0</v>
      </c>
      <c r="AT24" s="128">
        <v>0</v>
      </c>
      <c r="AU24" s="128">
        <v>0</v>
      </c>
      <c r="AV24" s="128">
        <v>0</v>
      </c>
      <c r="AW24" s="128">
        <v>0</v>
      </c>
      <c r="AX24" s="128">
        <v>0</v>
      </c>
      <c r="AY24" s="128">
        <v>0</v>
      </c>
    </row>
    <row r="25" spans="1:54" x14ac:dyDescent="0.2">
      <c r="A25" s="129" t="s">
        <v>133</v>
      </c>
      <c r="B25" s="126">
        <v>1</v>
      </c>
      <c r="C25" s="113" t="s">
        <v>293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</row>
    <row r="26" spans="1:54" x14ac:dyDescent="0.2">
      <c r="A26" s="113"/>
      <c r="B26" s="122">
        <v>2</v>
      </c>
      <c r="C26" s="113" t="s">
        <v>293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</row>
    <row r="27" spans="1:54" x14ac:dyDescent="0.2">
      <c r="A27" s="113"/>
      <c r="B27" s="123">
        <v>3</v>
      </c>
      <c r="C27" s="113" t="s">
        <v>293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</row>
    <row r="28" spans="1:54" x14ac:dyDescent="0.2">
      <c r="A28" s="113"/>
      <c r="B28" s="123">
        <v>4</v>
      </c>
      <c r="C28" s="113" t="s">
        <v>293</v>
      </c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</row>
    <row r="29" spans="1:54" x14ac:dyDescent="0.2">
      <c r="A29" s="113"/>
      <c r="B29" s="130">
        <v>5</v>
      </c>
      <c r="C29" s="113" t="s">
        <v>293</v>
      </c>
      <c r="D29" s="114">
        <v>0</v>
      </c>
      <c r="E29" s="114">
        <v>0</v>
      </c>
      <c r="F29" s="114">
        <v>0</v>
      </c>
      <c r="G29" s="114">
        <v>0</v>
      </c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</row>
    <row r="30" spans="1:54" x14ac:dyDescent="0.2">
      <c r="A30" s="113"/>
      <c r="B30" s="130">
        <v>6</v>
      </c>
      <c r="C30" s="113" t="s">
        <v>293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  <c r="AU30" s="114"/>
      <c r="AV30" s="114"/>
      <c r="AW30" s="114"/>
      <c r="AX30" s="114"/>
      <c r="AY30" s="114"/>
    </row>
    <row r="31" spans="1:54" x14ac:dyDescent="0.2">
      <c r="A31" s="113"/>
      <c r="B31" s="133">
        <v>7</v>
      </c>
      <c r="C31" s="113" t="s">
        <v>293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  <c r="AU31" s="114"/>
      <c r="AV31" s="114"/>
      <c r="AW31" s="114"/>
      <c r="AX31" s="114"/>
      <c r="AY31" s="114"/>
    </row>
    <row r="32" spans="1:54" x14ac:dyDescent="0.2">
      <c r="A32" s="131"/>
      <c r="B32" s="132">
        <v>8</v>
      </c>
      <c r="C32" s="131" t="s">
        <v>293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0</v>
      </c>
      <c r="AK32" s="128">
        <v>0</v>
      </c>
      <c r="AL32" s="128">
        <v>0</v>
      </c>
      <c r="AM32" s="128">
        <v>0</v>
      </c>
      <c r="AN32" s="128">
        <v>0</v>
      </c>
      <c r="AO32" s="128">
        <v>0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0</v>
      </c>
      <c r="AV32" s="128">
        <v>0</v>
      </c>
      <c r="AW32" s="128">
        <v>0</v>
      </c>
      <c r="AX32" s="128">
        <v>0</v>
      </c>
      <c r="AY32" s="128">
        <v>0</v>
      </c>
    </row>
    <row r="33" spans="1:51" x14ac:dyDescent="0.2">
      <c r="A33" s="134" t="s">
        <v>134</v>
      </c>
      <c r="B33" s="122">
        <v>1</v>
      </c>
      <c r="C33" s="113" t="s">
        <v>293</v>
      </c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</row>
    <row r="34" spans="1:51" x14ac:dyDescent="0.2">
      <c r="A34" s="113"/>
      <c r="B34" s="122">
        <v>2</v>
      </c>
      <c r="C34" s="113" t="s">
        <v>293</v>
      </c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</row>
    <row r="35" spans="1:51" x14ac:dyDescent="0.2">
      <c r="A35" s="113"/>
      <c r="B35" s="122">
        <v>3</v>
      </c>
      <c r="C35" s="113" t="s">
        <v>293</v>
      </c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</row>
    <row r="36" spans="1:51" x14ac:dyDescent="0.2">
      <c r="A36" s="113"/>
      <c r="B36" s="123">
        <v>4</v>
      </c>
      <c r="C36" s="113" t="s">
        <v>293</v>
      </c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1" x14ac:dyDescent="0.2">
      <c r="A37" s="113"/>
      <c r="B37" s="123">
        <v>5</v>
      </c>
      <c r="C37" s="113" t="s">
        <v>293</v>
      </c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1" x14ac:dyDescent="0.2">
      <c r="A38" s="113"/>
      <c r="B38" s="123">
        <v>6</v>
      </c>
      <c r="C38" s="113" t="s">
        <v>293</v>
      </c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1" x14ac:dyDescent="0.2">
      <c r="A39" s="113"/>
      <c r="B39" s="130">
        <v>7</v>
      </c>
      <c r="C39" s="113" t="s">
        <v>293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</row>
    <row r="40" spans="1:51" x14ac:dyDescent="0.2">
      <c r="A40" s="113"/>
      <c r="B40" s="130">
        <v>8</v>
      </c>
      <c r="C40" s="113" t="s">
        <v>293</v>
      </c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</row>
    <row r="41" spans="1:51" x14ac:dyDescent="0.2">
      <c r="A41" s="113"/>
      <c r="B41" s="130">
        <v>9</v>
      </c>
      <c r="C41" s="113" t="s">
        <v>293</v>
      </c>
      <c r="D41" s="110">
        <v>0</v>
      </c>
      <c r="E41" s="110">
        <v>0</v>
      </c>
      <c r="F41" s="110">
        <v>799.42306877640272</v>
      </c>
      <c r="G41" s="110">
        <v>329.20774914755185</v>
      </c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</row>
    <row r="42" spans="1:51" x14ac:dyDescent="0.2">
      <c r="A42" s="113"/>
      <c r="B42" s="133">
        <v>10</v>
      </c>
      <c r="C42" s="113" t="s">
        <v>293</v>
      </c>
      <c r="D42" s="110">
        <v>0</v>
      </c>
      <c r="E42" s="110">
        <v>0</v>
      </c>
      <c r="F42" s="110">
        <v>0</v>
      </c>
      <c r="G42" s="110">
        <v>1052.613039393985</v>
      </c>
      <c r="H42" s="110">
        <v>2364.8562784441738</v>
      </c>
      <c r="I42" s="110">
        <v>2014.8486663189979</v>
      </c>
      <c r="J42" s="110">
        <v>530.72080083727644</v>
      </c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</row>
    <row r="43" spans="1:51" x14ac:dyDescent="0.2">
      <c r="A43" s="113"/>
      <c r="B43" s="133">
        <v>11</v>
      </c>
      <c r="C43" s="113" t="s">
        <v>293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388.7914893750791</v>
      </c>
      <c r="J43" s="110">
        <v>1904.1624126157622</v>
      </c>
      <c r="K43" s="110">
        <v>2600.2194203708905</v>
      </c>
      <c r="L43" s="110">
        <v>2183.0058246019507</v>
      </c>
      <c r="M43" s="110">
        <v>638.37913458566823</v>
      </c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</row>
    <row r="44" spans="1:51" x14ac:dyDescent="0.2">
      <c r="A44" s="113"/>
      <c r="B44" s="133">
        <v>12</v>
      </c>
      <c r="C44" s="131" t="s">
        <v>293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1733.8185085902269</v>
      </c>
      <c r="N44" s="110">
        <v>2460.7045110837084</v>
      </c>
      <c r="O44" s="110">
        <v>2536.3491071216481</v>
      </c>
      <c r="P44" s="110">
        <v>745.52752667124662</v>
      </c>
      <c r="Q44" s="110">
        <v>316.64207671426993</v>
      </c>
      <c r="R44" s="110">
        <v>57.313837524535749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0</v>
      </c>
      <c r="AU44" s="110">
        <v>0</v>
      </c>
      <c r="AV44" s="110">
        <v>0</v>
      </c>
      <c r="AW44" s="110">
        <v>0</v>
      </c>
      <c r="AX44" s="110">
        <v>0</v>
      </c>
      <c r="AY44" s="110">
        <v>0</v>
      </c>
    </row>
    <row r="45" spans="1:51" x14ac:dyDescent="0.2">
      <c r="A45" s="129" t="s">
        <v>123</v>
      </c>
      <c r="B45" s="126">
        <v>1</v>
      </c>
      <c r="C45" s="113" t="s">
        <v>293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">
      <c r="A46" s="113"/>
      <c r="B46" s="122">
        <v>2</v>
      </c>
      <c r="C46" s="113" t="s">
        <v>293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</row>
    <row r="47" spans="1:51" x14ac:dyDescent="0.2">
      <c r="A47" s="113"/>
      <c r="B47" s="122">
        <v>3</v>
      </c>
      <c r="C47" s="113" t="s">
        <v>293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1" x14ac:dyDescent="0.2">
      <c r="A48" s="113"/>
      <c r="B48" s="122">
        <v>4</v>
      </c>
      <c r="C48" s="113" t="s">
        <v>293</v>
      </c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1" x14ac:dyDescent="0.2">
      <c r="A49" s="113"/>
      <c r="B49" s="122">
        <v>5</v>
      </c>
      <c r="C49" s="113" t="s">
        <v>293</v>
      </c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1" x14ac:dyDescent="0.2">
      <c r="A50" s="113"/>
      <c r="B50" s="122">
        <v>6</v>
      </c>
      <c r="C50" s="113" t="s">
        <v>293</v>
      </c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</row>
    <row r="51" spans="1:51" x14ac:dyDescent="0.2">
      <c r="A51" s="113"/>
      <c r="B51" s="122">
        <v>7</v>
      </c>
      <c r="C51" s="113" t="s">
        <v>293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</row>
    <row r="52" spans="1:51" x14ac:dyDescent="0.2">
      <c r="A52" s="113"/>
      <c r="B52" s="122">
        <v>8</v>
      </c>
      <c r="C52" s="113" t="s">
        <v>293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</row>
    <row r="53" spans="1:51" x14ac:dyDescent="0.2">
      <c r="A53" s="113"/>
      <c r="B53" s="122">
        <v>9</v>
      </c>
      <c r="C53" s="113" t="s">
        <v>293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</row>
    <row r="54" spans="1:51" x14ac:dyDescent="0.2">
      <c r="A54" s="113"/>
      <c r="B54" s="122">
        <v>10</v>
      </c>
      <c r="C54" s="113" t="s">
        <v>293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</row>
    <row r="55" spans="1:51" x14ac:dyDescent="0.2">
      <c r="A55" s="113"/>
      <c r="B55" s="122">
        <v>11</v>
      </c>
      <c r="C55" s="113" t="s">
        <v>293</v>
      </c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</row>
    <row r="56" spans="1:51" x14ac:dyDescent="0.2">
      <c r="A56" s="113"/>
      <c r="B56" s="122">
        <v>12</v>
      </c>
      <c r="C56" s="113" t="s">
        <v>293</v>
      </c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</row>
    <row r="57" spans="1:51" x14ac:dyDescent="0.2">
      <c r="A57" s="113"/>
      <c r="B57" s="123">
        <v>13</v>
      </c>
      <c r="C57" s="113" t="s">
        <v>293</v>
      </c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</row>
    <row r="58" spans="1:51" x14ac:dyDescent="0.2">
      <c r="A58" s="113"/>
      <c r="B58" s="123">
        <v>14</v>
      </c>
      <c r="C58" s="113" t="s">
        <v>293</v>
      </c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</row>
    <row r="59" spans="1:51" x14ac:dyDescent="0.2">
      <c r="A59" s="113"/>
      <c r="B59" s="123">
        <v>15</v>
      </c>
      <c r="C59" s="113" t="s">
        <v>293</v>
      </c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</row>
    <row r="60" spans="1:51" x14ac:dyDescent="0.2">
      <c r="A60" s="113"/>
      <c r="B60" s="123">
        <v>16</v>
      </c>
      <c r="C60" s="113" t="s">
        <v>293</v>
      </c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</row>
    <row r="61" spans="1:51" x14ac:dyDescent="0.2">
      <c r="A61" s="113"/>
      <c r="B61" s="123">
        <v>17</v>
      </c>
      <c r="C61" s="113" t="s">
        <v>293</v>
      </c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</row>
    <row r="62" spans="1:51" x14ac:dyDescent="0.2">
      <c r="A62" s="113"/>
      <c r="B62" s="123">
        <v>18</v>
      </c>
      <c r="C62" s="113" t="s">
        <v>293</v>
      </c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</row>
    <row r="63" spans="1:51" x14ac:dyDescent="0.2">
      <c r="A63" s="113"/>
      <c r="B63" s="123">
        <v>19</v>
      </c>
      <c r="C63" s="113" t="s">
        <v>293</v>
      </c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</row>
    <row r="64" spans="1:51" x14ac:dyDescent="0.2">
      <c r="A64" s="113"/>
      <c r="B64" s="123">
        <v>20</v>
      </c>
      <c r="C64" s="113" t="s">
        <v>293</v>
      </c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</row>
    <row r="65" spans="1:51" x14ac:dyDescent="0.2">
      <c r="A65" s="113"/>
      <c r="B65" s="123">
        <v>21</v>
      </c>
      <c r="C65" s="113" t="s">
        <v>293</v>
      </c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</row>
    <row r="66" spans="1:51" x14ac:dyDescent="0.2">
      <c r="A66" s="113"/>
      <c r="B66" s="123">
        <v>22</v>
      </c>
      <c r="C66" s="113" t="s">
        <v>293</v>
      </c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</row>
    <row r="67" spans="1:51" x14ac:dyDescent="0.2">
      <c r="A67" s="113"/>
      <c r="B67" s="123">
        <v>23</v>
      </c>
      <c r="C67" s="113" t="s">
        <v>293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</row>
    <row r="68" spans="1:51" x14ac:dyDescent="0.2">
      <c r="A68" s="113"/>
      <c r="B68" s="123">
        <v>24</v>
      </c>
      <c r="C68" s="113" t="s">
        <v>293</v>
      </c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</row>
    <row r="69" spans="1:51" x14ac:dyDescent="0.2">
      <c r="A69" s="113"/>
      <c r="B69" s="130">
        <v>25</v>
      </c>
      <c r="C69" s="113" t="s">
        <v>293</v>
      </c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</row>
    <row r="70" spans="1:51" x14ac:dyDescent="0.2">
      <c r="A70" s="113"/>
      <c r="B70" s="130">
        <v>26</v>
      </c>
      <c r="C70" s="113" t="s">
        <v>293</v>
      </c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</row>
    <row r="71" spans="1:51" x14ac:dyDescent="0.2">
      <c r="A71" s="113"/>
      <c r="B71" s="130">
        <v>27</v>
      </c>
      <c r="C71" s="113" t="s">
        <v>293</v>
      </c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</row>
    <row r="72" spans="1:51" x14ac:dyDescent="0.2">
      <c r="A72" s="113"/>
      <c r="B72" s="130">
        <v>28</v>
      </c>
      <c r="C72" s="113" t="s">
        <v>293</v>
      </c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1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</row>
    <row r="73" spans="1:51" x14ac:dyDescent="0.2">
      <c r="A73" s="113"/>
      <c r="B73" s="130">
        <v>29</v>
      </c>
      <c r="C73" s="113" t="s">
        <v>293</v>
      </c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</row>
    <row r="74" spans="1:51" x14ac:dyDescent="0.2">
      <c r="A74" s="113"/>
      <c r="B74" s="130">
        <v>30</v>
      </c>
      <c r="C74" s="113" t="s">
        <v>293</v>
      </c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</row>
    <row r="75" spans="1:51" x14ac:dyDescent="0.2">
      <c r="A75" s="113"/>
      <c r="B75" s="130">
        <v>31</v>
      </c>
      <c r="C75" s="113" t="s">
        <v>293</v>
      </c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</row>
    <row r="76" spans="1:51" x14ac:dyDescent="0.2">
      <c r="A76" s="113"/>
      <c r="B76" s="130">
        <v>32</v>
      </c>
      <c r="C76" s="113" t="s">
        <v>293</v>
      </c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  <c r="AU76" s="114"/>
      <c r="AV76" s="114"/>
      <c r="AW76" s="114"/>
      <c r="AX76" s="114"/>
      <c r="AY76" s="114"/>
    </row>
    <row r="77" spans="1:51" x14ac:dyDescent="0.2">
      <c r="A77" s="113"/>
      <c r="B77" s="130">
        <v>33</v>
      </c>
      <c r="C77" s="113" t="s">
        <v>293</v>
      </c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</row>
    <row r="78" spans="1:51" x14ac:dyDescent="0.2">
      <c r="A78" s="113"/>
      <c r="B78" s="130">
        <v>34</v>
      </c>
      <c r="C78" s="113" t="s">
        <v>293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</row>
    <row r="79" spans="1:51" x14ac:dyDescent="0.2">
      <c r="A79" s="113"/>
      <c r="B79" s="130">
        <v>35</v>
      </c>
      <c r="C79" s="113" t="s">
        <v>293</v>
      </c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</row>
    <row r="80" spans="1:51" x14ac:dyDescent="0.2">
      <c r="A80" s="113"/>
      <c r="B80" s="130">
        <v>36</v>
      </c>
      <c r="C80" s="113" t="s">
        <v>293</v>
      </c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</row>
    <row r="81" spans="1:52" x14ac:dyDescent="0.2">
      <c r="A81" s="113"/>
      <c r="B81" s="133">
        <v>37</v>
      </c>
      <c r="C81" s="113" t="s">
        <v>293</v>
      </c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</row>
    <row r="82" spans="1:52" x14ac:dyDescent="0.2">
      <c r="A82" s="113"/>
      <c r="B82" s="133">
        <v>38</v>
      </c>
      <c r="C82" s="113" t="s">
        <v>293</v>
      </c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</row>
    <row r="83" spans="1:52" x14ac:dyDescent="0.2">
      <c r="A83" s="113"/>
      <c r="B83" s="133">
        <v>39</v>
      </c>
      <c r="C83" s="113" t="s">
        <v>293</v>
      </c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</row>
    <row r="84" spans="1:52" x14ac:dyDescent="0.2">
      <c r="A84" s="113"/>
      <c r="B84" s="133">
        <v>40</v>
      </c>
      <c r="C84" s="113" t="s">
        <v>293</v>
      </c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</row>
    <row r="85" spans="1:52" x14ac:dyDescent="0.2">
      <c r="A85" s="113"/>
      <c r="B85" s="133">
        <v>41</v>
      </c>
      <c r="C85" s="113" t="s">
        <v>293</v>
      </c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</row>
    <row r="86" spans="1:52" x14ac:dyDescent="0.2">
      <c r="A86" s="113"/>
      <c r="B86" s="133">
        <v>42</v>
      </c>
      <c r="C86" s="113" t="s">
        <v>293</v>
      </c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</row>
    <row r="87" spans="1:52" x14ac:dyDescent="0.2">
      <c r="A87" s="113"/>
      <c r="B87" s="133">
        <v>43</v>
      </c>
      <c r="C87" s="113" t="s">
        <v>293</v>
      </c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14"/>
    </row>
    <row r="88" spans="1:52" x14ac:dyDescent="0.2">
      <c r="A88" s="113"/>
      <c r="B88" s="133">
        <v>44</v>
      </c>
      <c r="C88" s="113" t="s">
        <v>293</v>
      </c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14"/>
    </row>
    <row r="89" spans="1:52" x14ac:dyDescent="0.2">
      <c r="A89" s="113"/>
      <c r="B89" s="133">
        <v>45</v>
      </c>
      <c r="C89" s="113" t="s">
        <v>293</v>
      </c>
      <c r="D89" s="114">
        <v>0</v>
      </c>
      <c r="E89" s="114">
        <v>0</v>
      </c>
      <c r="F89" s="114">
        <v>0</v>
      </c>
      <c r="G89" s="114">
        <v>0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</row>
    <row r="90" spans="1:52" x14ac:dyDescent="0.2">
      <c r="A90" s="113"/>
      <c r="B90" s="133">
        <v>46</v>
      </c>
      <c r="C90" s="113" t="s">
        <v>293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  <c r="AU90" s="114"/>
      <c r="AV90" s="114"/>
      <c r="AW90" s="114"/>
      <c r="AX90" s="114"/>
      <c r="AY90" s="114"/>
    </row>
    <row r="91" spans="1:52" x14ac:dyDescent="0.2">
      <c r="A91" s="113"/>
      <c r="B91" s="133">
        <v>47</v>
      </c>
      <c r="C91" s="113" t="s">
        <v>293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  <c r="AU91" s="114"/>
      <c r="AV91" s="114"/>
      <c r="AW91" s="114"/>
      <c r="AX91" s="114"/>
      <c r="AY91" s="114"/>
    </row>
    <row r="92" spans="1:52" x14ac:dyDescent="0.2">
      <c r="A92" s="131"/>
      <c r="B92" s="132">
        <v>48</v>
      </c>
      <c r="C92" s="131" t="s">
        <v>293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1">
        <f>SUM(D21:AY92)</f>
        <v>104010.92949387022</v>
      </c>
    </row>
    <row r="94" spans="1:52" x14ac:dyDescent="0.2">
      <c r="A94" s="1" t="s">
        <v>295</v>
      </c>
      <c r="B94" s="110"/>
      <c r="C94" s="110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">
      <c r="A95" s="129" t="s">
        <v>125</v>
      </c>
      <c r="B95" s="126">
        <v>1</v>
      </c>
      <c r="C95" s="127">
        <v>0</v>
      </c>
      <c r="D95" s="114">
        <v>4467.9526713016512</v>
      </c>
      <c r="E95" s="114">
        <v>5287.102993179662</v>
      </c>
      <c r="F95" s="114">
        <v>6887.9067844959918</v>
      </c>
      <c r="G95" s="114">
        <v>9099.647494253617</v>
      </c>
      <c r="H95" s="114">
        <v>9619.7382774646176</v>
      </c>
      <c r="I95" s="114">
        <v>9785.0517924368523</v>
      </c>
      <c r="J95" s="114">
        <v>9785.0517924368523</v>
      </c>
      <c r="K95" s="114">
        <v>9785.0517924368523</v>
      </c>
      <c r="L95" s="114">
        <v>9540.4920486011979</v>
      </c>
      <c r="M95" s="114">
        <v>9008.7632300440964</v>
      </c>
      <c r="N95" s="114">
        <v>9785.0517924368523</v>
      </c>
      <c r="O95" s="114">
        <v>9785.0517924368523</v>
      </c>
      <c r="P95" s="114">
        <v>9785.0517924368523</v>
      </c>
      <c r="Q95" s="114">
        <v>9785.0517924368523</v>
      </c>
      <c r="R95" s="114">
        <v>9785.0517924368523</v>
      </c>
      <c r="S95" s="114">
        <v>9785.0517924368523</v>
      </c>
      <c r="T95" s="114">
        <v>9785.0517924368523</v>
      </c>
      <c r="U95" s="114">
        <v>9785.0517924368523</v>
      </c>
      <c r="V95" s="114">
        <v>9785.0517924368523</v>
      </c>
      <c r="W95" s="114">
        <v>9785.0517924368523</v>
      </c>
      <c r="X95" s="114">
        <v>9785.0517924368523</v>
      </c>
      <c r="Y95" s="114">
        <v>9785.0517924368523</v>
      </c>
      <c r="Z95" s="114">
        <v>9785.0517924368523</v>
      </c>
      <c r="AA95" s="114">
        <v>9785.0517924368523</v>
      </c>
      <c r="AB95" s="114">
        <v>9785.0517924368523</v>
      </c>
      <c r="AC95" s="114">
        <v>9785.0517924368523</v>
      </c>
      <c r="AD95" s="114">
        <v>9785.0517924368523</v>
      </c>
      <c r="AE95" s="114">
        <v>9785.0517924368523</v>
      </c>
      <c r="AF95" s="114">
        <v>9785.0517924368523</v>
      </c>
      <c r="AG95" s="114">
        <v>9785.0517924368523</v>
      </c>
      <c r="AH95" s="114">
        <v>9785.0517924368523</v>
      </c>
      <c r="AI95" s="114">
        <v>9785.0517924368523</v>
      </c>
      <c r="AJ95" s="114">
        <v>9785.0517924368523</v>
      </c>
      <c r="AK95" s="114">
        <v>8827.4322915542853</v>
      </c>
      <c r="AL95" s="114">
        <v>9785.0517924368523</v>
      </c>
      <c r="AM95" s="114">
        <v>9785.0517924368523</v>
      </c>
      <c r="AN95" s="114">
        <v>9785.0517924368523</v>
      </c>
      <c r="AO95" s="114">
        <v>9785.0517924368523</v>
      </c>
      <c r="AP95" s="114">
        <v>9785.0517924368523</v>
      </c>
      <c r="AQ95" s="114">
        <v>9785.0517924368523</v>
      </c>
      <c r="AR95" s="114">
        <v>9785.0517924368523</v>
      </c>
      <c r="AS95" s="114">
        <v>9785.0517924368523</v>
      </c>
      <c r="AT95" s="114">
        <v>9696.5010362135436</v>
      </c>
      <c r="AU95" s="114">
        <v>9785.0517924368523</v>
      </c>
      <c r="AV95" s="114">
        <v>9611.2612440435951</v>
      </c>
      <c r="AW95" s="114">
        <v>9785.0517924368523</v>
      </c>
      <c r="AX95" s="114">
        <v>9785.0517924368523</v>
      </c>
      <c r="AY95" s="114">
        <v>9785.0517924368523</v>
      </c>
    </row>
    <row r="96" spans="1:52" x14ac:dyDescent="0.2">
      <c r="A96" s="113"/>
      <c r="B96" s="123">
        <v>2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2801.1462177731019</v>
      </c>
      <c r="I96" s="114">
        <v>5443.8186326692103</v>
      </c>
      <c r="J96" s="114">
        <v>8676.4186274651365</v>
      </c>
      <c r="K96" s="114">
        <v>9785.0517924368523</v>
      </c>
      <c r="L96" s="114">
        <v>9785.0517924368523</v>
      </c>
      <c r="M96" s="114">
        <v>9540.4920486011979</v>
      </c>
      <c r="N96" s="114">
        <v>9008.7632300440964</v>
      </c>
      <c r="O96" s="114">
        <v>9785.0517924368523</v>
      </c>
      <c r="P96" s="114">
        <v>9785.0517924368523</v>
      </c>
      <c r="Q96" s="114">
        <v>9785.0517924368523</v>
      </c>
      <c r="R96" s="114">
        <v>9785.0517924368523</v>
      </c>
      <c r="S96" s="114">
        <v>9785.0517924368523</v>
      </c>
      <c r="T96" s="114">
        <v>9785.0517924368523</v>
      </c>
      <c r="U96" s="114">
        <v>9785.0517924368523</v>
      </c>
      <c r="V96" s="114">
        <v>9785.0517924368523</v>
      </c>
      <c r="W96" s="114">
        <v>9785.0517924368523</v>
      </c>
      <c r="X96" s="114">
        <v>9785.0517924368523</v>
      </c>
      <c r="Y96" s="114">
        <v>9785.0517924368523</v>
      </c>
      <c r="Z96" s="114">
        <v>9785.0517924368523</v>
      </c>
      <c r="AA96" s="114">
        <v>9785.0517924368523</v>
      </c>
      <c r="AB96" s="114">
        <v>9785.0517924368523</v>
      </c>
      <c r="AC96" s="114">
        <v>9785.0517924368523</v>
      </c>
      <c r="AD96" s="114">
        <v>9785.0517924368523</v>
      </c>
      <c r="AE96" s="114">
        <v>9785.0517924368523</v>
      </c>
      <c r="AF96" s="114">
        <v>9785.0517924368523</v>
      </c>
      <c r="AG96" s="114">
        <v>9785.0517924368523</v>
      </c>
      <c r="AH96" s="114">
        <v>9785.0517924368523</v>
      </c>
      <c r="AI96" s="114">
        <v>9785.0517924368523</v>
      </c>
      <c r="AJ96" s="114">
        <v>9785.0517924368523</v>
      </c>
      <c r="AK96" s="114">
        <v>9785.0517924368523</v>
      </c>
      <c r="AL96" s="114">
        <v>8827.4322915542853</v>
      </c>
      <c r="AM96" s="114">
        <v>9785.0517924368523</v>
      </c>
      <c r="AN96" s="114">
        <v>9785.0517924368523</v>
      </c>
      <c r="AO96" s="114">
        <v>9785.0517924368523</v>
      </c>
      <c r="AP96" s="114">
        <v>9785.0517924368523</v>
      </c>
      <c r="AQ96" s="114">
        <v>9785.0517924368523</v>
      </c>
      <c r="AR96" s="114">
        <v>9785.0517924368523</v>
      </c>
      <c r="AS96" s="114">
        <v>9785.0517924368523</v>
      </c>
      <c r="AT96" s="114">
        <v>9785.0517924368523</v>
      </c>
      <c r="AU96" s="114">
        <v>9696.5010362135436</v>
      </c>
      <c r="AV96" s="114">
        <v>9785.0517924368523</v>
      </c>
      <c r="AW96" s="114">
        <v>9611.2612440435951</v>
      </c>
      <c r="AX96" s="114">
        <v>9785.0517924368523</v>
      </c>
      <c r="AY96" s="114">
        <v>9785.0517924368523</v>
      </c>
    </row>
    <row r="97" spans="1:52" x14ac:dyDescent="0.2">
      <c r="A97" s="113"/>
      <c r="B97" s="130">
        <v>3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1822.5061766152485</v>
      </c>
      <c r="L97" s="114">
        <v>5145.2515935204137</v>
      </c>
      <c r="M97" s="114">
        <v>8444.6577203051456</v>
      </c>
      <c r="N97" s="114">
        <v>9540.4920486011979</v>
      </c>
      <c r="O97" s="114">
        <v>9008.7632300440964</v>
      </c>
      <c r="P97" s="114">
        <v>9785.0517924368523</v>
      </c>
      <c r="Q97" s="114">
        <v>9785.0517924368523</v>
      </c>
      <c r="R97" s="114">
        <v>9785.0517924368523</v>
      </c>
      <c r="S97" s="114">
        <v>9785.0517924368523</v>
      </c>
      <c r="T97" s="114">
        <v>9785.0517924368523</v>
      </c>
      <c r="U97" s="114">
        <v>9785.0517924368523</v>
      </c>
      <c r="V97" s="114">
        <v>9785.0517924368523</v>
      </c>
      <c r="W97" s="114">
        <v>9785.0517924368523</v>
      </c>
      <c r="X97" s="114">
        <v>9785.0517924368523</v>
      </c>
      <c r="Y97" s="114">
        <v>9785.0517924368523</v>
      </c>
      <c r="Z97" s="114">
        <v>9785.0517924368523</v>
      </c>
      <c r="AA97" s="114">
        <v>9785.0517924368523</v>
      </c>
      <c r="AB97" s="114">
        <v>9785.0517924368523</v>
      </c>
      <c r="AC97" s="114">
        <v>9785.0517924368523</v>
      </c>
      <c r="AD97" s="114">
        <v>9785.0517924368523</v>
      </c>
      <c r="AE97" s="114">
        <v>9785.0517924368523</v>
      </c>
      <c r="AF97" s="114">
        <v>9785.0517924368523</v>
      </c>
      <c r="AG97" s="114">
        <v>9785.0517924368523</v>
      </c>
      <c r="AH97" s="114">
        <v>9785.0517924368523</v>
      </c>
      <c r="AI97" s="114">
        <v>9785.0517924368523</v>
      </c>
      <c r="AJ97" s="114">
        <v>9785.0517924368523</v>
      </c>
      <c r="AK97" s="114">
        <v>9785.0517924368523</v>
      </c>
      <c r="AL97" s="114">
        <v>9785.0517924368523</v>
      </c>
      <c r="AM97" s="114">
        <v>8827.4322915542853</v>
      </c>
      <c r="AN97" s="114">
        <v>9785.0517924368523</v>
      </c>
      <c r="AO97" s="114">
        <v>9785.0517924368523</v>
      </c>
      <c r="AP97" s="114">
        <v>9785.0517924368523</v>
      </c>
      <c r="AQ97" s="114">
        <v>9785.0517924368523</v>
      </c>
      <c r="AR97" s="114">
        <v>9785.0517924368523</v>
      </c>
      <c r="AS97" s="114">
        <v>9785.0517924368523</v>
      </c>
      <c r="AT97" s="114">
        <v>9785.0517924368523</v>
      </c>
      <c r="AU97" s="114">
        <v>9785.0517924368523</v>
      </c>
      <c r="AV97" s="114">
        <v>9696.5010362135436</v>
      </c>
      <c r="AW97" s="114">
        <v>9785.0517924368523</v>
      </c>
      <c r="AX97" s="114">
        <v>9611.2612440435951</v>
      </c>
      <c r="AY97" s="114">
        <v>9785.0517924368523</v>
      </c>
    </row>
    <row r="98" spans="1:52" x14ac:dyDescent="0.2">
      <c r="A98" s="113"/>
      <c r="B98" s="133">
        <v>4</v>
      </c>
      <c r="C98" s="110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1875.6855911426892</v>
      </c>
      <c r="O98" s="114">
        <v>4332.2954755599776</v>
      </c>
      <c r="P98" s="114">
        <v>6359.5966763733722</v>
      </c>
      <c r="Q98" s="114">
        <v>8059.104551402479</v>
      </c>
      <c r="R98" s="114">
        <v>9355.4313518662111</v>
      </c>
      <c r="S98" s="114">
        <v>9785.0517924368523</v>
      </c>
      <c r="T98" s="114">
        <v>9785.0517924368523</v>
      </c>
      <c r="U98" s="114">
        <v>9785.0517924368523</v>
      </c>
      <c r="V98" s="114">
        <v>9785.0517924368523</v>
      </c>
      <c r="W98" s="114">
        <v>9785.0517924368523</v>
      </c>
      <c r="X98" s="114">
        <v>9785.0517924368523</v>
      </c>
      <c r="Y98" s="114">
        <v>9785.0517924368523</v>
      </c>
      <c r="Z98" s="114">
        <v>9785.0517924368523</v>
      </c>
      <c r="AA98" s="114">
        <v>9785.0517924368523</v>
      </c>
      <c r="AB98" s="114">
        <v>9785.0517924368523</v>
      </c>
      <c r="AC98" s="114">
        <v>9785.0517924368523</v>
      </c>
      <c r="AD98" s="114">
        <v>9785.0517924368523</v>
      </c>
      <c r="AE98" s="114">
        <v>9785.0517924368523</v>
      </c>
      <c r="AF98" s="114">
        <v>9785.0517924368523</v>
      </c>
      <c r="AG98" s="114">
        <v>9785.0517924368523</v>
      </c>
      <c r="AH98" s="114">
        <v>9785.0517924368523</v>
      </c>
      <c r="AI98" s="114">
        <v>9785.0517924368523</v>
      </c>
      <c r="AJ98" s="114">
        <v>9785.0517924368523</v>
      </c>
      <c r="AK98" s="114">
        <v>9785.0517924368523</v>
      </c>
      <c r="AL98" s="114">
        <v>9785.0517924368523</v>
      </c>
      <c r="AM98" s="114">
        <v>9785.0517924368523</v>
      </c>
      <c r="AN98" s="114">
        <v>8827.4322915542853</v>
      </c>
      <c r="AO98" s="114">
        <v>9785.0517924368523</v>
      </c>
      <c r="AP98" s="114">
        <v>9785.0517924368523</v>
      </c>
      <c r="AQ98" s="114">
        <v>9785.0517924368523</v>
      </c>
      <c r="AR98" s="114">
        <v>9785.0517924368523</v>
      </c>
      <c r="AS98" s="114">
        <v>9785.0517924368523</v>
      </c>
      <c r="AT98" s="114">
        <v>9785.0517924368523</v>
      </c>
      <c r="AU98" s="114">
        <v>9785.0517924368523</v>
      </c>
      <c r="AV98" s="114">
        <v>9785.0517924368523</v>
      </c>
      <c r="AW98" s="114">
        <v>9696.5010362135436</v>
      </c>
      <c r="AX98" s="114">
        <v>9785.0517924368523</v>
      </c>
      <c r="AY98" s="114">
        <v>9611.2612440435951</v>
      </c>
    </row>
    <row r="99" spans="1:52" x14ac:dyDescent="0.2">
      <c r="A99" s="131"/>
      <c r="B99" s="135" t="s">
        <v>296</v>
      </c>
      <c r="C99" s="128">
        <v>0</v>
      </c>
      <c r="D99" s="128">
        <v>0</v>
      </c>
      <c r="E99" s="128">
        <v>0</v>
      </c>
      <c r="F99" s="128">
        <v>0</v>
      </c>
      <c r="G99" s="128">
        <v>0</v>
      </c>
      <c r="H99" s="128">
        <v>0</v>
      </c>
      <c r="I99" s="128">
        <v>0</v>
      </c>
      <c r="J99" s="128">
        <v>0</v>
      </c>
      <c r="K99" s="128">
        <v>0</v>
      </c>
      <c r="L99" s="128">
        <v>0</v>
      </c>
      <c r="M99" s="128">
        <v>0</v>
      </c>
      <c r="N99" s="128">
        <v>0</v>
      </c>
      <c r="O99" s="128">
        <v>1394.6855911426892</v>
      </c>
      <c r="P99" s="128">
        <v>3930.2954755599776</v>
      </c>
      <c r="Q99" s="128">
        <v>5873.5966763733722</v>
      </c>
      <c r="R99" s="128">
        <v>7583.104551402479</v>
      </c>
      <c r="S99" s="128">
        <v>8950.4313518662111</v>
      </c>
      <c r="T99" s="128">
        <v>9289.0517924368523</v>
      </c>
      <c r="U99" s="128">
        <v>9296.0517924368523</v>
      </c>
      <c r="V99" s="128">
        <v>9271.0517924368523</v>
      </c>
      <c r="W99" s="128">
        <v>9276.0517924368523</v>
      </c>
      <c r="X99" s="128">
        <v>9325.0517924368523</v>
      </c>
      <c r="Y99" s="128">
        <v>9328.0517924368523</v>
      </c>
      <c r="Z99" s="128">
        <v>9280.0517924368523</v>
      </c>
      <c r="AA99" s="128">
        <v>9344.0517924368523</v>
      </c>
      <c r="AB99" s="128">
        <v>9225.0517924368523</v>
      </c>
      <c r="AC99" s="128">
        <v>9355.0517924368523</v>
      </c>
      <c r="AD99" s="128">
        <v>9277.0517924368523</v>
      </c>
      <c r="AE99" s="128">
        <v>9220.0517924368523</v>
      </c>
      <c r="AF99" s="128">
        <v>9227.0517924368523</v>
      </c>
      <c r="AG99" s="128">
        <v>9229.0517924368523</v>
      </c>
      <c r="AH99" s="128">
        <v>9248.0517924368523</v>
      </c>
      <c r="AI99" s="128">
        <v>9394.0517924368523</v>
      </c>
      <c r="AJ99" s="128">
        <v>9172.0517924368523</v>
      </c>
      <c r="AK99" s="128">
        <v>9238.0517924368523</v>
      </c>
      <c r="AL99" s="128">
        <v>9292.0517924368523</v>
      </c>
      <c r="AM99" s="128">
        <v>9273.0517924368523</v>
      </c>
      <c r="AN99" s="128">
        <v>9241.0517924368523</v>
      </c>
      <c r="AO99" s="128">
        <v>8341.4322915542853</v>
      </c>
      <c r="AP99" s="128">
        <v>9236.0517924368523</v>
      </c>
      <c r="AQ99" s="128">
        <v>9328.0517924368523</v>
      </c>
      <c r="AR99" s="128">
        <v>9287.0517924368523</v>
      </c>
      <c r="AS99" s="128">
        <v>9324.0517924368523</v>
      </c>
      <c r="AT99" s="128">
        <v>9259.0517924368523</v>
      </c>
      <c r="AU99" s="128">
        <v>9300.0517924368523</v>
      </c>
      <c r="AV99" s="128">
        <v>9327.0517924368523</v>
      </c>
      <c r="AW99" s="128">
        <v>9189.0517924368523</v>
      </c>
      <c r="AX99" s="128">
        <v>9122.5010362135436</v>
      </c>
      <c r="AY99" s="128">
        <v>9205.0517924368523</v>
      </c>
      <c r="AZ99" s="111">
        <f>SUM($D99:$AY99)</f>
        <v>323452.60074721824</v>
      </c>
    </row>
    <row r="100" spans="1:52" x14ac:dyDescent="0.2">
      <c r="A100" s="134" t="s">
        <v>133</v>
      </c>
      <c r="B100" s="122">
        <v>1</v>
      </c>
      <c r="C100" s="110">
        <v>793.42805123827816</v>
      </c>
      <c r="D100" s="110">
        <v>793.42805123827816</v>
      </c>
      <c r="E100" s="110">
        <v>132.23040066192792</v>
      </c>
      <c r="F100" s="110">
        <v>0</v>
      </c>
      <c r="G100" s="110">
        <v>132.23040066192792</v>
      </c>
      <c r="H100" s="110">
        <v>0</v>
      </c>
      <c r="I100" s="110">
        <v>132.23040066192792</v>
      </c>
      <c r="J100" s="110">
        <v>0</v>
      </c>
      <c r="K100" s="110">
        <v>132.23040066192792</v>
      </c>
      <c r="L100" s="110">
        <v>0</v>
      </c>
      <c r="M100" s="110">
        <v>132.23040066192792</v>
      </c>
      <c r="N100" s="110">
        <v>0</v>
      </c>
      <c r="O100" s="110">
        <v>132.23040066192792</v>
      </c>
      <c r="P100" s="110">
        <v>0</v>
      </c>
      <c r="Q100" s="110">
        <v>132.23040066192792</v>
      </c>
      <c r="R100" s="110">
        <v>0</v>
      </c>
      <c r="S100" s="110">
        <v>132.23040066192792</v>
      </c>
      <c r="T100" s="110">
        <v>0</v>
      </c>
      <c r="U100" s="110">
        <v>132.23040066192792</v>
      </c>
      <c r="V100" s="110">
        <v>0</v>
      </c>
      <c r="W100" s="110">
        <v>132.23040066192792</v>
      </c>
      <c r="X100" s="110">
        <v>0</v>
      </c>
      <c r="Y100" s="110">
        <v>132.23040066192792</v>
      </c>
      <c r="Z100" s="110">
        <v>0</v>
      </c>
      <c r="AA100" s="110">
        <v>132.23040066192792</v>
      </c>
      <c r="AB100" s="110">
        <v>0</v>
      </c>
      <c r="AC100" s="110">
        <v>132.23040066192792</v>
      </c>
      <c r="AD100" s="110">
        <v>0</v>
      </c>
      <c r="AE100" s="110">
        <v>132.23040066192792</v>
      </c>
      <c r="AF100" s="110">
        <v>0</v>
      </c>
      <c r="AG100" s="110">
        <v>132.23040066192792</v>
      </c>
      <c r="AH100" s="110">
        <v>0</v>
      </c>
      <c r="AI100" s="110">
        <v>132.23040066192792</v>
      </c>
      <c r="AJ100" s="110">
        <v>0</v>
      </c>
      <c r="AK100" s="110">
        <v>132.23040066192792</v>
      </c>
      <c r="AL100" s="110">
        <v>0</v>
      </c>
      <c r="AM100" s="110">
        <v>132.23040066192792</v>
      </c>
      <c r="AN100" s="110">
        <v>0</v>
      </c>
      <c r="AO100" s="110">
        <v>132.23040066192792</v>
      </c>
      <c r="AP100" s="110">
        <v>0</v>
      </c>
      <c r="AQ100" s="110">
        <v>132.23040066192792</v>
      </c>
      <c r="AR100" s="110">
        <v>0</v>
      </c>
      <c r="AS100" s="110">
        <v>132.23040066192792</v>
      </c>
      <c r="AT100" s="110">
        <v>0</v>
      </c>
      <c r="AU100" s="110">
        <v>132.23040066192792</v>
      </c>
      <c r="AV100" s="110">
        <v>0</v>
      </c>
      <c r="AW100" s="110">
        <v>132.23040066192792</v>
      </c>
      <c r="AX100" s="110">
        <v>0</v>
      </c>
      <c r="AY100" s="110">
        <v>132.23040066192792</v>
      </c>
    </row>
    <row r="101" spans="1:52" x14ac:dyDescent="0.2">
      <c r="A101" s="113"/>
      <c r="B101" s="122">
        <v>2</v>
      </c>
      <c r="C101" s="110">
        <v>1143.4280512382782</v>
      </c>
      <c r="D101" s="110">
        <v>793.42805123827816</v>
      </c>
      <c r="E101" s="110">
        <v>793.42805123827816</v>
      </c>
      <c r="F101" s="110">
        <v>132.23040066192792</v>
      </c>
      <c r="G101" s="110">
        <v>132.23040066192792</v>
      </c>
      <c r="H101" s="110">
        <v>132.23040066192792</v>
      </c>
      <c r="I101" s="110">
        <v>132.23040066192792</v>
      </c>
      <c r="J101" s="110">
        <v>0</v>
      </c>
      <c r="K101" s="110">
        <v>132.23040066192792</v>
      </c>
      <c r="L101" s="110">
        <v>0</v>
      </c>
      <c r="M101" s="110">
        <v>132.23040066192792</v>
      </c>
      <c r="N101" s="110">
        <v>0</v>
      </c>
      <c r="O101" s="110">
        <v>132.23040066192792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0">
        <v>0</v>
      </c>
      <c r="V101" s="110">
        <v>0</v>
      </c>
      <c r="W101" s="110">
        <v>132.23040066192792</v>
      </c>
      <c r="X101" s="110">
        <v>0</v>
      </c>
      <c r="Y101" s="110">
        <v>132.23040066192792</v>
      </c>
      <c r="Z101" s="110">
        <v>0</v>
      </c>
      <c r="AA101" s="110">
        <v>132.23040066192792</v>
      </c>
      <c r="AB101" s="110">
        <v>0</v>
      </c>
      <c r="AC101" s="110">
        <v>132.23040066192792</v>
      </c>
      <c r="AD101" s="110">
        <v>0</v>
      </c>
      <c r="AE101" s="110">
        <v>132.23040066192792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132.23040066192792</v>
      </c>
      <c r="AL101" s="110">
        <v>0</v>
      </c>
      <c r="AM101" s="110">
        <v>132.23040066192792</v>
      </c>
      <c r="AN101" s="110">
        <v>0</v>
      </c>
      <c r="AO101" s="110">
        <v>0</v>
      </c>
      <c r="AP101" s="110">
        <v>0</v>
      </c>
      <c r="AQ101" s="110">
        <v>132.23040066192792</v>
      </c>
      <c r="AR101" s="110">
        <v>0</v>
      </c>
      <c r="AS101" s="110">
        <v>0</v>
      </c>
      <c r="AT101" s="110">
        <v>0</v>
      </c>
      <c r="AU101" s="110">
        <v>0</v>
      </c>
      <c r="AV101" s="110">
        <v>0</v>
      </c>
      <c r="AW101" s="110">
        <v>132.23040066192792</v>
      </c>
      <c r="AX101" s="110">
        <v>0</v>
      </c>
      <c r="AY101" s="110">
        <v>132.23040066192792</v>
      </c>
    </row>
    <row r="102" spans="1:52" x14ac:dyDescent="0.2">
      <c r="A102" s="113"/>
      <c r="B102" s="123">
        <v>3</v>
      </c>
      <c r="C102" s="110">
        <v>65.410510023329152</v>
      </c>
      <c r="D102" s="110">
        <v>257.83856126160731</v>
      </c>
      <c r="E102" s="110">
        <v>506.26661249988547</v>
      </c>
      <c r="F102" s="110">
        <v>793.42805123827816</v>
      </c>
      <c r="G102" s="110">
        <v>132.23040066192792</v>
      </c>
      <c r="H102" s="110">
        <v>31.155465062019459</v>
      </c>
      <c r="I102" s="110">
        <v>0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10">
        <v>0</v>
      </c>
      <c r="P102" s="110">
        <v>0</v>
      </c>
      <c r="Q102" s="110">
        <v>0</v>
      </c>
      <c r="R102" s="110">
        <v>132.23040066192792</v>
      </c>
      <c r="S102" s="110">
        <v>0</v>
      </c>
      <c r="T102" s="110">
        <v>0</v>
      </c>
      <c r="U102" s="110">
        <v>0</v>
      </c>
      <c r="V102" s="110">
        <v>132.23040066192792</v>
      </c>
      <c r="W102" s="110">
        <v>0</v>
      </c>
      <c r="X102" s="110">
        <v>0</v>
      </c>
      <c r="Y102" s="110">
        <v>0</v>
      </c>
      <c r="Z102" s="110">
        <v>0</v>
      </c>
      <c r="AA102" s="110">
        <v>0</v>
      </c>
      <c r="AB102" s="110">
        <v>0</v>
      </c>
      <c r="AC102" s="110">
        <v>0</v>
      </c>
      <c r="AD102" s="110">
        <v>0</v>
      </c>
      <c r="AE102" s="110">
        <v>0</v>
      </c>
      <c r="AF102" s="110">
        <v>0</v>
      </c>
      <c r="AG102" s="110">
        <v>0</v>
      </c>
      <c r="AH102" s="110">
        <v>132.23040066192792</v>
      </c>
      <c r="AI102" s="110">
        <v>0</v>
      </c>
      <c r="AJ102" s="110">
        <v>132.23040066192792</v>
      </c>
      <c r="AK102" s="110">
        <v>0</v>
      </c>
      <c r="AL102" s="110">
        <v>0</v>
      </c>
      <c r="AM102" s="110">
        <v>0</v>
      </c>
      <c r="AN102" s="110">
        <v>0</v>
      </c>
      <c r="AO102" s="110">
        <v>0</v>
      </c>
      <c r="AP102" s="110">
        <v>132.23040066192792</v>
      </c>
      <c r="AQ102" s="110">
        <v>0</v>
      </c>
      <c r="AR102" s="110">
        <v>0</v>
      </c>
      <c r="AS102" s="110">
        <v>0</v>
      </c>
      <c r="AT102" s="110">
        <v>132.23040066192792</v>
      </c>
      <c r="AU102" s="110">
        <v>0</v>
      </c>
      <c r="AV102" s="110">
        <v>132.23040066192792</v>
      </c>
      <c r="AW102" s="110">
        <v>0</v>
      </c>
      <c r="AX102" s="110">
        <v>0</v>
      </c>
      <c r="AY102" s="110">
        <v>0</v>
      </c>
    </row>
    <row r="103" spans="1:52" x14ac:dyDescent="0.2">
      <c r="A103" s="113"/>
      <c r="B103" s="123">
        <v>4</v>
      </c>
      <c r="C103" s="110">
        <v>0</v>
      </c>
      <c r="D103" s="110">
        <v>0</v>
      </c>
      <c r="E103" s="110">
        <v>0</v>
      </c>
      <c r="F103" s="110">
        <v>4.2666124998854684</v>
      </c>
      <c r="G103" s="110">
        <v>236.69466373816363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10">
        <v>0</v>
      </c>
      <c r="P103" s="110">
        <v>0</v>
      </c>
      <c r="Q103" s="110">
        <v>0</v>
      </c>
      <c r="R103" s="110">
        <v>0</v>
      </c>
      <c r="S103" s="110">
        <v>0</v>
      </c>
      <c r="T103" s="110">
        <v>0</v>
      </c>
      <c r="U103" s="110">
        <v>132.23040066192792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0</v>
      </c>
      <c r="AF103" s="110">
        <v>0</v>
      </c>
      <c r="AG103" s="110">
        <v>0</v>
      </c>
      <c r="AH103" s="110">
        <v>0</v>
      </c>
      <c r="AI103" s="110">
        <v>0</v>
      </c>
      <c r="AJ103" s="110">
        <v>0</v>
      </c>
      <c r="AK103" s="110">
        <v>0</v>
      </c>
      <c r="AL103" s="110">
        <v>0</v>
      </c>
      <c r="AM103" s="110">
        <v>0</v>
      </c>
      <c r="AN103" s="110">
        <v>0</v>
      </c>
      <c r="AO103" s="110">
        <v>0</v>
      </c>
      <c r="AP103" s="110">
        <v>0</v>
      </c>
      <c r="AQ103" s="110">
        <v>0</v>
      </c>
      <c r="AR103" s="110">
        <v>0</v>
      </c>
      <c r="AS103" s="110">
        <v>0</v>
      </c>
      <c r="AT103" s="110">
        <v>0</v>
      </c>
      <c r="AU103" s="110">
        <v>0</v>
      </c>
      <c r="AV103" s="110">
        <v>0</v>
      </c>
      <c r="AW103" s="110">
        <v>0</v>
      </c>
      <c r="AX103" s="110">
        <v>0</v>
      </c>
      <c r="AY103" s="110">
        <v>0</v>
      </c>
    </row>
    <row r="104" spans="1:52" x14ac:dyDescent="0.2">
      <c r="A104" s="113"/>
      <c r="B104" s="130">
        <v>5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10">
        <v>0</v>
      </c>
      <c r="P104" s="110">
        <v>0</v>
      </c>
      <c r="Q104" s="110">
        <v>0</v>
      </c>
      <c r="R104" s="110">
        <v>0</v>
      </c>
      <c r="S104" s="110">
        <v>0</v>
      </c>
      <c r="T104" s="110">
        <v>0</v>
      </c>
      <c r="U104" s="110">
        <v>0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>
        <v>0</v>
      </c>
      <c r="AM104" s="110">
        <v>0</v>
      </c>
      <c r="AN104" s="110">
        <v>0</v>
      </c>
      <c r="AO104" s="110">
        <v>0</v>
      </c>
      <c r="AP104" s="110">
        <v>0</v>
      </c>
      <c r="AQ104" s="110">
        <v>0</v>
      </c>
      <c r="AR104" s="110">
        <v>0</v>
      </c>
      <c r="AS104" s="110">
        <v>0</v>
      </c>
      <c r="AT104" s="110">
        <v>0</v>
      </c>
      <c r="AU104" s="110">
        <v>0</v>
      </c>
      <c r="AV104" s="110">
        <v>0</v>
      </c>
      <c r="AW104" s="110">
        <v>0</v>
      </c>
      <c r="AX104" s="110">
        <v>0</v>
      </c>
      <c r="AY104" s="110">
        <v>0</v>
      </c>
    </row>
    <row r="105" spans="1:52" x14ac:dyDescent="0.2">
      <c r="A105" s="113"/>
      <c r="B105" s="130">
        <v>6</v>
      </c>
      <c r="C105" s="110">
        <v>0</v>
      </c>
      <c r="D105" s="110">
        <v>0</v>
      </c>
      <c r="E105" s="110">
        <v>0</v>
      </c>
      <c r="F105" s="110">
        <v>0</v>
      </c>
      <c r="G105" s="110">
        <v>0</v>
      </c>
      <c r="H105" s="110">
        <v>0</v>
      </c>
      <c r="I105" s="110">
        <v>0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0">
        <v>0</v>
      </c>
      <c r="AP105" s="110">
        <v>0</v>
      </c>
      <c r="AQ105" s="110">
        <v>0</v>
      </c>
      <c r="AR105" s="110">
        <v>0</v>
      </c>
      <c r="AS105" s="110">
        <v>0</v>
      </c>
      <c r="AT105" s="110">
        <v>0</v>
      </c>
      <c r="AU105" s="110">
        <v>0</v>
      </c>
      <c r="AV105" s="110">
        <v>0</v>
      </c>
      <c r="AW105" s="110">
        <v>0</v>
      </c>
      <c r="AX105" s="110">
        <v>0</v>
      </c>
      <c r="AY105" s="110">
        <v>0</v>
      </c>
    </row>
    <row r="106" spans="1:52" x14ac:dyDescent="0.2">
      <c r="A106" s="113"/>
      <c r="B106" s="133">
        <v>7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0">
        <v>0</v>
      </c>
      <c r="AM106" s="110">
        <v>0</v>
      </c>
      <c r="AN106" s="110">
        <v>0</v>
      </c>
      <c r="AO106" s="110">
        <v>0</v>
      </c>
      <c r="AP106" s="110">
        <v>0</v>
      </c>
      <c r="AQ106" s="110">
        <v>0</v>
      </c>
      <c r="AR106" s="110">
        <v>0</v>
      </c>
      <c r="AS106" s="110">
        <v>0</v>
      </c>
      <c r="AT106" s="110">
        <v>0</v>
      </c>
      <c r="AU106" s="110">
        <v>0</v>
      </c>
      <c r="AV106" s="110">
        <v>0</v>
      </c>
      <c r="AW106" s="110">
        <v>0</v>
      </c>
      <c r="AX106" s="110">
        <v>0</v>
      </c>
      <c r="AY106" s="110">
        <v>0</v>
      </c>
    </row>
    <row r="107" spans="1:52" x14ac:dyDescent="0.2">
      <c r="A107" s="113"/>
      <c r="B107" s="133">
        <v>8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0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0">
        <v>0</v>
      </c>
      <c r="AM107" s="110">
        <v>0</v>
      </c>
      <c r="AN107" s="110">
        <v>0</v>
      </c>
      <c r="AO107" s="110">
        <v>0</v>
      </c>
      <c r="AP107" s="110">
        <v>0</v>
      </c>
      <c r="AQ107" s="110">
        <v>0</v>
      </c>
      <c r="AR107" s="110">
        <v>0</v>
      </c>
      <c r="AS107" s="110">
        <v>0</v>
      </c>
      <c r="AT107" s="110">
        <v>0</v>
      </c>
      <c r="AU107" s="110">
        <v>0</v>
      </c>
      <c r="AV107" s="110">
        <v>0</v>
      </c>
      <c r="AW107" s="110">
        <v>0</v>
      </c>
      <c r="AX107" s="110">
        <v>0</v>
      </c>
      <c r="AY107" s="110">
        <v>0</v>
      </c>
    </row>
    <row r="108" spans="1:52" x14ac:dyDescent="0.2">
      <c r="A108" s="131"/>
      <c r="B108" s="135" t="s">
        <v>296</v>
      </c>
      <c r="C108" s="117">
        <v>0</v>
      </c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11">
        <f>SUM($D108:$AY108)</f>
        <v>0</v>
      </c>
    </row>
    <row r="109" spans="1:52" x14ac:dyDescent="0.2">
      <c r="A109" s="134" t="s">
        <v>134</v>
      </c>
      <c r="B109" s="122">
        <v>1</v>
      </c>
      <c r="C109" s="110">
        <v>4660.251059748045</v>
      </c>
      <c r="D109" s="110">
        <v>4646.1415481560625</v>
      </c>
      <c r="E109" s="110">
        <v>2535.2430031080785</v>
      </c>
      <c r="F109" s="110">
        <v>1795.1644445730706</v>
      </c>
      <c r="G109" s="110">
        <v>1305.3821830637005</v>
      </c>
      <c r="H109" s="110">
        <v>976.96034708402954</v>
      </c>
      <c r="I109" s="110">
        <v>777.95701825050173</v>
      </c>
      <c r="J109" s="110">
        <v>602.48351390261098</v>
      </c>
      <c r="K109" s="110">
        <v>465.48064812189676</v>
      </c>
      <c r="L109" s="110">
        <v>384.6445584537214</v>
      </c>
      <c r="M109" s="110">
        <v>317.78612138530684</v>
      </c>
      <c r="N109" s="110">
        <v>302.48256131300423</v>
      </c>
      <c r="O109" s="110">
        <v>306.41724132606231</v>
      </c>
      <c r="P109" s="110">
        <v>313.11388868753681</v>
      </c>
      <c r="Q109" s="110">
        <v>314.13390311637511</v>
      </c>
      <c r="R109" s="110">
        <v>301.03544552102585</v>
      </c>
      <c r="S109" s="110">
        <v>280.64056083106317</v>
      </c>
      <c r="T109" s="110">
        <v>280.64056083106317</v>
      </c>
      <c r="U109" s="110">
        <v>280.64056083106317</v>
      </c>
      <c r="V109" s="110">
        <v>280.64056083106317</v>
      </c>
      <c r="W109" s="110">
        <v>289.04322968921605</v>
      </c>
      <c r="X109" s="110">
        <v>280.64056083106317</v>
      </c>
      <c r="Y109" s="110">
        <v>281.3478940409741</v>
      </c>
      <c r="Z109" s="110">
        <v>280.64056083106317</v>
      </c>
      <c r="AA109" s="110">
        <v>280.64056083106317</v>
      </c>
      <c r="AB109" s="110">
        <v>280.64056083106317</v>
      </c>
      <c r="AC109" s="110">
        <v>280.64056083106317</v>
      </c>
      <c r="AD109" s="110">
        <v>280.64056083106317</v>
      </c>
      <c r="AE109" s="110">
        <v>280.64056083106317</v>
      </c>
      <c r="AF109" s="110">
        <v>280.64056083106317</v>
      </c>
      <c r="AG109" s="110">
        <v>280.64056083106317</v>
      </c>
      <c r="AH109" s="110">
        <v>280.64056083106317</v>
      </c>
      <c r="AI109" s="110">
        <v>280.64056083106317</v>
      </c>
      <c r="AJ109" s="110">
        <v>300.66315021176342</v>
      </c>
      <c r="AK109" s="110">
        <v>297.58216441703769</v>
      </c>
      <c r="AL109" s="110">
        <v>282.26482384771845</v>
      </c>
      <c r="AM109" s="110">
        <v>280.64056083106317</v>
      </c>
      <c r="AN109" s="110">
        <v>280.64056083106317</v>
      </c>
      <c r="AO109" s="110">
        <v>280.64056083106317</v>
      </c>
      <c r="AP109" s="110">
        <v>283.28537600252173</v>
      </c>
      <c r="AQ109" s="110">
        <v>280.64056083106317</v>
      </c>
      <c r="AR109" s="110">
        <v>280.64056083106317</v>
      </c>
      <c r="AS109" s="110">
        <v>280.64056083106317</v>
      </c>
      <c r="AT109" s="110">
        <v>303.83737054690135</v>
      </c>
      <c r="AU109" s="110">
        <v>280.64056083106317</v>
      </c>
      <c r="AV109" s="110">
        <v>280.64056083106317</v>
      </c>
      <c r="AW109" s="110">
        <v>284.89758103155617</v>
      </c>
      <c r="AX109" s="110">
        <v>280.64056083106317</v>
      </c>
      <c r="AY109" s="110">
        <v>280.64056083106317</v>
      </c>
    </row>
    <row r="110" spans="1:52" x14ac:dyDescent="0.2">
      <c r="A110" s="113"/>
      <c r="B110" s="122">
        <v>2</v>
      </c>
      <c r="C110" s="110">
        <v>4681.1696268318883</v>
      </c>
      <c r="D110" s="110">
        <v>4660.251059748045</v>
      </c>
      <c r="E110" s="110">
        <v>4646.1415481560625</v>
      </c>
      <c r="F110" s="110">
        <v>2535.2430031080785</v>
      </c>
      <c r="G110" s="110">
        <v>1795.1644445730706</v>
      </c>
      <c r="H110" s="110">
        <v>1305.3821830637005</v>
      </c>
      <c r="I110" s="110">
        <v>976.96034708402954</v>
      </c>
      <c r="J110" s="110">
        <v>777.95701825050173</v>
      </c>
      <c r="K110" s="110">
        <v>602.48351390261098</v>
      </c>
      <c r="L110" s="110">
        <v>465.48064812189676</v>
      </c>
      <c r="M110" s="110">
        <v>384.6445584537214</v>
      </c>
      <c r="N110" s="110">
        <v>317.78612138530684</v>
      </c>
      <c r="O110" s="110">
        <v>302.48256131300423</v>
      </c>
      <c r="P110" s="110">
        <v>306.41724132606231</v>
      </c>
      <c r="Q110" s="110">
        <v>313.11388868753681</v>
      </c>
      <c r="R110" s="110">
        <v>314.13390311637511</v>
      </c>
      <c r="S110" s="110">
        <v>301.03544552102585</v>
      </c>
      <c r="T110" s="110">
        <v>280.64056083106317</v>
      </c>
      <c r="U110" s="110">
        <v>280.64056083106317</v>
      </c>
      <c r="V110" s="110">
        <v>280.64056083106317</v>
      </c>
      <c r="W110" s="110">
        <v>280.64056083106317</v>
      </c>
      <c r="X110" s="110">
        <v>289.04322968921605</v>
      </c>
      <c r="Y110" s="110">
        <v>280.64056083106317</v>
      </c>
      <c r="Z110" s="110">
        <v>281.3478940409741</v>
      </c>
      <c r="AA110" s="110">
        <v>280.64056083106317</v>
      </c>
      <c r="AB110" s="110">
        <v>120.52323863724689</v>
      </c>
      <c r="AC110" s="110">
        <v>0</v>
      </c>
      <c r="AD110" s="110">
        <v>0</v>
      </c>
      <c r="AE110" s="110">
        <v>0</v>
      </c>
      <c r="AF110" s="110">
        <v>0</v>
      </c>
      <c r="AG110" s="110">
        <v>0</v>
      </c>
      <c r="AH110" s="110">
        <v>0</v>
      </c>
      <c r="AI110" s="110">
        <v>0</v>
      </c>
      <c r="AJ110" s="110">
        <v>0</v>
      </c>
      <c r="AK110" s="110">
        <v>0</v>
      </c>
      <c r="AL110" s="110">
        <v>0</v>
      </c>
      <c r="AM110" s="110">
        <v>0</v>
      </c>
      <c r="AN110" s="110">
        <v>0</v>
      </c>
      <c r="AO110" s="110">
        <v>0</v>
      </c>
      <c r="AP110" s="110">
        <v>0</v>
      </c>
      <c r="AQ110" s="110">
        <v>0</v>
      </c>
      <c r="AR110" s="110">
        <v>0</v>
      </c>
      <c r="AS110" s="110">
        <v>0</v>
      </c>
      <c r="AT110" s="110">
        <v>0</v>
      </c>
      <c r="AU110" s="110">
        <v>0</v>
      </c>
      <c r="AV110" s="110">
        <v>0</v>
      </c>
      <c r="AW110" s="110">
        <v>0</v>
      </c>
      <c r="AX110" s="110">
        <v>0</v>
      </c>
      <c r="AY110" s="110">
        <v>0</v>
      </c>
    </row>
    <row r="111" spans="1:52" x14ac:dyDescent="0.2">
      <c r="A111" s="113"/>
      <c r="B111" s="122">
        <v>3</v>
      </c>
      <c r="C111" s="110">
        <v>4684.2640898703448</v>
      </c>
      <c r="D111" s="110">
        <v>4681.1696268318883</v>
      </c>
      <c r="E111" s="110">
        <v>4660.251059748045</v>
      </c>
      <c r="F111" s="110">
        <v>4646.1415481560625</v>
      </c>
      <c r="G111" s="110">
        <v>2535.2430031080785</v>
      </c>
      <c r="H111" s="110">
        <v>1795.1644445730706</v>
      </c>
      <c r="I111" s="110">
        <v>1305.3821830637005</v>
      </c>
      <c r="J111" s="110">
        <v>976.96034708402954</v>
      </c>
      <c r="K111" s="110">
        <v>777.95701825050173</v>
      </c>
      <c r="L111" s="110">
        <v>602.48351390261098</v>
      </c>
      <c r="M111" s="110">
        <v>465.48064812189676</v>
      </c>
      <c r="N111" s="110">
        <v>384.6445584537214</v>
      </c>
      <c r="O111" s="110">
        <v>317.78612138530684</v>
      </c>
      <c r="P111" s="110">
        <v>302.48256131300423</v>
      </c>
      <c r="Q111" s="110">
        <v>306.41724132606231</v>
      </c>
      <c r="R111" s="110">
        <v>313.11388868753681</v>
      </c>
      <c r="S111" s="110">
        <v>314.13390311637511</v>
      </c>
      <c r="T111" s="110">
        <v>301.03544552102585</v>
      </c>
      <c r="U111" s="110">
        <v>280.64056083106317</v>
      </c>
      <c r="V111" s="110">
        <v>280.64056083106317</v>
      </c>
      <c r="W111" s="110">
        <v>280.64056083106317</v>
      </c>
      <c r="X111" s="110">
        <v>280.64056083106317</v>
      </c>
      <c r="Y111" s="110">
        <v>289.04322968921605</v>
      </c>
      <c r="Z111" s="110">
        <v>280.64056083106317</v>
      </c>
      <c r="AA111" s="110">
        <v>281.3478940409741</v>
      </c>
      <c r="AB111" s="110">
        <v>0</v>
      </c>
      <c r="AC111" s="110">
        <v>0</v>
      </c>
      <c r="AD111" s="110">
        <v>0</v>
      </c>
      <c r="AE111" s="110">
        <v>0</v>
      </c>
      <c r="AF111" s="110">
        <v>0</v>
      </c>
      <c r="AG111" s="110">
        <v>0</v>
      </c>
      <c r="AH111" s="110">
        <v>0</v>
      </c>
      <c r="AI111" s="110">
        <v>0</v>
      </c>
      <c r="AJ111" s="110">
        <v>0</v>
      </c>
      <c r="AK111" s="110">
        <v>0</v>
      </c>
      <c r="AL111" s="110">
        <v>0</v>
      </c>
      <c r="AM111" s="110">
        <v>0</v>
      </c>
      <c r="AN111" s="110">
        <v>0</v>
      </c>
      <c r="AO111" s="110">
        <v>0</v>
      </c>
      <c r="AP111" s="110">
        <v>0</v>
      </c>
      <c r="AQ111" s="110">
        <v>0</v>
      </c>
      <c r="AR111" s="110">
        <v>0</v>
      </c>
      <c r="AS111" s="110">
        <v>0</v>
      </c>
      <c r="AT111" s="110">
        <v>0</v>
      </c>
      <c r="AU111" s="110">
        <v>0</v>
      </c>
      <c r="AV111" s="110">
        <v>0</v>
      </c>
      <c r="AW111" s="110">
        <v>0</v>
      </c>
      <c r="AX111" s="110">
        <v>0</v>
      </c>
      <c r="AY111" s="110">
        <v>0</v>
      </c>
    </row>
    <row r="112" spans="1:52" x14ac:dyDescent="0.2">
      <c r="A112" s="113"/>
      <c r="B112" s="123">
        <v>4</v>
      </c>
      <c r="C112" s="110">
        <v>4641.448707674308</v>
      </c>
      <c r="D112" s="110">
        <v>4684.2640898703448</v>
      </c>
      <c r="E112" s="110">
        <v>4681.1696268318883</v>
      </c>
      <c r="F112" s="110">
        <v>4660.251059748045</v>
      </c>
      <c r="G112" s="110">
        <v>4646.1415481560625</v>
      </c>
      <c r="H112" s="110">
        <v>2535.2430031080785</v>
      </c>
      <c r="I112" s="110">
        <v>1795.1644445730706</v>
      </c>
      <c r="J112" s="110">
        <v>1305.3821830637005</v>
      </c>
      <c r="K112" s="110">
        <v>976.96034708402954</v>
      </c>
      <c r="L112" s="110">
        <v>777.95701825050173</v>
      </c>
      <c r="M112" s="110">
        <v>602.48351390261098</v>
      </c>
      <c r="N112" s="110">
        <v>465.48064812189676</v>
      </c>
      <c r="O112" s="110">
        <v>384.6445584537214</v>
      </c>
      <c r="P112" s="110">
        <v>317.78612138530684</v>
      </c>
      <c r="Q112" s="110">
        <v>302.48256131300423</v>
      </c>
      <c r="R112" s="110">
        <v>306.41724132606231</v>
      </c>
      <c r="S112" s="110">
        <v>313.11388868753681</v>
      </c>
      <c r="T112" s="110">
        <v>314.13390311637511</v>
      </c>
      <c r="U112" s="110">
        <v>301.03544552102585</v>
      </c>
      <c r="V112" s="110">
        <v>280.64056083106317</v>
      </c>
      <c r="W112" s="110">
        <v>280.64056083106317</v>
      </c>
      <c r="X112" s="110">
        <v>280.64056083106317</v>
      </c>
      <c r="Y112" s="110">
        <v>280.64056083106317</v>
      </c>
      <c r="Z112" s="110">
        <v>289.04322968921605</v>
      </c>
      <c r="AA112" s="110">
        <v>173.97743073893508</v>
      </c>
      <c r="AB112" s="110">
        <v>0</v>
      </c>
      <c r="AC112" s="110">
        <v>0</v>
      </c>
      <c r="AD112" s="110">
        <v>0</v>
      </c>
      <c r="AE112" s="110">
        <v>0</v>
      </c>
      <c r="AF112" s="110">
        <v>0</v>
      </c>
      <c r="AG112" s="110">
        <v>0</v>
      </c>
      <c r="AH112" s="110">
        <v>0</v>
      </c>
      <c r="AI112" s="110">
        <v>0</v>
      </c>
      <c r="AJ112" s="110">
        <v>0</v>
      </c>
      <c r="AK112" s="110">
        <v>0</v>
      </c>
      <c r="AL112" s="110">
        <v>0</v>
      </c>
      <c r="AM112" s="110">
        <v>0</v>
      </c>
      <c r="AN112" s="110">
        <v>0</v>
      </c>
      <c r="AO112" s="110">
        <v>0</v>
      </c>
      <c r="AP112" s="110">
        <v>0</v>
      </c>
      <c r="AQ112" s="110">
        <v>0</v>
      </c>
      <c r="AR112" s="110">
        <v>0</v>
      </c>
      <c r="AS112" s="110">
        <v>0</v>
      </c>
      <c r="AT112" s="110">
        <v>0</v>
      </c>
      <c r="AU112" s="110">
        <v>0</v>
      </c>
      <c r="AV112" s="110">
        <v>0</v>
      </c>
      <c r="AW112" s="110">
        <v>0</v>
      </c>
      <c r="AX112" s="110">
        <v>0</v>
      </c>
      <c r="AY112" s="110">
        <v>0</v>
      </c>
    </row>
    <row r="113" spans="1:52" x14ac:dyDescent="0.2">
      <c r="A113" s="113"/>
      <c r="B113" s="123">
        <v>5</v>
      </c>
      <c r="C113" s="110">
        <v>4699.8755105839246</v>
      </c>
      <c r="D113" s="110">
        <v>4641.448707674308</v>
      </c>
      <c r="E113" s="110">
        <v>4684.2640898703448</v>
      </c>
      <c r="F113" s="110">
        <v>4681.1696268318883</v>
      </c>
      <c r="G113" s="110">
        <v>4660.251059748045</v>
      </c>
      <c r="H113" s="110">
        <v>4646.1415481560625</v>
      </c>
      <c r="I113" s="110">
        <v>2535.2430031080785</v>
      </c>
      <c r="J113" s="110">
        <v>1795.1644445730706</v>
      </c>
      <c r="K113" s="110">
        <v>1305.3821830637005</v>
      </c>
      <c r="L113" s="110">
        <v>976.96034708402954</v>
      </c>
      <c r="M113" s="110">
        <v>777.95701825050173</v>
      </c>
      <c r="N113" s="110">
        <v>602.48351390261098</v>
      </c>
      <c r="O113" s="110">
        <v>465.48064812189676</v>
      </c>
      <c r="P113" s="110">
        <v>384.6445584537214</v>
      </c>
      <c r="Q113" s="110">
        <v>317.78612138530684</v>
      </c>
      <c r="R113" s="110">
        <v>302.48256131300423</v>
      </c>
      <c r="S113" s="110">
        <v>306.41724132606231</v>
      </c>
      <c r="T113" s="110">
        <v>313.11388868753681</v>
      </c>
      <c r="U113" s="110">
        <v>314.13390311637511</v>
      </c>
      <c r="V113" s="110">
        <v>301.03544552102585</v>
      </c>
      <c r="W113" s="110">
        <v>280.64056083106317</v>
      </c>
      <c r="X113" s="110">
        <v>280.64056083106317</v>
      </c>
      <c r="Y113" s="110">
        <v>280.64056083106317</v>
      </c>
      <c r="Z113" s="110">
        <v>280.64056083106317</v>
      </c>
      <c r="AA113" s="110">
        <v>0</v>
      </c>
      <c r="AB113" s="110">
        <v>0</v>
      </c>
      <c r="AC113" s="110">
        <v>0</v>
      </c>
      <c r="AD113" s="110">
        <v>0</v>
      </c>
      <c r="AE113" s="110">
        <v>0</v>
      </c>
      <c r="AF113" s="110">
        <v>0</v>
      </c>
      <c r="AG113" s="110">
        <v>0</v>
      </c>
      <c r="AH113" s="110">
        <v>0</v>
      </c>
      <c r="AI113" s="110">
        <v>0</v>
      </c>
      <c r="AJ113" s="110">
        <v>0</v>
      </c>
      <c r="AK113" s="110">
        <v>0</v>
      </c>
      <c r="AL113" s="110">
        <v>0</v>
      </c>
      <c r="AM113" s="110">
        <v>0</v>
      </c>
      <c r="AN113" s="110">
        <v>0</v>
      </c>
      <c r="AO113" s="110">
        <v>0</v>
      </c>
      <c r="AP113" s="110">
        <v>0</v>
      </c>
      <c r="AQ113" s="110">
        <v>0</v>
      </c>
      <c r="AR113" s="110">
        <v>0</v>
      </c>
      <c r="AS113" s="110">
        <v>0</v>
      </c>
      <c r="AT113" s="110">
        <v>0</v>
      </c>
      <c r="AU113" s="110">
        <v>0</v>
      </c>
      <c r="AV113" s="110">
        <v>0</v>
      </c>
      <c r="AW113" s="110">
        <v>0</v>
      </c>
      <c r="AX113" s="110">
        <v>0</v>
      </c>
      <c r="AY113" s="110">
        <v>0</v>
      </c>
    </row>
    <row r="114" spans="1:52" x14ac:dyDescent="0.2">
      <c r="A114" s="113"/>
      <c r="B114" s="123">
        <v>6</v>
      </c>
      <c r="C114" s="110">
        <v>4715.6606765671777</v>
      </c>
      <c r="D114" s="110">
        <v>4699.8755105839246</v>
      </c>
      <c r="E114" s="110">
        <v>4641.448707674308</v>
      </c>
      <c r="F114" s="110">
        <v>4684.2640898703448</v>
      </c>
      <c r="G114" s="110">
        <v>4681.1696268318883</v>
      </c>
      <c r="H114" s="110">
        <v>4660.251059748045</v>
      </c>
      <c r="I114" s="110">
        <v>4646.1415481560625</v>
      </c>
      <c r="J114" s="110">
        <v>2535.2430031080785</v>
      </c>
      <c r="K114" s="110">
        <v>1795.1644445730706</v>
      </c>
      <c r="L114" s="110">
        <v>1305.3821830637005</v>
      </c>
      <c r="M114" s="110">
        <v>976.96034708402954</v>
      </c>
      <c r="N114" s="110">
        <v>777.95701825050173</v>
      </c>
      <c r="O114" s="110">
        <v>602.48351390261098</v>
      </c>
      <c r="P114" s="110">
        <v>465.48064812189676</v>
      </c>
      <c r="Q114" s="110">
        <v>384.6445584537214</v>
      </c>
      <c r="R114" s="110">
        <v>317.78612138530684</v>
      </c>
      <c r="S114" s="110">
        <v>302.48256131300423</v>
      </c>
      <c r="T114" s="110">
        <v>306.41724132606231</v>
      </c>
      <c r="U114" s="110">
        <v>313.11388868753681</v>
      </c>
      <c r="V114" s="110">
        <v>314.13390311637511</v>
      </c>
      <c r="W114" s="110">
        <v>301.03544552102585</v>
      </c>
      <c r="X114" s="110">
        <v>280.64056083106317</v>
      </c>
      <c r="Y114" s="110">
        <v>280.64056083106317</v>
      </c>
      <c r="Z114" s="110">
        <v>188.65307938759264</v>
      </c>
      <c r="AA114" s="110">
        <v>0</v>
      </c>
      <c r="AB114" s="110">
        <v>0</v>
      </c>
      <c r="AC114" s="110">
        <v>0</v>
      </c>
      <c r="AD114" s="110">
        <v>0</v>
      </c>
      <c r="AE114" s="110">
        <v>0</v>
      </c>
      <c r="AF114" s="110">
        <v>0</v>
      </c>
      <c r="AG114" s="110">
        <v>0</v>
      </c>
      <c r="AH114" s="110">
        <v>0</v>
      </c>
      <c r="AI114" s="110">
        <v>0</v>
      </c>
      <c r="AJ114" s="110">
        <v>0</v>
      </c>
      <c r="AK114" s="110">
        <v>0</v>
      </c>
      <c r="AL114" s="110">
        <v>0</v>
      </c>
      <c r="AM114" s="110">
        <v>0</v>
      </c>
      <c r="AN114" s="110">
        <v>0</v>
      </c>
      <c r="AO114" s="110">
        <v>0</v>
      </c>
      <c r="AP114" s="110">
        <v>0</v>
      </c>
      <c r="AQ114" s="110">
        <v>0</v>
      </c>
      <c r="AR114" s="110">
        <v>0</v>
      </c>
      <c r="AS114" s="110">
        <v>0</v>
      </c>
      <c r="AT114" s="110">
        <v>0</v>
      </c>
      <c r="AU114" s="110">
        <v>0</v>
      </c>
      <c r="AV114" s="110">
        <v>0</v>
      </c>
      <c r="AW114" s="110">
        <v>0</v>
      </c>
      <c r="AX114" s="110">
        <v>0</v>
      </c>
      <c r="AY114" s="110">
        <v>0</v>
      </c>
    </row>
    <row r="115" spans="1:52" x14ac:dyDescent="0.2">
      <c r="A115" s="113"/>
      <c r="B115" s="130">
        <v>7</v>
      </c>
      <c r="C115" s="110">
        <v>688.37543160321002</v>
      </c>
      <c r="D115" s="110">
        <v>4026.0361081703877</v>
      </c>
      <c r="E115" s="110">
        <v>4699.8755105839246</v>
      </c>
      <c r="F115" s="110">
        <v>4641.448707674308</v>
      </c>
      <c r="G115" s="110">
        <v>4684.2640898703448</v>
      </c>
      <c r="H115" s="110">
        <v>4681.1696268318883</v>
      </c>
      <c r="I115" s="110">
        <v>4660.251059748045</v>
      </c>
      <c r="J115" s="110">
        <v>4646.1415481560625</v>
      </c>
      <c r="K115" s="110">
        <v>2535.2430031080785</v>
      </c>
      <c r="L115" s="110">
        <v>1795.1644445730706</v>
      </c>
      <c r="M115" s="110">
        <v>1305.3821830637005</v>
      </c>
      <c r="N115" s="110">
        <v>976.96034708402954</v>
      </c>
      <c r="O115" s="110">
        <v>777.95701825050173</v>
      </c>
      <c r="P115" s="110">
        <v>602.48351390261098</v>
      </c>
      <c r="Q115" s="110">
        <v>465.48064812189676</v>
      </c>
      <c r="R115" s="110">
        <v>384.6445584537214</v>
      </c>
      <c r="S115" s="110">
        <v>317.78612138530684</v>
      </c>
      <c r="T115" s="110">
        <v>302.48256131300423</v>
      </c>
      <c r="U115" s="110">
        <v>306.41724132606231</v>
      </c>
      <c r="V115" s="110">
        <v>313.11388868753681</v>
      </c>
      <c r="W115" s="110">
        <v>314.13390311637511</v>
      </c>
      <c r="X115" s="110">
        <v>301.03544552102585</v>
      </c>
      <c r="Y115" s="110">
        <v>280.64056083106317</v>
      </c>
      <c r="Z115" s="110">
        <v>0</v>
      </c>
      <c r="AA115" s="110">
        <v>0</v>
      </c>
      <c r="AB115" s="110">
        <v>0</v>
      </c>
      <c r="AC115" s="110">
        <v>0</v>
      </c>
      <c r="AD115" s="110">
        <v>0</v>
      </c>
      <c r="AE115" s="110">
        <v>0</v>
      </c>
      <c r="AF115" s="110">
        <v>0</v>
      </c>
      <c r="AG115" s="110">
        <v>0</v>
      </c>
      <c r="AH115" s="110">
        <v>0</v>
      </c>
      <c r="AI115" s="110">
        <v>0</v>
      </c>
      <c r="AJ115" s="110">
        <v>0</v>
      </c>
      <c r="AK115" s="110">
        <v>0</v>
      </c>
      <c r="AL115" s="110">
        <v>0</v>
      </c>
      <c r="AM115" s="110">
        <v>0</v>
      </c>
      <c r="AN115" s="110">
        <v>0</v>
      </c>
      <c r="AO115" s="110">
        <v>0</v>
      </c>
      <c r="AP115" s="110">
        <v>0</v>
      </c>
      <c r="AQ115" s="110">
        <v>0</v>
      </c>
      <c r="AR115" s="110">
        <v>0</v>
      </c>
      <c r="AS115" s="110">
        <v>0</v>
      </c>
      <c r="AT115" s="110">
        <v>0</v>
      </c>
      <c r="AU115" s="110">
        <v>0</v>
      </c>
      <c r="AV115" s="110">
        <v>0</v>
      </c>
      <c r="AW115" s="110">
        <v>0</v>
      </c>
      <c r="AX115" s="110">
        <v>0</v>
      </c>
      <c r="AY115" s="110">
        <v>0</v>
      </c>
    </row>
    <row r="116" spans="1:52" x14ac:dyDescent="0.2">
      <c r="A116" s="113"/>
      <c r="B116" s="130">
        <v>8</v>
      </c>
      <c r="C116" s="110">
        <v>0</v>
      </c>
      <c r="D116" s="110">
        <v>0</v>
      </c>
      <c r="E116" s="110">
        <v>3317.0361081703877</v>
      </c>
      <c r="F116" s="110">
        <v>4699.8755105839246</v>
      </c>
      <c r="G116" s="110">
        <v>4641.448707674308</v>
      </c>
      <c r="H116" s="110">
        <v>4684.2640898703448</v>
      </c>
      <c r="I116" s="110">
        <v>4681.1696268318883</v>
      </c>
      <c r="J116" s="110">
        <v>4660.251059748045</v>
      </c>
      <c r="K116" s="110">
        <v>4646.1415481560625</v>
      </c>
      <c r="L116" s="110">
        <v>2535.2430031080785</v>
      </c>
      <c r="M116" s="110">
        <v>1795.1644445730706</v>
      </c>
      <c r="N116" s="110">
        <v>1305.3821830637005</v>
      </c>
      <c r="O116" s="110">
        <v>976.96034708402954</v>
      </c>
      <c r="P116" s="110">
        <v>777.95701825050173</v>
      </c>
      <c r="Q116" s="110">
        <v>602.48351390261098</v>
      </c>
      <c r="R116" s="110">
        <v>465.48064812189676</v>
      </c>
      <c r="S116" s="110">
        <v>384.6445584537214</v>
      </c>
      <c r="T116" s="110">
        <v>317.78612138530684</v>
      </c>
      <c r="U116" s="110">
        <v>302.48256131300423</v>
      </c>
      <c r="V116" s="110">
        <v>306.41724132606231</v>
      </c>
      <c r="W116" s="110">
        <v>313.11388868753681</v>
      </c>
      <c r="X116" s="110">
        <v>314.13390311637511</v>
      </c>
      <c r="Y116" s="110">
        <v>126.57997087331188</v>
      </c>
      <c r="Z116" s="110">
        <v>0</v>
      </c>
      <c r="AA116" s="110">
        <v>0</v>
      </c>
      <c r="AB116" s="110">
        <v>0</v>
      </c>
      <c r="AC116" s="110">
        <v>0</v>
      </c>
      <c r="AD116" s="110">
        <v>0</v>
      </c>
      <c r="AE116" s="110">
        <v>0</v>
      </c>
      <c r="AF116" s="110">
        <v>0</v>
      </c>
      <c r="AG116" s="110">
        <v>0</v>
      </c>
      <c r="AH116" s="110">
        <v>0</v>
      </c>
      <c r="AI116" s="110">
        <v>0</v>
      </c>
      <c r="AJ116" s="110">
        <v>0</v>
      </c>
      <c r="AK116" s="110">
        <v>0</v>
      </c>
      <c r="AL116" s="110">
        <v>0</v>
      </c>
      <c r="AM116" s="110">
        <v>0</v>
      </c>
      <c r="AN116" s="110">
        <v>0</v>
      </c>
      <c r="AO116" s="110">
        <v>0</v>
      </c>
      <c r="AP116" s="110">
        <v>0</v>
      </c>
      <c r="AQ116" s="110">
        <v>0</v>
      </c>
      <c r="AR116" s="110">
        <v>0</v>
      </c>
      <c r="AS116" s="110">
        <v>0</v>
      </c>
      <c r="AT116" s="110">
        <v>0</v>
      </c>
      <c r="AU116" s="110">
        <v>0</v>
      </c>
      <c r="AV116" s="110">
        <v>0</v>
      </c>
      <c r="AW116" s="110">
        <v>0</v>
      </c>
      <c r="AX116" s="110">
        <v>0</v>
      </c>
      <c r="AY116" s="110">
        <v>0</v>
      </c>
    </row>
    <row r="117" spans="1:52" x14ac:dyDescent="0.2">
      <c r="A117" s="113"/>
      <c r="B117" s="130">
        <v>9</v>
      </c>
      <c r="C117" s="110">
        <v>0</v>
      </c>
      <c r="D117" s="110">
        <v>0</v>
      </c>
      <c r="E117" s="110">
        <v>0</v>
      </c>
      <c r="F117" s="110">
        <v>1900.613039393985</v>
      </c>
      <c r="G117" s="110">
        <v>4370.6677614363725</v>
      </c>
      <c r="H117" s="110">
        <v>4641.448707674308</v>
      </c>
      <c r="I117" s="110">
        <v>4684.2640898703448</v>
      </c>
      <c r="J117" s="110">
        <v>4681.1696268318883</v>
      </c>
      <c r="K117" s="110">
        <v>4660.251059748045</v>
      </c>
      <c r="L117" s="110">
        <v>4646.1415481560625</v>
      </c>
      <c r="M117" s="110">
        <v>2535.2430031080785</v>
      </c>
      <c r="N117" s="110">
        <v>1795.1644445730706</v>
      </c>
      <c r="O117" s="110">
        <v>1305.3821830637005</v>
      </c>
      <c r="P117" s="110">
        <v>976.96034708402954</v>
      </c>
      <c r="Q117" s="110">
        <v>777.95701825050173</v>
      </c>
      <c r="R117" s="110">
        <v>602.48351390261098</v>
      </c>
      <c r="S117" s="110">
        <v>465.48064812189676</v>
      </c>
      <c r="T117" s="110">
        <v>384.6445584537214</v>
      </c>
      <c r="U117" s="110">
        <v>317.78612138530684</v>
      </c>
      <c r="V117" s="110">
        <v>302.48256131300423</v>
      </c>
      <c r="W117" s="110">
        <v>306.41724132606231</v>
      </c>
      <c r="X117" s="110">
        <v>291.41062223591092</v>
      </c>
      <c r="Y117" s="110">
        <v>0</v>
      </c>
      <c r="Z117" s="110">
        <v>0</v>
      </c>
      <c r="AA117" s="110">
        <v>0</v>
      </c>
      <c r="AB117" s="110">
        <v>0</v>
      </c>
      <c r="AC117" s="110">
        <v>0</v>
      </c>
      <c r="AD117" s="110">
        <v>0</v>
      </c>
      <c r="AE117" s="110">
        <v>0</v>
      </c>
      <c r="AF117" s="110">
        <v>0</v>
      </c>
      <c r="AG117" s="110">
        <v>0</v>
      </c>
      <c r="AH117" s="110">
        <v>0</v>
      </c>
      <c r="AI117" s="110">
        <v>0</v>
      </c>
      <c r="AJ117" s="110">
        <v>0</v>
      </c>
      <c r="AK117" s="110">
        <v>0</v>
      </c>
      <c r="AL117" s="110">
        <v>0</v>
      </c>
      <c r="AM117" s="110">
        <v>0</v>
      </c>
      <c r="AN117" s="110">
        <v>0</v>
      </c>
      <c r="AO117" s="110">
        <v>0</v>
      </c>
      <c r="AP117" s="110">
        <v>0</v>
      </c>
      <c r="AQ117" s="110">
        <v>0</v>
      </c>
      <c r="AR117" s="110">
        <v>0</v>
      </c>
      <c r="AS117" s="110">
        <v>0</v>
      </c>
      <c r="AT117" s="110">
        <v>0</v>
      </c>
      <c r="AU117" s="110">
        <v>0</v>
      </c>
      <c r="AV117" s="110">
        <v>0</v>
      </c>
      <c r="AW117" s="110">
        <v>0</v>
      </c>
      <c r="AX117" s="110">
        <v>0</v>
      </c>
      <c r="AY117" s="110">
        <v>0</v>
      </c>
    </row>
    <row r="118" spans="1:52" x14ac:dyDescent="0.2">
      <c r="A118" s="113"/>
      <c r="B118" s="133">
        <v>10</v>
      </c>
      <c r="C118" s="110">
        <v>0</v>
      </c>
      <c r="D118" s="110">
        <v>0</v>
      </c>
      <c r="E118" s="110">
        <v>0</v>
      </c>
      <c r="F118" s="110">
        <v>0</v>
      </c>
      <c r="G118" s="110">
        <v>0</v>
      </c>
      <c r="H118" s="110">
        <v>1142.8114829921988</v>
      </c>
      <c r="I118" s="110">
        <v>2626.6000413553102</v>
      </c>
      <c r="J118" s="110">
        <v>4153.5432890330685</v>
      </c>
      <c r="K118" s="110">
        <v>4681.1696268318883</v>
      </c>
      <c r="L118" s="110">
        <v>4660.251059748045</v>
      </c>
      <c r="M118" s="110">
        <v>4646.1415481560625</v>
      </c>
      <c r="N118" s="110">
        <v>2535.2430031080785</v>
      </c>
      <c r="O118" s="110">
        <v>1795.1644445730706</v>
      </c>
      <c r="P118" s="110">
        <v>1305.3821830637005</v>
      </c>
      <c r="Q118" s="110">
        <v>976.96034708402954</v>
      </c>
      <c r="R118" s="110">
        <v>777.95701825050173</v>
      </c>
      <c r="S118" s="110">
        <v>602.48351390261098</v>
      </c>
      <c r="T118" s="110">
        <v>465.48064812189676</v>
      </c>
      <c r="U118" s="110">
        <v>384.6445584537214</v>
      </c>
      <c r="V118" s="110">
        <v>317.78612138530684</v>
      </c>
      <c r="W118" s="110">
        <v>302.48256131300423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0</v>
      </c>
      <c r="AK118" s="110">
        <v>0</v>
      </c>
      <c r="AL118" s="110">
        <v>0</v>
      </c>
      <c r="AM118" s="110">
        <v>0</v>
      </c>
      <c r="AN118" s="110">
        <v>0</v>
      </c>
      <c r="AO118" s="110">
        <v>0</v>
      </c>
      <c r="AP118" s="110">
        <v>0</v>
      </c>
      <c r="AQ118" s="110">
        <v>0</v>
      </c>
      <c r="AR118" s="110">
        <v>0</v>
      </c>
      <c r="AS118" s="110">
        <v>0</v>
      </c>
      <c r="AT118" s="110">
        <v>0</v>
      </c>
      <c r="AU118" s="110">
        <v>0</v>
      </c>
      <c r="AV118" s="110">
        <v>0</v>
      </c>
      <c r="AW118" s="110">
        <v>0</v>
      </c>
      <c r="AX118" s="110">
        <v>0</v>
      </c>
      <c r="AY118" s="110">
        <v>0</v>
      </c>
    </row>
    <row r="119" spans="1:52" x14ac:dyDescent="0.2">
      <c r="A119" s="113"/>
      <c r="B119" s="133">
        <v>11</v>
      </c>
      <c r="C119" s="110">
        <v>0</v>
      </c>
      <c r="D119" s="110">
        <v>0</v>
      </c>
      <c r="E119" s="110">
        <v>0</v>
      </c>
      <c r="F119" s="110">
        <v>0</v>
      </c>
      <c r="G119" s="110">
        <v>0</v>
      </c>
      <c r="H119" s="110">
        <v>0</v>
      </c>
      <c r="I119" s="110">
        <v>0</v>
      </c>
      <c r="J119" s="110">
        <v>0</v>
      </c>
      <c r="K119" s="110">
        <v>736.32386866217803</v>
      </c>
      <c r="L119" s="110">
        <v>2420.8185085902269</v>
      </c>
      <c r="M119" s="110">
        <v>4021.871925162377</v>
      </c>
      <c r="N119" s="110">
        <v>4646.1415481560625</v>
      </c>
      <c r="O119" s="110">
        <v>2535.2430031080785</v>
      </c>
      <c r="P119" s="110">
        <v>1795.1644445730706</v>
      </c>
      <c r="Q119" s="110">
        <v>1305.3821830637005</v>
      </c>
      <c r="R119" s="110">
        <v>976.96034708402954</v>
      </c>
      <c r="S119" s="110">
        <v>777.95701825050173</v>
      </c>
      <c r="T119" s="110">
        <v>602.48351390261098</v>
      </c>
      <c r="U119" s="110">
        <v>465.48064812189676</v>
      </c>
      <c r="V119" s="110">
        <v>384.6445584537214</v>
      </c>
      <c r="W119" s="110">
        <v>113.24180797739746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0">
        <v>0</v>
      </c>
      <c r="AM119" s="110">
        <v>0</v>
      </c>
      <c r="AN119" s="110">
        <v>0</v>
      </c>
      <c r="AO119" s="110">
        <v>0</v>
      </c>
      <c r="AP119" s="110">
        <v>0</v>
      </c>
      <c r="AQ119" s="110">
        <v>0</v>
      </c>
      <c r="AR119" s="110">
        <v>0</v>
      </c>
      <c r="AS119" s="110">
        <v>0</v>
      </c>
      <c r="AT119" s="110">
        <v>0</v>
      </c>
      <c r="AU119" s="110">
        <v>0</v>
      </c>
      <c r="AV119" s="110">
        <v>0</v>
      </c>
      <c r="AW119" s="110">
        <v>0</v>
      </c>
      <c r="AX119" s="110">
        <v>0</v>
      </c>
      <c r="AY119" s="110">
        <v>0</v>
      </c>
    </row>
    <row r="120" spans="1:52" x14ac:dyDescent="0.2">
      <c r="A120" s="113"/>
      <c r="B120" s="133">
        <v>12</v>
      </c>
      <c r="C120" s="110">
        <v>0</v>
      </c>
      <c r="D120" s="110">
        <v>0</v>
      </c>
      <c r="E120" s="110">
        <v>0</v>
      </c>
      <c r="F120" s="110">
        <v>0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755.9005999152223</v>
      </c>
      <c r="O120" s="110">
        <v>2109.7924410344144</v>
      </c>
      <c r="P120" s="110">
        <v>1789.715476436832</v>
      </c>
      <c r="Q120" s="110">
        <v>1478.5223678588006</v>
      </c>
      <c r="R120" s="110">
        <v>1248.0683455391647</v>
      </c>
      <c r="S120" s="110">
        <v>976.96034708402954</v>
      </c>
      <c r="T120" s="110">
        <v>777.95701825050173</v>
      </c>
      <c r="U120" s="110">
        <v>574.44053215311271</v>
      </c>
      <c r="V120" s="110">
        <v>312.29112107584882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0</v>
      </c>
      <c r="AK120" s="110">
        <v>0</v>
      </c>
      <c r="AL120" s="110">
        <v>0</v>
      </c>
      <c r="AM120" s="110">
        <v>0</v>
      </c>
      <c r="AN120" s="110">
        <v>0</v>
      </c>
      <c r="AO120" s="110">
        <v>0</v>
      </c>
      <c r="AP120" s="110">
        <v>0</v>
      </c>
      <c r="AQ120" s="110">
        <v>0</v>
      </c>
      <c r="AR120" s="110">
        <v>0</v>
      </c>
      <c r="AS120" s="110">
        <v>0</v>
      </c>
      <c r="AT120" s="110">
        <v>0</v>
      </c>
      <c r="AU120" s="110">
        <v>0</v>
      </c>
      <c r="AV120" s="110">
        <v>0</v>
      </c>
      <c r="AW120" s="110">
        <v>0</v>
      </c>
      <c r="AX120" s="110">
        <v>0</v>
      </c>
      <c r="AY120" s="110">
        <v>0</v>
      </c>
    </row>
    <row r="121" spans="1:52" x14ac:dyDescent="0.2">
      <c r="A121" s="131"/>
      <c r="B121" s="135" t="s">
        <v>296</v>
      </c>
      <c r="C121" s="117">
        <v>0</v>
      </c>
      <c r="D121" s="128">
        <v>0</v>
      </c>
      <c r="E121" s="128">
        <v>0</v>
      </c>
      <c r="F121" s="128">
        <v>0</v>
      </c>
      <c r="G121" s="128">
        <v>0</v>
      </c>
      <c r="H121" s="128">
        <v>0</v>
      </c>
      <c r="I121" s="128">
        <v>0</v>
      </c>
      <c r="J121" s="128">
        <v>0</v>
      </c>
      <c r="K121" s="128">
        <v>0</v>
      </c>
      <c r="L121" s="128">
        <v>0</v>
      </c>
      <c r="M121" s="128">
        <v>0</v>
      </c>
      <c r="N121" s="128">
        <v>0</v>
      </c>
      <c r="O121" s="128">
        <v>5.9005999152223012</v>
      </c>
      <c r="P121" s="128">
        <v>1176.3641693977133</v>
      </c>
      <c r="Q121" s="128">
        <v>1122.715476436832</v>
      </c>
      <c r="R121" s="128">
        <v>654.59666573037805</v>
      </c>
      <c r="S121" s="128">
        <v>614.51965351692274</v>
      </c>
      <c r="T121" s="128">
        <v>184.07519710519512</v>
      </c>
      <c r="U121" s="128">
        <v>0</v>
      </c>
      <c r="V121" s="128">
        <v>0</v>
      </c>
      <c r="W121" s="128">
        <v>0</v>
      </c>
      <c r="X121" s="128">
        <v>0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0</v>
      </c>
      <c r="AH121" s="128">
        <v>0</v>
      </c>
      <c r="AI121" s="128">
        <v>0</v>
      </c>
      <c r="AJ121" s="128">
        <v>0</v>
      </c>
      <c r="AK121" s="128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  <c r="AQ121" s="128">
        <v>0</v>
      </c>
      <c r="AR121" s="128">
        <v>0</v>
      </c>
      <c r="AS121" s="128">
        <v>0</v>
      </c>
      <c r="AT121" s="128">
        <v>0</v>
      </c>
      <c r="AU121" s="128">
        <v>0</v>
      </c>
      <c r="AV121" s="128">
        <v>0</v>
      </c>
      <c r="AW121" s="128">
        <v>0</v>
      </c>
      <c r="AX121" s="128">
        <v>0</v>
      </c>
      <c r="AY121" s="128">
        <v>0</v>
      </c>
      <c r="AZ121" s="111">
        <f>SUM($D121:$AY121)</f>
        <v>3758.1717621022635</v>
      </c>
    </row>
    <row r="122" spans="1:52" x14ac:dyDescent="0.2">
      <c r="A122" s="134" t="s">
        <v>123</v>
      </c>
      <c r="B122" s="122">
        <v>1</v>
      </c>
      <c r="C122" s="110">
        <v>5629.1207660849332</v>
      </c>
      <c r="D122" s="110">
        <v>846.61927746006677</v>
      </c>
      <c r="E122" s="110">
        <v>846.61927746006677</v>
      </c>
      <c r="F122" s="110">
        <v>846.61927746006677</v>
      </c>
      <c r="G122" s="110">
        <v>846.61927746006677</v>
      </c>
      <c r="H122" s="110">
        <v>846.61927746006677</v>
      </c>
      <c r="I122" s="110">
        <v>846.61927746006677</v>
      </c>
      <c r="J122" s="110">
        <v>846.61927746006677</v>
      </c>
      <c r="K122" s="110">
        <v>846.61927746006677</v>
      </c>
      <c r="L122" s="110">
        <v>846.61927746006677</v>
      </c>
      <c r="M122" s="110">
        <v>846.61927746006677</v>
      </c>
      <c r="N122" s="110">
        <v>846.61927746006677</v>
      </c>
      <c r="O122" s="110">
        <v>846.61927746006677</v>
      </c>
      <c r="P122" s="110">
        <v>846.61927746006677</v>
      </c>
      <c r="Q122" s="110">
        <v>846.61927746006677</v>
      </c>
      <c r="R122" s="110">
        <v>846.61927746006677</v>
      </c>
      <c r="S122" s="110">
        <v>846.61927746006677</v>
      </c>
      <c r="T122" s="110">
        <v>846.61927746006677</v>
      </c>
      <c r="U122" s="110">
        <v>846.61927746006677</v>
      </c>
      <c r="V122" s="110">
        <v>846.61927746006677</v>
      </c>
      <c r="W122" s="110">
        <v>846.61927746006677</v>
      </c>
      <c r="X122" s="110">
        <v>846.61927746006677</v>
      </c>
      <c r="Y122" s="110">
        <v>846.61927746006677</v>
      </c>
      <c r="Z122" s="110">
        <v>846.61927746006677</v>
      </c>
      <c r="AA122" s="110">
        <v>846.61927746006677</v>
      </c>
      <c r="AB122" s="110">
        <v>846.61927746006677</v>
      </c>
      <c r="AC122" s="110">
        <v>846.61927746006677</v>
      </c>
      <c r="AD122" s="110">
        <v>846.61927746006677</v>
      </c>
      <c r="AE122" s="110">
        <v>846.61927746006677</v>
      </c>
      <c r="AF122" s="110">
        <v>846.61927746006677</v>
      </c>
      <c r="AG122" s="110">
        <v>846.61927746006677</v>
      </c>
      <c r="AH122" s="110">
        <v>846.61927746006677</v>
      </c>
      <c r="AI122" s="110">
        <v>846.61927746006677</v>
      </c>
      <c r="AJ122" s="110">
        <v>846.61927746006677</v>
      </c>
      <c r="AK122" s="110">
        <v>846.61927746006677</v>
      </c>
      <c r="AL122" s="110">
        <v>846.61927746006677</v>
      </c>
      <c r="AM122" s="110">
        <v>846.61927746006677</v>
      </c>
      <c r="AN122" s="110">
        <v>846.61927746006677</v>
      </c>
      <c r="AO122" s="110">
        <v>846.61927746006677</v>
      </c>
      <c r="AP122" s="110">
        <v>846.61927746006677</v>
      </c>
      <c r="AQ122" s="110">
        <v>846.61927746006677</v>
      </c>
      <c r="AR122" s="110">
        <v>846.61927746006677</v>
      </c>
      <c r="AS122" s="110">
        <v>846.61927746006677</v>
      </c>
      <c r="AT122" s="110">
        <v>846.61927746006677</v>
      </c>
      <c r="AU122" s="110">
        <v>846.61927746006677</v>
      </c>
      <c r="AV122" s="110">
        <v>846.61927746006677</v>
      </c>
      <c r="AW122" s="110">
        <v>846.61927746006677</v>
      </c>
      <c r="AX122" s="110">
        <v>846.61927746006677</v>
      </c>
      <c r="AY122" s="110">
        <v>846.61927746006677</v>
      </c>
    </row>
    <row r="123" spans="1:52" x14ac:dyDescent="0.2">
      <c r="A123" s="113"/>
      <c r="B123" s="122">
        <v>2</v>
      </c>
      <c r="C123" s="110">
        <v>3490.0548749726586</v>
      </c>
      <c r="D123" s="110">
        <v>3490.0548749726586</v>
      </c>
      <c r="E123" s="110">
        <v>565.97871662900354</v>
      </c>
      <c r="F123" s="110">
        <v>565.97871662900354</v>
      </c>
      <c r="G123" s="110">
        <v>565.97871662900354</v>
      </c>
      <c r="H123" s="110">
        <v>565.97871662900354</v>
      </c>
      <c r="I123" s="110">
        <v>565.97871662900354</v>
      </c>
      <c r="J123" s="110">
        <v>557.61426888689402</v>
      </c>
      <c r="K123" s="110">
        <v>313.75289822506397</v>
      </c>
      <c r="L123" s="110">
        <v>112.05845492952017</v>
      </c>
      <c r="M123" s="110">
        <v>65.89161100427998</v>
      </c>
      <c r="N123" s="110">
        <v>77.76151298789614</v>
      </c>
      <c r="O123" s="110">
        <v>97.963549121900542</v>
      </c>
      <c r="P123" s="110">
        <v>101.04066625772947</v>
      </c>
      <c r="Q123" s="110">
        <v>61.526040601421073</v>
      </c>
      <c r="R123" s="110">
        <v>0</v>
      </c>
      <c r="S123" s="110">
        <v>0</v>
      </c>
      <c r="T123" s="110">
        <v>0</v>
      </c>
      <c r="U123" s="110">
        <v>0</v>
      </c>
      <c r="V123" s="110">
        <v>25.348657429842888</v>
      </c>
      <c r="W123" s="110">
        <v>0</v>
      </c>
      <c r="X123" s="110">
        <v>2.1338395609136569</v>
      </c>
      <c r="Y123" s="110">
        <v>0</v>
      </c>
      <c r="Z123" s="110">
        <v>0</v>
      </c>
      <c r="AA123" s="110">
        <v>0</v>
      </c>
      <c r="AB123" s="110">
        <v>0</v>
      </c>
      <c r="AC123" s="110">
        <v>0</v>
      </c>
      <c r="AD123" s="110">
        <v>0</v>
      </c>
      <c r="AE123" s="110">
        <v>0</v>
      </c>
      <c r="AF123" s="110">
        <v>0</v>
      </c>
      <c r="AG123" s="110">
        <v>0</v>
      </c>
      <c r="AH123" s="110">
        <v>0</v>
      </c>
      <c r="AI123" s="110">
        <v>60.402922885307134</v>
      </c>
      <c r="AJ123" s="110">
        <v>51.108393400078398</v>
      </c>
      <c r="AK123" s="110">
        <v>4.8999773143754055</v>
      </c>
      <c r="AL123" s="110">
        <v>0</v>
      </c>
      <c r="AM123" s="110">
        <v>0</v>
      </c>
      <c r="AN123" s="110">
        <v>0</v>
      </c>
      <c r="AO123" s="110">
        <v>7.9787166290035429</v>
      </c>
      <c r="AP123" s="110">
        <v>0</v>
      </c>
      <c r="AQ123" s="110">
        <v>0</v>
      </c>
      <c r="AR123" s="110">
        <v>0</v>
      </c>
      <c r="AS123" s="110">
        <v>69.978716629003543</v>
      </c>
      <c r="AT123" s="110">
        <v>0</v>
      </c>
      <c r="AU123" s="110">
        <v>0</v>
      </c>
      <c r="AV123" s="110">
        <v>12.842318143897387</v>
      </c>
      <c r="AW123" s="110">
        <v>0</v>
      </c>
      <c r="AX123" s="110">
        <v>0</v>
      </c>
      <c r="AY123" s="110">
        <v>0</v>
      </c>
    </row>
    <row r="124" spans="1:52" x14ac:dyDescent="0.2">
      <c r="A124" s="113"/>
      <c r="B124" s="122">
        <v>3</v>
      </c>
      <c r="C124" s="110">
        <v>2163.8340224830481</v>
      </c>
      <c r="D124" s="110">
        <v>2163.8340224830481</v>
      </c>
      <c r="E124" s="110">
        <v>2333.1582822303421</v>
      </c>
      <c r="F124" s="110">
        <v>378.36595055812825</v>
      </c>
      <c r="G124" s="110">
        <v>378.36595055812825</v>
      </c>
      <c r="H124" s="110">
        <v>378.36595055812825</v>
      </c>
      <c r="I124" s="110">
        <v>378.36595055812825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0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>
        <v>0</v>
      </c>
      <c r="AM124" s="110">
        <v>0</v>
      </c>
      <c r="AN124" s="110">
        <v>0</v>
      </c>
      <c r="AO124" s="110">
        <v>0</v>
      </c>
      <c r="AP124" s="110">
        <v>0</v>
      </c>
      <c r="AQ124" s="110">
        <v>0</v>
      </c>
      <c r="AR124" s="110">
        <v>0</v>
      </c>
      <c r="AS124" s="110">
        <v>0</v>
      </c>
      <c r="AT124" s="110">
        <v>0</v>
      </c>
      <c r="AU124" s="110">
        <v>0</v>
      </c>
      <c r="AV124" s="110">
        <v>0</v>
      </c>
      <c r="AW124" s="110">
        <v>0</v>
      </c>
      <c r="AX124" s="110">
        <v>0</v>
      </c>
      <c r="AY124" s="110">
        <v>0</v>
      </c>
    </row>
    <row r="125" spans="1:52" x14ac:dyDescent="0.2">
      <c r="A125" s="113"/>
      <c r="B125" s="122">
        <v>4</v>
      </c>
      <c r="C125" s="110">
        <v>943.67862108057773</v>
      </c>
      <c r="D125" s="110">
        <v>1147.6578390094478</v>
      </c>
      <c r="E125" s="110">
        <v>1446.5581349828119</v>
      </c>
      <c r="F125" s="110">
        <v>1559.7541485598235</v>
      </c>
      <c r="G125" s="110">
        <v>252.94377391861752</v>
      </c>
      <c r="H125" s="110">
        <v>252.94377391861752</v>
      </c>
      <c r="I125" s="110">
        <v>26.571466881854633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0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0</v>
      </c>
      <c r="AM125" s="110">
        <v>0</v>
      </c>
      <c r="AN125" s="110">
        <v>0</v>
      </c>
      <c r="AO125" s="110">
        <v>0</v>
      </c>
      <c r="AP125" s="110">
        <v>0</v>
      </c>
      <c r="AQ125" s="110">
        <v>0</v>
      </c>
      <c r="AR125" s="110">
        <v>0</v>
      </c>
      <c r="AS125" s="110">
        <v>0</v>
      </c>
      <c r="AT125" s="110">
        <v>0</v>
      </c>
      <c r="AU125" s="110">
        <v>0</v>
      </c>
      <c r="AV125" s="110">
        <v>0</v>
      </c>
      <c r="AW125" s="110">
        <v>0</v>
      </c>
      <c r="AX125" s="110">
        <v>0</v>
      </c>
      <c r="AY125" s="110">
        <v>0</v>
      </c>
    </row>
    <row r="126" spans="1:52" x14ac:dyDescent="0.2">
      <c r="A126" s="113"/>
      <c r="B126" s="122">
        <v>5</v>
      </c>
      <c r="C126" s="110">
        <v>0</v>
      </c>
      <c r="D126" s="110">
        <v>0</v>
      </c>
      <c r="E126" s="110">
        <v>223.22787697498507</v>
      </c>
      <c r="F126" s="110">
        <v>587.27902795718296</v>
      </c>
      <c r="G126" s="110">
        <v>903.32649699475496</v>
      </c>
      <c r="H126" s="110">
        <v>169.09701486038813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0">
        <v>0</v>
      </c>
      <c r="AP126" s="110">
        <v>0</v>
      </c>
      <c r="AQ126" s="110">
        <v>0</v>
      </c>
      <c r="AR126" s="110">
        <v>0</v>
      </c>
      <c r="AS126" s="110">
        <v>0</v>
      </c>
      <c r="AT126" s="110">
        <v>0</v>
      </c>
      <c r="AU126" s="110">
        <v>0</v>
      </c>
      <c r="AV126" s="110">
        <v>0</v>
      </c>
      <c r="AW126" s="110">
        <v>0</v>
      </c>
      <c r="AX126" s="110">
        <v>0</v>
      </c>
      <c r="AY126" s="110">
        <v>0</v>
      </c>
    </row>
    <row r="127" spans="1:52" x14ac:dyDescent="0.2">
      <c r="A127" s="113"/>
      <c r="B127" s="122">
        <v>6</v>
      </c>
      <c r="C127" s="110">
        <v>0</v>
      </c>
      <c r="D127" s="110">
        <v>0</v>
      </c>
      <c r="E127" s="110">
        <v>0</v>
      </c>
      <c r="F127" s="110">
        <v>0</v>
      </c>
      <c r="G127" s="110">
        <v>0</v>
      </c>
      <c r="H127" s="110">
        <v>133.8884125104039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110">
        <v>0</v>
      </c>
      <c r="O127" s="110">
        <v>0</v>
      </c>
      <c r="P127" s="110">
        <v>0</v>
      </c>
      <c r="Q127" s="110">
        <v>0</v>
      </c>
      <c r="R127" s="110">
        <v>0</v>
      </c>
      <c r="S127" s="110">
        <v>0</v>
      </c>
      <c r="T127" s="110">
        <v>0</v>
      </c>
      <c r="U127" s="110">
        <v>0</v>
      </c>
      <c r="V127" s="110">
        <v>0</v>
      </c>
      <c r="W127" s="110">
        <v>0</v>
      </c>
      <c r="X127" s="110">
        <v>0</v>
      </c>
      <c r="Y127" s="110">
        <v>0</v>
      </c>
      <c r="Z127" s="110">
        <v>0</v>
      </c>
      <c r="AA127" s="110">
        <v>0</v>
      </c>
      <c r="AB127" s="110">
        <v>0</v>
      </c>
      <c r="AC127" s="110">
        <v>0</v>
      </c>
      <c r="AD127" s="110">
        <v>0</v>
      </c>
      <c r="AE127" s="110">
        <v>0</v>
      </c>
      <c r="AF127" s="110">
        <v>0</v>
      </c>
      <c r="AG127" s="110">
        <v>0</v>
      </c>
      <c r="AH127" s="110">
        <v>0</v>
      </c>
      <c r="AI127" s="110">
        <v>0</v>
      </c>
      <c r="AJ127" s="110">
        <v>0</v>
      </c>
      <c r="AK127" s="110">
        <v>0</v>
      </c>
      <c r="AL127" s="110">
        <v>0</v>
      </c>
      <c r="AM127" s="110">
        <v>0</v>
      </c>
      <c r="AN127" s="110">
        <v>0</v>
      </c>
      <c r="AO127" s="110">
        <v>0</v>
      </c>
      <c r="AP127" s="110">
        <v>0</v>
      </c>
      <c r="AQ127" s="110">
        <v>0</v>
      </c>
      <c r="AR127" s="110">
        <v>0</v>
      </c>
      <c r="AS127" s="110">
        <v>0</v>
      </c>
      <c r="AT127" s="110">
        <v>0</v>
      </c>
      <c r="AU127" s="110">
        <v>0</v>
      </c>
      <c r="AV127" s="110">
        <v>0</v>
      </c>
      <c r="AW127" s="110">
        <v>0</v>
      </c>
      <c r="AX127" s="110">
        <v>0</v>
      </c>
      <c r="AY127" s="110">
        <v>0</v>
      </c>
    </row>
    <row r="128" spans="1:52" x14ac:dyDescent="0.2">
      <c r="A128" s="113"/>
      <c r="B128" s="122">
        <v>7</v>
      </c>
      <c r="C128" s="110">
        <v>0</v>
      </c>
      <c r="D128" s="110">
        <v>0</v>
      </c>
      <c r="E128" s="110">
        <v>0</v>
      </c>
      <c r="F128" s="110">
        <v>0</v>
      </c>
      <c r="G128" s="110">
        <v>0</v>
      </c>
      <c r="H128" s="110">
        <v>0</v>
      </c>
      <c r="I128" s="110">
        <v>0</v>
      </c>
      <c r="J128" s="110">
        <v>0</v>
      </c>
      <c r="K128" s="110">
        <v>0</v>
      </c>
      <c r="L128" s="110">
        <v>0</v>
      </c>
      <c r="M128" s="110">
        <v>0</v>
      </c>
      <c r="N128" s="110">
        <v>0</v>
      </c>
      <c r="O128" s="110">
        <v>0</v>
      </c>
      <c r="P128" s="110">
        <v>0</v>
      </c>
      <c r="Q128" s="110">
        <v>0</v>
      </c>
      <c r="R128" s="110">
        <v>0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0">
        <v>0</v>
      </c>
      <c r="AP128" s="110">
        <v>0</v>
      </c>
      <c r="AQ128" s="110">
        <v>0</v>
      </c>
      <c r="AR128" s="110">
        <v>0</v>
      </c>
      <c r="AS128" s="110">
        <v>0</v>
      </c>
      <c r="AT128" s="110">
        <v>0</v>
      </c>
      <c r="AU128" s="110">
        <v>0</v>
      </c>
      <c r="AV128" s="110">
        <v>0</v>
      </c>
      <c r="AW128" s="110">
        <v>0</v>
      </c>
      <c r="AX128" s="110">
        <v>0</v>
      </c>
      <c r="AY128" s="110">
        <v>0</v>
      </c>
    </row>
    <row r="129" spans="1:51" x14ac:dyDescent="0.2">
      <c r="A129" s="113"/>
      <c r="B129" s="122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0">
        <v>0</v>
      </c>
      <c r="AP129" s="110">
        <v>0</v>
      </c>
      <c r="AQ129" s="110">
        <v>0</v>
      </c>
      <c r="AR129" s="110">
        <v>0</v>
      </c>
      <c r="AS129" s="110">
        <v>0</v>
      </c>
      <c r="AT129" s="110">
        <v>0</v>
      </c>
      <c r="AU129" s="110">
        <v>0</v>
      </c>
      <c r="AV129" s="110">
        <v>0</v>
      </c>
      <c r="AW129" s="110">
        <v>0</v>
      </c>
      <c r="AX129" s="110">
        <v>0</v>
      </c>
      <c r="AY129" s="110">
        <v>0</v>
      </c>
    </row>
    <row r="130" spans="1:51" x14ac:dyDescent="0.2">
      <c r="A130" s="113"/>
      <c r="B130" s="122">
        <v>9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0">
        <v>0</v>
      </c>
      <c r="AP130" s="110">
        <v>0</v>
      </c>
      <c r="AQ130" s="110">
        <v>0</v>
      </c>
      <c r="AR130" s="110">
        <v>0</v>
      </c>
      <c r="AS130" s="110">
        <v>0</v>
      </c>
      <c r="AT130" s="110">
        <v>0</v>
      </c>
      <c r="AU130" s="110">
        <v>0</v>
      </c>
      <c r="AV130" s="110">
        <v>0</v>
      </c>
      <c r="AW130" s="110">
        <v>0</v>
      </c>
      <c r="AX130" s="110">
        <v>0</v>
      </c>
      <c r="AY130" s="110">
        <v>0</v>
      </c>
    </row>
    <row r="131" spans="1:51" x14ac:dyDescent="0.2">
      <c r="A131" s="113"/>
      <c r="B131" s="122">
        <v>10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0">
        <v>0</v>
      </c>
      <c r="AP131" s="110">
        <v>0</v>
      </c>
      <c r="AQ131" s="110">
        <v>0</v>
      </c>
      <c r="AR131" s="110">
        <v>0</v>
      </c>
      <c r="AS131" s="110">
        <v>0</v>
      </c>
      <c r="AT131" s="110">
        <v>0</v>
      </c>
      <c r="AU131" s="110">
        <v>0</v>
      </c>
      <c r="AV131" s="110">
        <v>0</v>
      </c>
      <c r="AW131" s="110">
        <v>0</v>
      </c>
      <c r="AX131" s="110">
        <v>0</v>
      </c>
      <c r="AY131" s="110">
        <v>0</v>
      </c>
    </row>
    <row r="132" spans="1:51" x14ac:dyDescent="0.2">
      <c r="A132" s="113"/>
      <c r="B132" s="122">
        <v>11</v>
      </c>
      <c r="C132" s="110">
        <v>0</v>
      </c>
      <c r="D132" s="110">
        <v>0</v>
      </c>
      <c r="E132" s="110">
        <v>0</v>
      </c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0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0">
        <v>0</v>
      </c>
      <c r="AM132" s="110">
        <v>0</v>
      </c>
      <c r="AN132" s="110">
        <v>0</v>
      </c>
      <c r="AO132" s="110">
        <v>0</v>
      </c>
      <c r="AP132" s="110">
        <v>0</v>
      </c>
      <c r="AQ132" s="110">
        <v>0</v>
      </c>
      <c r="AR132" s="110">
        <v>0</v>
      </c>
      <c r="AS132" s="110">
        <v>0</v>
      </c>
      <c r="AT132" s="110">
        <v>0</v>
      </c>
      <c r="AU132" s="110">
        <v>0</v>
      </c>
      <c r="AV132" s="110">
        <v>0</v>
      </c>
      <c r="AW132" s="110">
        <v>0</v>
      </c>
      <c r="AX132" s="110">
        <v>0</v>
      </c>
      <c r="AY132" s="110">
        <v>0</v>
      </c>
    </row>
    <row r="133" spans="1:51" x14ac:dyDescent="0.2">
      <c r="A133" s="113"/>
      <c r="B133" s="122">
        <v>12</v>
      </c>
      <c r="C133" s="110">
        <v>0</v>
      </c>
      <c r="D133" s="110">
        <v>0</v>
      </c>
      <c r="E133" s="110">
        <v>0</v>
      </c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0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0">
        <v>0</v>
      </c>
      <c r="AM133" s="110">
        <v>0</v>
      </c>
      <c r="AN133" s="110">
        <v>0</v>
      </c>
      <c r="AO133" s="110">
        <v>0</v>
      </c>
      <c r="AP133" s="110">
        <v>0</v>
      </c>
      <c r="AQ133" s="110">
        <v>0</v>
      </c>
      <c r="AR133" s="110">
        <v>0</v>
      </c>
      <c r="AS133" s="110">
        <v>0</v>
      </c>
      <c r="AT133" s="110">
        <v>0</v>
      </c>
      <c r="AU133" s="110">
        <v>0</v>
      </c>
      <c r="AV133" s="110">
        <v>0</v>
      </c>
      <c r="AW133" s="110">
        <v>0</v>
      </c>
      <c r="AX133" s="110">
        <v>0</v>
      </c>
      <c r="AY133" s="110">
        <v>0</v>
      </c>
    </row>
    <row r="134" spans="1:51" x14ac:dyDescent="0.2">
      <c r="A134" s="113"/>
      <c r="B134" s="123">
        <v>13</v>
      </c>
      <c r="C134" s="110">
        <v>0</v>
      </c>
      <c r="D134" s="110">
        <v>0</v>
      </c>
      <c r="E134" s="110">
        <v>0</v>
      </c>
      <c r="F134" s="110">
        <v>0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10">
        <v>0</v>
      </c>
      <c r="P134" s="110">
        <v>0</v>
      </c>
      <c r="Q134" s="110">
        <v>0</v>
      </c>
      <c r="R134" s="110">
        <v>0</v>
      </c>
      <c r="S134" s="110">
        <v>0</v>
      </c>
      <c r="T134" s="110">
        <v>0</v>
      </c>
      <c r="U134" s="110">
        <v>0</v>
      </c>
      <c r="V134" s="110">
        <v>0</v>
      </c>
      <c r="W134" s="110">
        <v>0</v>
      </c>
      <c r="X134" s="110">
        <v>0</v>
      </c>
      <c r="Y134" s="110">
        <v>0</v>
      </c>
      <c r="Z134" s="110">
        <v>0</v>
      </c>
      <c r="AA134" s="110">
        <v>0</v>
      </c>
      <c r="AB134" s="110">
        <v>0</v>
      </c>
      <c r="AC134" s="110">
        <v>0</v>
      </c>
      <c r="AD134" s="110">
        <v>0</v>
      </c>
      <c r="AE134" s="110">
        <v>0</v>
      </c>
      <c r="AF134" s="110">
        <v>0</v>
      </c>
      <c r="AG134" s="110">
        <v>0</v>
      </c>
      <c r="AH134" s="110">
        <v>0</v>
      </c>
      <c r="AI134" s="110">
        <v>0</v>
      </c>
      <c r="AJ134" s="110">
        <v>0</v>
      </c>
      <c r="AK134" s="110">
        <v>0</v>
      </c>
      <c r="AL134" s="110">
        <v>0</v>
      </c>
      <c r="AM134" s="110">
        <v>0</v>
      </c>
      <c r="AN134" s="110">
        <v>0</v>
      </c>
      <c r="AO134" s="110">
        <v>0</v>
      </c>
      <c r="AP134" s="110">
        <v>0</v>
      </c>
      <c r="AQ134" s="110">
        <v>0</v>
      </c>
      <c r="AR134" s="110">
        <v>0</v>
      </c>
      <c r="AS134" s="110">
        <v>0</v>
      </c>
      <c r="AT134" s="110">
        <v>0</v>
      </c>
      <c r="AU134" s="110">
        <v>0</v>
      </c>
      <c r="AV134" s="110">
        <v>0</v>
      </c>
      <c r="AW134" s="110">
        <v>0</v>
      </c>
      <c r="AX134" s="110">
        <v>0</v>
      </c>
      <c r="AY134" s="110">
        <v>0</v>
      </c>
    </row>
    <row r="135" spans="1:51" x14ac:dyDescent="0.2">
      <c r="A135" s="113"/>
      <c r="B135" s="123">
        <v>14</v>
      </c>
      <c r="C135" s="110">
        <v>0</v>
      </c>
      <c r="D135" s="110">
        <v>0</v>
      </c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0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0">
        <v>0</v>
      </c>
      <c r="AM135" s="110">
        <v>0</v>
      </c>
      <c r="AN135" s="110">
        <v>0</v>
      </c>
      <c r="AO135" s="110">
        <v>0</v>
      </c>
      <c r="AP135" s="110">
        <v>0</v>
      </c>
      <c r="AQ135" s="110">
        <v>0</v>
      </c>
      <c r="AR135" s="110">
        <v>0</v>
      </c>
      <c r="AS135" s="110">
        <v>0</v>
      </c>
      <c r="AT135" s="110">
        <v>0</v>
      </c>
      <c r="AU135" s="110">
        <v>0</v>
      </c>
      <c r="AV135" s="110">
        <v>0</v>
      </c>
      <c r="AW135" s="110">
        <v>0</v>
      </c>
      <c r="AX135" s="110">
        <v>0</v>
      </c>
      <c r="AY135" s="110">
        <v>0</v>
      </c>
    </row>
    <row r="136" spans="1:51" x14ac:dyDescent="0.2">
      <c r="A136" s="113"/>
      <c r="B136" s="123">
        <v>15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0">
        <v>0</v>
      </c>
      <c r="AP136" s="110">
        <v>0</v>
      </c>
      <c r="AQ136" s="110">
        <v>0</v>
      </c>
      <c r="AR136" s="110">
        <v>0</v>
      </c>
      <c r="AS136" s="110">
        <v>0</v>
      </c>
      <c r="AT136" s="110">
        <v>0</v>
      </c>
      <c r="AU136" s="110">
        <v>0</v>
      </c>
      <c r="AV136" s="110">
        <v>0</v>
      </c>
      <c r="AW136" s="110">
        <v>0</v>
      </c>
      <c r="AX136" s="110">
        <v>0</v>
      </c>
      <c r="AY136" s="110">
        <v>0</v>
      </c>
    </row>
    <row r="137" spans="1:51" x14ac:dyDescent="0.2">
      <c r="A137" s="113"/>
      <c r="B137" s="123">
        <v>16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0">
        <v>0</v>
      </c>
      <c r="AP137" s="110">
        <v>0</v>
      </c>
      <c r="AQ137" s="110">
        <v>0</v>
      </c>
      <c r="AR137" s="110">
        <v>0</v>
      </c>
      <c r="AS137" s="110">
        <v>0</v>
      </c>
      <c r="AT137" s="110">
        <v>0</v>
      </c>
      <c r="AU137" s="110">
        <v>0</v>
      </c>
      <c r="AV137" s="110">
        <v>0</v>
      </c>
      <c r="AW137" s="110">
        <v>0</v>
      </c>
      <c r="AX137" s="110">
        <v>0</v>
      </c>
      <c r="AY137" s="110">
        <v>0</v>
      </c>
    </row>
    <row r="138" spans="1:51" x14ac:dyDescent="0.2">
      <c r="A138" s="113"/>
      <c r="B138" s="123">
        <v>17</v>
      </c>
      <c r="C138" s="110">
        <v>0</v>
      </c>
      <c r="D138" s="110">
        <v>0</v>
      </c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0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0">
        <v>0</v>
      </c>
      <c r="AM138" s="110">
        <v>0</v>
      </c>
      <c r="AN138" s="110">
        <v>0</v>
      </c>
      <c r="AO138" s="110">
        <v>0</v>
      </c>
      <c r="AP138" s="110">
        <v>0</v>
      </c>
      <c r="AQ138" s="110">
        <v>0</v>
      </c>
      <c r="AR138" s="110">
        <v>0</v>
      </c>
      <c r="AS138" s="110">
        <v>0</v>
      </c>
      <c r="AT138" s="110">
        <v>0</v>
      </c>
      <c r="AU138" s="110">
        <v>0</v>
      </c>
      <c r="AV138" s="110">
        <v>0</v>
      </c>
      <c r="AW138" s="110">
        <v>0</v>
      </c>
      <c r="AX138" s="110">
        <v>0</v>
      </c>
      <c r="AY138" s="110">
        <v>0</v>
      </c>
    </row>
    <row r="139" spans="1:51" x14ac:dyDescent="0.2">
      <c r="A139" s="113"/>
      <c r="B139" s="123">
        <v>18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0">
        <v>0</v>
      </c>
      <c r="AP139" s="110">
        <v>0</v>
      </c>
      <c r="AQ139" s="110">
        <v>0</v>
      </c>
      <c r="AR139" s="110">
        <v>0</v>
      </c>
      <c r="AS139" s="110">
        <v>0</v>
      </c>
      <c r="AT139" s="110">
        <v>0</v>
      </c>
      <c r="AU139" s="110">
        <v>0</v>
      </c>
      <c r="AV139" s="110">
        <v>0</v>
      </c>
      <c r="AW139" s="110">
        <v>0</v>
      </c>
      <c r="AX139" s="110">
        <v>0</v>
      </c>
      <c r="AY139" s="110">
        <v>0</v>
      </c>
    </row>
    <row r="140" spans="1:51" x14ac:dyDescent="0.2">
      <c r="A140" s="113"/>
      <c r="B140" s="123">
        <v>19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0">
        <v>0</v>
      </c>
      <c r="AP140" s="110">
        <v>0</v>
      </c>
      <c r="AQ140" s="110">
        <v>0</v>
      </c>
      <c r="AR140" s="110">
        <v>0</v>
      </c>
      <c r="AS140" s="110">
        <v>0</v>
      </c>
      <c r="AT140" s="110">
        <v>0</v>
      </c>
      <c r="AU140" s="110">
        <v>0</v>
      </c>
      <c r="AV140" s="110">
        <v>0</v>
      </c>
      <c r="AW140" s="110">
        <v>0</v>
      </c>
      <c r="AX140" s="110">
        <v>0</v>
      </c>
      <c r="AY140" s="110">
        <v>0</v>
      </c>
    </row>
    <row r="141" spans="1:51" x14ac:dyDescent="0.2">
      <c r="A141" s="113"/>
      <c r="B141" s="123">
        <v>20</v>
      </c>
      <c r="C141" s="110">
        <v>0</v>
      </c>
      <c r="D141" s="110">
        <v>0</v>
      </c>
      <c r="E141" s="110">
        <v>0</v>
      </c>
      <c r="F141" s="110">
        <v>0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0">
        <v>0</v>
      </c>
      <c r="AM141" s="110">
        <v>0</v>
      </c>
      <c r="AN141" s="110">
        <v>0</v>
      </c>
      <c r="AO141" s="110">
        <v>0</v>
      </c>
      <c r="AP141" s="110">
        <v>0</v>
      </c>
      <c r="AQ141" s="110">
        <v>0</v>
      </c>
      <c r="AR141" s="110">
        <v>0</v>
      </c>
      <c r="AS141" s="110">
        <v>0</v>
      </c>
      <c r="AT141" s="110">
        <v>0</v>
      </c>
      <c r="AU141" s="110">
        <v>0</v>
      </c>
      <c r="AV141" s="110">
        <v>0</v>
      </c>
      <c r="AW141" s="110">
        <v>0</v>
      </c>
      <c r="AX141" s="110">
        <v>0</v>
      </c>
      <c r="AY141" s="110">
        <v>0</v>
      </c>
    </row>
    <row r="142" spans="1:51" x14ac:dyDescent="0.2">
      <c r="A142" s="113"/>
      <c r="B142" s="123">
        <v>21</v>
      </c>
      <c r="C142" s="110">
        <v>0</v>
      </c>
      <c r="D142" s="110">
        <v>0</v>
      </c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0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0">
        <v>0</v>
      </c>
      <c r="AM142" s="110">
        <v>0</v>
      </c>
      <c r="AN142" s="110">
        <v>0</v>
      </c>
      <c r="AO142" s="110">
        <v>0</v>
      </c>
      <c r="AP142" s="110">
        <v>0</v>
      </c>
      <c r="AQ142" s="110">
        <v>0</v>
      </c>
      <c r="AR142" s="110">
        <v>0</v>
      </c>
      <c r="AS142" s="110">
        <v>0</v>
      </c>
      <c r="AT142" s="110">
        <v>0</v>
      </c>
      <c r="AU142" s="110">
        <v>0</v>
      </c>
      <c r="AV142" s="110">
        <v>0</v>
      </c>
      <c r="AW142" s="110">
        <v>0</v>
      </c>
      <c r="AX142" s="110">
        <v>0</v>
      </c>
      <c r="AY142" s="110">
        <v>0</v>
      </c>
    </row>
    <row r="143" spans="1:51" x14ac:dyDescent="0.2">
      <c r="A143" s="113"/>
      <c r="B143" s="123">
        <v>22</v>
      </c>
      <c r="C143" s="110">
        <v>0</v>
      </c>
      <c r="D143" s="110">
        <v>0</v>
      </c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0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0">
        <v>0</v>
      </c>
      <c r="AM143" s="110">
        <v>0</v>
      </c>
      <c r="AN143" s="110">
        <v>0</v>
      </c>
      <c r="AO143" s="110">
        <v>0</v>
      </c>
      <c r="AP143" s="110">
        <v>0</v>
      </c>
      <c r="AQ143" s="110">
        <v>0</v>
      </c>
      <c r="AR143" s="110">
        <v>0</v>
      </c>
      <c r="AS143" s="110">
        <v>0</v>
      </c>
      <c r="AT143" s="110">
        <v>0</v>
      </c>
      <c r="AU143" s="110">
        <v>0</v>
      </c>
      <c r="AV143" s="110">
        <v>0</v>
      </c>
      <c r="AW143" s="110">
        <v>0</v>
      </c>
      <c r="AX143" s="110">
        <v>0</v>
      </c>
      <c r="AY143" s="110">
        <v>0</v>
      </c>
    </row>
    <row r="144" spans="1:51" x14ac:dyDescent="0.2">
      <c r="A144" s="113"/>
      <c r="B144" s="123">
        <v>23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0">
        <v>0</v>
      </c>
      <c r="AP144" s="110">
        <v>0</v>
      </c>
      <c r="AQ144" s="110">
        <v>0</v>
      </c>
      <c r="AR144" s="110">
        <v>0</v>
      </c>
      <c r="AS144" s="110">
        <v>0</v>
      </c>
      <c r="AT144" s="110">
        <v>0</v>
      </c>
      <c r="AU144" s="110">
        <v>0</v>
      </c>
      <c r="AV144" s="110">
        <v>0</v>
      </c>
      <c r="AW144" s="110">
        <v>0</v>
      </c>
      <c r="AX144" s="110">
        <v>0</v>
      </c>
      <c r="AY144" s="110">
        <v>0</v>
      </c>
    </row>
    <row r="145" spans="1:51" x14ac:dyDescent="0.2">
      <c r="A145" s="113"/>
      <c r="B145" s="123">
        <v>24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0">
        <v>0</v>
      </c>
      <c r="AP145" s="110">
        <v>0</v>
      </c>
      <c r="AQ145" s="110">
        <v>0</v>
      </c>
      <c r="AR145" s="110">
        <v>0</v>
      </c>
      <c r="AS145" s="110">
        <v>0</v>
      </c>
      <c r="AT145" s="110">
        <v>0</v>
      </c>
      <c r="AU145" s="110">
        <v>0</v>
      </c>
      <c r="AV145" s="110">
        <v>0</v>
      </c>
      <c r="AW145" s="110">
        <v>0</v>
      </c>
      <c r="AX145" s="110">
        <v>0</v>
      </c>
      <c r="AY145" s="110">
        <v>0</v>
      </c>
    </row>
    <row r="146" spans="1:51" x14ac:dyDescent="0.2">
      <c r="A146" s="113"/>
      <c r="B146" s="130">
        <v>25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0</v>
      </c>
      <c r="R146" s="110">
        <v>0</v>
      </c>
      <c r="S146" s="110">
        <v>0</v>
      </c>
      <c r="T146" s="110">
        <v>0</v>
      </c>
      <c r="U146" s="110">
        <v>0</v>
      </c>
      <c r="V146" s="110">
        <v>0</v>
      </c>
      <c r="W146" s="110">
        <v>0</v>
      </c>
      <c r="X146" s="110">
        <v>0</v>
      </c>
      <c r="Y146" s="110">
        <v>0</v>
      </c>
      <c r="Z146" s="110">
        <v>0</v>
      </c>
      <c r="AA146" s="110">
        <v>0</v>
      </c>
      <c r="AB146" s="110">
        <v>0</v>
      </c>
      <c r="AC146" s="110">
        <v>0</v>
      </c>
      <c r="AD146" s="110">
        <v>0</v>
      </c>
      <c r="AE146" s="110">
        <v>0</v>
      </c>
      <c r="AF146" s="110">
        <v>0</v>
      </c>
      <c r="AG146" s="110">
        <v>0</v>
      </c>
      <c r="AH146" s="110">
        <v>0</v>
      </c>
      <c r="AI146" s="110">
        <v>0</v>
      </c>
      <c r="AJ146" s="110">
        <v>0</v>
      </c>
      <c r="AK146" s="110">
        <v>0</v>
      </c>
      <c r="AL146" s="110">
        <v>0</v>
      </c>
      <c r="AM146" s="110">
        <v>0</v>
      </c>
      <c r="AN146" s="110">
        <v>0</v>
      </c>
      <c r="AO146" s="110">
        <v>0</v>
      </c>
      <c r="AP146" s="110">
        <v>0</v>
      </c>
      <c r="AQ146" s="110">
        <v>0</v>
      </c>
      <c r="AR146" s="110">
        <v>0</v>
      </c>
      <c r="AS146" s="110">
        <v>0</v>
      </c>
      <c r="AT146" s="110">
        <v>0</v>
      </c>
      <c r="AU146" s="110">
        <v>0</v>
      </c>
      <c r="AV146" s="110">
        <v>0</v>
      </c>
      <c r="AW146" s="110">
        <v>0</v>
      </c>
      <c r="AX146" s="110">
        <v>0</v>
      </c>
      <c r="AY146" s="110">
        <v>0</v>
      </c>
    </row>
    <row r="147" spans="1:51" x14ac:dyDescent="0.2">
      <c r="A147" s="113"/>
      <c r="B147" s="130">
        <v>26</v>
      </c>
      <c r="C147" s="110">
        <v>0</v>
      </c>
      <c r="D147" s="110">
        <v>0</v>
      </c>
      <c r="E147" s="110">
        <v>0</v>
      </c>
      <c r="F147" s="110">
        <v>0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10">
        <v>0</v>
      </c>
      <c r="P147" s="110">
        <v>0</v>
      </c>
      <c r="Q147" s="110">
        <v>0</v>
      </c>
      <c r="R147" s="110">
        <v>0</v>
      </c>
      <c r="S147" s="110">
        <v>0</v>
      </c>
      <c r="T147" s="110">
        <v>0</v>
      </c>
      <c r="U147" s="110">
        <v>0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0</v>
      </c>
      <c r="AC147" s="110">
        <v>0</v>
      </c>
      <c r="AD147" s="110">
        <v>0</v>
      </c>
      <c r="AE147" s="110">
        <v>0</v>
      </c>
      <c r="AF147" s="110">
        <v>0</v>
      </c>
      <c r="AG147" s="110">
        <v>0</v>
      </c>
      <c r="AH147" s="110">
        <v>0</v>
      </c>
      <c r="AI147" s="110">
        <v>0</v>
      </c>
      <c r="AJ147" s="110">
        <v>0</v>
      </c>
      <c r="AK147" s="110">
        <v>0</v>
      </c>
      <c r="AL147" s="110">
        <v>0</v>
      </c>
      <c r="AM147" s="110">
        <v>0</v>
      </c>
      <c r="AN147" s="110">
        <v>0</v>
      </c>
      <c r="AO147" s="110">
        <v>0</v>
      </c>
      <c r="AP147" s="110">
        <v>0</v>
      </c>
      <c r="AQ147" s="110">
        <v>0</v>
      </c>
      <c r="AR147" s="110">
        <v>0</v>
      </c>
      <c r="AS147" s="110">
        <v>0</v>
      </c>
      <c r="AT147" s="110">
        <v>0</v>
      </c>
      <c r="AU147" s="110">
        <v>0</v>
      </c>
      <c r="AV147" s="110">
        <v>0</v>
      </c>
      <c r="AW147" s="110">
        <v>0</v>
      </c>
      <c r="AX147" s="110">
        <v>0</v>
      </c>
      <c r="AY147" s="110">
        <v>0</v>
      </c>
    </row>
    <row r="148" spans="1:51" x14ac:dyDescent="0.2">
      <c r="A148" s="113"/>
      <c r="B148" s="130">
        <v>27</v>
      </c>
      <c r="C148" s="110">
        <v>0</v>
      </c>
      <c r="D148" s="110">
        <v>0</v>
      </c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0">
        <v>0</v>
      </c>
      <c r="AP148" s="110">
        <v>0</v>
      </c>
      <c r="AQ148" s="110">
        <v>0</v>
      </c>
      <c r="AR148" s="110">
        <v>0</v>
      </c>
      <c r="AS148" s="110">
        <v>0</v>
      </c>
      <c r="AT148" s="110">
        <v>0</v>
      </c>
      <c r="AU148" s="110">
        <v>0</v>
      </c>
      <c r="AV148" s="110">
        <v>0</v>
      </c>
      <c r="AW148" s="110">
        <v>0</v>
      </c>
      <c r="AX148" s="110">
        <v>0</v>
      </c>
      <c r="AY148" s="110">
        <v>0</v>
      </c>
    </row>
    <row r="149" spans="1:51" x14ac:dyDescent="0.2">
      <c r="A149" s="113"/>
      <c r="B149" s="130">
        <v>28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0">
        <v>0</v>
      </c>
      <c r="AP149" s="110">
        <v>0</v>
      </c>
      <c r="AQ149" s="110">
        <v>0</v>
      </c>
      <c r="AR149" s="110">
        <v>0</v>
      </c>
      <c r="AS149" s="110">
        <v>0</v>
      </c>
      <c r="AT149" s="110">
        <v>0</v>
      </c>
      <c r="AU149" s="110">
        <v>0</v>
      </c>
      <c r="AV149" s="110">
        <v>0</v>
      </c>
      <c r="AW149" s="110">
        <v>0</v>
      </c>
      <c r="AX149" s="110">
        <v>0</v>
      </c>
      <c r="AY149" s="110">
        <v>0</v>
      </c>
    </row>
    <row r="150" spans="1:51" x14ac:dyDescent="0.2">
      <c r="A150" s="113"/>
      <c r="B150" s="130">
        <v>29</v>
      </c>
      <c r="C150" s="110">
        <v>0</v>
      </c>
      <c r="D150" s="110">
        <v>0</v>
      </c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0">
        <v>0</v>
      </c>
      <c r="AP150" s="110">
        <v>0</v>
      </c>
      <c r="AQ150" s="110">
        <v>0</v>
      </c>
      <c r="AR150" s="110">
        <v>0</v>
      </c>
      <c r="AS150" s="110">
        <v>0</v>
      </c>
      <c r="AT150" s="110">
        <v>0</v>
      </c>
      <c r="AU150" s="110">
        <v>0</v>
      </c>
      <c r="AV150" s="110">
        <v>0</v>
      </c>
      <c r="AW150" s="110">
        <v>0</v>
      </c>
      <c r="AX150" s="110">
        <v>0</v>
      </c>
      <c r="AY150" s="110">
        <v>0</v>
      </c>
    </row>
    <row r="151" spans="1:51" x14ac:dyDescent="0.2">
      <c r="A151" s="113"/>
      <c r="B151" s="130">
        <v>30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0">
        <v>0</v>
      </c>
      <c r="AP151" s="110">
        <v>0</v>
      </c>
      <c r="AQ151" s="110">
        <v>0</v>
      </c>
      <c r="AR151" s="110">
        <v>0</v>
      </c>
      <c r="AS151" s="110">
        <v>0</v>
      </c>
      <c r="AT151" s="110">
        <v>0</v>
      </c>
      <c r="AU151" s="110">
        <v>0</v>
      </c>
      <c r="AV151" s="110">
        <v>0</v>
      </c>
      <c r="AW151" s="110">
        <v>0</v>
      </c>
      <c r="AX151" s="110">
        <v>0</v>
      </c>
      <c r="AY151" s="110">
        <v>0</v>
      </c>
    </row>
    <row r="152" spans="1:51" x14ac:dyDescent="0.2">
      <c r="A152" s="113"/>
      <c r="B152" s="130">
        <v>31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0">
        <v>0</v>
      </c>
      <c r="AP152" s="110">
        <v>0</v>
      </c>
      <c r="AQ152" s="110">
        <v>0</v>
      </c>
      <c r="AR152" s="110">
        <v>0</v>
      </c>
      <c r="AS152" s="110">
        <v>0</v>
      </c>
      <c r="AT152" s="110">
        <v>0</v>
      </c>
      <c r="AU152" s="110">
        <v>0</v>
      </c>
      <c r="AV152" s="110">
        <v>0</v>
      </c>
      <c r="AW152" s="110">
        <v>0</v>
      </c>
      <c r="AX152" s="110">
        <v>0</v>
      </c>
      <c r="AY152" s="110">
        <v>0</v>
      </c>
    </row>
    <row r="153" spans="1:51" x14ac:dyDescent="0.2">
      <c r="A153" s="113"/>
      <c r="B153" s="130">
        <v>32</v>
      </c>
      <c r="C153" s="110">
        <v>0</v>
      </c>
      <c r="D153" s="110">
        <v>0</v>
      </c>
      <c r="E153" s="110">
        <v>0</v>
      </c>
      <c r="F153" s="110">
        <v>0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10">
        <v>0</v>
      </c>
      <c r="P153" s="110">
        <v>0</v>
      </c>
      <c r="Q153" s="110">
        <v>0</v>
      </c>
      <c r="R153" s="110">
        <v>0</v>
      </c>
      <c r="S153" s="110">
        <v>0</v>
      </c>
      <c r="T153" s="110">
        <v>0</v>
      </c>
      <c r="U153" s="110">
        <v>0</v>
      </c>
      <c r="V153" s="110">
        <v>0</v>
      </c>
      <c r="W153" s="110">
        <v>0</v>
      </c>
      <c r="X153" s="110">
        <v>0</v>
      </c>
      <c r="Y153" s="110">
        <v>0</v>
      </c>
      <c r="Z153" s="110">
        <v>0</v>
      </c>
      <c r="AA153" s="110">
        <v>0</v>
      </c>
      <c r="AB153" s="110">
        <v>0</v>
      </c>
      <c r="AC153" s="110">
        <v>0</v>
      </c>
      <c r="AD153" s="110">
        <v>0</v>
      </c>
      <c r="AE153" s="110">
        <v>0</v>
      </c>
      <c r="AF153" s="110">
        <v>0</v>
      </c>
      <c r="AG153" s="110">
        <v>0</v>
      </c>
      <c r="AH153" s="110">
        <v>0</v>
      </c>
      <c r="AI153" s="110">
        <v>0</v>
      </c>
      <c r="AJ153" s="110">
        <v>0</v>
      </c>
      <c r="AK153" s="110">
        <v>0</v>
      </c>
      <c r="AL153" s="110">
        <v>0</v>
      </c>
      <c r="AM153" s="110">
        <v>0</v>
      </c>
      <c r="AN153" s="110">
        <v>0</v>
      </c>
      <c r="AO153" s="110">
        <v>0</v>
      </c>
      <c r="AP153" s="110">
        <v>0</v>
      </c>
      <c r="AQ153" s="110">
        <v>0</v>
      </c>
      <c r="AR153" s="110">
        <v>0</v>
      </c>
      <c r="AS153" s="110">
        <v>0</v>
      </c>
      <c r="AT153" s="110">
        <v>0</v>
      </c>
      <c r="AU153" s="110">
        <v>0</v>
      </c>
      <c r="AV153" s="110">
        <v>0</v>
      </c>
      <c r="AW153" s="110">
        <v>0</v>
      </c>
      <c r="AX153" s="110">
        <v>0</v>
      </c>
      <c r="AY153" s="110">
        <v>0</v>
      </c>
    </row>
    <row r="154" spans="1:51" x14ac:dyDescent="0.2">
      <c r="A154" s="113"/>
      <c r="B154" s="130">
        <v>33</v>
      </c>
      <c r="C154" s="110">
        <v>0</v>
      </c>
      <c r="D154" s="110">
        <v>0</v>
      </c>
      <c r="E154" s="110">
        <v>0</v>
      </c>
      <c r="F154" s="110">
        <v>0</v>
      </c>
      <c r="G154" s="110">
        <v>0</v>
      </c>
      <c r="H154" s="110">
        <v>0</v>
      </c>
      <c r="I154" s="110">
        <v>0</v>
      </c>
      <c r="J154" s="110">
        <v>0</v>
      </c>
      <c r="K154" s="110">
        <v>0</v>
      </c>
      <c r="L154" s="110">
        <v>0</v>
      </c>
      <c r="M154" s="110">
        <v>0</v>
      </c>
      <c r="N154" s="110">
        <v>0</v>
      </c>
      <c r="O154" s="110">
        <v>0</v>
      </c>
      <c r="P154" s="110">
        <v>0</v>
      </c>
      <c r="Q154" s="110">
        <v>0</v>
      </c>
      <c r="R154" s="110">
        <v>0</v>
      </c>
      <c r="S154" s="110">
        <v>0</v>
      </c>
      <c r="T154" s="110">
        <v>0</v>
      </c>
      <c r="U154" s="110">
        <v>0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0</v>
      </c>
      <c r="AK154" s="110">
        <v>0</v>
      </c>
      <c r="AL154" s="110">
        <v>0</v>
      </c>
      <c r="AM154" s="110">
        <v>0</v>
      </c>
      <c r="AN154" s="110">
        <v>0</v>
      </c>
      <c r="AO154" s="110">
        <v>0</v>
      </c>
      <c r="AP154" s="110">
        <v>0</v>
      </c>
      <c r="AQ154" s="110">
        <v>0</v>
      </c>
      <c r="AR154" s="110">
        <v>0</v>
      </c>
      <c r="AS154" s="110">
        <v>0</v>
      </c>
      <c r="AT154" s="110">
        <v>0</v>
      </c>
      <c r="AU154" s="110">
        <v>0</v>
      </c>
      <c r="AV154" s="110">
        <v>0</v>
      </c>
      <c r="AW154" s="110">
        <v>0</v>
      </c>
      <c r="AX154" s="110">
        <v>0</v>
      </c>
      <c r="AY154" s="110">
        <v>0</v>
      </c>
    </row>
    <row r="155" spans="1:51" x14ac:dyDescent="0.2">
      <c r="A155" s="113"/>
      <c r="B155" s="130">
        <v>34</v>
      </c>
      <c r="C155" s="110">
        <v>0</v>
      </c>
      <c r="D155" s="110">
        <v>0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0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0">
        <v>0</v>
      </c>
      <c r="AM155" s="110">
        <v>0</v>
      </c>
      <c r="AN155" s="110">
        <v>0</v>
      </c>
      <c r="AO155" s="110">
        <v>0</v>
      </c>
      <c r="AP155" s="110">
        <v>0</v>
      </c>
      <c r="AQ155" s="110">
        <v>0</v>
      </c>
      <c r="AR155" s="110">
        <v>0</v>
      </c>
      <c r="AS155" s="110">
        <v>0</v>
      </c>
      <c r="AT155" s="110">
        <v>0</v>
      </c>
      <c r="AU155" s="110">
        <v>0</v>
      </c>
      <c r="AV155" s="110">
        <v>0</v>
      </c>
      <c r="AW155" s="110">
        <v>0</v>
      </c>
      <c r="AX155" s="110">
        <v>0</v>
      </c>
      <c r="AY155" s="110">
        <v>0</v>
      </c>
    </row>
    <row r="156" spans="1:51" x14ac:dyDescent="0.2">
      <c r="A156" s="113"/>
      <c r="B156" s="130">
        <v>35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0">
        <v>0</v>
      </c>
      <c r="AP156" s="110">
        <v>0</v>
      </c>
      <c r="AQ156" s="110">
        <v>0</v>
      </c>
      <c r="AR156" s="110">
        <v>0</v>
      </c>
      <c r="AS156" s="110">
        <v>0</v>
      </c>
      <c r="AT156" s="110">
        <v>0</v>
      </c>
      <c r="AU156" s="110">
        <v>0</v>
      </c>
      <c r="AV156" s="110">
        <v>0</v>
      </c>
      <c r="AW156" s="110">
        <v>0</v>
      </c>
      <c r="AX156" s="110">
        <v>0</v>
      </c>
      <c r="AY156" s="110">
        <v>0</v>
      </c>
    </row>
    <row r="157" spans="1:51" x14ac:dyDescent="0.2">
      <c r="A157" s="113"/>
      <c r="B157" s="130">
        <v>36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0">
        <v>0</v>
      </c>
      <c r="AP157" s="110">
        <v>0</v>
      </c>
      <c r="AQ157" s="110">
        <v>0</v>
      </c>
      <c r="AR157" s="110">
        <v>0</v>
      </c>
      <c r="AS157" s="110">
        <v>0</v>
      </c>
      <c r="AT157" s="110">
        <v>0</v>
      </c>
      <c r="AU157" s="110">
        <v>0</v>
      </c>
      <c r="AV157" s="110">
        <v>0</v>
      </c>
      <c r="AW157" s="110">
        <v>0</v>
      </c>
      <c r="AX157" s="110">
        <v>0</v>
      </c>
      <c r="AY157" s="110">
        <v>0</v>
      </c>
    </row>
    <row r="158" spans="1:51" x14ac:dyDescent="0.2">
      <c r="A158" s="113"/>
      <c r="B158" s="133">
        <v>37</v>
      </c>
      <c r="C158" s="110">
        <v>0</v>
      </c>
      <c r="D158" s="110">
        <v>0</v>
      </c>
      <c r="E158" s="110">
        <v>0</v>
      </c>
      <c r="F158" s="110">
        <v>0</v>
      </c>
      <c r="G158" s="110">
        <v>0</v>
      </c>
      <c r="H158" s="110">
        <v>0</v>
      </c>
      <c r="I158" s="110">
        <v>0</v>
      </c>
      <c r="J158" s="110">
        <v>0</v>
      </c>
      <c r="K158" s="110">
        <v>0</v>
      </c>
      <c r="L158" s="110">
        <v>0</v>
      </c>
      <c r="M158" s="110">
        <v>0</v>
      </c>
      <c r="N158" s="110">
        <v>0</v>
      </c>
      <c r="O158" s="110">
        <v>0</v>
      </c>
      <c r="P158" s="110">
        <v>0</v>
      </c>
      <c r="Q158" s="110">
        <v>0</v>
      </c>
      <c r="R158" s="110">
        <v>0</v>
      </c>
      <c r="S158" s="110">
        <v>0</v>
      </c>
      <c r="T158" s="110">
        <v>0</v>
      </c>
      <c r="U158" s="110">
        <v>0</v>
      </c>
      <c r="V158" s="110">
        <v>0</v>
      </c>
      <c r="W158" s="110">
        <v>0</v>
      </c>
      <c r="X158" s="110">
        <v>0</v>
      </c>
      <c r="Y158" s="110">
        <v>0</v>
      </c>
      <c r="Z158" s="110">
        <v>0</v>
      </c>
      <c r="AA158" s="110">
        <v>0</v>
      </c>
      <c r="AB158" s="110">
        <v>0</v>
      </c>
      <c r="AC158" s="110">
        <v>0</v>
      </c>
      <c r="AD158" s="110">
        <v>0</v>
      </c>
      <c r="AE158" s="110">
        <v>0</v>
      </c>
      <c r="AF158" s="110">
        <v>0</v>
      </c>
      <c r="AG158" s="110">
        <v>0</v>
      </c>
      <c r="AH158" s="110">
        <v>0</v>
      </c>
      <c r="AI158" s="110">
        <v>0</v>
      </c>
      <c r="AJ158" s="110">
        <v>0</v>
      </c>
      <c r="AK158" s="110">
        <v>0</v>
      </c>
      <c r="AL158" s="110">
        <v>0</v>
      </c>
      <c r="AM158" s="110">
        <v>0</v>
      </c>
      <c r="AN158" s="110">
        <v>0</v>
      </c>
      <c r="AO158" s="110">
        <v>0</v>
      </c>
      <c r="AP158" s="110">
        <v>0</v>
      </c>
      <c r="AQ158" s="110">
        <v>0</v>
      </c>
      <c r="AR158" s="110">
        <v>0</v>
      </c>
      <c r="AS158" s="110">
        <v>0</v>
      </c>
      <c r="AT158" s="110">
        <v>0</v>
      </c>
      <c r="AU158" s="110">
        <v>0</v>
      </c>
      <c r="AV158" s="110">
        <v>0</v>
      </c>
      <c r="AW158" s="110">
        <v>0</v>
      </c>
      <c r="AX158" s="110">
        <v>0</v>
      </c>
      <c r="AY158" s="110">
        <v>0</v>
      </c>
    </row>
    <row r="159" spans="1:51" x14ac:dyDescent="0.2">
      <c r="A159" s="113"/>
      <c r="B159" s="133">
        <v>38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0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0">
        <v>0</v>
      </c>
      <c r="AM159" s="110">
        <v>0</v>
      </c>
      <c r="AN159" s="110">
        <v>0</v>
      </c>
      <c r="AO159" s="110">
        <v>0</v>
      </c>
      <c r="AP159" s="110">
        <v>0</v>
      </c>
      <c r="AQ159" s="110">
        <v>0</v>
      </c>
      <c r="AR159" s="110">
        <v>0</v>
      </c>
      <c r="AS159" s="110">
        <v>0</v>
      </c>
      <c r="AT159" s="110">
        <v>0</v>
      </c>
      <c r="AU159" s="110">
        <v>0</v>
      </c>
      <c r="AV159" s="110">
        <v>0</v>
      </c>
      <c r="AW159" s="110">
        <v>0</v>
      </c>
      <c r="AX159" s="110">
        <v>0</v>
      </c>
      <c r="AY159" s="110">
        <v>0</v>
      </c>
    </row>
    <row r="160" spans="1:51" x14ac:dyDescent="0.2">
      <c r="A160" s="113"/>
      <c r="B160" s="133">
        <v>39</v>
      </c>
      <c r="C160" s="110">
        <v>0</v>
      </c>
      <c r="D160" s="110">
        <v>0</v>
      </c>
      <c r="E160" s="110">
        <v>0</v>
      </c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0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0">
        <v>0</v>
      </c>
      <c r="AM160" s="110">
        <v>0</v>
      </c>
      <c r="AN160" s="110">
        <v>0</v>
      </c>
      <c r="AO160" s="110">
        <v>0</v>
      </c>
      <c r="AP160" s="110">
        <v>0</v>
      </c>
      <c r="AQ160" s="110">
        <v>0</v>
      </c>
      <c r="AR160" s="110">
        <v>0</v>
      </c>
      <c r="AS160" s="110">
        <v>0</v>
      </c>
      <c r="AT160" s="110">
        <v>0</v>
      </c>
      <c r="AU160" s="110">
        <v>0</v>
      </c>
      <c r="AV160" s="110">
        <v>0</v>
      </c>
      <c r="AW160" s="110">
        <v>0</v>
      </c>
      <c r="AX160" s="110">
        <v>0</v>
      </c>
      <c r="AY160" s="110">
        <v>0</v>
      </c>
    </row>
    <row r="161" spans="1:52" x14ac:dyDescent="0.2">
      <c r="A161" s="113"/>
      <c r="B161" s="133">
        <v>40</v>
      </c>
      <c r="C161" s="110">
        <v>0</v>
      </c>
      <c r="D161" s="110">
        <v>0</v>
      </c>
      <c r="E161" s="110">
        <v>0</v>
      </c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0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0">
        <v>0</v>
      </c>
      <c r="AM161" s="110">
        <v>0</v>
      </c>
      <c r="AN161" s="110">
        <v>0</v>
      </c>
      <c r="AO161" s="110">
        <v>0</v>
      </c>
      <c r="AP161" s="110">
        <v>0</v>
      </c>
      <c r="AQ161" s="110">
        <v>0</v>
      </c>
      <c r="AR161" s="110">
        <v>0</v>
      </c>
      <c r="AS161" s="110">
        <v>0</v>
      </c>
      <c r="AT161" s="110">
        <v>0</v>
      </c>
      <c r="AU161" s="110">
        <v>0</v>
      </c>
      <c r="AV161" s="110">
        <v>0</v>
      </c>
      <c r="AW161" s="110">
        <v>0</v>
      </c>
      <c r="AX161" s="110">
        <v>0</v>
      </c>
      <c r="AY161" s="110">
        <v>0</v>
      </c>
    </row>
    <row r="162" spans="1:52" x14ac:dyDescent="0.2">
      <c r="A162" s="113"/>
      <c r="B162" s="133">
        <v>41</v>
      </c>
      <c r="C162" s="110">
        <v>0</v>
      </c>
      <c r="D162" s="110">
        <v>0</v>
      </c>
      <c r="E162" s="110">
        <v>0</v>
      </c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0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0">
        <v>0</v>
      </c>
      <c r="AM162" s="110">
        <v>0</v>
      </c>
      <c r="AN162" s="110">
        <v>0</v>
      </c>
      <c r="AO162" s="110">
        <v>0</v>
      </c>
      <c r="AP162" s="110">
        <v>0</v>
      </c>
      <c r="AQ162" s="110">
        <v>0</v>
      </c>
      <c r="AR162" s="110">
        <v>0</v>
      </c>
      <c r="AS162" s="110">
        <v>0</v>
      </c>
      <c r="AT162" s="110">
        <v>0</v>
      </c>
      <c r="AU162" s="110">
        <v>0</v>
      </c>
      <c r="AV162" s="110">
        <v>0</v>
      </c>
      <c r="AW162" s="110">
        <v>0</v>
      </c>
      <c r="AX162" s="110">
        <v>0</v>
      </c>
      <c r="AY162" s="110">
        <v>0</v>
      </c>
    </row>
    <row r="163" spans="1:52" x14ac:dyDescent="0.2">
      <c r="A163" s="113"/>
      <c r="B163" s="133">
        <v>42</v>
      </c>
      <c r="C163" s="110">
        <v>0</v>
      </c>
      <c r="D163" s="110">
        <v>0</v>
      </c>
      <c r="E163" s="110">
        <v>0</v>
      </c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0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0">
        <v>0</v>
      </c>
      <c r="AM163" s="110">
        <v>0</v>
      </c>
      <c r="AN163" s="110">
        <v>0</v>
      </c>
      <c r="AO163" s="110">
        <v>0</v>
      </c>
      <c r="AP163" s="110">
        <v>0</v>
      </c>
      <c r="AQ163" s="110">
        <v>0</v>
      </c>
      <c r="AR163" s="110">
        <v>0</v>
      </c>
      <c r="AS163" s="110">
        <v>0</v>
      </c>
      <c r="AT163" s="110">
        <v>0</v>
      </c>
      <c r="AU163" s="110">
        <v>0</v>
      </c>
      <c r="AV163" s="110">
        <v>0</v>
      </c>
      <c r="AW163" s="110">
        <v>0</v>
      </c>
      <c r="AX163" s="110">
        <v>0</v>
      </c>
      <c r="AY163" s="110">
        <v>0</v>
      </c>
    </row>
    <row r="164" spans="1:52" x14ac:dyDescent="0.2">
      <c r="A164" s="113"/>
      <c r="B164" s="133">
        <v>43</v>
      </c>
      <c r="C164" s="110">
        <v>0</v>
      </c>
      <c r="D164" s="110">
        <v>0</v>
      </c>
      <c r="E164" s="110">
        <v>0</v>
      </c>
      <c r="F164" s="110">
        <v>0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10">
        <v>0</v>
      </c>
      <c r="P164" s="110">
        <v>0</v>
      </c>
      <c r="Q164" s="110">
        <v>0</v>
      </c>
      <c r="R164" s="110">
        <v>0</v>
      </c>
      <c r="S164" s="110">
        <v>0</v>
      </c>
      <c r="T164" s="110">
        <v>0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0">
        <v>0</v>
      </c>
      <c r="AP164" s="110">
        <v>0</v>
      </c>
      <c r="AQ164" s="110">
        <v>0</v>
      </c>
      <c r="AR164" s="110">
        <v>0</v>
      </c>
      <c r="AS164" s="110">
        <v>0</v>
      </c>
      <c r="AT164" s="110">
        <v>0</v>
      </c>
      <c r="AU164" s="110">
        <v>0</v>
      </c>
      <c r="AV164" s="110">
        <v>0</v>
      </c>
      <c r="AW164" s="110">
        <v>0</v>
      </c>
      <c r="AX164" s="110">
        <v>0</v>
      </c>
      <c r="AY164" s="110">
        <v>0</v>
      </c>
    </row>
    <row r="165" spans="1:52" x14ac:dyDescent="0.2">
      <c r="A165" s="113"/>
      <c r="B165" s="133">
        <v>44</v>
      </c>
      <c r="C165" s="110">
        <v>0</v>
      </c>
      <c r="D165" s="110">
        <v>0</v>
      </c>
      <c r="E165" s="110">
        <v>0</v>
      </c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0">
        <v>0</v>
      </c>
      <c r="AP165" s="110">
        <v>0</v>
      </c>
      <c r="AQ165" s="110">
        <v>0</v>
      </c>
      <c r="AR165" s="110">
        <v>0</v>
      </c>
      <c r="AS165" s="110">
        <v>0</v>
      </c>
      <c r="AT165" s="110">
        <v>0</v>
      </c>
      <c r="AU165" s="110">
        <v>0</v>
      </c>
      <c r="AV165" s="110">
        <v>0</v>
      </c>
      <c r="AW165" s="110">
        <v>0</v>
      </c>
      <c r="AX165" s="110">
        <v>0</v>
      </c>
      <c r="AY165" s="110">
        <v>0</v>
      </c>
    </row>
    <row r="166" spans="1:52" x14ac:dyDescent="0.2">
      <c r="A166" s="113"/>
      <c r="B166" s="133">
        <v>45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0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0">
        <v>0</v>
      </c>
      <c r="AM166" s="110">
        <v>0</v>
      </c>
      <c r="AN166" s="110">
        <v>0</v>
      </c>
      <c r="AO166" s="110">
        <v>0</v>
      </c>
      <c r="AP166" s="110">
        <v>0</v>
      </c>
      <c r="AQ166" s="110">
        <v>0</v>
      </c>
      <c r="AR166" s="110">
        <v>0</v>
      </c>
      <c r="AS166" s="110">
        <v>0</v>
      </c>
      <c r="AT166" s="110">
        <v>0</v>
      </c>
      <c r="AU166" s="110">
        <v>0</v>
      </c>
      <c r="AV166" s="110">
        <v>0</v>
      </c>
      <c r="AW166" s="110">
        <v>0</v>
      </c>
      <c r="AX166" s="110">
        <v>0</v>
      </c>
      <c r="AY166" s="110">
        <v>0</v>
      </c>
    </row>
    <row r="167" spans="1:52" x14ac:dyDescent="0.2">
      <c r="A167" s="113"/>
      <c r="B167" s="133">
        <v>46</v>
      </c>
      <c r="C167" s="110">
        <v>0</v>
      </c>
      <c r="D167" s="110">
        <v>0</v>
      </c>
      <c r="E167" s="110">
        <v>0</v>
      </c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0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0">
        <v>0</v>
      </c>
      <c r="AM167" s="110">
        <v>0</v>
      </c>
      <c r="AN167" s="110">
        <v>0</v>
      </c>
      <c r="AO167" s="110">
        <v>0</v>
      </c>
      <c r="AP167" s="110">
        <v>0</v>
      </c>
      <c r="AQ167" s="110">
        <v>0</v>
      </c>
      <c r="AR167" s="110">
        <v>0</v>
      </c>
      <c r="AS167" s="110">
        <v>0</v>
      </c>
      <c r="AT167" s="110">
        <v>0</v>
      </c>
      <c r="AU167" s="110">
        <v>0</v>
      </c>
      <c r="AV167" s="110">
        <v>0</v>
      </c>
      <c r="AW167" s="110">
        <v>0</v>
      </c>
      <c r="AX167" s="110">
        <v>0</v>
      </c>
      <c r="AY167" s="110">
        <v>0</v>
      </c>
    </row>
    <row r="168" spans="1:52" x14ac:dyDescent="0.2">
      <c r="A168" s="113"/>
      <c r="B168" s="133">
        <v>47</v>
      </c>
      <c r="C168" s="110">
        <v>0</v>
      </c>
      <c r="D168" s="110">
        <v>0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0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0">
        <v>0</v>
      </c>
      <c r="AM168" s="110">
        <v>0</v>
      </c>
      <c r="AN168" s="110">
        <v>0</v>
      </c>
      <c r="AO168" s="110">
        <v>0</v>
      </c>
      <c r="AP168" s="110">
        <v>0</v>
      </c>
      <c r="AQ168" s="110">
        <v>0</v>
      </c>
      <c r="AR168" s="110">
        <v>0</v>
      </c>
      <c r="AS168" s="110">
        <v>0</v>
      </c>
      <c r="AT168" s="110">
        <v>0</v>
      </c>
      <c r="AU168" s="110">
        <v>0</v>
      </c>
      <c r="AV168" s="110">
        <v>0</v>
      </c>
      <c r="AW168" s="110">
        <v>0</v>
      </c>
      <c r="AX168" s="110">
        <v>0</v>
      </c>
      <c r="AY168" s="110">
        <v>0</v>
      </c>
    </row>
    <row r="169" spans="1:52" x14ac:dyDescent="0.2">
      <c r="A169" s="113"/>
      <c r="B169" s="133">
        <v>48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0">
        <v>0</v>
      </c>
      <c r="AP169" s="110">
        <v>0</v>
      </c>
      <c r="AQ169" s="110">
        <v>0</v>
      </c>
      <c r="AR169" s="110">
        <v>0</v>
      </c>
      <c r="AS169" s="110">
        <v>0</v>
      </c>
      <c r="AT169" s="110">
        <v>0</v>
      </c>
      <c r="AU169" s="110">
        <v>0</v>
      </c>
      <c r="AV169" s="110">
        <v>0</v>
      </c>
      <c r="AW169" s="110">
        <v>0</v>
      </c>
      <c r="AX169" s="110">
        <v>0</v>
      </c>
      <c r="AY169" s="110">
        <v>0</v>
      </c>
    </row>
    <row r="170" spans="1:52" x14ac:dyDescent="0.2">
      <c r="A170" s="131"/>
      <c r="B170" s="135" t="s">
        <v>296</v>
      </c>
      <c r="C170" s="117">
        <v>0</v>
      </c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1">
        <f>SUM($D170:$AY170)</f>
        <v>0</v>
      </c>
    </row>
    <row r="172" spans="1:52" x14ac:dyDescent="0.2">
      <c r="A172" s="1" t="s">
        <v>124</v>
      </c>
      <c r="B172" s="136" t="s">
        <v>297</v>
      </c>
      <c r="C172" s="137">
        <v>0.38</v>
      </c>
      <c r="D172" s="137">
        <v>0.33148378297386499</v>
      </c>
      <c r="E172" s="137">
        <v>0.33148378297386499</v>
      </c>
      <c r="F172" s="137">
        <v>0.33148378297386499</v>
      </c>
      <c r="G172" s="137">
        <v>0.33148378297386499</v>
      </c>
      <c r="H172" s="137">
        <v>0.33148378297386499</v>
      </c>
      <c r="I172" s="137">
        <v>0.33148378297386499</v>
      </c>
      <c r="J172" s="137">
        <v>0.33148378297386499</v>
      </c>
      <c r="K172" s="137">
        <v>0.33148378297386499</v>
      </c>
      <c r="L172" s="137">
        <v>0.33148378297386499</v>
      </c>
      <c r="M172" s="137">
        <v>0.33148378297386499</v>
      </c>
      <c r="N172" s="137">
        <v>0.33148378297386499</v>
      </c>
      <c r="O172" s="137">
        <v>0.33148378297386499</v>
      </c>
      <c r="P172" s="137">
        <v>0.33148378297386499</v>
      </c>
      <c r="Q172" s="137">
        <v>0.33148378297386499</v>
      </c>
      <c r="R172" s="137">
        <v>0.33148378297386499</v>
      </c>
      <c r="S172" s="137">
        <v>0.33148378297386499</v>
      </c>
      <c r="T172" s="137">
        <v>0.33148378297386499</v>
      </c>
      <c r="U172" s="137">
        <v>0.33148378297386499</v>
      </c>
      <c r="V172" s="137">
        <v>0.33148378297386499</v>
      </c>
      <c r="W172" s="137">
        <v>0.33148378297386499</v>
      </c>
      <c r="X172" s="137">
        <v>0.33148378297386499</v>
      </c>
      <c r="Y172" s="137">
        <v>0.33148378297386499</v>
      </c>
      <c r="Z172" s="137">
        <v>0.33148378297386499</v>
      </c>
      <c r="AA172" s="137">
        <v>0.33148378297386499</v>
      </c>
      <c r="AB172" s="137">
        <v>0.33148378297386499</v>
      </c>
      <c r="AC172" s="137">
        <v>0.33148378297386499</v>
      </c>
      <c r="AD172" s="137">
        <v>0.33148378297386499</v>
      </c>
      <c r="AE172" s="137">
        <v>0.33148378297386499</v>
      </c>
      <c r="AF172" s="137">
        <v>0.33148378297386499</v>
      </c>
      <c r="AG172" s="137">
        <v>0.33148378297386499</v>
      </c>
      <c r="AH172" s="137">
        <v>0.33148378297386499</v>
      </c>
      <c r="AI172" s="137">
        <v>0.33148378297386499</v>
      </c>
      <c r="AJ172" s="137">
        <v>0.33148378297386499</v>
      </c>
      <c r="AK172" s="137">
        <v>0.33148378297386499</v>
      </c>
      <c r="AL172" s="137">
        <v>0.33148378297386499</v>
      </c>
      <c r="AM172" s="137">
        <v>0.33148378297386499</v>
      </c>
      <c r="AN172" s="137">
        <v>0.33148378297386499</v>
      </c>
      <c r="AO172" s="137">
        <v>0.33148378297386499</v>
      </c>
      <c r="AP172" s="137">
        <v>0.33148378297386499</v>
      </c>
      <c r="AQ172" s="137">
        <v>0.33148378297386499</v>
      </c>
      <c r="AR172" s="137">
        <v>0.33148378297386499</v>
      </c>
      <c r="AS172" s="137">
        <v>0.33148378297386499</v>
      </c>
      <c r="AT172" s="137">
        <v>0.33148378297386499</v>
      </c>
      <c r="AU172" s="137">
        <v>0.33148378297386499</v>
      </c>
      <c r="AV172" s="137">
        <v>0.33148378297386499</v>
      </c>
      <c r="AW172" s="137">
        <v>0.33148378297386499</v>
      </c>
      <c r="AX172" s="137">
        <v>0.33148378297386499</v>
      </c>
      <c r="AY172" s="137">
        <v>0.33148378297386499</v>
      </c>
    </row>
    <row r="174" spans="1:52" x14ac:dyDescent="0.2">
      <c r="A174" s="1" t="s">
        <v>272</v>
      </c>
    </row>
    <row r="175" spans="1:52" x14ac:dyDescent="0.2">
      <c r="A175" s="138" t="s">
        <v>125</v>
      </c>
      <c r="B175" s="138" t="s">
        <v>298</v>
      </c>
      <c r="C175" s="127" t="s">
        <v>293</v>
      </c>
      <c r="D175" s="127">
        <f t="shared" ref="D175:AY175" si="1">SUM(D95:D98)</f>
        <v>4467.9526713016512</v>
      </c>
      <c r="E175" s="127">
        <f t="shared" si="1"/>
        <v>5287.102993179662</v>
      </c>
      <c r="F175" s="127">
        <f t="shared" si="1"/>
        <v>6887.9067844959918</v>
      </c>
      <c r="G175" s="127">
        <f t="shared" si="1"/>
        <v>9099.647494253617</v>
      </c>
      <c r="H175" s="127">
        <f t="shared" si="1"/>
        <v>12420.884495237719</v>
      </c>
      <c r="I175" s="127">
        <f t="shared" si="1"/>
        <v>15228.870425106063</v>
      </c>
      <c r="J175" s="127">
        <f t="shared" si="1"/>
        <v>18461.470419901991</v>
      </c>
      <c r="K175" s="127">
        <f t="shared" si="1"/>
        <v>21392.609761488951</v>
      </c>
      <c r="L175" s="127">
        <f t="shared" si="1"/>
        <v>24470.795434558466</v>
      </c>
      <c r="M175" s="127">
        <f t="shared" si="1"/>
        <v>26993.91299895044</v>
      </c>
      <c r="N175" s="127">
        <f t="shared" si="1"/>
        <v>30209.992662224839</v>
      </c>
      <c r="O175" s="127">
        <f t="shared" si="1"/>
        <v>32911.162290477776</v>
      </c>
      <c r="P175" s="127">
        <f t="shared" si="1"/>
        <v>35714.752053683929</v>
      </c>
      <c r="Q175" s="127">
        <f t="shared" si="1"/>
        <v>37414.259928713036</v>
      </c>
      <c r="R175" s="127">
        <f t="shared" si="1"/>
        <v>38710.586729176764</v>
      </c>
      <c r="S175" s="127">
        <f t="shared" si="1"/>
        <v>39140.207169747409</v>
      </c>
      <c r="T175" s="127">
        <f t="shared" si="1"/>
        <v>39140.207169747409</v>
      </c>
      <c r="U175" s="127">
        <f t="shared" si="1"/>
        <v>39140.207169747409</v>
      </c>
      <c r="V175" s="127">
        <f t="shared" si="1"/>
        <v>39140.207169747409</v>
      </c>
      <c r="W175" s="127">
        <f t="shared" si="1"/>
        <v>39140.207169747409</v>
      </c>
      <c r="X175" s="127">
        <f t="shared" si="1"/>
        <v>39140.207169747409</v>
      </c>
      <c r="Y175" s="127">
        <f t="shared" si="1"/>
        <v>39140.207169747409</v>
      </c>
      <c r="Z175" s="127">
        <f t="shared" si="1"/>
        <v>39140.207169747409</v>
      </c>
      <c r="AA175" s="127">
        <f t="shared" si="1"/>
        <v>39140.207169747409</v>
      </c>
      <c r="AB175" s="127">
        <f t="shared" si="1"/>
        <v>39140.207169747409</v>
      </c>
      <c r="AC175" s="127">
        <f t="shared" si="1"/>
        <v>39140.207169747409</v>
      </c>
      <c r="AD175" s="127">
        <f t="shared" si="1"/>
        <v>39140.207169747409</v>
      </c>
      <c r="AE175" s="127">
        <f t="shared" si="1"/>
        <v>39140.207169747409</v>
      </c>
      <c r="AF175" s="127">
        <f t="shared" si="1"/>
        <v>39140.207169747409</v>
      </c>
      <c r="AG175" s="127">
        <f t="shared" si="1"/>
        <v>39140.207169747409</v>
      </c>
      <c r="AH175" s="127">
        <f t="shared" si="1"/>
        <v>39140.207169747409</v>
      </c>
      <c r="AI175" s="127">
        <f t="shared" si="1"/>
        <v>39140.207169747409</v>
      </c>
      <c r="AJ175" s="127">
        <f t="shared" si="1"/>
        <v>39140.207169747409</v>
      </c>
      <c r="AK175" s="127">
        <f t="shared" si="1"/>
        <v>38182.587668864842</v>
      </c>
      <c r="AL175" s="127">
        <f t="shared" si="1"/>
        <v>38182.587668864842</v>
      </c>
      <c r="AM175" s="127">
        <f t="shared" si="1"/>
        <v>38182.587668864842</v>
      </c>
      <c r="AN175" s="127">
        <f t="shared" si="1"/>
        <v>38182.587668864842</v>
      </c>
      <c r="AO175" s="127">
        <f t="shared" si="1"/>
        <v>39140.207169747409</v>
      </c>
      <c r="AP175" s="127">
        <f t="shared" si="1"/>
        <v>39140.207169747409</v>
      </c>
      <c r="AQ175" s="127">
        <f t="shared" si="1"/>
        <v>39140.207169747409</v>
      </c>
      <c r="AR175" s="127">
        <f t="shared" si="1"/>
        <v>39140.207169747409</v>
      </c>
      <c r="AS175" s="127">
        <f t="shared" si="1"/>
        <v>39140.207169747409</v>
      </c>
      <c r="AT175" s="127">
        <f t="shared" si="1"/>
        <v>39051.656413524106</v>
      </c>
      <c r="AU175" s="127">
        <f t="shared" si="1"/>
        <v>39051.656413524106</v>
      </c>
      <c r="AV175" s="127">
        <f t="shared" si="1"/>
        <v>38877.865865130843</v>
      </c>
      <c r="AW175" s="127">
        <f t="shared" si="1"/>
        <v>38877.865865130843</v>
      </c>
      <c r="AX175" s="127">
        <f t="shared" si="1"/>
        <v>38966.416621354154</v>
      </c>
      <c r="AY175" s="127">
        <f t="shared" si="1"/>
        <v>38966.416621354147</v>
      </c>
    </row>
    <row r="176" spans="1:52" x14ac:dyDescent="0.2">
      <c r="A176" s="128"/>
      <c r="B176" s="139" t="s">
        <v>299</v>
      </c>
      <c r="C176" s="128" t="s">
        <v>293</v>
      </c>
      <c r="D176" s="128">
        <v>536</v>
      </c>
      <c r="E176" s="128">
        <v>577</v>
      </c>
      <c r="F176" s="128">
        <v>538</v>
      </c>
      <c r="G176" s="128">
        <v>502</v>
      </c>
      <c r="H176" s="128">
        <v>442</v>
      </c>
      <c r="I176" s="128">
        <v>487</v>
      </c>
      <c r="J176" s="128">
        <v>418</v>
      </c>
      <c r="K176" s="128">
        <v>484</v>
      </c>
      <c r="L176" s="128">
        <v>451</v>
      </c>
      <c r="M176" s="128">
        <v>463</v>
      </c>
      <c r="N176" s="128">
        <v>481</v>
      </c>
      <c r="O176" s="128">
        <v>402</v>
      </c>
      <c r="P176" s="128">
        <v>486</v>
      </c>
      <c r="Q176" s="128">
        <v>476</v>
      </c>
      <c r="R176" s="128">
        <v>405</v>
      </c>
      <c r="S176" s="128">
        <v>496</v>
      </c>
      <c r="T176" s="128">
        <v>489</v>
      </c>
      <c r="U176" s="128">
        <v>514</v>
      </c>
      <c r="V176" s="128">
        <v>509</v>
      </c>
      <c r="W176" s="128">
        <v>460</v>
      </c>
      <c r="X176" s="128">
        <v>457</v>
      </c>
      <c r="Y176" s="128">
        <v>505</v>
      </c>
      <c r="Z176" s="128">
        <v>441</v>
      </c>
      <c r="AA176" s="128">
        <v>560</v>
      </c>
      <c r="AB176" s="128">
        <v>430</v>
      </c>
      <c r="AC176" s="128">
        <v>508</v>
      </c>
      <c r="AD176" s="128">
        <v>565</v>
      </c>
      <c r="AE176" s="128">
        <v>558</v>
      </c>
      <c r="AF176" s="128">
        <v>556</v>
      </c>
      <c r="AG176" s="128">
        <v>537</v>
      </c>
      <c r="AH176" s="128">
        <v>391</v>
      </c>
      <c r="AI176" s="128">
        <v>613</v>
      </c>
      <c r="AJ176" s="128">
        <v>547</v>
      </c>
      <c r="AK176" s="128">
        <v>493</v>
      </c>
      <c r="AL176" s="128">
        <v>512</v>
      </c>
      <c r="AM176" s="128">
        <v>544</v>
      </c>
      <c r="AN176" s="128">
        <v>486</v>
      </c>
      <c r="AO176" s="128">
        <v>549</v>
      </c>
      <c r="AP176" s="128">
        <v>457</v>
      </c>
      <c r="AQ176" s="128">
        <v>498</v>
      </c>
      <c r="AR176" s="128">
        <v>461</v>
      </c>
      <c r="AS176" s="128">
        <v>526</v>
      </c>
      <c r="AT176" s="128">
        <v>485</v>
      </c>
      <c r="AU176" s="128">
        <v>458</v>
      </c>
      <c r="AV176" s="128">
        <v>596</v>
      </c>
      <c r="AW176" s="128">
        <v>574</v>
      </c>
      <c r="AX176" s="128">
        <v>580</v>
      </c>
      <c r="AY176" s="128">
        <v>494</v>
      </c>
    </row>
    <row r="177" spans="1:51" x14ac:dyDescent="0.2">
      <c r="A177" s="138" t="s">
        <v>133</v>
      </c>
      <c r="B177" s="138" t="s">
        <v>298</v>
      </c>
      <c r="C177" s="127" t="s">
        <v>293</v>
      </c>
      <c r="D177" s="127">
        <f t="shared" ref="D177:AY177" si="2">SUM(D100:D107)</f>
        <v>1844.6946637381636</v>
      </c>
      <c r="E177" s="127">
        <f t="shared" si="2"/>
        <v>1431.9250644000915</v>
      </c>
      <c r="F177" s="127">
        <f t="shared" si="2"/>
        <v>929.92506440009151</v>
      </c>
      <c r="G177" s="127">
        <f t="shared" si="2"/>
        <v>633.3858657239474</v>
      </c>
      <c r="H177" s="127">
        <f t="shared" si="2"/>
        <v>163.38586572394738</v>
      </c>
      <c r="I177" s="127">
        <f t="shared" si="2"/>
        <v>264.46080132385583</v>
      </c>
      <c r="J177" s="127">
        <f t="shared" si="2"/>
        <v>0</v>
      </c>
      <c r="K177" s="127">
        <f t="shared" si="2"/>
        <v>264.46080132385583</v>
      </c>
      <c r="L177" s="127">
        <f t="shared" si="2"/>
        <v>0</v>
      </c>
      <c r="M177" s="127">
        <f t="shared" si="2"/>
        <v>264.46080132385583</v>
      </c>
      <c r="N177" s="127">
        <f t="shared" si="2"/>
        <v>0</v>
      </c>
      <c r="O177" s="127">
        <f t="shared" si="2"/>
        <v>264.46080132385583</v>
      </c>
      <c r="P177" s="127">
        <f t="shared" si="2"/>
        <v>0</v>
      </c>
      <c r="Q177" s="127">
        <f t="shared" si="2"/>
        <v>132.23040066192792</v>
      </c>
      <c r="R177" s="127">
        <f t="shared" si="2"/>
        <v>132.23040066192792</v>
      </c>
      <c r="S177" s="127">
        <f t="shared" si="2"/>
        <v>132.23040066192792</v>
      </c>
      <c r="T177" s="127">
        <f t="shared" si="2"/>
        <v>0</v>
      </c>
      <c r="U177" s="127">
        <f t="shared" si="2"/>
        <v>264.46080132385583</v>
      </c>
      <c r="V177" s="127">
        <f t="shared" si="2"/>
        <v>132.23040066192792</v>
      </c>
      <c r="W177" s="127">
        <f t="shared" si="2"/>
        <v>264.46080132385583</v>
      </c>
      <c r="X177" s="127">
        <f t="shared" si="2"/>
        <v>0</v>
      </c>
      <c r="Y177" s="127">
        <f t="shared" si="2"/>
        <v>264.46080132385583</v>
      </c>
      <c r="Z177" s="127">
        <f t="shared" si="2"/>
        <v>0</v>
      </c>
      <c r="AA177" s="127">
        <f t="shared" si="2"/>
        <v>264.46080132385583</v>
      </c>
      <c r="AB177" s="127">
        <f t="shared" si="2"/>
        <v>0</v>
      </c>
      <c r="AC177" s="127">
        <f t="shared" si="2"/>
        <v>264.46080132385583</v>
      </c>
      <c r="AD177" s="127">
        <f t="shared" si="2"/>
        <v>0</v>
      </c>
      <c r="AE177" s="127">
        <f t="shared" si="2"/>
        <v>264.46080132385583</v>
      </c>
      <c r="AF177" s="127">
        <f t="shared" si="2"/>
        <v>0</v>
      </c>
      <c r="AG177" s="127">
        <f t="shared" si="2"/>
        <v>132.23040066192792</v>
      </c>
      <c r="AH177" s="127">
        <f t="shared" si="2"/>
        <v>132.23040066192792</v>
      </c>
      <c r="AI177" s="127">
        <f t="shared" si="2"/>
        <v>132.23040066192792</v>
      </c>
      <c r="AJ177" s="127">
        <f t="shared" si="2"/>
        <v>132.23040066192792</v>
      </c>
      <c r="AK177" s="127">
        <f t="shared" si="2"/>
        <v>264.46080132385583</v>
      </c>
      <c r="AL177" s="127">
        <f t="shared" si="2"/>
        <v>0</v>
      </c>
      <c r="AM177" s="127">
        <f t="shared" si="2"/>
        <v>264.46080132385583</v>
      </c>
      <c r="AN177" s="127">
        <f t="shared" si="2"/>
        <v>0</v>
      </c>
      <c r="AO177" s="127">
        <f t="shared" si="2"/>
        <v>132.23040066192792</v>
      </c>
      <c r="AP177" s="127">
        <f t="shared" si="2"/>
        <v>132.23040066192792</v>
      </c>
      <c r="AQ177" s="127">
        <f t="shared" si="2"/>
        <v>264.46080132385583</v>
      </c>
      <c r="AR177" s="127">
        <f t="shared" si="2"/>
        <v>0</v>
      </c>
      <c r="AS177" s="127">
        <f t="shared" si="2"/>
        <v>132.23040066192792</v>
      </c>
      <c r="AT177" s="127">
        <f t="shared" si="2"/>
        <v>132.23040066192792</v>
      </c>
      <c r="AU177" s="127">
        <f t="shared" si="2"/>
        <v>132.23040066192792</v>
      </c>
      <c r="AV177" s="127">
        <f t="shared" si="2"/>
        <v>132.23040066192792</v>
      </c>
      <c r="AW177" s="127">
        <f t="shared" si="2"/>
        <v>264.46080132385583</v>
      </c>
      <c r="AX177" s="127">
        <f t="shared" si="2"/>
        <v>0</v>
      </c>
      <c r="AY177" s="127">
        <f t="shared" si="2"/>
        <v>264.46080132385583</v>
      </c>
    </row>
    <row r="178" spans="1:51" x14ac:dyDescent="0.2">
      <c r="A178" s="128"/>
      <c r="B178" s="139" t="s">
        <v>299</v>
      </c>
      <c r="C178" s="128" t="s">
        <v>293</v>
      </c>
      <c r="D178" s="128">
        <v>545</v>
      </c>
      <c r="E178" s="128">
        <v>502</v>
      </c>
      <c r="F178" s="128">
        <v>561</v>
      </c>
      <c r="G178" s="128">
        <v>470</v>
      </c>
      <c r="H178" s="128">
        <v>163.38586572394738</v>
      </c>
      <c r="I178" s="128">
        <v>264.46080132385583</v>
      </c>
      <c r="J178" s="128">
        <v>0</v>
      </c>
      <c r="K178" s="128">
        <v>264.46080132385583</v>
      </c>
      <c r="L178" s="128">
        <v>0</v>
      </c>
      <c r="M178" s="128">
        <v>264.46080132385583</v>
      </c>
      <c r="N178" s="128">
        <v>0</v>
      </c>
      <c r="O178" s="128">
        <v>264.46080132385583</v>
      </c>
      <c r="P178" s="128">
        <v>0</v>
      </c>
      <c r="Q178" s="128">
        <v>132.23040066192792</v>
      </c>
      <c r="R178" s="128">
        <v>132.23040066192792</v>
      </c>
      <c r="S178" s="128">
        <v>132.23040066192792</v>
      </c>
      <c r="T178" s="128">
        <v>0</v>
      </c>
      <c r="U178" s="128">
        <v>264.46080132385583</v>
      </c>
      <c r="V178" s="128">
        <v>132.23040066192792</v>
      </c>
      <c r="W178" s="128">
        <v>264.46080132385583</v>
      </c>
      <c r="X178" s="128">
        <v>0</v>
      </c>
      <c r="Y178" s="128">
        <v>264.46080132385583</v>
      </c>
      <c r="Z178" s="128">
        <v>0</v>
      </c>
      <c r="AA178" s="128">
        <v>264.46080132385583</v>
      </c>
      <c r="AB178" s="128">
        <v>0</v>
      </c>
      <c r="AC178" s="128">
        <v>264.46080132385583</v>
      </c>
      <c r="AD178" s="128">
        <v>0</v>
      </c>
      <c r="AE178" s="128">
        <v>264.46080132385583</v>
      </c>
      <c r="AF178" s="128">
        <v>0</v>
      </c>
      <c r="AG178" s="128">
        <v>132.23040066192792</v>
      </c>
      <c r="AH178" s="128">
        <v>132.23040066192792</v>
      </c>
      <c r="AI178" s="128">
        <v>132.23040066192792</v>
      </c>
      <c r="AJ178" s="128">
        <v>132.23040066192792</v>
      </c>
      <c r="AK178" s="128">
        <v>264.46080132385583</v>
      </c>
      <c r="AL178" s="128">
        <v>0</v>
      </c>
      <c r="AM178" s="128">
        <v>264.46080132385583</v>
      </c>
      <c r="AN178" s="128">
        <v>0</v>
      </c>
      <c r="AO178" s="128">
        <v>132.23040066192792</v>
      </c>
      <c r="AP178" s="128">
        <v>132.23040066192792</v>
      </c>
      <c r="AQ178" s="128">
        <v>264.46080132385583</v>
      </c>
      <c r="AR178" s="128">
        <v>0</v>
      </c>
      <c r="AS178" s="128">
        <v>132.23040066192792</v>
      </c>
      <c r="AT178" s="128">
        <v>132.23040066192792</v>
      </c>
      <c r="AU178" s="128">
        <v>132.23040066192792</v>
      </c>
      <c r="AV178" s="128">
        <v>132.23040066192792</v>
      </c>
      <c r="AW178" s="128">
        <v>264.46080132385583</v>
      </c>
      <c r="AX178" s="128">
        <v>0</v>
      </c>
      <c r="AY178" s="128">
        <v>264.46080132385583</v>
      </c>
    </row>
    <row r="179" spans="1:51" x14ac:dyDescent="0.2">
      <c r="A179" s="138" t="s">
        <v>134</v>
      </c>
      <c r="B179" s="138" t="s">
        <v>298</v>
      </c>
      <c r="C179" s="127" t="s">
        <v>293</v>
      </c>
      <c r="D179" s="127">
        <f t="shared" ref="D179:AY179" si="3">SUM(D109:D120)</f>
        <v>32039.186651034965</v>
      </c>
      <c r="E179" s="127">
        <f t="shared" si="3"/>
        <v>33865.429654143038</v>
      </c>
      <c r="F179" s="127">
        <f t="shared" si="3"/>
        <v>34244.171029939709</v>
      </c>
      <c r="G179" s="127">
        <f t="shared" si="3"/>
        <v>33319.732424461872</v>
      </c>
      <c r="H179" s="127">
        <f t="shared" si="3"/>
        <v>31068.836493101728</v>
      </c>
      <c r="I179" s="127">
        <f t="shared" si="3"/>
        <v>28689.13336204103</v>
      </c>
      <c r="J179" s="127">
        <f t="shared" si="3"/>
        <v>26134.296033751052</v>
      </c>
      <c r="K179" s="127">
        <f t="shared" si="3"/>
        <v>23182.557261502061</v>
      </c>
      <c r="L179" s="127">
        <f t="shared" si="3"/>
        <v>20570.526833051943</v>
      </c>
      <c r="M179" s="127">
        <f t="shared" si="3"/>
        <v>17829.115311261357</v>
      </c>
      <c r="N179" s="127">
        <f t="shared" si="3"/>
        <v>14865.626547327203</v>
      </c>
      <c r="O179" s="127">
        <f t="shared" si="3"/>
        <v>11879.794081616399</v>
      </c>
      <c r="P179" s="127">
        <f t="shared" si="3"/>
        <v>9337.5880025982733</v>
      </c>
      <c r="Q179" s="127">
        <f t="shared" si="3"/>
        <v>7545.3643525635471</v>
      </c>
      <c r="R179" s="127">
        <f t="shared" si="3"/>
        <v>6310.5635927012363</v>
      </c>
      <c r="S179" s="127">
        <f t="shared" si="3"/>
        <v>5343.1358079931342</v>
      </c>
      <c r="T179" s="127">
        <f t="shared" si="3"/>
        <v>4646.8160217401673</v>
      </c>
      <c r="U179" s="127">
        <f t="shared" si="3"/>
        <v>4121.4565825712316</v>
      </c>
      <c r="V179" s="127">
        <f t="shared" si="3"/>
        <v>3674.4670842031342</v>
      </c>
      <c r="W179" s="127">
        <f t="shared" si="3"/>
        <v>3062.0303209548701</v>
      </c>
      <c r="X179" s="127">
        <f t="shared" si="3"/>
        <v>2598.8260047178437</v>
      </c>
      <c r="Y179" s="127">
        <f t="shared" si="3"/>
        <v>2100.1738987588178</v>
      </c>
      <c r="Z179" s="127">
        <f t="shared" si="3"/>
        <v>1600.9658856109722</v>
      </c>
      <c r="AA179" s="127">
        <f t="shared" si="3"/>
        <v>1016.6064464420356</v>
      </c>
      <c r="AB179" s="127">
        <f t="shared" si="3"/>
        <v>401.16379946831006</v>
      </c>
      <c r="AC179" s="127">
        <f t="shared" si="3"/>
        <v>280.64056083106317</v>
      </c>
      <c r="AD179" s="127">
        <f t="shared" si="3"/>
        <v>280.64056083106317</v>
      </c>
      <c r="AE179" s="127">
        <f t="shared" si="3"/>
        <v>280.64056083106317</v>
      </c>
      <c r="AF179" s="127">
        <f t="shared" si="3"/>
        <v>280.64056083106317</v>
      </c>
      <c r="AG179" s="127">
        <f t="shared" si="3"/>
        <v>280.64056083106317</v>
      </c>
      <c r="AH179" s="127">
        <f t="shared" si="3"/>
        <v>280.64056083106317</v>
      </c>
      <c r="AI179" s="127">
        <f t="shared" si="3"/>
        <v>280.64056083106317</v>
      </c>
      <c r="AJ179" s="127">
        <f t="shared" si="3"/>
        <v>300.66315021176342</v>
      </c>
      <c r="AK179" s="127">
        <f t="shared" si="3"/>
        <v>297.58216441703769</v>
      </c>
      <c r="AL179" s="127">
        <f t="shared" si="3"/>
        <v>282.26482384771845</v>
      </c>
      <c r="AM179" s="127">
        <f t="shared" si="3"/>
        <v>280.64056083106317</v>
      </c>
      <c r="AN179" s="127">
        <f t="shared" si="3"/>
        <v>280.64056083106317</v>
      </c>
      <c r="AO179" s="127">
        <f t="shared" si="3"/>
        <v>280.64056083106317</v>
      </c>
      <c r="AP179" s="127">
        <f t="shared" si="3"/>
        <v>283.28537600252173</v>
      </c>
      <c r="AQ179" s="127">
        <f t="shared" si="3"/>
        <v>280.64056083106317</v>
      </c>
      <c r="AR179" s="127">
        <f t="shared" si="3"/>
        <v>280.64056083106317</v>
      </c>
      <c r="AS179" s="127">
        <f t="shared" si="3"/>
        <v>280.64056083106317</v>
      </c>
      <c r="AT179" s="127">
        <f t="shared" si="3"/>
        <v>303.83737054690135</v>
      </c>
      <c r="AU179" s="127">
        <f t="shared" si="3"/>
        <v>280.64056083106317</v>
      </c>
      <c r="AV179" s="127">
        <f t="shared" si="3"/>
        <v>280.64056083106317</v>
      </c>
      <c r="AW179" s="127">
        <f t="shared" si="3"/>
        <v>284.89758103155617</v>
      </c>
      <c r="AX179" s="127">
        <f t="shared" si="3"/>
        <v>280.64056083106317</v>
      </c>
      <c r="AY179" s="127">
        <f t="shared" si="3"/>
        <v>280.64056083106317</v>
      </c>
    </row>
    <row r="180" spans="1:51" x14ac:dyDescent="0.2">
      <c r="A180" s="128"/>
      <c r="B180" s="139" t="s">
        <v>299</v>
      </c>
      <c r="C180" s="128" t="s">
        <v>293</v>
      </c>
      <c r="D180" s="128">
        <v>709</v>
      </c>
      <c r="E180" s="128">
        <v>617</v>
      </c>
      <c r="F180" s="128">
        <v>848</v>
      </c>
      <c r="G180" s="128">
        <v>863</v>
      </c>
      <c r="H180" s="128">
        <v>754.01999361711967</v>
      </c>
      <c r="I180" s="128">
        <v>722.43762873954802</v>
      </c>
      <c r="J180" s="128">
        <v>817</v>
      </c>
      <c r="K180" s="128">
        <v>813.66916230188906</v>
      </c>
      <c r="L180" s="128">
        <v>687</v>
      </c>
      <c r="M180" s="128">
        <v>805.26681416344627</v>
      </c>
      <c r="N180" s="128">
        <v>750</v>
      </c>
      <c r="O180" s="128">
        <v>933.42827163670097</v>
      </c>
      <c r="P180" s="128">
        <v>667</v>
      </c>
      <c r="Q180" s="128">
        <v>823.92570212842259</v>
      </c>
      <c r="R180" s="128">
        <v>633.54869202224199</v>
      </c>
      <c r="S180" s="128">
        <v>792.88514997883442</v>
      </c>
      <c r="T180" s="128">
        <v>806</v>
      </c>
      <c r="U180" s="128">
        <v>727.63005919916066</v>
      </c>
      <c r="V180" s="128">
        <v>901.47999293747955</v>
      </c>
      <c r="W180" s="128">
        <v>743.84487706808989</v>
      </c>
      <c r="X180" s="128">
        <v>780</v>
      </c>
      <c r="Y180" s="128">
        <v>779.8485739789088</v>
      </c>
      <c r="Z180" s="128">
        <v>865</v>
      </c>
      <c r="AA180" s="128">
        <v>896.08320780478869</v>
      </c>
      <c r="AB180" s="128">
        <v>401.16379946831006</v>
      </c>
      <c r="AC180" s="128">
        <v>280.64056083106317</v>
      </c>
      <c r="AD180" s="128">
        <v>280.64056083106317</v>
      </c>
      <c r="AE180" s="128">
        <v>280.64056083106317</v>
      </c>
      <c r="AF180" s="128">
        <v>280.64056083106317</v>
      </c>
      <c r="AG180" s="128">
        <v>280.64056083106317</v>
      </c>
      <c r="AH180" s="128">
        <v>280.64056083106317</v>
      </c>
      <c r="AI180" s="128">
        <v>280.64056083106317</v>
      </c>
      <c r="AJ180" s="128">
        <v>300.66315021176342</v>
      </c>
      <c r="AK180" s="128">
        <v>297.58216441703769</v>
      </c>
      <c r="AL180" s="128">
        <v>282.26482384771845</v>
      </c>
      <c r="AM180" s="128">
        <v>280.64056083106317</v>
      </c>
      <c r="AN180" s="128">
        <v>280.64056083106317</v>
      </c>
      <c r="AO180" s="128">
        <v>280.64056083106317</v>
      </c>
      <c r="AP180" s="128">
        <v>283.28537600252173</v>
      </c>
      <c r="AQ180" s="128">
        <v>280.64056083106317</v>
      </c>
      <c r="AR180" s="128">
        <v>280.64056083106317</v>
      </c>
      <c r="AS180" s="128">
        <v>280.64056083106317</v>
      </c>
      <c r="AT180" s="128">
        <v>303.83737054690135</v>
      </c>
      <c r="AU180" s="128">
        <v>280.64056083106317</v>
      </c>
      <c r="AV180" s="128">
        <v>280.64056083106317</v>
      </c>
      <c r="AW180" s="128">
        <v>284.89758103155617</v>
      </c>
      <c r="AX180" s="128">
        <v>280.64056083106317</v>
      </c>
      <c r="AY180" s="128">
        <v>280.64056083106317</v>
      </c>
    </row>
    <row r="181" spans="1:51" x14ac:dyDescent="0.2">
      <c r="A181" s="138" t="s">
        <v>123</v>
      </c>
      <c r="B181" s="138" t="s">
        <v>298</v>
      </c>
      <c r="C181" s="127" t="s">
        <v>293</v>
      </c>
      <c r="D181" s="127">
        <f t="shared" ref="D181:AY181" si="4">(1-D172)*SUM(D122:D169)</f>
        <v>5112.9230108171432</v>
      </c>
      <c r="E181" s="127">
        <f t="shared" si="4"/>
        <v>3620.3778437041383</v>
      </c>
      <c r="F181" s="127">
        <f t="shared" si="4"/>
        <v>2632.6149381005043</v>
      </c>
      <c r="G181" s="127">
        <f t="shared" si="4"/>
        <v>1970.2738684765413</v>
      </c>
      <c r="H181" s="127">
        <f t="shared" si="4"/>
        <v>1568.9361276861059</v>
      </c>
      <c r="I181" s="127">
        <f t="shared" si="4"/>
        <v>1215.0518976264418</v>
      </c>
      <c r="J181" s="127">
        <f t="shared" si="4"/>
        <v>938.75289822506397</v>
      </c>
      <c r="K181" s="127">
        <f t="shared" si="4"/>
        <v>775.72761723140923</v>
      </c>
      <c r="L181" s="127">
        <f t="shared" si="4"/>
        <v>640.89161100427998</v>
      </c>
      <c r="M181" s="127">
        <f t="shared" si="4"/>
        <v>610.02832715134241</v>
      </c>
      <c r="N181" s="127">
        <f t="shared" si="4"/>
        <v>617.96354912190054</v>
      </c>
      <c r="O181" s="127">
        <f t="shared" si="4"/>
        <v>631.4689378944305</v>
      </c>
      <c r="P181" s="127">
        <f t="shared" si="4"/>
        <v>633.52604060142119</v>
      </c>
      <c r="Q181" s="127">
        <f t="shared" si="4"/>
        <v>607.10987254046199</v>
      </c>
      <c r="R181" s="127">
        <f t="shared" si="4"/>
        <v>565.97871662900354</v>
      </c>
      <c r="S181" s="127">
        <f t="shared" si="4"/>
        <v>565.97871662900354</v>
      </c>
      <c r="T181" s="127">
        <f t="shared" si="4"/>
        <v>565.97871662900354</v>
      </c>
      <c r="U181" s="127">
        <f t="shared" si="4"/>
        <v>565.97871662900354</v>
      </c>
      <c r="V181" s="127">
        <f t="shared" si="4"/>
        <v>582.92470520069355</v>
      </c>
      <c r="W181" s="127">
        <f t="shared" si="4"/>
        <v>565.97871662900354</v>
      </c>
      <c r="X181" s="127">
        <f t="shared" si="4"/>
        <v>567.40522298000622</v>
      </c>
      <c r="Y181" s="127">
        <f t="shared" si="4"/>
        <v>565.97871662900354</v>
      </c>
      <c r="Z181" s="127">
        <f t="shared" si="4"/>
        <v>565.97871662900354</v>
      </c>
      <c r="AA181" s="127">
        <f t="shared" si="4"/>
        <v>565.97871662900354</v>
      </c>
      <c r="AB181" s="127">
        <f t="shared" si="4"/>
        <v>565.97871662900354</v>
      </c>
      <c r="AC181" s="127">
        <f t="shared" si="4"/>
        <v>565.97871662900354</v>
      </c>
      <c r="AD181" s="127">
        <f t="shared" si="4"/>
        <v>565.97871662900354</v>
      </c>
      <c r="AE181" s="127">
        <f t="shared" si="4"/>
        <v>565.97871662900354</v>
      </c>
      <c r="AF181" s="127">
        <f t="shared" si="4"/>
        <v>565.97871662900354</v>
      </c>
      <c r="AG181" s="127">
        <f t="shared" si="4"/>
        <v>565.97871662900354</v>
      </c>
      <c r="AH181" s="127">
        <f t="shared" si="4"/>
        <v>565.97871662900354</v>
      </c>
      <c r="AI181" s="127">
        <f t="shared" si="4"/>
        <v>606.35905013361048</v>
      </c>
      <c r="AJ181" s="127">
        <f t="shared" si="4"/>
        <v>600.14550644310748</v>
      </c>
      <c r="AK181" s="127">
        <f t="shared" si="4"/>
        <v>569.25443092672367</v>
      </c>
      <c r="AL181" s="127">
        <f t="shared" si="4"/>
        <v>565.97871662900354</v>
      </c>
      <c r="AM181" s="127">
        <f t="shared" si="4"/>
        <v>565.97871662900354</v>
      </c>
      <c r="AN181" s="127">
        <f t="shared" si="4"/>
        <v>565.97871662900354</v>
      </c>
      <c r="AO181" s="127">
        <f t="shared" si="4"/>
        <v>571.31261808654847</v>
      </c>
      <c r="AP181" s="127">
        <f t="shared" si="4"/>
        <v>565.97871662900354</v>
      </c>
      <c r="AQ181" s="127">
        <f t="shared" si="4"/>
        <v>565.97871662900354</v>
      </c>
      <c r="AR181" s="127">
        <f t="shared" si="4"/>
        <v>565.97871662900354</v>
      </c>
      <c r="AS181" s="127">
        <f t="shared" si="4"/>
        <v>612.7606235421689</v>
      </c>
      <c r="AT181" s="127">
        <f t="shared" si="4"/>
        <v>565.97871662900354</v>
      </c>
      <c r="AU181" s="127">
        <f t="shared" si="4"/>
        <v>565.97871662900354</v>
      </c>
      <c r="AV181" s="127">
        <f t="shared" si="4"/>
        <v>574.56401457240793</v>
      </c>
      <c r="AW181" s="127">
        <f t="shared" si="4"/>
        <v>565.97871662900354</v>
      </c>
      <c r="AX181" s="127">
        <f t="shared" si="4"/>
        <v>565.97871662900354</v>
      </c>
      <c r="AY181" s="127">
        <f t="shared" si="4"/>
        <v>565.97871662900354</v>
      </c>
    </row>
    <row r="182" spans="1:51" x14ac:dyDescent="0.2">
      <c r="A182" s="128"/>
      <c r="B182" s="139" t="s">
        <v>299</v>
      </c>
      <c r="C182" s="128" t="s">
        <v>293</v>
      </c>
      <c r="D182" s="128">
        <v>544</v>
      </c>
      <c r="E182" s="128">
        <v>529</v>
      </c>
      <c r="F182" s="128">
        <v>532</v>
      </c>
      <c r="G182" s="128">
        <v>470</v>
      </c>
      <c r="H182" s="128">
        <v>598.01999361711967</v>
      </c>
      <c r="I182" s="128">
        <v>657.43762873954802</v>
      </c>
      <c r="J182" s="128">
        <v>625</v>
      </c>
      <c r="K182" s="128">
        <v>663.66916230188906</v>
      </c>
      <c r="L182" s="128">
        <v>575</v>
      </c>
      <c r="M182" s="128">
        <v>532.26681416344627</v>
      </c>
      <c r="N182" s="128">
        <v>520</v>
      </c>
      <c r="O182" s="128">
        <v>530.42827163670097</v>
      </c>
      <c r="P182" s="128">
        <v>572</v>
      </c>
      <c r="Q182" s="128">
        <v>607.10987254046199</v>
      </c>
      <c r="R182" s="128">
        <v>565.97871662900354</v>
      </c>
      <c r="S182" s="128">
        <v>565.97871662900354</v>
      </c>
      <c r="T182" s="128">
        <v>565.97871662900354</v>
      </c>
      <c r="U182" s="128">
        <v>540.63005919916066</v>
      </c>
      <c r="V182" s="128">
        <v>582.92470520069355</v>
      </c>
      <c r="W182" s="128">
        <v>563.84487706808989</v>
      </c>
      <c r="X182" s="128">
        <v>567.40522298000622</v>
      </c>
      <c r="Y182" s="128">
        <v>565.97871662900354</v>
      </c>
      <c r="Z182" s="128">
        <v>565.97871662900354</v>
      </c>
      <c r="AA182" s="128">
        <v>565.97871662900354</v>
      </c>
      <c r="AB182" s="128">
        <v>565.97871662900354</v>
      </c>
      <c r="AC182" s="128">
        <v>565.97871662900354</v>
      </c>
      <c r="AD182" s="128">
        <v>565.97871662900354</v>
      </c>
      <c r="AE182" s="128">
        <v>565.97871662900354</v>
      </c>
      <c r="AF182" s="128">
        <v>565.97871662900354</v>
      </c>
      <c r="AG182" s="128">
        <v>565.97871662900354</v>
      </c>
      <c r="AH182" s="128">
        <v>505.57579374369641</v>
      </c>
      <c r="AI182" s="128">
        <v>555.25065673353208</v>
      </c>
      <c r="AJ182" s="128">
        <v>595.24552912873207</v>
      </c>
      <c r="AK182" s="128">
        <v>569.25443092672367</v>
      </c>
      <c r="AL182" s="128">
        <v>565.97871662900354</v>
      </c>
      <c r="AM182" s="128">
        <v>565.97871662900354</v>
      </c>
      <c r="AN182" s="128">
        <v>558</v>
      </c>
      <c r="AO182" s="128">
        <v>571.31261808654847</v>
      </c>
      <c r="AP182" s="128">
        <v>565.97871662900354</v>
      </c>
      <c r="AQ182" s="128">
        <v>565.97871662900354</v>
      </c>
      <c r="AR182" s="128">
        <v>496</v>
      </c>
      <c r="AS182" s="128">
        <v>612.7606235421689</v>
      </c>
      <c r="AT182" s="128">
        <v>565.97871662900354</v>
      </c>
      <c r="AU182" s="128">
        <v>553.13639848510616</v>
      </c>
      <c r="AV182" s="128">
        <v>574.56401457240793</v>
      </c>
      <c r="AW182" s="128">
        <v>565.97871662900354</v>
      </c>
      <c r="AX182" s="128">
        <v>565.97871662900354</v>
      </c>
      <c r="AY182" s="128">
        <v>565.97871662900354</v>
      </c>
    </row>
    <row r="184" spans="1:51" x14ac:dyDescent="0.2">
      <c r="A184" s="1" t="s">
        <v>300</v>
      </c>
    </row>
    <row r="185" spans="1:51" x14ac:dyDescent="0.2">
      <c r="A185" s="129" t="s">
        <v>125</v>
      </c>
      <c r="B185" s="126">
        <v>1</v>
      </c>
      <c r="C185" s="127">
        <v>0</v>
      </c>
      <c r="D185" s="127">
        <v>536</v>
      </c>
      <c r="E185" s="127">
        <v>577</v>
      </c>
      <c r="F185" s="127">
        <v>538</v>
      </c>
      <c r="G185" s="127">
        <v>502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0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0</v>
      </c>
      <c r="AD185" s="127">
        <v>0</v>
      </c>
      <c r="AE185" s="127">
        <v>0</v>
      </c>
      <c r="AF185" s="127">
        <v>0</v>
      </c>
      <c r="AG185" s="127">
        <v>0</v>
      </c>
      <c r="AH185" s="127">
        <v>0</v>
      </c>
      <c r="AI185" s="127">
        <v>0</v>
      </c>
      <c r="AJ185" s="127">
        <v>0</v>
      </c>
      <c r="AK185" s="127">
        <v>0</v>
      </c>
      <c r="AL185" s="127">
        <v>0</v>
      </c>
      <c r="AM185" s="127">
        <v>0</v>
      </c>
      <c r="AN185" s="127">
        <v>0</v>
      </c>
      <c r="AO185" s="127">
        <v>0</v>
      </c>
      <c r="AP185" s="127">
        <v>0</v>
      </c>
      <c r="AQ185" s="127">
        <v>0</v>
      </c>
      <c r="AR185" s="127">
        <v>0</v>
      </c>
      <c r="AS185" s="127">
        <v>0</v>
      </c>
      <c r="AT185" s="127">
        <v>0</v>
      </c>
      <c r="AU185" s="127">
        <v>0</v>
      </c>
      <c r="AV185" s="127">
        <v>0</v>
      </c>
      <c r="AW185" s="127">
        <v>0</v>
      </c>
      <c r="AX185" s="127">
        <v>0</v>
      </c>
      <c r="AY185" s="127">
        <v>0</v>
      </c>
    </row>
    <row r="186" spans="1:51" x14ac:dyDescent="0.2">
      <c r="A186" s="113"/>
      <c r="B186" s="123">
        <v>2</v>
      </c>
      <c r="C186" s="110">
        <v>0</v>
      </c>
      <c r="D186" s="110">
        <v>0</v>
      </c>
      <c r="E186" s="110">
        <v>0</v>
      </c>
      <c r="F186" s="110">
        <v>0</v>
      </c>
      <c r="G186" s="110">
        <v>0</v>
      </c>
      <c r="H186" s="110">
        <v>442</v>
      </c>
      <c r="I186" s="110">
        <v>487</v>
      </c>
      <c r="J186" s="110">
        <v>418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0">
        <v>0</v>
      </c>
      <c r="AP186" s="110">
        <v>0</v>
      </c>
      <c r="AQ186" s="110">
        <v>0</v>
      </c>
      <c r="AR186" s="110">
        <v>0</v>
      </c>
      <c r="AS186" s="110">
        <v>0</v>
      </c>
      <c r="AT186" s="110">
        <v>0</v>
      </c>
      <c r="AU186" s="110">
        <v>0</v>
      </c>
      <c r="AV186" s="110">
        <v>0</v>
      </c>
      <c r="AW186" s="110">
        <v>0</v>
      </c>
      <c r="AX186" s="110">
        <v>0</v>
      </c>
      <c r="AY186" s="110">
        <v>0</v>
      </c>
    </row>
    <row r="187" spans="1:51" x14ac:dyDescent="0.2">
      <c r="A187" s="113"/>
      <c r="B187" s="130">
        <v>3</v>
      </c>
      <c r="C187" s="110">
        <v>0</v>
      </c>
      <c r="D187" s="110">
        <v>0</v>
      </c>
      <c r="E187" s="110">
        <v>0</v>
      </c>
      <c r="F187" s="110">
        <v>0</v>
      </c>
      <c r="G187" s="110">
        <v>0</v>
      </c>
      <c r="H187" s="110">
        <v>0</v>
      </c>
      <c r="I187" s="110">
        <v>0</v>
      </c>
      <c r="J187" s="110">
        <v>0</v>
      </c>
      <c r="K187" s="110">
        <v>484</v>
      </c>
      <c r="L187" s="110">
        <v>451</v>
      </c>
      <c r="M187" s="110">
        <v>463</v>
      </c>
      <c r="N187" s="110">
        <v>0</v>
      </c>
      <c r="O187" s="110">
        <v>0</v>
      </c>
      <c r="P187" s="110">
        <v>0</v>
      </c>
      <c r="Q187" s="110">
        <v>0</v>
      </c>
      <c r="R187" s="110">
        <v>0</v>
      </c>
      <c r="S187" s="110">
        <v>0</v>
      </c>
      <c r="T187" s="110">
        <v>0</v>
      </c>
      <c r="U187" s="110">
        <v>0</v>
      </c>
      <c r="V187" s="110">
        <v>0</v>
      </c>
      <c r="W187" s="110">
        <v>0</v>
      </c>
      <c r="X187" s="110">
        <v>0</v>
      </c>
      <c r="Y187" s="110">
        <v>0</v>
      </c>
      <c r="Z187" s="110">
        <v>0</v>
      </c>
      <c r="AA187" s="110">
        <v>0</v>
      </c>
      <c r="AB187" s="110">
        <v>0</v>
      </c>
      <c r="AC187" s="110">
        <v>0</v>
      </c>
      <c r="AD187" s="110">
        <v>0</v>
      </c>
      <c r="AE187" s="110">
        <v>0</v>
      </c>
      <c r="AF187" s="110">
        <v>0</v>
      </c>
      <c r="AG187" s="110">
        <v>0</v>
      </c>
      <c r="AH187" s="110">
        <v>0</v>
      </c>
      <c r="AI187" s="110">
        <v>0</v>
      </c>
      <c r="AJ187" s="110">
        <v>0</v>
      </c>
      <c r="AK187" s="110">
        <v>0</v>
      </c>
      <c r="AL187" s="110">
        <v>0</v>
      </c>
      <c r="AM187" s="110">
        <v>0</v>
      </c>
      <c r="AN187" s="110">
        <v>0</v>
      </c>
      <c r="AO187" s="110">
        <v>0</v>
      </c>
      <c r="AP187" s="110">
        <v>0</v>
      </c>
      <c r="AQ187" s="110">
        <v>0</v>
      </c>
      <c r="AR187" s="110">
        <v>0</v>
      </c>
      <c r="AS187" s="110">
        <v>0</v>
      </c>
      <c r="AT187" s="110">
        <v>0</v>
      </c>
      <c r="AU187" s="110">
        <v>0</v>
      </c>
      <c r="AV187" s="110">
        <v>0</v>
      </c>
      <c r="AW187" s="110">
        <v>0</v>
      </c>
      <c r="AX187" s="110">
        <v>0</v>
      </c>
      <c r="AY187" s="110">
        <v>0</v>
      </c>
    </row>
    <row r="188" spans="1:51" x14ac:dyDescent="0.2">
      <c r="A188" s="131"/>
      <c r="B188" s="132">
        <v>4</v>
      </c>
      <c r="C188" s="110">
        <v>0</v>
      </c>
      <c r="D188" s="110">
        <v>0</v>
      </c>
      <c r="E188" s="110">
        <v>0</v>
      </c>
      <c r="F188" s="110">
        <v>0</v>
      </c>
      <c r="G188" s="110">
        <v>0</v>
      </c>
      <c r="H188" s="110">
        <v>0</v>
      </c>
      <c r="I188" s="110">
        <v>0</v>
      </c>
      <c r="J188" s="110">
        <v>0</v>
      </c>
      <c r="K188" s="110">
        <v>0</v>
      </c>
      <c r="L188" s="110">
        <v>0</v>
      </c>
      <c r="M188" s="110">
        <v>0</v>
      </c>
      <c r="N188" s="110">
        <v>481</v>
      </c>
      <c r="O188" s="110">
        <v>402</v>
      </c>
      <c r="P188" s="110">
        <v>486</v>
      </c>
      <c r="Q188" s="110">
        <v>476</v>
      </c>
      <c r="R188" s="110">
        <v>405</v>
      </c>
      <c r="S188" s="110">
        <v>496</v>
      </c>
      <c r="T188" s="110">
        <v>489</v>
      </c>
      <c r="U188" s="110">
        <v>514</v>
      </c>
      <c r="V188" s="110">
        <v>509</v>
      </c>
      <c r="W188" s="110">
        <v>460</v>
      </c>
      <c r="X188" s="110">
        <v>457</v>
      </c>
      <c r="Y188" s="110">
        <v>505</v>
      </c>
      <c r="Z188" s="110">
        <v>441</v>
      </c>
      <c r="AA188" s="110">
        <v>560</v>
      </c>
      <c r="AB188" s="110">
        <v>430</v>
      </c>
      <c r="AC188" s="110">
        <v>508</v>
      </c>
      <c r="AD188" s="110">
        <v>565</v>
      </c>
      <c r="AE188" s="110">
        <v>558</v>
      </c>
      <c r="AF188" s="110">
        <v>556</v>
      </c>
      <c r="AG188" s="110">
        <v>537</v>
      </c>
      <c r="AH188" s="110">
        <v>391</v>
      </c>
      <c r="AI188" s="110">
        <v>613</v>
      </c>
      <c r="AJ188" s="110">
        <v>547</v>
      </c>
      <c r="AK188" s="110">
        <v>493</v>
      </c>
      <c r="AL188" s="110">
        <v>512</v>
      </c>
      <c r="AM188" s="110">
        <v>544</v>
      </c>
      <c r="AN188" s="110">
        <v>486</v>
      </c>
      <c r="AO188" s="110">
        <v>549</v>
      </c>
      <c r="AP188" s="110">
        <v>457</v>
      </c>
      <c r="AQ188" s="110">
        <v>498</v>
      </c>
      <c r="AR188" s="110">
        <v>461</v>
      </c>
      <c r="AS188" s="110">
        <v>526</v>
      </c>
      <c r="AT188" s="110">
        <v>485</v>
      </c>
      <c r="AU188" s="110">
        <v>458</v>
      </c>
      <c r="AV188" s="110">
        <v>596</v>
      </c>
      <c r="AW188" s="110">
        <v>574</v>
      </c>
      <c r="AX188" s="110">
        <v>580</v>
      </c>
      <c r="AY188" s="110">
        <v>494</v>
      </c>
    </row>
    <row r="189" spans="1:51" x14ac:dyDescent="0.2">
      <c r="A189" s="129" t="s">
        <v>133</v>
      </c>
      <c r="B189" s="126">
        <v>1</v>
      </c>
      <c r="C189" s="127">
        <v>0</v>
      </c>
      <c r="D189" s="127">
        <v>0</v>
      </c>
      <c r="E189" s="127">
        <v>0</v>
      </c>
      <c r="F189" s="127">
        <v>0</v>
      </c>
      <c r="G189" s="127">
        <v>0</v>
      </c>
      <c r="H189" s="127">
        <v>0</v>
      </c>
      <c r="I189" s="127">
        <v>132.23040066192792</v>
      </c>
      <c r="J189" s="127">
        <v>0</v>
      </c>
      <c r="K189" s="127">
        <v>132.23040066192792</v>
      </c>
      <c r="L189" s="127">
        <v>0</v>
      </c>
      <c r="M189" s="127">
        <v>132.23040066192792</v>
      </c>
      <c r="N189" s="127">
        <v>0</v>
      </c>
      <c r="O189" s="127">
        <v>132.23040066192792</v>
      </c>
      <c r="P189" s="127">
        <v>0</v>
      </c>
      <c r="Q189" s="127">
        <v>132.23040066192792</v>
      </c>
      <c r="R189" s="127">
        <v>0</v>
      </c>
      <c r="S189" s="127">
        <v>132.23040066192792</v>
      </c>
      <c r="T189" s="127">
        <v>0</v>
      </c>
      <c r="U189" s="127">
        <v>132.23040066192792</v>
      </c>
      <c r="V189" s="127">
        <v>0</v>
      </c>
      <c r="W189" s="127">
        <v>132.23040066192792</v>
      </c>
      <c r="X189" s="127">
        <v>0</v>
      </c>
      <c r="Y189" s="127">
        <v>132.23040066192792</v>
      </c>
      <c r="Z189" s="127">
        <v>0</v>
      </c>
      <c r="AA189" s="127">
        <v>132.23040066192792</v>
      </c>
      <c r="AB189" s="127">
        <v>0</v>
      </c>
      <c r="AC189" s="127">
        <v>132.23040066192792</v>
      </c>
      <c r="AD189" s="127">
        <v>0</v>
      </c>
      <c r="AE189" s="127">
        <v>132.23040066192792</v>
      </c>
      <c r="AF189" s="127">
        <v>0</v>
      </c>
      <c r="AG189" s="127">
        <v>132.23040066192792</v>
      </c>
      <c r="AH189" s="127">
        <v>0</v>
      </c>
      <c r="AI189" s="127">
        <v>132.23040066192792</v>
      </c>
      <c r="AJ189" s="127">
        <v>0</v>
      </c>
      <c r="AK189" s="127">
        <v>132.23040066192792</v>
      </c>
      <c r="AL189" s="127">
        <v>0</v>
      </c>
      <c r="AM189" s="127">
        <v>132.23040066192792</v>
      </c>
      <c r="AN189" s="127">
        <v>0</v>
      </c>
      <c r="AO189" s="127">
        <v>132.23040066192792</v>
      </c>
      <c r="AP189" s="127">
        <v>0</v>
      </c>
      <c r="AQ189" s="127">
        <v>132.23040066192792</v>
      </c>
      <c r="AR189" s="127">
        <v>0</v>
      </c>
      <c r="AS189" s="127">
        <v>132.23040066192792</v>
      </c>
      <c r="AT189" s="127">
        <v>0</v>
      </c>
      <c r="AU189" s="127">
        <v>132.23040066192792</v>
      </c>
      <c r="AV189" s="127">
        <v>0</v>
      </c>
      <c r="AW189" s="127">
        <v>132.23040066192792</v>
      </c>
      <c r="AX189" s="127">
        <v>0</v>
      </c>
      <c r="AY189" s="127">
        <v>132.23040066192792</v>
      </c>
    </row>
    <row r="190" spans="1:51" x14ac:dyDescent="0.2">
      <c r="A190" s="113"/>
      <c r="B190" s="122">
        <v>2</v>
      </c>
      <c r="C190" s="110">
        <v>885.58948997667085</v>
      </c>
      <c r="D190" s="110">
        <v>287.16143873839269</v>
      </c>
      <c r="E190" s="110">
        <v>0</v>
      </c>
      <c r="F190" s="110">
        <v>0</v>
      </c>
      <c r="G190" s="110">
        <v>101.07493559990846</v>
      </c>
      <c r="H190" s="110">
        <v>132.23040066192792</v>
      </c>
      <c r="I190" s="110">
        <v>132.23040066192792</v>
      </c>
      <c r="J190" s="110">
        <v>0</v>
      </c>
      <c r="K190" s="110">
        <v>132.23040066192792</v>
      </c>
      <c r="L190" s="110">
        <v>0</v>
      </c>
      <c r="M190" s="110">
        <v>132.23040066192792</v>
      </c>
      <c r="N190" s="110">
        <v>0</v>
      </c>
      <c r="O190" s="110">
        <v>132.23040066192792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0">
        <v>0</v>
      </c>
      <c r="V190" s="110">
        <v>0</v>
      </c>
      <c r="W190" s="110">
        <v>132.23040066192792</v>
      </c>
      <c r="X190" s="110">
        <v>0</v>
      </c>
      <c r="Y190" s="110">
        <v>132.23040066192792</v>
      </c>
      <c r="Z190" s="110">
        <v>0</v>
      </c>
      <c r="AA190" s="110">
        <v>132.23040066192792</v>
      </c>
      <c r="AB190" s="110">
        <v>0</v>
      </c>
      <c r="AC190" s="110">
        <v>132.23040066192792</v>
      </c>
      <c r="AD190" s="110">
        <v>0</v>
      </c>
      <c r="AE190" s="110">
        <v>132.23040066192792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132.23040066192792</v>
      </c>
      <c r="AL190" s="110">
        <v>0</v>
      </c>
      <c r="AM190" s="110">
        <v>132.23040066192792</v>
      </c>
      <c r="AN190" s="110">
        <v>0</v>
      </c>
      <c r="AO190" s="110">
        <v>0</v>
      </c>
      <c r="AP190" s="110">
        <v>0</v>
      </c>
      <c r="AQ190" s="110">
        <v>132.23040066192792</v>
      </c>
      <c r="AR190" s="110">
        <v>0</v>
      </c>
      <c r="AS190" s="110">
        <v>0</v>
      </c>
      <c r="AT190" s="110">
        <v>0</v>
      </c>
      <c r="AU190" s="110">
        <v>0</v>
      </c>
      <c r="AV190" s="110">
        <v>0</v>
      </c>
      <c r="AW190" s="110">
        <v>132.23040066192792</v>
      </c>
      <c r="AX190" s="110">
        <v>0</v>
      </c>
      <c r="AY190" s="110">
        <v>132.23040066192792</v>
      </c>
    </row>
    <row r="191" spans="1:51" x14ac:dyDescent="0.2">
      <c r="A191" s="113"/>
      <c r="B191" s="123">
        <v>3</v>
      </c>
      <c r="C191" s="110">
        <v>65.410510023329152</v>
      </c>
      <c r="D191" s="110">
        <v>257.83856126160731</v>
      </c>
      <c r="E191" s="110">
        <v>502</v>
      </c>
      <c r="F191" s="110">
        <v>556.73338750011453</v>
      </c>
      <c r="G191" s="110">
        <v>132.23040066192792</v>
      </c>
      <c r="H191" s="110">
        <v>31.155465062019459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132.23040066192792</v>
      </c>
      <c r="S191" s="110">
        <v>0</v>
      </c>
      <c r="T191" s="110">
        <v>0</v>
      </c>
      <c r="U191" s="110">
        <v>0</v>
      </c>
      <c r="V191" s="110">
        <v>132.23040066192792</v>
      </c>
      <c r="W191" s="110">
        <v>0</v>
      </c>
      <c r="X191" s="110">
        <v>0</v>
      </c>
      <c r="Y191" s="110">
        <v>0</v>
      </c>
      <c r="Z191" s="110">
        <v>0</v>
      </c>
      <c r="AA191" s="110">
        <v>0</v>
      </c>
      <c r="AB191" s="110">
        <v>0</v>
      </c>
      <c r="AC191" s="110">
        <v>0</v>
      </c>
      <c r="AD191" s="110">
        <v>0</v>
      </c>
      <c r="AE191" s="110">
        <v>0</v>
      </c>
      <c r="AF191" s="110">
        <v>0</v>
      </c>
      <c r="AG191" s="110">
        <v>0</v>
      </c>
      <c r="AH191" s="110">
        <v>132.23040066192792</v>
      </c>
      <c r="AI191" s="110">
        <v>0</v>
      </c>
      <c r="AJ191" s="110">
        <v>132.23040066192792</v>
      </c>
      <c r="AK191" s="110">
        <v>0</v>
      </c>
      <c r="AL191" s="110">
        <v>0</v>
      </c>
      <c r="AM191" s="110">
        <v>0</v>
      </c>
      <c r="AN191" s="110">
        <v>0</v>
      </c>
      <c r="AO191" s="110">
        <v>0</v>
      </c>
      <c r="AP191" s="110">
        <v>132.23040066192792</v>
      </c>
      <c r="AQ191" s="110">
        <v>0</v>
      </c>
      <c r="AR191" s="110">
        <v>0</v>
      </c>
      <c r="AS191" s="110">
        <v>0</v>
      </c>
      <c r="AT191" s="110">
        <v>132.23040066192792</v>
      </c>
      <c r="AU191" s="110">
        <v>0</v>
      </c>
      <c r="AV191" s="110">
        <v>132.23040066192792</v>
      </c>
      <c r="AW191" s="110">
        <v>0</v>
      </c>
      <c r="AX191" s="110">
        <v>0</v>
      </c>
      <c r="AY191" s="110">
        <v>0</v>
      </c>
    </row>
    <row r="192" spans="1:51" x14ac:dyDescent="0.2">
      <c r="A192" s="113"/>
      <c r="B192" s="123">
        <v>4</v>
      </c>
      <c r="C192" s="110">
        <v>0</v>
      </c>
      <c r="D192" s="110">
        <v>0</v>
      </c>
      <c r="E192" s="110">
        <v>0</v>
      </c>
      <c r="F192" s="110">
        <v>4.2666124998854684</v>
      </c>
      <c r="G192" s="110">
        <v>236.69466373816363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0">
        <v>132.23040066192792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0">
        <v>0</v>
      </c>
      <c r="AM192" s="110">
        <v>0</v>
      </c>
      <c r="AN192" s="110">
        <v>0</v>
      </c>
      <c r="AO192" s="110">
        <v>0</v>
      </c>
      <c r="AP192" s="110">
        <v>0</v>
      </c>
      <c r="AQ192" s="110">
        <v>0</v>
      </c>
      <c r="AR192" s="110">
        <v>0</v>
      </c>
      <c r="AS192" s="110">
        <v>0</v>
      </c>
      <c r="AT192" s="110">
        <v>0</v>
      </c>
      <c r="AU192" s="110">
        <v>0</v>
      </c>
      <c r="AV192" s="110">
        <v>0</v>
      </c>
      <c r="AW192" s="110">
        <v>0</v>
      </c>
      <c r="AX192" s="110">
        <v>0</v>
      </c>
      <c r="AY192" s="110">
        <v>0</v>
      </c>
    </row>
    <row r="193" spans="1:51" x14ac:dyDescent="0.2">
      <c r="A193" s="113"/>
      <c r="B193" s="130">
        <v>5</v>
      </c>
      <c r="C193" s="110">
        <v>0</v>
      </c>
      <c r="D193" s="110">
        <v>0</v>
      </c>
      <c r="E193" s="110">
        <v>0</v>
      </c>
      <c r="F193" s="110">
        <v>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10">
        <v>0</v>
      </c>
      <c r="P193" s="110">
        <v>0</v>
      </c>
      <c r="Q193" s="110">
        <v>0</v>
      </c>
      <c r="R193" s="110">
        <v>0</v>
      </c>
      <c r="S193" s="110">
        <v>0</v>
      </c>
      <c r="T193" s="110">
        <v>0</v>
      </c>
      <c r="U193" s="110">
        <v>0</v>
      </c>
      <c r="V193" s="110">
        <v>0</v>
      </c>
      <c r="W193" s="110">
        <v>0</v>
      </c>
      <c r="X193" s="110">
        <v>0</v>
      </c>
      <c r="Y193" s="110">
        <v>0</v>
      </c>
      <c r="Z193" s="110">
        <v>0</v>
      </c>
      <c r="AA193" s="110">
        <v>0</v>
      </c>
      <c r="AB193" s="110">
        <v>0</v>
      </c>
      <c r="AC193" s="110">
        <v>0</v>
      </c>
      <c r="AD193" s="110">
        <v>0</v>
      </c>
      <c r="AE193" s="110">
        <v>0</v>
      </c>
      <c r="AF193" s="110">
        <v>0</v>
      </c>
      <c r="AG193" s="110">
        <v>0</v>
      </c>
      <c r="AH193" s="110">
        <v>0</v>
      </c>
      <c r="AI193" s="110">
        <v>0</v>
      </c>
      <c r="AJ193" s="110">
        <v>0</v>
      </c>
      <c r="AK193" s="110">
        <v>0</v>
      </c>
      <c r="AL193" s="110">
        <v>0</v>
      </c>
      <c r="AM193" s="110">
        <v>0</v>
      </c>
      <c r="AN193" s="110">
        <v>0</v>
      </c>
      <c r="AO193" s="110">
        <v>0</v>
      </c>
      <c r="AP193" s="110">
        <v>0</v>
      </c>
      <c r="AQ193" s="110">
        <v>0</v>
      </c>
      <c r="AR193" s="110">
        <v>0</v>
      </c>
      <c r="AS193" s="110">
        <v>0</v>
      </c>
      <c r="AT193" s="110">
        <v>0</v>
      </c>
      <c r="AU193" s="110">
        <v>0</v>
      </c>
      <c r="AV193" s="110">
        <v>0</v>
      </c>
      <c r="AW193" s="110">
        <v>0</v>
      </c>
      <c r="AX193" s="110">
        <v>0</v>
      </c>
      <c r="AY193" s="110">
        <v>0</v>
      </c>
    </row>
    <row r="194" spans="1:51" x14ac:dyDescent="0.2">
      <c r="A194" s="113"/>
      <c r="B194" s="130">
        <v>6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0">
        <v>0</v>
      </c>
      <c r="AP194" s="110">
        <v>0</v>
      </c>
      <c r="AQ194" s="110">
        <v>0</v>
      </c>
      <c r="AR194" s="110">
        <v>0</v>
      </c>
      <c r="AS194" s="110">
        <v>0</v>
      </c>
      <c r="AT194" s="110">
        <v>0</v>
      </c>
      <c r="AU194" s="110">
        <v>0</v>
      </c>
      <c r="AV194" s="110">
        <v>0</v>
      </c>
      <c r="AW194" s="110">
        <v>0</v>
      </c>
      <c r="AX194" s="110">
        <v>0</v>
      </c>
      <c r="AY194" s="110">
        <v>0</v>
      </c>
    </row>
    <row r="195" spans="1:51" x14ac:dyDescent="0.2">
      <c r="A195" s="113"/>
      <c r="B195" s="133">
        <v>7</v>
      </c>
      <c r="C195" s="110">
        <v>0</v>
      </c>
      <c r="D195" s="110">
        <v>0</v>
      </c>
      <c r="E195" s="110">
        <v>0</v>
      </c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0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0">
        <v>0</v>
      </c>
      <c r="AM195" s="110">
        <v>0</v>
      </c>
      <c r="AN195" s="110">
        <v>0</v>
      </c>
      <c r="AO195" s="110">
        <v>0</v>
      </c>
      <c r="AP195" s="110">
        <v>0</v>
      </c>
      <c r="AQ195" s="110">
        <v>0</v>
      </c>
      <c r="AR195" s="110">
        <v>0</v>
      </c>
      <c r="AS195" s="110">
        <v>0</v>
      </c>
      <c r="AT195" s="110">
        <v>0</v>
      </c>
      <c r="AU195" s="110">
        <v>0</v>
      </c>
      <c r="AV195" s="110">
        <v>0</v>
      </c>
      <c r="AW195" s="110">
        <v>0</v>
      </c>
      <c r="AX195" s="110">
        <v>0</v>
      </c>
      <c r="AY195" s="110">
        <v>0</v>
      </c>
    </row>
    <row r="196" spans="1:51" x14ac:dyDescent="0.2">
      <c r="A196" s="131"/>
      <c r="B196" s="132">
        <v>8</v>
      </c>
      <c r="C196" s="117">
        <v>0</v>
      </c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0</v>
      </c>
      <c r="AM196" s="117">
        <v>0</v>
      </c>
      <c r="AN196" s="117">
        <v>0</v>
      </c>
      <c r="AO196" s="117">
        <v>0</v>
      </c>
      <c r="AP196" s="117">
        <v>0</v>
      </c>
      <c r="AQ196" s="117">
        <v>0</v>
      </c>
      <c r="AR196" s="117">
        <v>0</v>
      </c>
      <c r="AS196" s="117">
        <v>0</v>
      </c>
      <c r="AT196" s="117">
        <v>0</v>
      </c>
      <c r="AU196" s="117">
        <v>0</v>
      </c>
      <c r="AV196" s="117">
        <v>0</v>
      </c>
      <c r="AW196" s="117">
        <v>0</v>
      </c>
      <c r="AX196" s="117">
        <v>0</v>
      </c>
      <c r="AY196" s="117">
        <v>0</v>
      </c>
    </row>
    <row r="197" spans="1:51" x14ac:dyDescent="0.2">
      <c r="A197" s="134" t="s">
        <v>134</v>
      </c>
      <c r="B197" s="122">
        <v>1</v>
      </c>
      <c r="C197" s="110">
        <v>0</v>
      </c>
      <c r="D197" s="110">
        <v>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160.11732219381628</v>
      </c>
      <c r="AB197" s="110">
        <v>280.64056083106317</v>
      </c>
      <c r="AC197" s="110">
        <v>280.64056083106317</v>
      </c>
      <c r="AD197" s="110">
        <v>280.64056083106317</v>
      </c>
      <c r="AE197" s="110">
        <v>280.64056083106317</v>
      </c>
      <c r="AF197" s="110">
        <v>280.64056083106317</v>
      </c>
      <c r="AG197" s="110">
        <v>280.64056083106317</v>
      </c>
      <c r="AH197" s="110">
        <v>280.64056083106317</v>
      </c>
      <c r="AI197" s="110">
        <v>280.64056083106317</v>
      </c>
      <c r="AJ197" s="110">
        <v>300.66315021176342</v>
      </c>
      <c r="AK197" s="110">
        <v>297.58216441703769</v>
      </c>
      <c r="AL197" s="110">
        <v>282.26482384771845</v>
      </c>
      <c r="AM197" s="110">
        <v>280.64056083106317</v>
      </c>
      <c r="AN197" s="110">
        <v>280.64056083106317</v>
      </c>
      <c r="AO197" s="110">
        <v>280.64056083106317</v>
      </c>
      <c r="AP197" s="110">
        <v>283.28537600252173</v>
      </c>
      <c r="AQ197" s="110">
        <v>280.64056083106317</v>
      </c>
      <c r="AR197" s="110">
        <v>280.64056083106317</v>
      </c>
      <c r="AS197" s="110">
        <v>280.64056083106317</v>
      </c>
      <c r="AT197" s="110">
        <v>303.83737054690135</v>
      </c>
      <c r="AU197" s="110">
        <v>280.64056083106317</v>
      </c>
      <c r="AV197" s="110">
        <v>280.64056083106317</v>
      </c>
      <c r="AW197" s="110">
        <v>284.89758103155617</v>
      </c>
      <c r="AX197" s="110">
        <v>280.64056083106317</v>
      </c>
      <c r="AY197" s="110">
        <v>280.64056083106317</v>
      </c>
    </row>
    <row r="198" spans="1:51" x14ac:dyDescent="0.2">
      <c r="A198" s="113"/>
      <c r="B198" s="122">
        <v>2</v>
      </c>
      <c r="C198" s="110">
        <v>0</v>
      </c>
      <c r="D198" s="110">
        <v>0</v>
      </c>
      <c r="E198" s="110">
        <v>0</v>
      </c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0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280.64056083106317</v>
      </c>
      <c r="AB198" s="110">
        <v>120.52323863724689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0">
        <v>0</v>
      </c>
      <c r="AM198" s="110">
        <v>0</v>
      </c>
      <c r="AN198" s="110">
        <v>0</v>
      </c>
      <c r="AO198" s="110">
        <v>0</v>
      </c>
      <c r="AP198" s="110">
        <v>0</v>
      </c>
      <c r="AQ198" s="110">
        <v>0</v>
      </c>
      <c r="AR198" s="110">
        <v>0</v>
      </c>
      <c r="AS198" s="110">
        <v>0</v>
      </c>
      <c r="AT198" s="110">
        <v>0</v>
      </c>
      <c r="AU198" s="110">
        <v>0</v>
      </c>
      <c r="AV198" s="110">
        <v>0</v>
      </c>
      <c r="AW198" s="110">
        <v>0</v>
      </c>
      <c r="AX198" s="110">
        <v>0</v>
      </c>
      <c r="AY198" s="110">
        <v>0</v>
      </c>
    </row>
    <row r="199" spans="1:51" x14ac:dyDescent="0.2">
      <c r="A199" s="113"/>
      <c r="B199" s="122">
        <v>3</v>
      </c>
      <c r="C199" s="110">
        <v>0</v>
      </c>
      <c r="D199" s="110">
        <v>0</v>
      </c>
      <c r="E199" s="110">
        <v>0</v>
      </c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106.66313009212809</v>
      </c>
      <c r="AA199" s="110">
        <v>281.3478940409741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0">
        <v>0</v>
      </c>
      <c r="AP199" s="110">
        <v>0</v>
      </c>
      <c r="AQ199" s="110">
        <v>0</v>
      </c>
      <c r="AR199" s="110">
        <v>0</v>
      </c>
      <c r="AS199" s="110">
        <v>0</v>
      </c>
      <c r="AT199" s="110">
        <v>0</v>
      </c>
      <c r="AU199" s="110">
        <v>0</v>
      </c>
      <c r="AV199" s="110">
        <v>0</v>
      </c>
      <c r="AW199" s="110">
        <v>0</v>
      </c>
      <c r="AX199" s="110">
        <v>0</v>
      </c>
      <c r="AY199" s="110">
        <v>0</v>
      </c>
    </row>
    <row r="200" spans="1:51" x14ac:dyDescent="0.2">
      <c r="A200" s="113"/>
      <c r="B200" s="123">
        <v>4</v>
      </c>
      <c r="C200" s="110">
        <v>0</v>
      </c>
      <c r="D200" s="110">
        <v>0</v>
      </c>
      <c r="E200" s="110">
        <v>0</v>
      </c>
      <c r="F200" s="110">
        <v>0</v>
      </c>
      <c r="G200" s="110">
        <v>0</v>
      </c>
      <c r="H200" s="110">
        <v>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10">
        <v>0</v>
      </c>
      <c r="P200" s="110">
        <v>0</v>
      </c>
      <c r="Q200" s="110">
        <v>0</v>
      </c>
      <c r="R200" s="110">
        <v>0</v>
      </c>
      <c r="S200" s="110">
        <v>0</v>
      </c>
      <c r="T200" s="110">
        <v>0</v>
      </c>
      <c r="U200" s="110">
        <v>0</v>
      </c>
      <c r="V200" s="110">
        <v>0</v>
      </c>
      <c r="W200" s="110">
        <v>0</v>
      </c>
      <c r="X200" s="110">
        <v>0</v>
      </c>
      <c r="Y200" s="110">
        <v>0</v>
      </c>
      <c r="Z200" s="110">
        <v>289.04322968921605</v>
      </c>
      <c r="AA200" s="110">
        <v>173.97743073893508</v>
      </c>
      <c r="AB200" s="110">
        <v>0</v>
      </c>
      <c r="AC200" s="110">
        <v>0</v>
      </c>
      <c r="AD200" s="110">
        <v>0</v>
      </c>
      <c r="AE200" s="110">
        <v>0</v>
      </c>
      <c r="AF200" s="110">
        <v>0</v>
      </c>
      <c r="AG200" s="110">
        <v>0</v>
      </c>
      <c r="AH200" s="110">
        <v>0</v>
      </c>
      <c r="AI200" s="110">
        <v>0</v>
      </c>
      <c r="AJ200" s="110">
        <v>0</v>
      </c>
      <c r="AK200" s="110">
        <v>0</v>
      </c>
      <c r="AL200" s="110">
        <v>0</v>
      </c>
      <c r="AM200" s="110">
        <v>0</v>
      </c>
      <c r="AN200" s="110">
        <v>0</v>
      </c>
      <c r="AO200" s="110">
        <v>0</v>
      </c>
      <c r="AP200" s="110">
        <v>0</v>
      </c>
      <c r="AQ200" s="110">
        <v>0</v>
      </c>
      <c r="AR200" s="110">
        <v>0</v>
      </c>
      <c r="AS200" s="110">
        <v>0</v>
      </c>
      <c r="AT200" s="110">
        <v>0</v>
      </c>
      <c r="AU200" s="110">
        <v>0</v>
      </c>
      <c r="AV200" s="110">
        <v>0</v>
      </c>
      <c r="AW200" s="110">
        <v>0</v>
      </c>
      <c r="AX200" s="110">
        <v>0</v>
      </c>
      <c r="AY200" s="110">
        <v>0</v>
      </c>
    </row>
    <row r="201" spans="1:51" x14ac:dyDescent="0.2">
      <c r="A201" s="113"/>
      <c r="B201" s="123">
        <v>5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91.987481443470529</v>
      </c>
      <c r="Z201" s="110">
        <v>280.64056083106317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0">
        <v>0</v>
      </c>
      <c r="AP201" s="110">
        <v>0</v>
      </c>
      <c r="AQ201" s="110">
        <v>0</v>
      </c>
      <c r="AR201" s="110">
        <v>0</v>
      </c>
      <c r="AS201" s="110">
        <v>0</v>
      </c>
      <c r="AT201" s="110">
        <v>0</v>
      </c>
      <c r="AU201" s="110">
        <v>0</v>
      </c>
      <c r="AV201" s="110">
        <v>0</v>
      </c>
      <c r="AW201" s="110">
        <v>0</v>
      </c>
      <c r="AX201" s="110">
        <v>0</v>
      </c>
      <c r="AY201" s="110">
        <v>0</v>
      </c>
    </row>
    <row r="202" spans="1:51" x14ac:dyDescent="0.2">
      <c r="A202" s="113"/>
      <c r="B202" s="123">
        <v>6</v>
      </c>
      <c r="C202" s="110">
        <v>689.62456839678998</v>
      </c>
      <c r="D202" s="110">
        <v>0</v>
      </c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0">
        <v>0</v>
      </c>
      <c r="V202" s="110">
        <v>0</v>
      </c>
      <c r="W202" s="110">
        <v>0</v>
      </c>
      <c r="X202" s="110">
        <v>0</v>
      </c>
      <c r="Y202" s="110">
        <v>280.64056083106317</v>
      </c>
      <c r="Z202" s="110">
        <v>188.65307938759264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0">
        <v>0</v>
      </c>
      <c r="AM202" s="110">
        <v>0</v>
      </c>
      <c r="AN202" s="110">
        <v>0</v>
      </c>
      <c r="AO202" s="110">
        <v>0</v>
      </c>
      <c r="AP202" s="110">
        <v>0</v>
      </c>
      <c r="AQ202" s="110">
        <v>0</v>
      </c>
      <c r="AR202" s="110">
        <v>0</v>
      </c>
      <c r="AS202" s="110">
        <v>0</v>
      </c>
      <c r="AT202" s="110">
        <v>0</v>
      </c>
      <c r="AU202" s="110">
        <v>0</v>
      </c>
      <c r="AV202" s="110">
        <v>0</v>
      </c>
      <c r="AW202" s="110">
        <v>0</v>
      </c>
      <c r="AX202" s="110">
        <v>0</v>
      </c>
      <c r="AY202" s="110">
        <v>0</v>
      </c>
    </row>
    <row r="203" spans="1:51" x14ac:dyDescent="0.2">
      <c r="A203" s="113"/>
      <c r="B203" s="130">
        <v>7</v>
      </c>
      <c r="C203" s="110">
        <v>688.37543160321002</v>
      </c>
      <c r="D203" s="110">
        <v>709</v>
      </c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10">
        <v>0</v>
      </c>
      <c r="P203" s="110">
        <v>0</v>
      </c>
      <c r="Q203" s="110">
        <v>0</v>
      </c>
      <c r="R203" s="110">
        <v>0</v>
      </c>
      <c r="S203" s="110">
        <v>0</v>
      </c>
      <c r="T203" s="110">
        <v>0</v>
      </c>
      <c r="U203" s="110">
        <v>0</v>
      </c>
      <c r="V203" s="110">
        <v>0</v>
      </c>
      <c r="W203" s="110">
        <v>0</v>
      </c>
      <c r="X203" s="110">
        <v>174.45547464771397</v>
      </c>
      <c r="Y203" s="110">
        <v>280.64056083106317</v>
      </c>
      <c r="Z203" s="110">
        <v>0</v>
      </c>
      <c r="AA203" s="110">
        <v>0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0</v>
      </c>
      <c r="AL203" s="110">
        <v>0</v>
      </c>
      <c r="AM203" s="110">
        <v>0</v>
      </c>
      <c r="AN203" s="110">
        <v>0</v>
      </c>
      <c r="AO203" s="110">
        <v>0</v>
      </c>
      <c r="AP203" s="110">
        <v>0</v>
      </c>
      <c r="AQ203" s="110">
        <v>0</v>
      </c>
      <c r="AR203" s="110">
        <v>0</v>
      </c>
      <c r="AS203" s="110">
        <v>0</v>
      </c>
      <c r="AT203" s="110">
        <v>0</v>
      </c>
      <c r="AU203" s="110">
        <v>0</v>
      </c>
      <c r="AV203" s="110">
        <v>0</v>
      </c>
      <c r="AW203" s="110">
        <v>0</v>
      </c>
      <c r="AX203" s="110">
        <v>0</v>
      </c>
      <c r="AY203" s="110">
        <v>0</v>
      </c>
    </row>
    <row r="204" spans="1:51" x14ac:dyDescent="0.2">
      <c r="A204" s="113"/>
      <c r="B204" s="130">
        <v>8</v>
      </c>
      <c r="C204" s="110">
        <v>0</v>
      </c>
      <c r="D204" s="110">
        <v>0</v>
      </c>
      <c r="E204" s="110">
        <v>617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0">
        <v>0</v>
      </c>
      <c r="V204" s="110">
        <v>0</v>
      </c>
      <c r="W204" s="110">
        <v>21.703266451625893</v>
      </c>
      <c r="X204" s="110">
        <v>314.13390311637511</v>
      </c>
      <c r="Y204" s="110">
        <v>126.57997087331188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0">
        <v>0</v>
      </c>
      <c r="AM204" s="110">
        <v>0</v>
      </c>
      <c r="AN204" s="110">
        <v>0</v>
      </c>
      <c r="AO204" s="110">
        <v>0</v>
      </c>
      <c r="AP204" s="110">
        <v>0</v>
      </c>
      <c r="AQ204" s="110">
        <v>0</v>
      </c>
      <c r="AR204" s="110">
        <v>0</v>
      </c>
      <c r="AS204" s="110">
        <v>0</v>
      </c>
      <c r="AT204" s="110">
        <v>0</v>
      </c>
      <c r="AU204" s="110">
        <v>0</v>
      </c>
      <c r="AV204" s="110">
        <v>0</v>
      </c>
      <c r="AW204" s="110">
        <v>0</v>
      </c>
      <c r="AX204" s="110">
        <v>0</v>
      </c>
      <c r="AY204" s="110">
        <v>0</v>
      </c>
    </row>
    <row r="205" spans="1:51" x14ac:dyDescent="0.2">
      <c r="A205" s="113"/>
      <c r="B205" s="130">
        <v>9</v>
      </c>
      <c r="C205" s="110">
        <v>0</v>
      </c>
      <c r="D205" s="110">
        <v>0</v>
      </c>
      <c r="E205" s="110">
        <v>0</v>
      </c>
      <c r="F205" s="110">
        <v>848</v>
      </c>
      <c r="G205" s="110">
        <v>863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10">
        <v>0</v>
      </c>
      <c r="P205" s="110">
        <v>0</v>
      </c>
      <c r="Q205" s="110">
        <v>0</v>
      </c>
      <c r="R205" s="110">
        <v>0</v>
      </c>
      <c r="S205" s="110">
        <v>0</v>
      </c>
      <c r="T205" s="110">
        <v>0</v>
      </c>
      <c r="U205" s="110">
        <v>0</v>
      </c>
      <c r="V205" s="110">
        <v>0</v>
      </c>
      <c r="W205" s="110">
        <v>306.41724132606231</v>
      </c>
      <c r="X205" s="110">
        <v>291.41062223591092</v>
      </c>
      <c r="Y205" s="110">
        <v>0</v>
      </c>
      <c r="Z205" s="110">
        <v>0</v>
      </c>
      <c r="AA205" s="110">
        <v>0</v>
      </c>
      <c r="AB205" s="110">
        <v>0</v>
      </c>
      <c r="AC205" s="110">
        <v>0</v>
      </c>
      <c r="AD205" s="110">
        <v>0</v>
      </c>
      <c r="AE205" s="110">
        <v>0</v>
      </c>
      <c r="AF205" s="110">
        <v>0</v>
      </c>
      <c r="AG205" s="110">
        <v>0</v>
      </c>
      <c r="AH205" s="110">
        <v>0</v>
      </c>
      <c r="AI205" s="110">
        <v>0</v>
      </c>
      <c r="AJ205" s="110">
        <v>0</v>
      </c>
      <c r="AK205" s="110">
        <v>0</v>
      </c>
      <c r="AL205" s="110">
        <v>0</v>
      </c>
      <c r="AM205" s="110">
        <v>0</v>
      </c>
      <c r="AN205" s="110">
        <v>0</v>
      </c>
      <c r="AO205" s="110">
        <v>0</v>
      </c>
      <c r="AP205" s="110">
        <v>0</v>
      </c>
      <c r="AQ205" s="110">
        <v>0</v>
      </c>
      <c r="AR205" s="110">
        <v>0</v>
      </c>
      <c r="AS205" s="110">
        <v>0</v>
      </c>
      <c r="AT205" s="110">
        <v>0</v>
      </c>
      <c r="AU205" s="110">
        <v>0</v>
      </c>
      <c r="AV205" s="110">
        <v>0</v>
      </c>
      <c r="AW205" s="110">
        <v>0</v>
      </c>
      <c r="AX205" s="110">
        <v>0</v>
      </c>
      <c r="AY205" s="110">
        <v>0</v>
      </c>
    </row>
    <row r="206" spans="1:51" x14ac:dyDescent="0.2">
      <c r="A206" s="113"/>
      <c r="B206" s="133">
        <v>10</v>
      </c>
      <c r="C206" s="110">
        <v>0</v>
      </c>
      <c r="D206" s="110">
        <v>0</v>
      </c>
      <c r="E206" s="110">
        <v>0</v>
      </c>
      <c r="F206" s="110">
        <v>0</v>
      </c>
      <c r="G206" s="110">
        <v>0</v>
      </c>
      <c r="H206" s="110">
        <v>754.01999361711967</v>
      </c>
      <c r="I206" s="110">
        <v>722.43762873954802</v>
      </c>
      <c r="J206" s="110">
        <v>817</v>
      </c>
      <c r="K206" s="110">
        <v>77.345293639711031</v>
      </c>
      <c r="L206" s="110">
        <v>0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204.54431340790939</v>
      </c>
      <c r="W206" s="110">
        <v>302.48256131300423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0">
        <v>0</v>
      </c>
      <c r="AP206" s="110">
        <v>0</v>
      </c>
      <c r="AQ206" s="110">
        <v>0</v>
      </c>
      <c r="AR206" s="110">
        <v>0</v>
      </c>
      <c r="AS206" s="110">
        <v>0</v>
      </c>
      <c r="AT206" s="110">
        <v>0</v>
      </c>
      <c r="AU206" s="110">
        <v>0</v>
      </c>
      <c r="AV206" s="110">
        <v>0</v>
      </c>
      <c r="AW206" s="110">
        <v>0</v>
      </c>
      <c r="AX206" s="110">
        <v>0</v>
      </c>
      <c r="AY206" s="110">
        <v>0</v>
      </c>
    </row>
    <row r="207" spans="1:51" x14ac:dyDescent="0.2">
      <c r="A207" s="113"/>
      <c r="B207" s="133">
        <v>11</v>
      </c>
      <c r="C207" s="110">
        <v>0</v>
      </c>
      <c r="D207" s="110">
        <v>0</v>
      </c>
      <c r="E207" s="110">
        <v>0</v>
      </c>
      <c r="F207" s="110">
        <v>0</v>
      </c>
      <c r="G207" s="110">
        <v>0</v>
      </c>
      <c r="H207" s="110">
        <v>0</v>
      </c>
      <c r="I207" s="110">
        <v>0</v>
      </c>
      <c r="J207" s="110">
        <v>0</v>
      </c>
      <c r="K207" s="110">
        <v>736.32386866217803</v>
      </c>
      <c r="L207" s="110">
        <v>687</v>
      </c>
      <c r="M207" s="110">
        <v>805.26681416344627</v>
      </c>
      <c r="N207" s="110">
        <v>0</v>
      </c>
      <c r="O207" s="110">
        <v>0</v>
      </c>
      <c r="P207" s="110">
        <v>0</v>
      </c>
      <c r="Q207" s="110">
        <v>0</v>
      </c>
      <c r="R207" s="110">
        <v>0</v>
      </c>
      <c r="S207" s="110">
        <v>0</v>
      </c>
      <c r="T207" s="110">
        <v>28.042981749498267</v>
      </c>
      <c r="U207" s="110">
        <v>153.18952704604794</v>
      </c>
      <c r="V207" s="110">
        <v>384.6445584537214</v>
      </c>
      <c r="W207" s="110">
        <v>113.24180797739746</v>
      </c>
      <c r="X207" s="110">
        <v>0</v>
      </c>
      <c r="Y207" s="110">
        <v>0</v>
      </c>
      <c r="Z207" s="110">
        <v>0</v>
      </c>
      <c r="AA207" s="110">
        <v>0</v>
      </c>
      <c r="AB207" s="110">
        <v>0</v>
      </c>
      <c r="AC207" s="110">
        <v>0</v>
      </c>
      <c r="AD207" s="110">
        <v>0</v>
      </c>
      <c r="AE207" s="110">
        <v>0</v>
      </c>
      <c r="AF207" s="110">
        <v>0</v>
      </c>
      <c r="AG207" s="110">
        <v>0</v>
      </c>
      <c r="AH207" s="110">
        <v>0</v>
      </c>
      <c r="AI207" s="110">
        <v>0</v>
      </c>
      <c r="AJ207" s="110">
        <v>0</v>
      </c>
      <c r="AK207" s="110">
        <v>0</v>
      </c>
      <c r="AL207" s="110">
        <v>0</v>
      </c>
      <c r="AM207" s="110">
        <v>0</v>
      </c>
      <c r="AN207" s="110">
        <v>0</v>
      </c>
      <c r="AO207" s="110">
        <v>0</v>
      </c>
      <c r="AP207" s="110">
        <v>0</v>
      </c>
      <c r="AQ207" s="110">
        <v>0</v>
      </c>
      <c r="AR207" s="110">
        <v>0</v>
      </c>
      <c r="AS207" s="110">
        <v>0</v>
      </c>
      <c r="AT207" s="110">
        <v>0</v>
      </c>
      <c r="AU207" s="110">
        <v>0</v>
      </c>
      <c r="AV207" s="110">
        <v>0</v>
      </c>
      <c r="AW207" s="110">
        <v>0</v>
      </c>
      <c r="AX207" s="110">
        <v>0</v>
      </c>
      <c r="AY207" s="110">
        <v>0</v>
      </c>
    </row>
    <row r="208" spans="1:51" x14ac:dyDescent="0.2">
      <c r="A208" s="113"/>
      <c r="B208" s="133">
        <v>12</v>
      </c>
      <c r="C208" s="110">
        <v>0</v>
      </c>
      <c r="D208" s="110">
        <v>0</v>
      </c>
      <c r="E208" s="110">
        <v>0</v>
      </c>
      <c r="F208" s="110">
        <v>0</v>
      </c>
      <c r="G208" s="110">
        <v>0</v>
      </c>
      <c r="H208" s="110">
        <v>0</v>
      </c>
      <c r="I208" s="110">
        <v>0</v>
      </c>
      <c r="J208" s="110">
        <v>0</v>
      </c>
      <c r="K208" s="110">
        <v>0</v>
      </c>
      <c r="L208" s="110">
        <v>0</v>
      </c>
      <c r="M208" s="110">
        <v>0</v>
      </c>
      <c r="N208" s="110">
        <v>750</v>
      </c>
      <c r="O208" s="110">
        <v>933.42827163670097</v>
      </c>
      <c r="P208" s="110">
        <v>667</v>
      </c>
      <c r="Q208" s="110">
        <v>823.92570212842259</v>
      </c>
      <c r="R208" s="110">
        <v>633.54869202224199</v>
      </c>
      <c r="S208" s="110">
        <v>792.88514997883442</v>
      </c>
      <c r="T208" s="110">
        <v>777.95701825050173</v>
      </c>
      <c r="U208" s="110">
        <v>574.44053215311271</v>
      </c>
      <c r="V208" s="110">
        <v>312.29112107584882</v>
      </c>
      <c r="W208" s="110">
        <v>0</v>
      </c>
      <c r="X208" s="110">
        <v>0</v>
      </c>
      <c r="Y208" s="110">
        <v>0</v>
      </c>
      <c r="Z208" s="110">
        <v>0</v>
      </c>
      <c r="AA208" s="110">
        <v>0</v>
      </c>
      <c r="AB208" s="110">
        <v>0</v>
      </c>
      <c r="AC208" s="110">
        <v>0</v>
      </c>
      <c r="AD208" s="110">
        <v>0</v>
      </c>
      <c r="AE208" s="110">
        <v>0</v>
      </c>
      <c r="AF208" s="110">
        <v>0</v>
      </c>
      <c r="AG208" s="110">
        <v>0</v>
      </c>
      <c r="AH208" s="110">
        <v>0</v>
      </c>
      <c r="AI208" s="110">
        <v>0</v>
      </c>
      <c r="AJ208" s="110">
        <v>0</v>
      </c>
      <c r="AK208" s="110">
        <v>0</v>
      </c>
      <c r="AL208" s="110">
        <v>0</v>
      </c>
      <c r="AM208" s="110">
        <v>0</v>
      </c>
      <c r="AN208" s="110">
        <v>0</v>
      </c>
      <c r="AO208" s="110">
        <v>0</v>
      </c>
      <c r="AP208" s="110">
        <v>0</v>
      </c>
      <c r="AQ208" s="110">
        <v>0</v>
      </c>
      <c r="AR208" s="110">
        <v>0</v>
      </c>
      <c r="AS208" s="110">
        <v>0</v>
      </c>
      <c r="AT208" s="110">
        <v>0</v>
      </c>
      <c r="AU208" s="110">
        <v>0</v>
      </c>
      <c r="AV208" s="110">
        <v>0</v>
      </c>
      <c r="AW208" s="110">
        <v>0</v>
      </c>
      <c r="AX208" s="110">
        <v>0</v>
      </c>
      <c r="AY208" s="110">
        <v>0</v>
      </c>
    </row>
    <row r="209" spans="1:51" x14ac:dyDescent="0.2">
      <c r="A209" s="129" t="s">
        <v>123</v>
      </c>
      <c r="B209" s="126">
        <v>1</v>
      </c>
      <c r="C209" s="127">
        <v>0</v>
      </c>
      <c r="D209" s="127">
        <v>0</v>
      </c>
      <c r="E209" s="127">
        <v>0</v>
      </c>
      <c r="F209" s="127">
        <v>0</v>
      </c>
      <c r="G209" s="127">
        <v>0</v>
      </c>
      <c r="H209" s="127">
        <v>0</v>
      </c>
      <c r="I209" s="127">
        <v>8.3644477421095758</v>
      </c>
      <c r="J209" s="127">
        <v>252.22581840393957</v>
      </c>
      <c r="K209" s="127">
        <v>453.92026169948338</v>
      </c>
      <c r="L209" s="127">
        <v>500.08710562472356</v>
      </c>
      <c r="M209" s="127">
        <v>488.2172036411074</v>
      </c>
      <c r="N209" s="127">
        <v>468.015167507103</v>
      </c>
      <c r="O209" s="127">
        <v>464.93805037127407</v>
      </c>
      <c r="P209" s="127">
        <v>504.45267602758247</v>
      </c>
      <c r="Q209" s="127">
        <v>565.97871662900354</v>
      </c>
      <c r="R209" s="127">
        <v>565.97871662900354</v>
      </c>
      <c r="S209" s="127">
        <v>565.97871662900354</v>
      </c>
      <c r="T209" s="127">
        <v>565.97871662900354</v>
      </c>
      <c r="U209" s="127">
        <v>540.63005919916066</v>
      </c>
      <c r="V209" s="127">
        <v>565.97871662900354</v>
      </c>
      <c r="W209" s="127">
        <v>563.84487706808989</v>
      </c>
      <c r="X209" s="127">
        <v>565.97871662900354</v>
      </c>
      <c r="Y209" s="127">
        <v>565.97871662900354</v>
      </c>
      <c r="Z209" s="127">
        <v>565.97871662900354</v>
      </c>
      <c r="AA209" s="127">
        <v>565.97871662900354</v>
      </c>
      <c r="AB209" s="127">
        <v>565.97871662900354</v>
      </c>
      <c r="AC209" s="127">
        <v>565.97871662900354</v>
      </c>
      <c r="AD209" s="127">
        <v>565.97871662900354</v>
      </c>
      <c r="AE209" s="127">
        <v>565.97871662900354</v>
      </c>
      <c r="AF209" s="127">
        <v>565.97871662900354</v>
      </c>
      <c r="AG209" s="127">
        <v>565.97871662900354</v>
      </c>
      <c r="AH209" s="127">
        <v>505.57579374369641</v>
      </c>
      <c r="AI209" s="127">
        <v>514.87032322892514</v>
      </c>
      <c r="AJ209" s="127">
        <v>561.07873931462814</v>
      </c>
      <c r="AK209" s="127">
        <v>565.97871662900354</v>
      </c>
      <c r="AL209" s="127">
        <v>565.97871662900354</v>
      </c>
      <c r="AM209" s="127">
        <v>565.97871662900354</v>
      </c>
      <c r="AN209" s="127">
        <v>558</v>
      </c>
      <c r="AO209" s="127">
        <v>565.97871662900354</v>
      </c>
      <c r="AP209" s="127">
        <v>565.97871662900354</v>
      </c>
      <c r="AQ209" s="127">
        <v>565.97871662900354</v>
      </c>
      <c r="AR209" s="127">
        <v>496</v>
      </c>
      <c r="AS209" s="127">
        <v>565.97871662900354</v>
      </c>
      <c r="AT209" s="127">
        <v>565.97871662900354</v>
      </c>
      <c r="AU209" s="127">
        <v>553.13639848510616</v>
      </c>
      <c r="AV209" s="127">
        <v>565.97871662900354</v>
      </c>
      <c r="AW209" s="127">
        <v>565.97871662900354</v>
      </c>
      <c r="AX209" s="127">
        <v>565.97871662900354</v>
      </c>
      <c r="AY209" s="127">
        <v>565.97871662900354</v>
      </c>
    </row>
    <row r="210" spans="1:51" x14ac:dyDescent="0.2">
      <c r="A210" s="113"/>
      <c r="B210" s="122">
        <v>2</v>
      </c>
      <c r="C210" s="110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378.36595055812825</v>
      </c>
      <c r="J210" s="114">
        <v>372.77418159606043</v>
      </c>
      <c r="K210" s="114">
        <v>209.74890060240571</v>
      </c>
      <c r="L210" s="114">
        <v>74.912894375276466</v>
      </c>
      <c r="M210" s="114">
        <v>44.049610522338895</v>
      </c>
      <c r="N210" s="114">
        <v>51.984832492896984</v>
      </c>
      <c r="O210" s="114">
        <v>65.490221265426896</v>
      </c>
      <c r="P210" s="114">
        <v>67.547323972417544</v>
      </c>
      <c r="Q210" s="114">
        <v>41.1311559114584</v>
      </c>
      <c r="R210" s="114">
        <v>0</v>
      </c>
      <c r="S210" s="114">
        <v>0</v>
      </c>
      <c r="T210" s="114">
        <v>0</v>
      </c>
      <c r="U210" s="114">
        <v>0</v>
      </c>
      <c r="V210" s="114">
        <v>16.945988571689995</v>
      </c>
      <c r="W210" s="114">
        <v>0</v>
      </c>
      <c r="X210" s="114">
        <v>1.4265063510027067</v>
      </c>
      <c r="Y210" s="114">
        <v>0</v>
      </c>
      <c r="Z210" s="114">
        <v>0</v>
      </c>
      <c r="AA210" s="114">
        <v>0</v>
      </c>
      <c r="AB210" s="114">
        <v>0</v>
      </c>
      <c r="AC210" s="114">
        <v>0</v>
      </c>
      <c r="AD210" s="114">
        <v>0</v>
      </c>
      <c r="AE210" s="114">
        <v>0</v>
      </c>
      <c r="AF210" s="114">
        <v>0</v>
      </c>
      <c r="AG210" s="114">
        <v>0</v>
      </c>
      <c r="AH210" s="114">
        <v>0</v>
      </c>
      <c r="AI210" s="114">
        <v>40.380333504606881</v>
      </c>
      <c r="AJ210" s="114">
        <v>34.166789814103893</v>
      </c>
      <c r="AK210" s="114">
        <v>3.2757142977201266</v>
      </c>
      <c r="AL210" s="114">
        <v>0</v>
      </c>
      <c r="AM210" s="114">
        <v>0</v>
      </c>
      <c r="AN210" s="114">
        <v>0</v>
      </c>
      <c r="AO210" s="114">
        <v>5.3339014575449646</v>
      </c>
      <c r="AP210" s="114">
        <v>0</v>
      </c>
      <c r="AQ210" s="114">
        <v>0</v>
      </c>
      <c r="AR210" s="114">
        <v>0</v>
      </c>
      <c r="AS210" s="114">
        <v>46.781906913165329</v>
      </c>
      <c r="AT210" s="114">
        <v>0</v>
      </c>
      <c r="AU210" s="114">
        <v>0</v>
      </c>
      <c r="AV210" s="114">
        <v>8.5852979434043757</v>
      </c>
      <c r="AW210" s="114">
        <v>0</v>
      </c>
      <c r="AX210" s="114">
        <v>0</v>
      </c>
      <c r="AY210" s="114">
        <v>0</v>
      </c>
    </row>
    <row r="211" spans="1:51" x14ac:dyDescent="0.2">
      <c r="A211" s="113"/>
      <c r="B211" s="122">
        <v>3</v>
      </c>
      <c r="C211" s="110">
        <v>193.9192549300418</v>
      </c>
      <c r="D211" s="114">
        <v>0</v>
      </c>
      <c r="E211" s="114">
        <v>0</v>
      </c>
      <c r="F211" s="114">
        <v>0</v>
      </c>
      <c r="G211" s="114">
        <v>0</v>
      </c>
      <c r="H211" s="114">
        <v>226.37230703676289</v>
      </c>
      <c r="I211" s="114">
        <v>252.94377391861752</v>
      </c>
      <c r="J211" s="114">
        <v>0</v>
      </c>
      <c r="K211" s="114">
        <v>0</v>
      </c>
      <c r="L211" s="114">
        <v>0</v>
      </c>
      <c r="M211" s="114">
        <v>0</v>
      </c>
      <c r="N211" s="114">
        <v>0</v>
      </c>
      <c r="O211" s="114">
        <v>0</v>
      </c>
      <c r="P211" s="114">
        <v>0</v>
      </c>
      <c r="Q211" s="114">
        <v>0</v>
      </c>
      <c r="R211" s="114">
        <v>0</v>
      </c>
      <c r="S211" s="114">
        <v>0</v>
      </c>
      <c r="T211" s="114">
        <v>0</v>
      </c>
      <c r="U211" s="114">
        <v>0</v>
      </c>
      <c r="V211" s="114">
        <v>0</v>
      </c>
      <c r="W211" s="114">
        <v>0</v>
      </c>
      <c r="X211" s="114">
        <v>0</v>
      </c>
      <c r="Y211" s="114">
        <v>0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4">
        <v>0</v>
      </c>
      <c r="AP211" s="114">
        <v>0</v>
      </c>
      <c r="AQ211" s="114">
        <v>0</v>
      </c>
      <c r="AR211" s="114">
        <v>0</v>
      </c>
      <c r="AS211" s="114">
        <v>0</v>
      </c>
      <c r="AT211" s="114">
        <v>0</v>
      </c>
      <c r="AU211" s="114">
        <v>0</v>
      </c>
      <c r="AV211" s="114">
        <v>0</v>
      </c>
      <c r="AW211" s="114">
        <v>0</v>
      </c>
      <c r="AX211" s="114">
        <v>0</v>
      </c>
      <c r="AY211" s="114">
        <v>0</v>
      </c>
    </row>
    <row r="212" spans="1:51" x14ac:dyDescent="0.2">
      <c r="A212" s="113"/>
      <c r="B212" s="122">
        <v>4</v>
      </c>
      <c r="C212" s="110">
        <v>585.0807450699582</v>
      </c>
      <c r="D212" s="114">
        <v>544</v>
      </c>
      <c r="E212" s="114">
        <v>379.76854414990754</v>
      </c>
      <c r="F212" s="114">
        <v>139.39444589127828</v>
      </c>
      <c r="G212" s="114">
        <v>0</v>
      </c>
      <c r="H212" s="114">
        <v>169.09701486038813</v>
      </c>
      <c r="I212" s="114">
        <v>17.763456520692689</v>
      </c>
      <c r="J212" s="114">
        <v>0</v>
      </c>
      <c r="K212" s="114">
        <v>0</v>
      </c>
      <c r="L212" s="114">
        <v>0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4">
        <v>0</v>
      </c>
      <c r="AP212" s="114">
        <v>0</v>
      </c>
      <c r="AQ212" s="114">
        <v>0</v>
      </c>
      <c r="AR212" s="114">
        <v>0</v>
      </c>
      <c r="AS212" s="114">
        <v>0</v>
      </c>
      <c r="AT212" s="114">
        <v>0</v>
      </c>
      <c r="AU212" s="114">
        <v>0</v>
      </c>
      <c r="AV212" s="114">
        <v>0</v>
      </c>
      <c r="AW212" s="114">
        <v>0</v>
      </c>
      <c r="AX212" s="114">
        <v>0</v>
      </c>
      <c r="AY212" s="114">
        <v>0</v>
      </c>
    </row>
    <row r="213" spans="1:51" x14ac:dyDescent="0.2">
      <c r="A213" s="113"/>
      <c r="B213" s="122">
        <v>5</v>
      </c>
      <c r="C213" s="110">
        <v>0</v>
      </c>
      <c r="D213" s="114">
        <v>0</v>
      </c>
      <c r="E213" s="114">
        <v>149.23145585009246</v>
      </c>
      <c r="F213" s="114">
        <v>392.60555410872172</v>
      </c>
      <c r="G213" s="114">
        <v>470</v>
      </c>
      <c r="H213" s="114">
        <v>113.0440966848788</v>
      </c>
      <c r="I213" s="114">
        <v>0</v>
      </c>
      <c r="J213" s="114">
        <v>0</v>
      </c>
      <c r="K213" s="114">
        <v>0</v>
      </c>
      <c r="L213" s="114">
        <v>0</v>
      </c>
      <c r="M213" s="114">
        <v>0</v>
      </c>
      <c r="N213" s="114">
        <v>0</v>
      </c>
      <c r="O213" s="114">
        <v>0</v>
      </c>
      <c r="P213" s="114">
        <v>0</v>
      </c>
      <c r="Q213" s="114">
        <v>0</v>
      </c>
      <c r="R213" s="114">
        <v>0</v>
      </c>
      <c r="S213" s="114">
        <v>0</v>
      </c>
      <c r="T213" s="114">
        <v>0</v>
      </c>
      <c r="U213" s="114">
        <v>0</v>
      </c>
      <c r="V213" s="114">
        <v>0</v>
      </c>
      <c r="W213" s="114">
        <v>0</v>
      </c>
      <c r="X213" s="114">
        <v>0</v>
      </c>
      <c r="Y213" s="114">
        <v>0</v>
      </c>
      <c r="Z213" s="114">
        <v>0</v>
      </c>
      <c r="AA213" s="114">
        <v>0</v>
      </c>
      <c r="AB213" s="114">
        <v>0</v>
      </c>
      <c r="AC213" s="114">
        <v>0</v>
      </c>
      <c r="AD213" s="114">
        <v>0</v>
      </c>
      <c r="AE213" s="114">
        <v>0</v>
      </c>
      <c r="AF213" s="114">
        <v>0</v>
      </c>
      <c r="AG213" s="114">
        <v>0</v>
      </c>
      <c r="AH213" s="114">
        <v>0</v>
      </c>
      <c r="AI213" s="114">
        <v>0</v>
      </c>
      <c r="AJ213" s="114">
        <v>0</v>
      </c>
      <c r="AK213" s="114">
        <v>0</v>
      </c>
      <c r="AL213" s="114">
        <v>0</v>
      </c>
      <c r="AM213" s="114">
        <v>0</v>
      </c>
      <c r="AN213" s="114">
        <v>0</v>
      </c>
      <c r="AO213" s="114">
        <v>0</v>
      </c>
      <c r="AP213" s="114">
        <v>0</v>
      </c>
      <c r="AQ213" s="114">
        <v>0</v>
      </c>
      <c r="AR213" s="114">
        <v>0</v>
      </c>
      <c r="AS213" s="114">
        <v>0</v>
      </c>
      <c r="AT213" s="114">
        <v>0</v>
      </c>
      <c r="AU213" s="114">
        <v>0</v>
      </c>
      <c r="AV213" s="114">
        <v>0</v>
      </c>
      <c r="AW213" s="114">
        <v>0</v>
      </c>
      <c r="AX213" s="114">
        <v>0</v>
      </c>
      <c r="AY213" s="114">
        <v>0</v>
      </c>
    </row>
    <row r="214" spans="1:51" x14ac:dyDescent="0.2">
      <c r="A214" s="113"/>
      <c r="B214" s="122">
        <v>6</v>
      </c>
      <c r="C214" s="110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89.506575035089853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4">
        <v>0</v>
      </c>
      <c r="AP214" s="114">
        <v>0</v>
      </c>
      <c r="AQ214" s="114">
        <v>0</v>
      </c>
      <c r="AR214" s="114">
        <v>0</v>
      </c>
      <c r="AS214" s="114">
        <v>0</v>
      </c>
      <c r="AT214" s="114">
        <v>0</v>
      </c>
      <c r="AU214" s="114">
        <v>0</v>
      </c>
      <c r="AV214" s="114">
        <v>0</v>
      </c>
      <c r="AW214" s="114">
        <v>0</v>
      </c>
      <c r="AX214" s="114">
        <v>0</v>
      </c>
      <c r="AY214" s="114">
        <v>0</v>
      </c>
    </row>
    <row r="215" spans="1:51" x14ac:dyDescent="0.2">
      <c r="A215" s="113"/>
      <c r="B215" s="122">
        <v>7</v>
      </c>
      <c r="C215" s="110">
        <v>0</v>
      </c>
      <c r="D215" s="114">
        <v>0</v>
      </c>
      <c r="E215" s="114">
        <v>0</v>
      </c>
      <c r="F215" s="114">
        <v>0</v>
      </c>
      <c r="G215" s="114">
        <v>0</v>
      </c>
      <c r="H215" s="114">
        <v>0</v>
      </c>
      <c r="I215" s="114">
        <v>0</v>
      </c>
      <c r="J215" s="114">
        <v>0</v>
      </c>
      <c r="K215" s="114">
        <v>0</v>
      </c>
      <c r="L215" s="114">
        <v>0</v>
      </c>
      <c r="M215" s="114">
        <v>0</v>
      </c>
      <c r="N215" s="114">
        <v>0</v>
      </c>
      <c r="O215" s="114">
        <v>0</v>
      </c>
      <c r="P215" s="114">
        <v>0</v>
      </c>
      <c r="Q215" s="114">
        <v>0</v>
      </c>
      <c r="R215" s="114">
        <v>0</v>
      </c>
      <c r="S215" s="114">
        <v>0</v>
      </c>
      <c r="T215" s="114">
        <v>0</v>
      </c>
      <c r="U215" s="114">
        <v>0</v>
      </c>
      <c r="V215" s="114">
        <v>0</v>
      </c>
      <c r="W215" s="114">
        <v>0</v>
      </c>
      <c r="X215" s="114">
        <v>0</v>
      </c>
      <c r="Y215" s="114">
        <v>0</v>
      </c>
      <c r="Z215" s="114">
        <v>0</v>
      </c>
      <c r="AA215" s="114">
        <v>0</v>
      </c>
      <c r="AB215" s="114">
        <v>0</v>
      </c>
      <c r="AC215" s="114">
        <v>0</v>
      </c>
      <c r="AD215" s="114">
        <v>0</v>
      </c>
      <c r="AE215" s="114">
        <v>0</v>
      </c>
      <c r="AF215" s="114">
        <v>0</v>
      </c>
      <c r="AG215" s="114">
        <v>0</v>
      </c>
      <c r="AH215" s="114">
        <v>0</v>
      </c>
      <c r="AI215" s="114">
        <v>0</v>
      </c>
      <c r="AJ215" s="114">
        <v>0</v>
      </c>
      <c r="AK215" s="114">
        <v>0</v>
      </c>
      <c r="AL215" s="114">
        <v>0</v>
      </c>
      <c r="AM215" s="114">
        <v>0</v>
      </c>
      <c r="AN215" s="114">
        <v>0</v>
      </c>
      <c r="AO215" s="114">
        <v>0</v>
      </c>
      <c r="AP215" s="114">
        <v>0</v>
      </c>
      <c r="AQ215" s="114">
        <v>0</v>
      </c>
      <c r="AR215" s="114">
        <v>0</v>
      </c>
      <c r="AS215" s="114">
        <v>0</v>
      </c>
      <c r="AT215" s="114">
        <v>0</v>
      </c>
      <c r="AU215" s="114">
        <v>0</v>
      </c>
      <c r="AV215" s="114">
        <v>0</v>
      </c>
      <c r="AW215" s="114">
        <v>0</v>
      </c>
      <c r="AX215" s="114">
        <v>0</v>
      </c>
      <c r="AY215" s="114">
        <v>0</v>
      </c>
    </row>
    <row r="216" spans="1:51" x14ac:dyDescent="0.2">
      <c r="A216" s="113"/>
      <c r="B216" s="122">
        <v>8</v>
      </c>
      <c r="C216" s="110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4">
        <v>0</v>
      </c>
      <c r="AP216" s="114">
        <v>0</v>
      </c>
      <c r="AQ216" s="114">
        <v>0</v>
      </c>
      <c r="AR216" s="114">
        <v>0</v>
      </c>
      <c r="AS216" s="114">
        <v>0</v>
      </c>
      <c r="AT216" s="114">
        <v>0</v>
      </c>
      <c r="AU216" s="114">
        <v>0</v>
      </c>
      <c r="AV216" s="114">
        <v>0</v>
      </c>
      <c r="AW216" s="114">
        <v>0</v>
      </c>
      <c r="AX216" s="114">
        <v>0</v>
      </c>
      <c r="AY216" s="114">
        <v>0</v>
      </c>
    </row>
    <row r="217" spans="1:51" x14ac:dyDescent="0.2">
      <c r="A217" s="113"/>
      <c r="B217" s="122">
        <v>9</v>
      </c>
      <c r="C217" s="110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4">
        <v>0</v>
      </c>
      <c r="AP217" s="114">
        <v>0</v>
      </c>
      <c r="AQ217" s="114">
        <v>0</v>
      </c>
      <c r="AR217" s="114">
        <v>0</v>
      </c>
      <c r="AS217" s="114">
        <v>0</v>
      </c>
      <c r="AT217" s="114">
        <v>0</v>
      </c>
      <c r="AU217" s="114">
        <v>0</v>
      </c>
      <c r="AV217" s="114">
        <v>0</v>
      </c>
      <c r="AW217" s="114">
        <v>0</v>
      </c>
      <c r="AX217" s="114">
        <v>0</v>
      </c>
      <c r="AY217" s="114">
        <v>0</v>
      </c>
    </row>
    <row r="218" spans="1:51" x14ac:dyDescent="0.2">
      <c r="A218" s="113"/>
      <c r="B218" s="122">
        <v>10</v>
      </c>
      <c r="C218" s="110">
        <v>0</v>
      </c>
      <c r="D218" s="114">
        <v>0</v>
      </c>
      <c r="E218" s="114">
        <v>0</v>
      </c>
      <c r="F218" s="114">
        <v>0</v>
      </c>
      <c r="G218" s="114">
        <v>0</v>
      </c>
      <c r="H218" s="114">
        <v>0</v>
      </c>
      <c r="I218" s="114">
        <v>0</v>
      </c>
      <c r="J218" s="114">
        <v>0</v>
      </c>
      <c r="K218" s="114">
        <v>0</v>
      </c>
      <c r="L218" s="114">
        <v>0</v>
      </c>
      <c r="M218" s="114">
        <v>0</v>
      </c>
      <c r="N218" s="114">
        <v>0</v>
      </c>
      <c r="O218" s="114">
        <v>0</v>
      </c>
      <c r="P218" s="114">
        <v>0</v>
      </c>
      <c r="Q218" s="114">
        <v>0</v>
      </c>
      <c r="R218" s="114">
        <v>0</v>
      </c>
      <c r="S218" s="114">
        <v>0</v>
      </c>
      <c r="T218" s="114">
        <v>0</v>
      </c>
      <c r="U218" s="114">
        <v>0</v>
      </c>
      <c r="V218" s="114">
        <v>0</v>
      </c>
      <c r="W218" s="114">
        <v>0</v>
      </c>
      <c r="X218" s="114">
        <v>0</v>
      </c>
      <c r="Y218" s="114">
        <v>0</v>
      </c>
      <c r="Z218" s="114">
        <v>0</v>
      </c>
      <c r="AA218" s="114">
        <v>0</v>
      </c>
      <c r="AB218" s="114">
        <v>0</v>
      </c>
      <c r="AC218" s="114">
        <v>0</v>
      </c>
      <c r="AD218" s="114">
        <v>0</v>
      </c>
      <c r="AE218" s="114">
        <v>0</v>
      </c>
      <c r="AF218" s="114">
        <v>0</v>
      </c>
      <c r="AG218" s="114">
        <v>0</v>
      </c>
      <c r="AH218" s="114">
        <v>0</v>
      </c>
      <c r="AI218" s="114">
        <v>0</v>
      </c>
      <c r="AJ218" s="114">
        <v>0</v>
      </c>
      <c r="AK218" s="114">
        <v>0</v>
      </c>
      <c r="AL218" s="114">
        <v>0</v>
      </c>
      <c r="AM218" s="114">
        <v>0</v>
      </c>
      <c r="AN218" s="114">
        <v>0</v>
      </c>
      <c r="AO218" s="114">
        <v>0</v>
      </c>
      <c r="AP218" s="114">
        <v>0</v>
      </c>
      <c r="AQ218" s="114">
        <v>0</v>
      </c>
      <c r="AR218" s="114">
        <v>0</v>
      </c>
      <c r="AS218" s="114">
        <v>0</v>
      </c>
      <c r="AT218" s="114">
        <v>0</v>
      </c>
      <c r="AU218" s="114">
        <v>0</v>
      </c>
      <c r="AV218" s="114">
        <v>0</v>
      </c>
      <c r="AW218" s="114">
        <v>0</v>
      </c>
      <c r="AX218" s="114">
        <v>0</v>
      </c>
      <c r="AY218" s="114">
        <v>0</v>
      </c>
    </row>
    <row r="219" spans="1:51" x14ac:dyDescent="0.2">
      <c r="A219" s="113"/>
      <c r="B219" s="122">
        <v>11</v>
      </c>
      <c r="C219" s="110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4">
        <v>0</v>
      </c>
      <c r="AP219" s="114">
        <v>0</v>
      </c>
      <c r="AQ219" s="114">
        <v>0</v>
      </c>
      <c r="AR219" s="114">
        <v>0</v>
      </c>
      <c r="AS219" s="114">
        <v>0</v>
      </c>
      <c r="AT219" s="114">
        <v>0</v>
      </c>
      <c r="AU219" s="114">
        <v>0</v>
      </c>
      <c r="AV219" s="114">
        <v>0</v>
      </c>
      <c r="AW219" s="114">
        <v>0</v>
      </c>
      <c r="AX219" s="114">
        <v>0</v>
      </c>
      <c r="AY219" s="114">
        <v>0</v>
      </c>
    </row>
    <row r="220" spans="1:51" x14ac:dyDescent="0.2">
      <c r="A220" s="113"/>
      <c r="B220" s="122">
        <v>12</v>
      </c>
      <c r="C220" s="110">
        <v>0</v>
      </c>
      <c r="D220" s="114">
        <v>0</v>
      </c>
      <c r="E220" s="114">
        <v>0</v>
      </c>
      <c r="F220" s="114">
        <v>0</v>
      </c>
      <c r="G220" s="114">
        <v>0</v>
      </c>
      <c r="H220" s="114">
        <v>0</v>
      </c>
      <c r="I220" s="114">
        <v>0</v>
      </c>
      <c r="J220" s="114">
        <v>0</v>
      </c>
      <c r="K220" s="114">
        <v>0</v>
      </c>
      <c r="L220" s="114">
        <v>0</v>
      </c>
      <c r="M220" s="114">
        <v>0</v>
      </c>
      <c r="N220" s="114">
        <v>0</v>
      </c>
      <c r="O220" s="114">
        <v>0</v>
      </c>
      <c r="P220" s="114">
        <v>0</v>
      </c>
      <c r="Q220" s="114">
        <v>0</v>
      </c>
      <c r="R220" s="114">
        <v>0</v>
      </c>
      <c r="S220" s="114">
        <v>0</v>
      </c>
      <c r="T220" s="114">
        <v>0</v>
      </c>
      <c r="U220" s="114">
        <v>0</v>
      </c>
      <c r="V220" s="114">
        <v>0</v>
      </c>
      <c r="W220" s="114">
        <v>0</v>
      </c>
      <c r="X220" s="114">
        <v>0</v>
      </c>
      <c r="Y220" s="114">
        <v>0</v>
      </c>
      <c r="Z220" s="114">
        <v>0</v>
      </c>
      <c r="AA220" s="114">
        <v>0</v>
      </c>
      <c r="AB220" s="114">
        <v>0</v>
      </c>
      <c r="AC220" s="114">
        <v>0</v>
      </c>
      <c r="AD220" s="114">
        <v>0</v>
      </c>
      <c r="AE220" s="114">
        <v>0</v>
      </c>
      <c r="AF220" s="114">
        <v>0</v>
      </c>
      <c r="AG220" s="114">
        <v>0</v>
      </c>
      <c r="AH220" s="114">
        <v>0</v>
      </c>
      <c r="AI220" s="114">
        <v>0</v>
      </c>
      <c r="AJ220" s="114">
        <v>0</v>
      </c>
      <c r="AK220" s="114">
        <v>0</v>
      </c>
      <c r="AL220" s="114">
        <v>0</v>
      </c>
      <c r="AM220" s="114">
        <v>0</v>
      </c>
      <c r="AN220" s="114">
        <v>0</v>
      </c>
      <c r="AO220" s="114">
        <v>0</v>
      </c>
      <c r="AP220" s="114">
        <v>0</v>
      </c>
      <c r="AQ220" s="114">
        <v>0</v>
      </c>
      <c r="AR220" s="114">
        <v>0</v>
      </c>
      <c r="AS220" s="114">
        <v>0</v>
      </c>
      <c r="AT220" s="114">
        <v>0</v>
      </c>
      <c r="AU220" s="114">
        <v>0</v>
      </c>
      <c r="AV220" s="114">
        <v>0</v>
      </c>
      <c r="AW220" s="114">
        <v>0</v>
      </c>
      <c r="AX220" s="114">
        <v>0</v>
      </c>
      <c r="AY220" s="114">
        <v>0</v>
      </c>
    </row>
    <row r="221" spans="1:51" x14ac:dyDescent="0.2">
      <c r="A221" s="113"/>
      <c r="B221" s="123">
        <v>13</v>
      </c>
      <c r="C221" s="110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4">
        <v>0</v>
      </c>
      <c r="AP221" s="114">
        <v>0</v>
      </c>
      <c r="AQ221" s="114">
        <v>0</v>
      </c>
      <c r="AR221" s="114">
        <v>0</v>
      </c>
      <c r="AS221" s="114">
        <v>0</v>
      </c>
      <c r="AT221" s="114">
        <v>0</v>
      </c>
      <c r="AU221" s="114">
        <v>0</v>
      </c>
      <c r="AV221" s="114">
        <v>0</v>
      </c>
      <c r="AW221" s="114">
        <v>0</v>
      </c>
      <c r="AX221" s="114">
        <v>0</v>
      </c>
      <c r="AY221" s="114">
        <v>0</v>
      </c>
    </row>
    <row r="222" spans="1:51" x14ac:dyDescent="0.2">
      <c r="A222" s="113"/>
      <c r="B222" s="123">
        <v>14</v>
      </c>
      <c r="C222" s="110">
        <v>0</v>
      </c>
      <c r="D222" s="114">
        <v>0</v>
      </c>
      <c r="E222" s="114">
        <v>0</v>
      </c>
      <c r="F222" s="114">
        <v>0</v>
      </c>
      <c r="G222" s="114">
        <v>0</v>
      </c>
      <c r="H222" s="114">
        <v>0</v>
      </c>
      <c r="I222" s="114">
        <v>0</v>
      </c>
      <c r="J222" s="114">
        <v>0</v>
      </c>
      <c r="K222" s="114">
        <v>0</v>
      </c>
      <c r="L222" s="114">
        <v>0</v>
      </c>
      <c r="M222" s="114">
        <v>0</v>
      </c>
      <c r="N222" s="114">
        <v>0</v>
      </c>
      <c r="O222" s="114">
        <v>0</v>
      </c>
      <c r="P222" s="114">
        <v>0</v>
      </c>
      <c r="Q222" s="114">
        <v>0</v>
      </c>
      <c r="R222" s="114">
        <v>0</v>
      </c>
      <c r="S222" s="114">
        <v>0</v>
      </c>
      <c r="T222" s="114">
        <v>0</v>
      </c>
      <c r="U222" s="114">
        <v>0</v>
      </c>
      <c r="V222" s="114">
        <v>0</v>
      </c>
      <c r="W222" s="114">
        <v>0</v>
      </c>
      <c r="X222" s="114">
        <v>0</v>
      </c>
      <c r="Y222" s="114">
        <v>0</v>
      </c>
      <c r="Z222" s="114">
        <v>0</v>
      </c>
      <c r="AA222" s="114">
        <v>0</v>
      </c>
      <c r="AB222" s="114">
        <v>0</v>
      </c>
      <c r="AC222" s="114">
        <v>0</v>
      </c>
      <c r="AD222" s="114">
        <v>0</v>
      </c>
      <c r="AE222" s="114">
        <v>0</v>
      </c>
      <c r="AF222" s="114">
        <v>0</v>
      </c>
      <c r="AG222" s="114">
        <v>0</v>
      </c>
      <c r="AH222" s="114">
        <v>0</v>
      </c>
      <c r="AI222" s="114">
        <v>0</v>
      </c>
      <c r="AJ222" s="114">
        <v>0</v>
      </c>
      <c r="AK222" s="114">
        <v>0</v>
      </c>
      <c r="AL222" s="114">
        <v>0</v>
      </c>
      <c r="AM222" s="114">
        <v>0</v>
      </c>
      <c r="AN222" s="114">
        <v>0</v>
      </c>
      <c r="AO222" s="114">
        <v>0</v>
      </c>
      <c r="AP222" s="114">
        <v>0</v>
      </c>
      <c r="AQ222" s="114">
        <v>0</v>
      </c>
      <c r="AR222" s="114">
        <v>0</v>
      </c>
      <c r="AS222" s="114">
        <v>0</v>
      </c>
      <c r="AT222" s="114">
        <v>0</v>
      </c>
      <c r="AU222" s="114">
        <v>0</v>
      </c>
      <c r="AV222" s="114">
        <v>0</v>
      </c>
      <c r="AW222" s="114">
        <v>0</v>
      </c>
      <c r="AX222" s="114">
        <v>0</v>
      </c>
      <c r="AY222" s="114">
        <v>0</v>
      </c>
    </row>
    <row r="223" spans="1:51" x14ac:dyDescent="0.2">
      <c r="A223" s="113"/>
      <c r="B223" s="123">
        <v>15</v>
      </c>
      <c r="C223" s="110">
        <v>0</v>
      </c>
      <c r="D223" s="114">
        <v>0</v>
      </c>
      <c r="E223" s="114">
        <v>0</v>
      </c>
      <c r="F223" s="114">
        <v>0</v>
      </c>
      <c r="G223" s="114">
        <v>0</v>
      </c>
      <c r="H223" s="114">
        <v>0</v>
      </c>
      <c r="I223" s="114">
        <v>0</v>
      </c>
      <c r="J223" s="114">
        <v>0</v>
      </c>
      <c r="K223" s="114">
        <v>0</v>
      </c>
      <c r="L223" s="114">
        <v>0</v>
      </c>
      <c r="M223" s="114">
        <v>0</v>
      </c>
      <c r="N223" s="114">
        <v>0</v>
      </c>
      <c r="O223" s="114">
        <v>0</v>
      </c>
      <c r="P223" s="114">
        <v>0</v>
      </c>
      <c r="Q223" s="114">
        <v>0</v>
      </c>
      <c r="R223" s="114">
        <v>0</v>
      </c>
      <c r="S223" s="114">
        <v>0</v>
      </c>
      <c r="T223" s="114">
        <v>0</v>
      </c>
      <c r="U223" s="114">
        <v>0</v>
      </c>
      <c r="V223" s="114">
        <v>0</v>
      </c>
      <c r="W223" s="114">
        <v>0</v>
      </c>
      <c r="X223" s="114">
        <v>0</v>
      </c>
      <c r="Y223" s="114">
        <v>0</v>
      </c>
      <c r="Z223" s="114">
        <v>0</v>
      </c>
      <c r="AA223" s="114">
        <v>0</v>
      </c>
      <c r="AB223" s="114">
        <v>0</v>
      </c>
      <c r="AC223" s="114">
        <v>0</v>
      </c>
      <c r="AD223" s="114">
        <v>0</v>
      </c>
      <c r="AE223" s="114">
        <v>0</v>
      </c>
      <c r="AF223" s="114">
        <v>0</v>
      </c>
      <c r="AG223" s="114">
        <v>0</v>
      </c>
      <c r="AH223" s="114">
        <v>0</v>
      </c>
      <c r="AI223" s="114">
        <v>0</v>
      </c>
      <c r="AJ223" s="114">
        <v>0</v>
      </c>
      <c r="AK223" s="114">
        <v>0</v>
      </c>
      <c r="AL223" s="114">
        <v>0</v>
      </c>
      <c r="AM223" s="114">
        <v>0</v>
      </c>
      <c r="AN223" s="114">
        <v>0</v>
      </c>
      <c r="AO223" s="114">
        <v>0</v>
      </c>
      <c r="AP223" s="114">
        <v>0</v>
      </c>
      <c r="AQ223" s="114">
        <v>0</v>
      </c>
      <c r="AR223" s="114">
        <v>0</v>
      </c>
      <c r="AS223" s="114">
        <v>0</v>
      </c>
      <c r="AT223" s="114">
        <v>0</v>
      </c>
      <c r="AU223" s="114">
        <v>0</v>
      </c>
      <c r="AV223" s="114">
        <v>0</v>
      </c>
      <c r="AW223" s="114">
        <v>0</v>
      </c>
      <c r="AX223" s="114">
        <v>0</v>
      </c>
      <c r="AY223" s="114">
        <v>0</v>
      </c>
    </row>
    <row r="224" spans="1:51" x14ac:dyDescent="0.2">
      <c r="A224" s="113"/>
      <c r="B224" s="123">
        <v>16</v>
      </c>
      <c r="C224" s="110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4">
        <v>0</v>
      </c>
      <c r="AP224" s="114">
        <v>0</v>
      </c>
      <c r="AQ224" s="114">
        <v>0</v>
      </c>
      <c r="AR224" s="114">
        <v>0</v>
      </c>
      <c r="AS224" s="114">
        <v>0</v>
      </c>
      <c r="AT224" s="114">
        <v>0</v>
      </c>
      <c r="AU224" s="114">
        <v>0</v>
      </c>
      <c r="AV224" s="114">
        <v>0</v>
      </c>
      <c r="AW224" s="114">
        <v>0</v>
      </c>
      <c r="AX224" s="114">
        <v>0</v>
      </c>
      <c r="AY224" s="114">
        <v>0</v>
      </c>
    </row>
    <row r="225" spans="1:51" x14ac:dyDescent="0.2">
      <c r="A225" s="113"/>
      <c r="B225" s="123">
        <v>17</v>
      </c>
      <c r="C225" s="110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4">
        <v>0</v>
      </c>
      <c r="AP225" s="114">
        <v>0</v>
      </c>
      <c r="AQ225" s="114">
        <v>0</v>
      </c>
      <c r="AR225" s="114">
        <v>0</v>
      </c>
      <c r="AS225" s="114">
        <v>0</v>
      </c>
      <c r="AT225" s="114">
        <v>0</v>
      </c>
      <c r="AU225" s="114">
        <v>0</v>
      </c>
      <c r="AV225" s="114">
        <v>0</v>
      </c>
      <c r="AW225" s="114">
        <v>0</v>
      </c>
      <c r="AX225" s="114">
        <v>0</v>
      </c>
      <c r="AY225" s="114">
        <v>0</v>
      </c>
    </row>
    <row r="226" spans="1:51" x14ac:dyDescent="0.2">
      <c r="A226" s="113"/>
      <c r="B226" s="123">
        <v>18</v>
      </c>
      <c r="C226" s="110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4">
        <v>0</v>
      </c>
      <c r="AP226" s="114">
        <v>0</v>
      </c>
      <c r="AQ226" s="114">
        <v>0</v>
      </c>
      <c r="AR226" s="114">
        <v>0</v>
      </c>
      <c r="AS226" s="114">
        <v>0</v>
      </c>
      <c r="AT226" s="114">
        <v>0</v>
      </c>
      <c r="AU226" s="114">
        <v>0</v>
      </c>
      <c r="AV226" s="114">
        <v>0</v>
      </c>
      <c r="AW226" s="114">
        <v>0</v>
      </c>
      <c r="AX226" s="114">
        <v>0</v>
      </c>
      <c r="AY226" s="114">
        <v>0</v>
      </c>
    </row>
    <row r="227" spans="1:51" x14ac:dyDescent="0.2">
      <c r="A227" s="113"/>
      <c r="B227" s="123">
        <v>19</v>
      </c>
      <c r="C227" s="110">
        <v>0</v>
      </c>
      <c r="D227" s="114">
        <v>0</v>
      </c>
      <c r="E227" s="114">
        <v>0</v>
      </c>
      <c r="F227" s="114">
        <v>0</v>
      </c>
      <c r="G227" s="114">
        <v>0</v>
      </c>
      <c r="H227" s="114">
        <v>0</v>
      </c>
      <c r="I227" s="114">
        <v>0</v>
      </c>
      <c r="J227" s="114">
        <v>0</v>
      </c>
      <c r="K227" s="114">
        <v>0</v>
      </c>
      <c r="L227" s="114">
        <v>0</v>
      </c>
      <c r="M227" s="114">
        <v>0</v>
      </c>
      <c r="N227" s="114">
        <v>0</v>
      </c>
      <c r="O227" s="114">
        <v>0</v>
      </c>
      <c r="P227" s="114">
        <v>0</v>
      </c>
      <c r="Q227" s="114">
        <v>0</v>
      </c>
      <c r="R227" s="114">
        <v>0</v>
      </c>
      <c r="S227" s="114">
        <v>0</v>
      </c>
      <c r="T227" s="114">
        <v>0</v>
      </c>
      <c r="U227" s="114">
        <v>0</v>
      </c>
      <c r="V227" s="114">
        <v>0</v>
      </c>
      <c r="W227" s="114">
        <v>0</v>
      </c>
      <c r="X227" s="114">
        <v>0</v>
      </c>
      <c r="Y227" s="114">
        <v>0</v>
      </c>
      <c r="Z227" s="114">
        <v>0</v>
      </c>
      <c r="AA227" s="114">
        <v>0</v>
      </c>
      <c r="AB227" s="114">
        <v>0</v>
      </c>
      <c r="AC227" s="114">
        <v>0</v>
      </c>
      <c r="AD227" s="114">
        <v>0</v>
      </c>
      <c r="AE227" s="114">
        <v>0</v>
      </c>
      <c r="AF227" s="114">
        <v>0</v>
      </c>
      <c r="AG227" s="114">
        <v>0</v>
      </c>
      <c r="AH227" s="114">
        <v>0</v>
      </c>
      <c r="AI227" s="114">
        <v>0</v>
      </c>
      <c r="AJ227" s="114">
        <v>0</v>
      </c>
      <c r="AK227" s="114">
        <v>0</v>
      </c>
      <c r="AL227" s="114">
        <v>0</v>
      </c>
      <c r="AM227" s="114">
        <v>0</v>
      </c>
      <c r="AN227" s="114">
        <v>0</v>
      </c>
      <c r="AO227" s="114">
        <v>0</v>
      </c>
      <c r="AP227" s="114">
        <v>0</v>
      </c>
      <c r="AQ227" s="114">
        <v>0</v>
      </c>
      <c r="AR227" s="114">
        <v>0</v>
      </c>
      <c r="AS227" s="114">
        <v>0</v>
      </c>
      <c r="AT227" s="114">
        <v>0</v>
      </c>
      <c r="AU227" s="114">
        <v>0</v>
      </c>
      <c r="AV227" s="114">
        <v>0</v>
      </c>
      <c r="AW227" s="114">
        <v>0</v>
      </c>
      <c r="AX227" s="114">
        <v>0</v>
      </c>
      <c r="AY227" s="114">
        <v>0</v>
      </c>
    </row>
    <row r="228" spans="1:51" x14ac:dyDescent="0.2">
      <c r="A228" s="113"/>
      <c r="B228" s="123">
        <v>20</v>
      </c>
      <c r="C228" s="110">
        <v>0</v>
      </c>
      <c r="D228" s="114">
        <v>0</v>
      </c>
      <c r="E228" s="114">
        <v>0</v>
      </c>
      <c r="F228" s="114">
        <v>0</v>
      </c>
      <c r="G228" s="114">
        <v>0</v>
      </c>
      <c r="H228" s="114">
        <v>0</v>
      </c>
      <c r="I228" s="114">
        <v>0</v>
      </c>
      <c r="J228" s="114">
        <v>0</v>
      </c>
      <c r="K228" s="114">
        <v>0</v>
      </c>
      <c r="L228" s="114">
        <v>0</v>
      </c>
      <c r="M228" s="114">
        <v>0</v>
      </c>
      <c r="N228" s="114">
        <v>0</v>
      </c>
      <c r="O228" s="114">
        <v>0</v>
      </c>
      <c r="P228" s="114">
        <v>0</v>
      </c>
      <c r="Q228" s="114">
        <v>0</v>
      </c>
      <c r="R228" s="114">
        <v>0</v>
      </c>
      <c r="S228" s="114">
        <v>0</v>
      </c>
      <c r="T228" s="114">
        <v>0</v>
      </c>
      <c r="U228" s="114">
        <v>0</v>
      </c>
      <c r="V228" s="114">
        <v>0</v>
      </c>
      <c r="W228" s="114">
        <v>0</v>
      </c>
      <c r="X228" s="114">
        <v>0</v>
      </c>
      <c r="Y228" s="114">
        <v>0</v>
      </c>
      <c r="Z228" s="114">
        <v>0</v>
      </c>
      <c r="AA228" s="114">
        <v>0</v>
      </c>
      <c r="AB228" s="114">
        <v>0</v>
      </c>
      <c r="AC228" s="114">
        <v>0</v>
      </c>
      <c r="AD228" s="114">
        <v>0</v>
      </c>
      <c r="AE228" s="114">
        <v>0</v>
      </c>
      <c r="AF228" s="114">
        <v>0</v>
      </c>
      <c r="AG228" s="114">
        <v>0</v>
      </c>
      <c r="AH228" s="114">
        <v>0</v>
      </c>
      <c r="AI228" s="114">
        <v>0</v>
      </c>
      <c r="AJ228" s="114">
        <v>0</v>
      </c>
      <c r="AK228" s="114">
        <v>0</v>
      </c>
      <c r="AL228" s="114">
        <v>0</v>
      </c>
      <c r="AM228" s="114">
        <v>0</v>
      </c>
      <c r="AN228" s="114">
        <v>0</v>
      </c>
      <c r="AO228" s="114">
        <v>0</v>
      </c>
      <c r="AP228" s="114">
        <v>0</v>
      </c>
      <c r="AQ228" s="114">
        <v>0</v>
      </c>
      <c r="AR228" s="114">
        <v>0</v>
      </c>
      <c r="AS228" s="114">
        <v>0</v>
      </c>
      <c r="AT228" s="114">
        <v>0</v>
      </c>
      <c r="AU228" s="114">
        <v>0</v>
      </c>
      <c r="AV228" s="114">
        <v>0</v>
      </c>
      <c r="AW228" s="114">
        <v>0</v>
      </c>
      <c r="AX228" s="114">
        <v>0</v>
      </c>
      <c r="AY228" s="114">
        <v>0</v>
      </c>
    </row>
    <row r="229" spans="1:51" x14ac:dyDescent="0.2">
      <c r="A229" s="113"/>
      <c r="B229" s="123">
        <v>21</v>
      </c>
      <c r="C229" s="110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4">
        <v>0</v>
      </c>
      <c r="AP229" s="114">
        <v>0</v>
      </c>
      <c r="AQ229" s="114">
        <v>0</v>
      </c>
      <c r="AR229" s="114">
        <v>0</v>
      </c>
      <c r="AS229" s="114">
        <v>0</v>
      </c>
      <c r="AT229" s="114">
        <v>0</v>
      </c>
      <c r="AU229" s="114">
        <v>0</v>
      </c>
      <c r="AV229" s="114">
        <v>0</v>
      </c>
      <c r="AW229" s="114">
        <v>0</v>
      </c>
      <c r="AX229" s="114">
        <v>0</v>
      </c>
      <c r="AY229" s="114">
        <v>0</v>
      </c>
    </row>
    <row r="230" spans="1:51" x14ac:dyDescent="0.2">
      <c r="A230" s="113"/>
      <c r="B230" s="123">
        <v>22</v>
      </c>
      <c r="C230" s="110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4">
        <v>0</v>
      </c>
      <c r="AP230" s="114">
        <v>0</v>
      </c>
      <c r="AQ230" s="114">
        <v>0</v>
      </c>
      <c r="AR230" s="114">
        <v>0</v>
      </c>
      <c r="AS230" s="114">
        <v>0</v>
      </c>
      <c r="AT230" s="114">
        <v>0</v>
      </c>
      <c r="AU230" s="114">
        <v>0</v>
      </c>
      <c r="AV230" s="114">
        <v>0</v>
      </c>
      <c r="AW230" s="114">
        <v>0</v>
      </c>
      <c r="AX230" s="114">
        <v>0</v>
      </c>
      <c r="AY230" s="114">
        <v>0</v>
      </c>
    </row>
    <row r="231" spans="1:51" x14ac:dyDescent="0.2">
      <c r="A231" s="113"/>
      <c r="B231" s="123">
        <v>23</v>
      </c>
      <c r="C231" s="110">
        <v>0</v>
      </c>
      <c r="D231" s="114">
        <v>0</v>
      </c>
      <c r="E231" s="114">
        <v>0</v>
      </c>
      <c r="F231" s="114">
        <v>0</v>
      </c>
      <c r="G231" s="114">
        <v>0</v>
      </c>
      <c r="H231" s="114">
        <v>0</v>
      </c>
      <c r="I231" s="114">
        <v>0</v>
      </c>
      <c r="J231" s="114">
        <v>0</v>
      </c>
      <c r="K231" s="114">
        <v>0</v>
      </c>
      <c r="L231" s="114">
        <v>0</v>
      </c>
      <c r="M231" s="114">
        <v>0</v>
      </c>
      <c r="N231" s="114">
        <v>0</v>
      </c>
      <c r="O231" s="114">
        <v>0</v>
      </c>
      <c r="P231" s="114">
        <v>0</v>
      </c>
      <c r="Q231" s="114">
        <v>0</v>
      </c>
      <c r="R231" s="114">
        <v>0</v>
      </c>
      <c r="S231" s="114">
        <v>0</v>
      </c>
      <c r="T231" s="114">
        <v>0</v>
      </c>
      <c r="U231" s="114">
        <v>0</v>
      </c>
      <c r="V231" s="114">
        <v>0</v>
      </c>
      <c r="W231" s="114">
        <v>0</v>
      </c>
      <c r="X231" s="114">
        <v>0</v>
      </c>
      <c r="Y231" s="114">
        <v>0</v>
      </c>
      <c r="Z231" s="114">
        <v>0</v>
      </c>
      <c r="AA231" s="114">
        <v>0</v>
      </c>
      <c r="AB231" s="114">
        <v>0</v>
      </c>
      <c r="AC231" s="114">
        <v>0</v>
      </c>
      <c r="AD231" s="114">
        <v>0</v>
      </c>
      <c r="AE231" s="114">
        <v>0</v>
      </c>
      <c r="AF231" s="114">
        <v>0</v>
      </c>
      <c r="AG231" s="114">
        <v>0</v>
      </c>
      <c r="AH231" s="114">
        <v>0</v>
      </c>
      <c r="AI231" s="114">
        <v>0</v>
      </c>
      <c r="AJ231" s="114">
        <v>0</v>
      </c>
      <c r="AK231" s="114">
        <v>0</v>
      </c>
      <c r="AL231" s="114">
        <v>0</v>
      </c>
      <c r="AM231" s="114">
        <v>0</v>
      </c>
      <c r="AN231" s="114">
        <v>0</v>
      </c>
      <c r="AO231" s="114">
        <v>0</v>
      </c>
      <c r="AP231" s="114">
        <v>0</v>
      </c>
      <c r="AQ231" s="114">
        <v>0</v>
      </c>
      <c r="AR231" s="114">
        <v>0</v>
      </c>
      <c r="AS231" s="114">
        <v>0</v>
      </c>
      <c r="AT231" s="114">
        <v>0</v>
      </c>
      <c r="AU231" s="114">
        <v>0</v>
      </c>
      <c r="AV231" s="114">
        <v>0</v>
      </c>
      <c r="AW231" s="114">
        <v>0</v>
      </c>
      <c r="AX231" s="114">
        <v>0</v>
      </c>
      <c r="AY231" s="114">
        <v>0</v>
      </c>
    </row>
    <row r="232" spans="1:51" x14ac:dyDescent="0.2">
      <c r="A232" s="113"/>
      <c r="B232" s="123">
        <v>24</v>
      </c>
      <c r="C232" s="110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4">
        <v>0</v>
      </c>
      <c r="AP232" s="114">
        <v>0</v>
      </c>
      <c r="AQ232" s="114">
        <v>0</v>
      </c>
      <c r="AR232" s="114">
        <v>0</v>
      </c>
      <c r="AS232" s="114">
        <v>0</v>
      </c>
      <c r="AT232" s="114">
        <v>0</v>
      </c>
      <c r="AU232" s="114">
        <v>0</v>
      </c>
      <c r="AV232" s="114">
        <v>0</v>
      </c>
      <c r="AW232" s="114">
        <v>0</v>
      </c>
      <c r="AX232" s="114">
        <v>0</v>
      </c>
      <c r="AY232" s="114">
        <v>0</v>
      </c>
    </row>
    <row r="233" spans="1:51" x14ac:dyDescent="0.2">
      <c r="A233" s="113"/>
      <c r="B233" s="130">
        <v>25</v>
      </c>
      <c r="C233" s="110">
        <v>0</v>
      </c>
      <c r="D233" s="114">
        <v>0</v>
      </c>
      <c r="E233" s="114">
        <v>0</v>
      </c>
      <c r="F233" s="114">
        <v>0</v>
      </c>
      <c r="G233" s="114">
        <v>0</v>
      </c>
      <c r="H233" s="114">
        <v>0</v>
      </c>
      <c r="I233" s="114">
        <v>0</v>
      </c>
      <c r="J233" s="114">
        <v>0</v>
      </c>
      <c r="K233" s="114">
        <v>0</v>
      </c>
      <c r="L233" s="114">
        <v>0</v>
      </c>
      <c r="M233" s="114">
        <v>0</v>
      </c>
      <c r="N233" s="114">
        <v>0</v>
      </c>
      <c r="O233" s="114">
        <v>0</v>
      </c>
      <c r="P233" s="114">
        <v>0</v>
      </c>
      <c r="Q233" s="114">
        <v>0</v>
      </c>
      <c r="R233" s="114">
        <v>0</v>
      </c>
      <c r="S233" s="114">
        <v>0</v>
      </c>
      <c r="T233" s="114">
        <v>0</v>
      </c>
      <c r="U233" s="114">
        <v>0</v>
      </c>
      <c r="V233" s="114">
        <v>0</v>
      </c>
      <c r="W233" s="114">
        <v>0</v>
      </c>
      <c r="X233" s="114">
        <v>0</v>
      </c>
      <c r="Y233" s="114">
        <v>0</v>
      </c>
      <c r="Z233" s="114">
        <v>0</v>
      </c>
      <c r="AA233" s="114">
        <v>0</v>
      </c>
      <c r="AB233" s="114">
        <v>0</v>
      </c>
      <c r="AC233" s="114">
        <v>0</v>
      </c>
      <c r="AD233" s="114">
        <v>0</v>
      </c>
      <c r="AE233" s="114">
        <v>0</v>
      </c>
      <c r="AF233" s="114">
        <v>0</v>
      </c>
      <c r="AG233" s="114">
        <v>0</v>
      </c>
      <c r="AH233" s="114">
        <v>0</v>
      </c>
      <c r="AI233" s="114">
        <v>0</v>
      </c>
      <c r="AJ233" s="114">
        <v>0</v>
      </c>
      <c r="AK233" s="114">
        <v>0</v>
      </c>
      <c r="AL233" s="114">
        <v>0</v>
      </c>
      <c r="AM233" s="114">
        <v>0</v>
      </c>
      <c r="AN233" s="114">
        <v>0</v>
      </c>
      <c r="AO233" s="114">
        <v>0</v>
      </c>
      <c r="AP233" s="114">
        <v>0</v>
      </c>
      <c r="AQ233" s="114">
        <v>0</v>
      </c>
      <c r="AR233" s="114">
        <v>0</v>
      </c>
      <c r="AS233" s="114">
        <v>0</v>
      </c>
      <c r="AT233" s="114">
        <v>0</v>
      </c>
      <c r="AU233" s="114">
        <v>0</v>
      </c>
      <c r="AV233" s="114">
        <v>0</v>
      </c>
      <c r="AW233" s="114">
        <v>0</v>
      </c>
      <c r="AX233" s="114">
        <v>0</v>
      </c>
      <c r="AY233" s="114">
        <v>0</v>
      </c>
    </row>
    <row r="234" spans="1:51" x14ac:dyDescent="0.2">
      <c r="A234" s="113"/>
      <c r="B234" s="130">
        <v>26</v>
      </c>
      <c r="C234" s="110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4">
        <v>0</v>
      </c>
      <c r="AP234" s="114">
        <v>0</v>
      </c>
      <c r="AQ234" s="114">
        <v>0</v>
      </c>
      <c r="AR234" s="114">
        <v>0</v>
      </c>
      <c r="AS234" s="114">
        <v>0</v>
      </c>
      <c r="AT234" s="114">
        <v>0</v>
      </c>
      <c r="AU234" s="114">
        <v>0</v>
      </c>
      <c r="AV234" s="114">
        <v>0</v>
      </c>
      <c r="AW234" s="114">
        <v>0</v>
      </c>
      <c r="AX234" s="114">
        <v>0</v>
      </c>
      <c r="AY234" s="114">
        <v>0</v>
      </c>
    </row>
    <row r="235" spans="1:51" x14ac:dyDescent="0.2">
      <c r="A235" s="113"/>
      <c r="B235" s="130">
        <v>27</v>
      </c>
      <c r="C235" s="110">
        <v>0</v>
      </c>
      <c r="D235" s="114">
        <v>0</v>
      </c>
      <c r="E235" s="114">
        <v>0</v>
      </c>
      <c r="F235" s="114">
        <v>0</v>
      </c>
      <c r="G235" s="114">
        <v>0</v>
      </c>
      <c r="H235" s="114">
        <v>0</v>
      </c>
      <c r="I235" s="114">
        <v>0</v>
      </c>
      <c r="J235" s="114">
        <v>0</v>
      </c>
      <c r="K235" s="114">
        <v>0</v>
      </c>
      <c r="L235" s="114">
        <v>0</v>
      </c>
      <c r="M235" s="114">
        <v>0</v>
      </c>
      <c r="N235" s="114">
        <v>0</v>
      </c>
      <c r="O235" s="114">
        <v>0</v>
      </c>
      <c r="P235" s="114">
        <v>0</v>
      </c>
      <c r="Q235" s="114">
        <v>0</v>
      </c>
      <c r="R235" s="114">
        <v>0</v>
      </c>
      <c r="S235" s="114">
        <v>0</v>
      </c>
      <c r="T235" s="114">
        <v>0</v>
      </c>
      <c r="U235" s="114">
        <v>0</v>
      </c>
      <c r="V235" s="114">
        <v>0</v>
      </c>
      <c r="W235" s="114">
        <v>0</v>
      </c>
      <c r="X235" s="114">
        <v>0</v>
      </c>
      <c r="Y235" s="114">
        <v>0</v>
      </c>
      <c r="Z235" s="114">
        <v>0</v>
      </c>
      <c r="AA235" s="114">
        <v>0</v>
      </c>
      <c r="AB235" s="114">
        <v>0</v>
      </c>
      <c r="AC235" s="114">
        <v>0</v>
      </c>
      <c r="AD235" s="114">
        <v>0</v>
      </c>
      <c r="AE235" s="114">
        <v>0</v>
      </c>
      <c r="AF235" s="114">
        <v>0</v>
      </c>
      <c r="AG235" s="114">
        <v>0</v>
      </c>
      <c r="AH235" s="114">
        <v>0</v>
      </c>
      <c r="AI235" s="114">
        <v>0</v>
      </c>
      <c r="AJ235" s="114">
        <v>0</v>
      </c>
      <c r="AK235" s="114">
        <v>0</v>
      </c>
      <c r="AL235" s="114">
        <v>0</v>
      </c>
      <c r="AM235" s="114">
        <v>0</v>
      </c>
      <c r="AN235" s="114">
        <v>0</v>
      </c>
      <c r="AO235" s="114">
        <v>0</v>
      </c>
      <c r="AP235" s="114">
        <v>0</v>
      </c>
      <c r="AQ235" s="114">
        <v>0</v>
      </c>
      <c r="AR235" s="114">
        <v>0</v>
      </c>
      <c r="AS235" s="114">
        <v>0</v>
      </c>
      <c r="AT235" s="114">
        <v>0</v>
      </c>
      <c r="AU235" s="114">
        <v>0</v>
      </c>
      <c r="AV235" s="114">
        <v>0</v>
      </c>
      <c r="AW235" s="114">
        <v>0</v>
      </c>
      <c r="AX235" s="114">
        <v>0</v>
      </c>
      <c r="AY235" s="114">
        <v>0</v>
      </c>
    </row>
    <row r="236" spans="1:51" x14ac:dyDescent="0.2">
      <c r="A236" s="113"/>
      <c r="B236" s="130">
        <v>28</v>
      </c>
      <c r="C236" s="110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4">
        <v>0</v>
      </c>
      <c r="AP236" s="114">
        <v>0</v>
      </c>
      <c r="AQ236" s="114">
        <v>0</v>
      </c>
      <c r="AR236" s="114">
        <v>0</v>
      </c>
      <c r="AS236" s="114">
        <v>0</v>
      </c>
      <c r="AT236" s="114">
        <v>0</v>
      </c>
      <c r="AU236" s="114">
        <v>0</v>
      </c>
      <c r="AV236" s="114">
        <v>0</v>
      </c>
      <c r="AW236" s="114">
        <v>0</v>
      </c>
      <c r="AX236" s="114">
        <v>0</v>
      </c>
      <c r="AY236" s="114">
        <v>0</v>
      </c>
    </row>
    <row r="237" spans="1:51" x14ac:dyDescent="0.2">
      <c r="A237" s="113"/>
      <c r="B237" s="130">
        <v>29</v>
      </c>
      <c r="C237" s="110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4">
        <v>0</v>
      </c>
      <c r="AP237" s="114">
        <v>0</v>
      </c>
      <c r="AQ237" s="114">
        <v>0</v>
      </c>
      <c r="AR237" s="114">
        <v>0</v>
      </c>
      <c r="AS237" s="114">
        <v>0</v>
      </c>
      <c r="AT237" s="114">
        <v>0</v>
      </c>
      <c r="AU237" s="114">
        <v>0</v>
      </c>
      <c r="AV237" s="114">
        <v>0</v>
      </c>
      <c r="AW237" s="114">
        <v>0</v>
      </c>
      <c r="AX237" s="114">
        <v>0</v>
      </c>
      <c r="AY237" s="114">
        <v>0</v>
      </c>
    </row>
    <row r="238" spans="1:51" x14ac:dyDescent="0.2">
      <c r="A238" s="113"/>
      <c r="B238" s="130">
        <v>30</v>
      </c>
      <c r="C238" s="110">
        <v>0</v>
      </c>
      <c r="D238" s="114">
        <v>0</v>
      </c>
      <c r="E238" s="114">
        <v>0</v>
      </c>
      <c r="F238" s="114">
        <v>0</v>
      </c>
      <c r="G238" s="114">
        <v>0</v>
      </c>
      <c r="H238" s="114">
        <v>0</v>
      </c>
      <c r="I238" s="114">
        <v>0</v>
      </c>
      <c r="J238" s="114">
        <v>0</v>
      </c>
      <c r="K238" s="114">
        <v>0</v>
      </c>
      <c r="L238" s="114">
        <v>0</v>
      </c>
      <c r="M238" s="114">
        <v>0</v>
      </c>
      <c r="N238" s="114">
        <v>0</v>
      </c>
      <c r="O238" s="114">
        <v>0</v>
      </c>
      <c r="P238" s="114">
        <v>0</v>
      </c>
      <c r="Q238" s="114">
        <v>0</v>
      </c>
      <c r="R238" s="114">
        <v>0</v>
      </c>
      <c r="S238" s="114">
        <v>0</v>
      </c>
      <c r="T238" s="114">
        <v>0</v>
      </c>
      <c r="U238" s="114">
        <v>0</v>
      </c>
      <c r="V238" s="114">
        <v>0</v>
      </c>
      <c r="W238" s="114">
        <v>0</v>
      </c>
      <c r="X238" s="114">
        <v>0</v>
      </c>
      <c r="Y238" s="114">
        <v>0</v>
      </c>
      <c r="Z238" s="114">
        <v>0</v>
      </c>
      <c r="AA238" s="114">
        <v>0</v>
      </c>
      <c r="AB238" s="114">
        <v>0</v>
      </c>
      <c r="AC238" s="114">
        <v>0</v>
      </c>
      <c r="AD238" s="114">
        <v>0</v>
      </c>
      <c r="AE238" s="114">
        <v>0</v>
      </c>
      <c r="AF238" s="114">
        <v>0</v>
      </c>
      <c r="AG238" s="114">
        <v>0</v>
      </c>
      <c r="AH238" s="114">
        <v>0</v>
      </c>
      <c r="AI238" s="114">
        <v>0</v>
      </c>
      <c r="AJ238" s="114">
        <v>0</v>
      </c>
      <c r="AK238" s="114">
        <v>0</v>
      </c>
      <c r="AL238" s="114">
        <v>0</v>
      </c>
      <c r="AM238" s="114">
        <v>0</v>
      </c>
      <c r="AN238" s="114">
        <v>0</v>
      </c>
      <c r="AO238" s="114">
        <v>0</v>
      </c>
      <c r="AP238" s="114">
        <v>0</v>
      </c>
      <c r="AQ238" s="114">
        <v>0</v>
      </c>
      <c r="AR238" s="114">
        <v>0</v>
      </c>
      <c r="AS238" s="114">
        <v>0</v>
      </c>
      <c r="AT238" s="114">
        <v>0</v>
      </c>
      <c r="AU238" s="114">
        <v>0</v>
      </c>
      <c r="AV238" s="114">
        <v>0</v>
      </c>
      <c r="AW238" s="114">
        <v>0</v>
      </c>
      <c r="AX238" s="114">
        <v>0</v>
      </c>
      <c r="AY238" s="114">
        <v>0</v>
      </c>
    </row>
    <row r="239" spans="1:51" x14ac:dyDescent="0.2">
      <c r="A239" s="113"/>
      <c r="B239" s="130">
        <v>31</v>
      </c>
      <c r="C239" s="110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4">
        <v>0</v>
      </c>
      <c r="AP239" s="114">
        <v>0</v>
      </c>
      <c r="AQ239" s="114">
        <v>0</v>
      </c>
      <c r="AR239" s="114">
        <v>0</v>
      </c>
      <c r="AS239" s="114">
        <v>0</v>
      </c>
      <c r="AT239" s="114">
        <v>0</v>
      </c>
      <c r="AU239" s="114">
        <v>0</v>
      </c>
      <c r="AV239" s="114">
        <v>0</v>
      </c>
      <c r="AW239" s="114">
        <v>0</v>
      </c>
      <c r="AX239" s="114">
        <v>0</v>
      </c>
      <c r="AY239" s="114">
        <v>0</v>
      </c>
    </row>
    <row r="240" spans="1:51" x14ac:dyDescent="0.2">
      <c r="A240" s="113"/>
      <c r="B240" s="130">
        <v>32</v>
      </c>
      <c r="C240" s="110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4">
        <v>0</v>
      </c>
      <c r="AP240" s="114">
        <v>0</v>
      </c>
      <c r="AQ240" s="114">
        <v>0</v>
      </c>
      <c r="AR240" s="114">
        <v>0</v>
      </c>
      <c r="AS240" s="114">
        <v>0</v>
      </c>
      <c r="AT240" s="114">
        <v>0</v>
      </c>
      <c r="AU240" s="114">
        <v>0</v>
      </c>
      <c r="AV240" s="114">
        <v>0</v>
      </c>
      <c r="AW240" s="114">
        <v>0</v>
      </c>
      <c r="AX240" s="114">
        <v>0</v>
      </c>
      <c r="AY240" s="114">
        <v>0</v>
      </c>
    </row>
    <row r="241" spans="1:51" x14ac:dyDescent="0.2">
      <c r="A241" s="113"/>
      <c r="B241" s="130">
        <v>33</v>
      </c>
      <c r="C241" s="110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4">
        <v>0</v>
      </c>
      <c r="AP241" s="114">
        <v>0</v>
      </c>
      <c r="AQ241" s="114">
        <v>0</v>
      </c>
      <c r="AR241" s="114">
        <v>0</v>
      </c>
      <c r="AS241" s="114">
        <v>0</v>
      </c>
      <c r="AT241" s="114">
        <v>0</v>
      </c>
      <c r="AU241" s="114">
        <v>0</v>
      </c>
      <c r="AV241" s="114">
        <v>0</v>
      </c>
      <c r="AW241" s="114">
        <v>0</v>
      </c>
      <c r="AX241" s="114">
        <v>0</v>
      </c>
      <c r="AY241" s="114">
        <v>0</v>
      </c>
    </row>
    <row r="242" spans="1:51" x14ac:dyDescent="0.2">
      <c r="A242" s="113"/>
      <c r="B242" s="130">
        <v>34</v>
      </c>
      <c r="C242" s="110">
        <v>0</v>
      </c>
      <c r="D242" s="114">
        <v>0</v>
      </c>
      <c r="E242" s="114">
        <v>0</v>
      </c>
      <c r="F242" s="114">
        <v>0</v>
      </c>
      <c r="G242" s="114">
        <v>0</v>
      </c>
      <c r="H242" s="114">
        <v>0</v>
      </c>
      <c r="I242" s="114">
        <v>0</v>
      </c>
      <c r="J242" s="114">
        <v>0</v>
      </c>
      <c r="K242" s="114">
        <v>0</v>
      </c>
      <c r="L242" s="114">
        <v>0</v>
      </c>
      <c r="M242" s="114">
        <v>0</v>
      </c>
      <c r="N242" s="114">
        <v>0</v>
      </c>
      <c r="O242" s="114">
        <v>0</v>
      </c>
      <c r="P242" s="114">
        <v>0</v>
      </c>
      <c r="Q242" s="114">
        <v>0</v>
      </c>
      <c r="R242" s="114">
        <v>0</v>
      </c>
      <c r="S242" s="114">
        <v>0</v>
      </c>
      <c r="T242" s="114">
        <v>0</v>
      </c>
      <c r="U242" s="114">
        <v>0</v>
      </c>
      <c r="V242" s="114">
        <v>0</v>
      </c>
      <c r="W242" s="114">
        <v>0</v>
      </c>
      <c r="X242" s="114">
        <v>0</v>
      </c>
      <c r="Y242" s="114">
        <v>0</v>
      </c>
      <c r="Z242" s="114">
        <v>0</v>
      </c>
      <c r="AA242" s="114">
        <v>0</v>
      </c>
      <c r="AB242" s="114">
        <v>0</v>
      </c>
      <c r="AC242" s="114">
        <v>0</v>
      </c>
      <c r="AD242" s="114">
        <v>0</v>
      </c>
      <c r="AE242" s="114">
        <v>0</v>
      </c>
      <c r="AF242" s="114">
        <v>0</v>
      </c>
      <c r="AG242" s="114">
        <v>0</v>
      </c>
      <c r="AH242" s="114">
        <v>0</v>
      </c>
      <c r="AI242" s="114">
        <v>0</v>
      </c>
      <c r="AJ242" s="114">
        <v>0</v>
      </c>
      <c r="AK242" s="114">
        <v>0</v>
      </c>
      <c r="AL242" s="114">
        <v>0</v>
      </c>
      <c r="AM242" s="114">
        <v>0</v>
      </c>
      <c r="AN242" s="114">
        <v>0</v>
      </c>
      <c r="AO242" s="114">
        <v>0</v>
      </c>
      <c r="AP242" s="114">
        <v>0</v>
      </c>
      <c r="AQ242" s="114">
        <v>0</v>
      </c>
      <c r="AR242" s="114">
        <v>0</v>
      </c>
      <c r="AS242" s="114">
        <v>0</v>
      </c>
      <c r="AT242" s="114">
        <v>0</v>
      </c>
      <c r="AU242" s="114">
        <v>0</v>
      </c>
      <c r="AV242" s="114">
        <v>0</v>
      </c>
      <c r="AW242" s="114">
        <v>0</v>
      </c>
      <c r="AX242" s="114">
        <v>0</v>
      </c>
      <c r="AY242" s="114">
        <v>0</v>
      </c>
    </row>
    <row r="243" spans="1:51" x14ac:dyDescent="0.2">
      <c r="A243" s="113"/>
      <c r="B243" s="130">
        <v>35</v>
      </c>
      <c r="C243" s="110">
        <v>0</v>
      </c>
      <c r="D243" s="114">
        <v>0</v>
      </c>
      <c r="E243" s="114">
        <v>0</v>
      </c>
      <c r="F243" s="114">
        <v>0</v>
      </c>
      <c r="G243" s="114">
        <v>0</v>
      </c>
      <c r="H243" s="114">
        <v>0</v>
      </c>
      <c r="I243" s="114">
        <v>0</v>
      </c>
      <c r="J243" s="114">
        <v>0</v>
      </c>
      <c r="K243" s="114">
        <v>0</v>
      </c>
      <c r="L243" s="114">
        <v>0</v>
      </c>
      <c r="M243" s="114">
        <v>0</v>
      </c>
      <c r="N243" s="114">
        <v>0</v>
      </c>
      <c r="O243" s="114">
        <v>0</v>
      </c>
      <c r="P243" s="114">
        <v>0</v>
      </c>
      <c r="Q243" s="114">
        <v>0</v>
      </c>
      <c r="R243" s="114">
        <v>0</v>
      </c>
      <c r="S243" s="114">
        <v>0</v>
      </c>
      <c r="T243" s="114">
        <v>0</v>
      </c>
      <c r="U243" s="114">
        <v>0</v>
      </c>
      <c r="V243" s="114">
        <v>0</v>
      </c>
      <c r="W243" s="114">
        <v>0</v>
      </c>
      <c r="X243" s="114">
        <v>0</v>
      </c>
      <c r="Y243" s="114">
        <v>0</v>
      </c>
      <c r="Z243" s="114">
        <v>0</v>
      </c>
      <c r="AA243" s="114">
        <v>0</v>
      </c>
      <c r="AB243" s="114">
        <v>0</v>
      </c>
      <c r="AC243" s="114">
        <v>0</v>
      </c>
      <c r="AD243" s="114">
        <v>0</v>
      </c>
      <c r="AE243" s="114">
        <v>0</v>
      </c>
      <c r="AF243" s="114">
        <v>0</v>
      </c>
      <c r="AG243" s="114">
        <v>0</v>
      </c>
      <c r="AH243" s="114">
        <v>0</v>
      </c>
      <c r="AI243" s="114">
        <v>0</v>
      </c>
      <c r="AJ243" s="114">
        <v>0</v>
      </c>
      <c r="AK243" s="114">
        <v>0</v>
      </c>
      <c r="AL243" s="114">
        <v>0</v>
      </c>
      <c r="AM243" s="114">
        <v>0</v>
      </c>
      <c r="AN243" s="114">
        <v>0</v>
      </c>
      <c r="AO243" s="114">
        <v>0</v>
      </c>
      <c r="AP243" s="114">
        <v>0</v>
      </c>
      <c r="AQ243" s="114">
        <v>0</v>
      </c>
      <c r="AR243" s="114">
        <v>0</v>
      </c>
      <c r="AS243" s="114">
        <v>0</v>
      </c>
      <c r="AT243" s="114">
        <v>0</v>
      </c>
      <c r="AU243" s="114">
        <v>0</v>
      </c>
      <c r="AV243" s="114">
        <v>0</v>
      </c>
      <c r="AW243" s="114">
        <v>0</v>
      </c>
      <c r="AX243" s="114">
        <v>0</v>
      </c>
      <c r="AY243" s="114">
        <v>0</v>
      </c>
    </row>
    <row r="244" spans="1:51" x14ac:dyDescent="0.2">
      <c r="A244" s="113"/>
      <c r="B244" s="130">
        <v>36</v>
      </c>
      <c r="C244" s="110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4">
        <v>0</v>
      </c>
      <c r="AP244" s="114">
        <v>0</v>
      </c>
      <c r="AQ244" s="114">
        <v>0</v>
      </c>
      <c r="AR244" s="114">
        <v>0</v>
      </c>
      <c r="AS244" s="114">
        <v>0</v>
      </c>
      <c r="AT244" s="114">
        <v>0</v>
      </c>
      <c r="AU244" s="114">
        <v>0</v>
      </c>
      <c r="AV244" s="114">
        <v>0</v>
      </c>
      <c r="AW244" s="114">
        <v>0</v>
      </c>
      <c r="AX244" s="114">
        <v>0</v>
      </c>
      <c r="AY244" s="114">
        <v>0</v>
      </c>
    </row>
    <row r="245" spans="1:51" x14ac:dyDescent="0.2">
      <c r="A245" s="113"/>
      <c r="B245" s="133">
        <v>37</v>
      </c>
      <c r="C245" s="110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4">
        <v>0</v>
      </c>
      <c r="AP245" s="114">
        <v>0</v>
      </c>
      <c r="AQ245" s="114">
        <v>0</v>
      </c>
      <c r="AR245" s="114">
        <v>0</v>
      </c>
      <c r="AS245" s="114">
        <v>0</v>
      </c>
      <c r="AT245" s="114">
        <v>0</v>
      </c>
      <c r="AU245" s="114">
        <v>0</v>
      </c>
      <c r="AV245" s="114">
        <v>0</v>
      </c>
      <c r="AW245" s="114">
        <v>0</v>
      </c>
      <c r="AX245" s="114">
        <v>0</v>
      </c>
      <c r="AY245" s="114">
        <v>0</v>
      </c>
    </row>
    <row r="246" spans="1:51" x14ac:dyDescent="0.2">
      <c r="A246" s="113"/>
      <c r="B246" s="133">
        <v>38</v>
      </c>
      <c r="C246" s="110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4">
        <v>0</v>
      </c>
      <c r="AP246" s="114">
        <v>0</v>
      </c>
      <c r="AQ246" s="114">
        <v>0</v>
      </c>
      <c r="AR246" s="114">
        <v>0</v>
      </c>
      <c r="AS246" s="114">
        <v>0</v>
      </c>
      <c r="AT246" s="114">
        <v>0</v>
      </c>
      <c r="AU246" s="114">
        <v>0</v>
      </c>
      <c r="AV246" s="114">
        <v>0</v>
      </c>
      <c r="AW246" s="114">
        <v>0</v>
      </c>
      <c r="AX246" s="114">
        <v>0</v>
      </c>
      <c r="AY246" s="114">
        <v>0</v>
      </c>
    </row>
    <row r="247" spans="1:51" x14ac:dyDescent="0.2">
      <c r="A247" s="113"/>
      <c r="B247" s="133">
        <v>39</v>
      </c>
      <c r="C247" s="110">
        <v>0</v>
      </c>
      <c r="D247" s="114">
        <v>0</v>
      </c>
      <c r="E247" s="114">
        <v>0</v>
      </c>
      <c r="F247" s="114">
        <v>0</v>
      </c>
      <c r="G247" s="114">
        <v>0</v>
      </c>
      <c r="H247" s="114">
        <v>0</v>
      </c>
      <c r="I247" s="114">
        <v>0</v>
      </c>
      <c r="J247" s="114">
        <v>0</v>
      </c>
      <c r="K247" s="114">
        <v>0</v>
      </c>
      <c r="L247" s="114">
        <v>0</v>
      </c>
      <c r="M247" s="114">
        <v>0</v>
      </c>
      <c r="N247" s="114">
        <v>0</v>
      </c>
      <c r="O247" s="114">
        <v>0</v>
      </c>
      <c r="P247" s="114">
        <v>0</v>
      </c>
      <c r="Q247" s="114">
        <v>0</v>
      </c>
      <c r="R247" s="114">
        <v>0</v>
      </c>
      <c r="S247" s="114">
        <v>0</v>
      </c>
      <c r="T247" s="114">
        <v>0</v>
      </c>
      <c r="U247" s="114">
        <v>0</v>
      </c>
      <c r="V247" s="114">
        <v>0</v>
      </c>
      <c r="W247" s="114">
        <v>0</v>
      </c>
      <c r="X247" s="114">
        <v>0</v>
      </c>
      <c r="Y247" s="114">
        <v>0</v>
      </c>
      <c r="Z247" s="114">
        <v>0</v>
      </c>
      <c r="AA247" s="114">
        <v>0</v>
      </c>
      <c r="AB247" s="114">
        <v>0</v>
      </c>
      <c r="AC247" s="114">
        <v>0</v>
      </c>
      <c r="AD247" s="114">
        <v>0</v>
      </c>
      <c r="AE247" s="114">
        <v>0</v>
      </c>
      <c r="AF247" s="114">
        <v>0</v>
      </c>
      <c r="AG247" s="114">
        <v>0</v>
      </c>
      <c r="AH247" s="114">
        <v>0</v>
      </c>
      <c r="AI247" s="114">
        <v>0</v>
      </c>
      <c r="AJ247" s="114">
        <v>0</v>
      </c>
      <c r="AK247" s="114">
        <v>0</v>
      </c>
      <c r="AL247" s="114">
        <v>0</v>
      </c>
      <c r="AM247" s="114">
        <v>0</v>
      </c>
      <c r="AN247" s="114">
        <v>0</v>
      </c>
      <c r="AO247" s="114">
        <v>0</v>
      </c>
      <c r="AP247" s="114">
        <v>0</v>
      </c>
      <c r="AQ247" s="114">
        <v>0</v>
      </c>
      <c r="AR247" s="114">
        <v>0</v>
      </c>
      <c r="AS247" s="114">
        <v>0</v>
      </c>
      <c r="AT247" s="114">
        <v>0</v>
      </c>
      <c r="AU247" s="114">
        <v>0</v>
      </c>
      <c r="AV247" s="114">
        <v>0</v>
      </c>
      <c r="AW247" s="114">
        <v>0</v>
      </c>
      <c r="AX247" s="114">
        <v>0</v>
      </c>
      <c r="AY247" s="114">
        <v>0</v>
      </c>
    </row>
    <row r="248" spans="1:51" x14ac:dyDescent="0.2">
      <c r="A248" s="113"/>
      <c r="B248" s="133">
        <v>40</v>
      </c>
      <c r="C248" s="110">
        <v>0</v>
      </c>
      <c r="D248" s="114">
        <v>0</v>
      </c>
      <c r="E248" s="114">
        <v>0</v>
      </c>
      <c r="F248" s="114">
        <v>0</v>
      </c>
      <c r="G248" s="114">
        <v>0</v>
      </c>
      <c r="H248" s="114">
        <v>0</v>
      </c>
      <c r="I248" s="114">
        <v>0</v>
      </c>
      <c r="J248" s="114">
        <v>0</v>
      </c>
      <c r="K248" s="114">
        <v>0</v>
      </c>
      <c r="L248" s="114">
        <v>0</v>
      </c>
      <c r="M248" s="114">
        <v>0</v>
      </c>
      <c r="N248" s="114">
        <v>0</v>
      </c>
      <c r="O248" s="114">
        <v>0</v>
      </c>
      <c r="P248" s="114">
        <v>0</v>
      </c>
      <c r="Q248" s="114">
        <v>0</v>
      </c>
      <c r="R248" s="114">
        <v>0</v>
      </c>
      <c r="S248" s="114">
        <v>0</v>
      </c>
      <c r="T248" s="114">
        <v>0</v>
      </c>
      <c r="U248" s="114">
        <v>0</v>
      </c>
      <c r="V248" s="114">
        <v>0</v>
      </c>
      <c r="W248" s="114">
        <v>0</v>
      </c>
      <c r="X248" s="114">
        <v>0</v>
      </c>
      <c r="Y248" s="114">
        <v>0</v>
      </c>
      <c r="Z248" s="114">
        <v>0</v>
      </c>
      <c r="AA248" s="114">
        <v>0</v>
      </c>
      <c r="AB248" s="114">
        <v>0</v>
      </c>
      <c r="AC248" s="114">
        <v>0</v>
      </c>
      <c r="AD248" s="114">
        <v>0</v>
      </c>
      <c r="AE248" s="114">
        <v>0</v>
      </c>
      <c r="AF248" s="114">
        <v>0</v>
      </c>
      <c r="AG248" s="114">
        <v>0</v>
      </c>
      <c r="AH248" s="114">
        <v>0</v>
      </c>
      <c r="AI248" s="114">
        <v>0</v>
      </c>
      <c r="AJ248" s="114">
        <v>0</v>
      </c>
      <c r="AK248" s="114">
        <v>0</v>
      </c>
      <c r="AL248" s="114">
        <v>0</v>
      </c>
      <c r="AM248" s="114">
        <v>0</v>
      </c>
      <c r="AN248" s="114">
        <v>0</v>
      </c>
      <c r="AO248" s="114">
        <v>0</v>
      </c>
      <c r="AP248" s="114">
        <v>0</v>
      </c>
      <c r="AQ248" s="114">
        <v>0</v>
      </c>
      <c r="AR248" s="114">
        <v>0</v>
      </c>
      <c r="AS248" s="114">
        <v>0</v>
      </c>
      <c r="AT248" s="114">
        <v>0</v>
      </c>
      <c r="AU248" s="114">
        <v>0</v>
      </c>
      <c r="AV248" s="114">
        <v>0</v>
      </c>
      <c r="AW248" s="114">
        <v>0</v>
      </c>
      <c r="AX248" s="114">
        <v>0</v>
      </c>
      <c r="AY248" s="114">
        <v>0</v>
      </c>
    </row>
    <row r="249" spans="1:51" x14ac:dyDescent="0.2">
      <c r="A249" s="113"/>
      <c r="B249" s="133">
        <v>41</v>
      </c>
      <c r="C249" s="110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4">
        <v>0</v>
      </c>
      <c r="AP249" s="114">
        <v>0</v>
      </c>
      <c r="AQ249" s="114">
        <v>0</v>
      </c>
      <c r="AR249" s="114">
        <v>0</v>
      </c>
      <c r="AS249" s="114">
        <v>0</v>
      </c>
      <c r="AT249" s="114">
        <v>0</v>
      </c>
      <c r="AU249" s="114">
        <v>0</v>
      </c>
      <c r="AV249" s="114">
        <v>0</v>
      </c>
      <c r="AW249" s="114">
        <v>0</v>
      </c>
      <c r="AX249" s="114">
        <v>0</v>
      </c>
      <c r="AY249" s="114">
        <v>0</v>
      </c>
    </row>
    <row r="250" spans="1:51" x14ac:dyDescent="0.2">
      <c r="A250" s="113"/>
      <c r="B250" s="133">
        <v>42</v>
      </c>
      <c r="C250" s="110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4">
        <v>0</v>
      </c>
      <c r="AP250" s="114">
        <v>0</v>
      </c>
      <c r="AQ250" s="114">
        <v>0</v>
      </c>
      <c r="AR250" s="114">
        <v>0</v>
      </c>
      <c r="AS250" s="114">
        <v>0</v>
      </c>
      <c r="AT250" s="114">
        <v>0</v>
      </c>
      <c r="AU250" s="114">
        <v>0</v>
      </c>
      <c r="AV250" s="114">
        <v>0</v>
      </c>
      <c r="AW250" s="114">
        <v>0</v>
      </c>
      <c r="AX250" s="114">
        <v>0</v>
      </c>
      <c r="AY250" s="114">
        <v>0</v>
      </c>
    </row>
    <row r="251" spans="1:51" x14ac:dyDescent="0.2">
      <c r="A251" s="113"/>
      <c r="B251" s="133">
        <v>43</v>
      </c>
      <c r="C251" s="110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4">
        <v>0</v>
      </c>
      <c r="AP251" s="114">
        <v>0</v>
      </c>
      <c r="AQ251" s="114">
        <v>0</v>
      </c>
      <c r="AR251" s="114">
        <v>0</v>
      </c>
      <c r="AS251" s="114">
        <v>0</v>
      </c>
      <c r="AT251" s="114">
        <v>0</v>
      </c>
      <c r="AU251" s="114">
        <v>0</v>
      </c>
      <c r="AV251" s="114">
        <v>0</v>
      </c>
      <c r="AW251" s="114">
        <v>0</v>
      </c>
      <c r="AX251" s="114">
        <v>0</v>
      </c>
      <c r="AY251" s="114">
        <v>0</v>
      </c>
    </row>
    <row r="252" spans="1:51" x14ac:dyDescent="0.2">
      <c r="A252" s="113"/>
      <c r="B252" s="133">
        <v>44</v>
      </c>
      <c r="C252" s="110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4">
        <v>0</v>
      </c>
      <c r="AP252" s="114">
        <v>0</v>
      </c>
      <c r="AQ252" s="114">
        <v>0</v>
      </c>
      <c r="AR252" s="114">
        <v>0</v>
      </c>
      <c r="AS252" s="114">
        <v>0</v>
      </c>
      <c r="AT252" s="114">
        <v>0</v>
      </c>
      <c r="AU252" s="114">
        <v>0</v>
      </c>
      <c r="AV252" s="114">
        <v>0</v>
      </c>
      <c r="AW252" s="114">
        <v>0</v>
      </c>
      <c r="AX252" s="114">
        <v>0</v>
      </c>
      <c r="AY252" s="114">
        <v>0</v>
      </c>
    </row>
    <row r="253" spans="1:51" x14ac:dyDescent="0.2">
      <c r="A253" s="113"/>
      <c r="B253" s="133">
        <v>45</v>
      </c>
      <c r="C253" s="110">
        <v>0</v>
      </c>
      <c r="D253" s="114">
        <v>0</v>
      </c>
      <c r="E253" s="114">
        <v>0</v>
      </c>
      <c r="F253" s="114">
        <v>0</v>
      </c>
      <c r="G253" s="114">
        <v>0</v>
      </c>
      <c r="H253" s="114">
        <v>0</v>
      </c>
      <c r="I253" s="114">
        <v>0</v>
      </c>
      <c r="J253" s="114">
        <v>0</v>
      </c>
      <c r="K253" s="114">
        <v>0</v>
      </c>
      <c r="L253" s="114">
        <v>0</v>
      </c>
      <c r="M253" s="114">
        <v>0</v>
      </c>
      <c r="N253" s="114">
        <v>0</v>
      </c>
      <c r="O253" s="114">
        <v>0</v>
      </c>
      <c r="P253" s="114">
        <v>0</v>
      </c>
      <c r="Q253" s="114">
        <v>0</v>
      </c>
      <c r="R253" s="114">
        <v>0</v>
      </c>
      <c r="S253" s="114">
        <v>0</v>
      </c>
      <c r="T253" s="114">
        <v>0</v>
      </c>
      <c r="U253" s="114">
        <v>0</v>
      </c>
      <c r="V253" s="114">
        <v>0</v>
      </c>
      <c r="W253" s="114">
        <v>0</v>
      </c>
      <c r="X253" s="114">
        <v>0</v>
      </c>
      <c r="Y253" s="114">
        <v>0</v>
      </c>
      <c r="Z253" s="114">
        <v>0</v>
      </c>
      <c r="AA253" s="114">
        <v>0</v>
      </c>
      <c r="AB253" s="114">
        <v>0</v>
      </c>
      <c r="AC253" s="114">
        <v>0</v>
      </c>
      <c r="AD253" s="114">
        <v>0</v>
      </c>
      <c r="AE253" s="114">
        <v>0</v>
      </c>
      <c r="AF253" s="114">
        <v>0</v>
      </c>
      <c r="AG253" s="114">
        <v>0</v>
      </c>
      <c r="AH253" s="114">
        <v>0</v>
      </c>
      <c r="AI253" s="114">
        <v>0</v>
      </c>
      <c r="AJ253" s="114">
        <v>0</v>
      </c>
      <c r="AK253" s="114">
        <v>0</v>
      </c>
      <c r="AL253" s="114">
        <v>0</v>
      </c>
      <c r="AM253" s="114">
        <v>0</v>
      </c>
      <c r="AN253" s="114">
        <v>0</v>
      </c>
      <c r="AO253" s="114">
        <v>0</v>
      </c>
      <c r="AP253" s="114">
        <v>0</v>
      </c>
      <c r="AQ253" s="114">
        <v>0</v>
      </c>
      <c r="AR253" s="114">
        <v>0</v>
      </c>
      <c r="AS253" s="114">
        <v>0</v>
      </c>
      <c r="AT253" s="114">
        <v>0</v>
      </c>
      <c r="AU253" s="114">
        <v>0</v>
      </c>
      <c r="AV253" s="114">
        <v>0</v>
      </c>
      <c r="AW253" s="114">
        <v>0</v>
      </c>
      <c r="AX253" s="114">
        <v>0</v>
      </c>
      <c r="AY253" s="114">
        <v>0</v>
      </c>
    </row>
    <row r="254" spans="1:51" x14ac:dyDescent="0.2">
      <c r="A254" s="113"/>
      <c r="B254" s="133">
        <v>46</v>
      </c>
      <c r="C254" s="110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4">
        <v>0</v>
      </c>
      <c r="AP254" s="114">
        <v>0</v>
      </c>
      <c r="AQ254" s="114">
        <v>0</v>
      </c>
      <c r="AR254" s="114">
        <v>0</v>
      </c>
      <c r="AS254" s="114">
        <v>0</v>
      </c>
      <c r="AT254" s="114">
        <v>0</v>
      </c>
      <c r="AU254" s="114">
        <v>0</v>
      </c>
      <c r="AV254" s="114">
        <v>0</v>
      </c>
      <c r="AW254" s="114">
        <v>0</v>
      </c>
      <c r="AX254" s="114">
        <v>0</v>
      </c>
      <c r="AY254" s="114">
        <v>0</v>
      </c>
    </row>
    <row r="255" spans="1:51" x14ac:dyDescent="0.2">
      <c r="A255" s="113"/>
      <c r="B255" s="133">
        <v>47</v>
      </c>
      <c r="C255" s="110">
        <v>0</v>
      </c>
      <c r="D255" s="114">
        <v>0</v>
      </c>
      <c r="E255" s="114">
        <v>0</v>
      </c>
      <c r="F255" s="114">
        <v>0</v>
      </c>
      <c r="G255" s="114">
        <v>0</v>
      </c>
      <c r="H255" s="114">
        <v>0</v>
      </c>
      <c r="I255" s="114">
        <v>0</v>
      </c>
      <c r="J255" s="114">
        <v>0</v>
      </c>
      <c r="K255" s="114">
        <v>0</v>
      </c>
      <c r="L255" s="114">
        <v>0</v>
      </c>
      <c r="M255" s="114">
        <v>0</v>
      </c>
      <c r="N255" s="114">
        <v>0</v>
      </c>
      <c r="O255" s="114">
        <v>0</v>
      </c>
      <c r="P255" s="114">
        <v>0</v>
      </c>
      <c r="Q255" s="114">
        <v>0</v>
      </c>
      <c r="R255" s="114">
        <v>0</v>
      </c>
      <c r="S255" s="114">
        <v>0</v>
      </c>
      <c r="T255" s="114">
        <v>0</v>
      </c>
      <c r="U255" s="114">
        <v>0</v>
      </c>
      <c r="V255" s="114">
        <v>0</v>
      </c>
      <c r="W255" s="114">
        <v>0</v>
      </c>
      <c r="X255" s="114">
        <v>0</v>
      </c>
      <c r="Y255" s="114">
        <v>0</v>
      </c>
      <c r="Z255" s="114">
        <v>0</v>
      </c>
      <c r="AA255" s="114">
        <v>0</v>
      </c>
      <c r="AB255" s="114">
        <v>0</v>
      </c>
      <c r="AC255" s="114">
        <v>0</v>
      </c>
      <c r="AD255" s="114">
        <v>0</v>
      </c>
      <c r="AE255" s="114">
        <v>0</v>
      </c>
      <c r="AF255" s="114">
        <v>0</v>
      </c>
      <c r="AG255" s="114">
        <v>0</v>
      </c>
      <c r="AH255" s="114">
        <v>0</v>
      </c>
      <c r="AI255" s="114">
        <v>0</v>
      </c>
      <c r="AJ255" s="114">
        <v>0</v>
      </c>
      <c r="AK255" s="114">
        <v>0</v>
      </c>
      <c r="AL255" s="114">
        <v>0</v>
      </c>
      <c r="AM255" s="114">
        <v>0</v>
      </c>
      <c r="AN255" s="114">
        <v>0</v>
      </c>
      <c r="AO255" s="114">
        <v>0</v>
      </c>
      <c r="AP255" s="114">
        <v>0</v>
      </c>
      <c r="AQ255" s="114">
        <v>0</v>
      </c>
      <c r="AR255" s="114">
        <v>0</v>
      </c>
      <c r="AS255" s="114">
        <v>0</v>
      </c>
      <c r="AT255" s="114">
        <v>0</v>
      </c>
      <c r="AU255" s="114">
        <v>0</v>
      </c>
      <c r="AV255" s="114">
        <v>0</v>
      </c>
      <c r="AW255" s="114">
        <v>0</v>
      </c>
      <c r="AX255" s="114">
        <v>0</v>
      </c>
      <c r="AY255" s="114">
        <v>0</v>
      </c>
    </row>
    <row r="256" spans="1:51" x14ac:dyDescent="0.2">
      <c r="A256" s="131"/>
      <c r="B256" s="132">
        <v>48</v>
      </c>
      <c r="C256" s="117">
        <v>0</v>
      </c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">
      <c r="A258" s="1" t="s">
        <v>301</v>
      </c>
    </row>
    <row r="259" spans="1:52" x14ac:dyDescent="0.2">
      <c r="A259" s="140" t="s">
        <v>124</v>
      </c>
      <c r="B259" s="141">
        <v>650</v>
      </c>
      <c r="C259" s="127" t="s">
        <v>293</v>
      </c>
      <c r="D259" s="127">
        <f>E$14*$B$259</f>
        <v>1647907.952020251</v>
      </c>
      <c r="E259" s="127">
        <f t="shared" ref="E259:AX259" si="5">F$14*$B$259</f>
        <v>1166856.8889724959</v>
      </c>
      <c r="F259" s="127">
        <f t="shared" si="5"/>
        <v>848498.41899140528</v>
      </c>
      <c r="G259" s="127">
        <f t="shared" si="5"/>
        <v>635024.22560461925</v>
      </c>
      <c r="H259" s="127">
        <f t="shared" si="5"/>
        <v>505672.06186282611</v>
      </c>
      <c r="I259" s="127">
        <f t="shared" si="5"/>
        <v>391614.28403669712</v>
      </c>
      <c r="J259" s="127">
        <f t="shared" si="5"/>
        <v>302562.42127923289</v>
      </c>
      <c r="K259" s="127">
        <f t="shared" si="5"/>
        <v>250018.96299491893</v>
      </c>
      <c r="L259" s="127">
        <f t="shared" si="5"/>
        <v>206560.97890044944</v>
      </c>
      <c r="M259" s="127">
        <f t="shared" si="5"/>
        <v>196613.66485345273</v>
      </c>
      <c r="N259" s="127">
        <f t="shared" si="5"/>
        <v>199171.2068619405</v>
      </c>
      <c r="O259" s="127">
        <f t="shared" si="5"/>
        <v>203524.02764689893</v>
      </c>
      <c r="P259" s="127">
        <f t="shared" si="5"/>
        <v>204187.03702564383</v>
      </c>
      <c r="Q259" s="127">
        <f t="shared" si="5"/>
        <v>195673.03958866681</v>
      </c>
      <c r="R259" s="127">
        <f t="shared" si="5"/>
        <v>182416.36454019105</v>
      </c>
      <c r="S259" s="127">
        <f t="shared" si="5"/>
        <v>182416.36454019105</v>
      </c>
      <c r="T259" s="127">
        <f t="shared" si="5"/>
        <v>182416.36454019105</v>
      </c>
      <c r="U259" s="127">
        <f t="shared" si="5"/>
        <v>182416.36454019105</v>
      </c>
      <c r="V259" s="127">
        <f t="shared" si="5"/>
        <v>187878.09929799044</v>
      </c>
      <c r="W259" s="127">
        <f t="shared" si="5"/>
        <v>182416.36454019105</v>
      </c>
      <c r="X259" s="127">
        <f t="shared" si="5"/>
        <v>182876.13112663318</v>
      </c>
      <c r="Y259" s="127">
        <f t="shared" si="5"/>
        <v>182416.36454019105</v>
      </c>
      <c r="Z259" s="127">
        <f t="shared" si="5"/>
        <v>182416.36454019105</v>
      </c>
      <c r="AA259" s="127">
        <f t="shared" si="5"/>
        <v>182416.36454019105</v>
      </c>
      <c r="AB259" s="127">
        <f t="shared" si="5"/>
        <v>182416.36454019105</v>
      </c>
      <c r="AC259" s="127">
        <f t="shared" si="5"/>
        <v>182416.36454019105</v>
      </c>
      <c r="AD259" s="127">
        <f t="shared" si="5"/>
        <v>182416.36454019105</v>
      </c>
      <c r="AE259" s="127">
        <f t="shared" si="5"/>
        <v>182416.36454019105</v>
      </c>
      <c r="AF259" s="127">
        <f t="shared" si="5"/>
        <v>182416.36454019105</v>
      </c>
      <c r="AG259" s="127">
        <f t="shared" si="5"/>
        <v>182416.36454019105</v>
      </c>
      <c r="AH259" s="127">
        <f t="shared" si="5"/>
        <v>182416.36454019105</v>
      </c>
      <c r="AI259" s="127">
        <f t="shared" si="5"/>
        <v>195431.04763764623</v>
      </c>
      <c r="AJ259" s="127">
        <f t="shared" si="5"/>
        <v>193428.40687107449</v>
      </c>
      <c r="AK259" s="127">
        <f t="shared" si="5"/>
        <v>183472.13550101698</v>
      </c>
      <c r="AL259" s="127">
        <f t="shared" si="5"/>
        <v>182416.36454019105</v>
      </c>
      <c r="AM259" s="127">
        <f t="shared" si="5"/>
        <v>182416.36454019105</v>
      </c>
      <c r="AN259" s="127">
        <f t="shared" si="5"/>
        <v>182416.36454019105</v>
      </c>
      <c r="AO259" s="127">
        <f t="shared" si="5"/>
        <v>184135.49440163912</v>
      </c>
      <c r="AP259" s="127">
        <f t="shared" si="5"/>
        <v>182416.36454019105</v>
      </c>
      <c r="AQ259" s="127">
        <f t="shared" si="5"/>
        <v>182416.36454019105</v>
      </c>
      <c r="AR259" s="127">
        <f t="shared" si="5"/>
        <v>182416.36454019105</v>
      </c>
      <c r="AS259" s="127">
        <f t="shared" si="5"/>
        <v>197494.29085548589</v>
      </c>
      <c r="AT259" s="127">
        <f t="shared" si="5"/>
        <v>182416.36454019105</v>
      </c>
      <c r="AU259" s="127">
        <f t="shared" si="5"/>
        <v>182416.36454019105</v>
      </c>
      <c r="AV259" s="127">
        <f t="shared" si="5"/>
        <v>185183.4276705115</v>
      </c>
      <c r="AW259" s="127">
        <f t="shared" si="5"/>
        <v>182416.36454019105</v>
      </c>
      <c r="AX259" s="127">
        <f t="shared" si="5"/>
        <v>182416.36454019105</v>
      </c>
      <c r="AY259" s="127">
        <f>AZ$14*$B$259</f>
        <v>182416.36454019105</v>
      </c>
      <c r="AZ259" s="142">
        <f>SUM($D259:$AY259)</f>
        <v>13206609.682046473</v>
      </c>
    </row>
    <row r="260" spans="1:52" x14ac:dyDescent="0.2">
      <c r="A260" s="143" t="s">
        <v>302</v>
      </c>
      <c r="B260" s="117">
        <v>60</v>
      </c>
      <c r="C260" s="128" t="s">
        <v>293</v>
      </c>
      <c r="D260" s="128">
        <f>(D$175-D$176+D$177-D$178+D$179-D$180+D$181-D$182)*$B$260</f>
        <v>2467845.4198135156</v>
      </c>
      <c r="E260" s="128">
        <f t="shared" ref="E260:AY260" si="6">(E$175-E$176+E$177-E$178+E$179-E$180+E$181-E$182)*$B$260</f>
        <v>2518790.1333256159</v>
      </c>
      <c r="F260" s="128">
        <f t="shared" si="6"/>
        <v>2532937.0690161772</v>
      </c>
      <c r="G260" s="128">
        <f t="shared" si="6"/>
        <v>2563082.3791749584</v>
      </c>
      <c r="H260" s="128">
        <f t="shared" si="6"/>
        <v>2595877.0277274791</v>
      </c>
      <c r="I260" s="128">
        <f t="shared" si="6"/>
        <v>2595970.825637666</v>
      </c>
      <c r="J260" s="128">
        <f t="shared" si="6"/>
        <v>2620471.1611126866</v>
      </c>
      <c r="K260" s="128">
        <f t="shared" si="6"/>
        <v>2603373.3789371178</v>
      </c>
      <c r="L260" s="128">
        <f t="shared" si="6"/>
        <v>2638152.8327168808</v>
      </c>
      <c r="M260" s="128">
        <f t="shared" si="6"/>
        <v>2617951.3805421744</v>
      </c>
      <c r="N260" s="128">
        <f t="shared" si="6"/>
        <v>2636554.9655204364</v>
      </c>
      <c r="O260" s="128">
        <f t="shared" si="6"/>
        <v>2613394.1260029119</v>
      </c>
      <c r="P260" s="128">
        <f t="shared" si="6"/>
        <v>2637651.9658130175</v>
      </c>
      <c r="Q260" s="128">
        <f t="shared" si="6"/>
        <v>2619581.9147488899</v>
      </c>
      <c r="R260" s="128">
        <f t="shared" si="6"/>
        <v>2638956.0977913453</v>
      </c>
      <c r="S260" s="128">
        <f t="shared" si="6"/>
        <v>2591667.4696657024</v>
      </c>
      <c r="T260" s="128">
        <f t="shared" si="6"/>
        <v>2549521.3914892548</v>
      </c>
      <c r="U260" s="128">
        <f t="shared" si="6"/>
        <v>2522722.9410329596</v>
      </c>
      <c r="V260" s="128">
        <f t="shared" si="6"/>
        <v>2484251.6556607839</v>
      </c>
      <c r="W260" s="128">
        <f t="shared" si="6"/>
        <v>2460031.5871917061</v>
      </c>
      <c r="X260" s="128">
        <f t="shared" si="6"/>
        <v>2430121.9904679148</v>
      </c>
      <c r="Y260" s="128">
        <f t="shared" si="6"/>
        <v>2397331.9496716391</v>
      </c>
      <c r="Z260" s="128">
        <f t="shared" si="6"/>
        <v>2366110.3833215032</v>
      </c>
      <c r="AA260" s="128">
        <f t="shared" si="6"/>
        <v>2322043.8245030791</v>
      </c>
      <c r="AB260" s="128">
        <f t="shared" si="6"/>
        <v>2322612.4301848444</v>
      </c>
      <c r="AC260" s="128">
        <f t="shared" si="6"/>
        <v>2317932.4301848444</v>
      </c>
      <c r="AD260" s="128">
        <f t="shared" si="6"/>
        <v>2314512.4301848444</v>
      </c>
      <c r="AE260" s="128">
        <f t="shared" si="6"/>
        <v>2314932.4301848444</v>
      </c>
      <c r="AF260" s="128">
        <f t="shared" si="6"/>
        <v>2315052.4301848444</v>
      </c>
      <c r="AG260" s="128">
        <f t="shared" si="6"/>
        <v>2316192.4301848444</v>
      </c>
      <c r="AH260" s="128">
        <f t="shared" si="6"/>
        <v>2328576.6055579633</v>
      </c>
      <c r="AI260" s="128">
        <f t="shared" si="6"/>
        <v>2314698.933788849</v>
      </c>
      <c r="AJ260" s="128">
        <f t="shared" si="6"/>
        <v>2315886.4288237067</v>
      </c>
      <c r="AK260" s="128">
        <f t="shared" si="6"/>
        <v>2261375.2601318904</v>
      </c>
      <c r="AL260" s="128">
        <f t="shared" si="6"/>
        <v>2260235.2601318904</v>
      </c>
      <c r="AM260" s="128">
        <f t="shared" si="6"/>
        <v>2258315.2601318904</v>
      </c>
      <c r="AN260" s="128">
        <f t="shared" si="6"/>
        <v>2262273.9831296308</v>
      </c>
      <c r="AO260" s="128">
        <f t="shared" si="6"/>
        <v>2315472.4301848444</v>
      </c>
      <c r="AP260" s="128">
        <f t="shared" si="6"/>
        <v>2320992.4301848444</v>
      </c>
      <c r="AQ260" s="128">
        <f t="shared" si="6"/>
        <v>2318532.4301848444</v>
      </c>
      <c r="AR260" s="128">
        <f t="shared" si="6"/>
        <v>2324951.1531825848</v>
      </c>
      <c r="AS260" s="128">
        <f t="shared" si="6"/>
        <v>2316852.4301848444</v>
      </c>
      <c r="AT260" s="128">
        <f t="shared" si="6"/>
        <v>2313999.3848114465</v>
      </c>
      <c r="AU260" s="128">
        <f t="shared" si="6"/>
        <v>2316389.9239000804</v>
      </c>
      <c r="AV260" s="128">
        <f t="shared" si="6"/>
        <v>2296911.9519078508</v>
      </c>
      <c r="AW260" s="128">
        <f t="shared" si="6"/>
        <v>2298231.9519078508</v>
      </c>
      <c r="AX260" s="128">
        <f t="shared" si="6"/>
        <v>2303184.9972812491</v>
      </c>
      <c r="AY260" s="128">
        <f t="shared" si="6"/>
        <v>2308344.9972812487</v>
      </c>
      <c r="AZ260" s="144">
        <f>SUM($D260:$AY260)</f>
        <v>116360854.26470199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283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4</v>
      </c>
      <c r="E6">
        <v>2313.6</v>
      </c>
      <c r="F6">
        <v>4</v>
      </c>
      <c r="G6">
        <v>2313.6</v>
      </c>
      <c r="H6">
        <v>5</v>
      </c>
      <c r="I6">
        <v>2892</v>
      </c>
      <c r="J6">
        <v>3</v>
      </c>
      <c r="K6">
        <v>1735.1999999999998</v>
      </c>
      <c r="L6">
        <v>3</v>
      </c>
      <c r="M6">
        <v>1735.1999999999998</v>
      </c>
      <c r="N6">
        <v>4</v>
      </c>
      <c r="O6">
        <v>2313.6</v>
      </c>
      <c r="P6">
        <v>4</v>
      </c>
      <c r="Q6">
        <v>2313.6</v>
      </c>
      <c r="R6">
        <v>4</v>
      </c>
      <c r="S6">
        <v>2313.6</v>
      </c>
      <c r="T6">
        <v>3</v>
      </c>
      <c r="U6">
        <v>1735.1999999999998</v>
      </c>
      <c r="V6">
        <v>3</v>
      </c>
      <c r="W6">
        <v>1735.1999999999998</v>
      </c>
      <c r="X6">
        <v>3</v>
      </c>
      <c r="Y6">
        <v>1735.1999999999998</v>
      </c>
      <c r="Z6">
        <v>3</v>
      </c>
      <c r="AA6">
        <v>1735.1999999999998</v>
      </c>
      <c r="AB6">
        <v>5</v>
      </c>
      <c r="AC6">
        <v>2892</v>
      </c>
      <c r="AD6">
        <v>5</v>
      </c>
      <c r="AE6">
        <v>2892</v>
      </c>
      <c r="AF6">
        <v>5</v>
      </c>
      <c r="AG6">
        <v>2892</v>
      </c>
      <c r="AH6">
        <v>5</v>
      </c>
      <c r="AI6">
        <v>2892</v>
      </c>
      <c r="AJ6">
        <v>5</v>
      </c>
      <c r="AK6">
        <v>2892</v>
      </c>
      <c r="AL6">
        <v>4</v>
      </c>
      <c r="AM6">
        <v>2313.6</v>
      </c>
      <c r="AN6">
        <v>4</v>
      </c>
      <c r="AO6">
        <v>2313.6</v>
      </c>
      <c r="AP6">
        <v>3</v>
      </c>
      <c r="AQ6">
        <v>1735.1999999999998</v>
      </c>
      <c r="AR6">
        <v>4</v>
      </c>
      <c r="AS6">
        <v>2313.6</v>
      </c>
      <c r="AT6">
        <v>4</v>
      </c>
      <c r="AU6">
        <v>2313.6</v>
      </c>
      <c r="AV6">
        <v>4</v>
      </c>
      <c r="AW6">
        <v>2313.6</v>
      </c>
      <c r="AX6">
        <v>4</v>
      </c>
      <c r="AY6">
        <v>2313.6</v>
      </c>
      <c r="AZ6">
        <v>4</v>
      </c>
      <c r="BA6">
        <v>2313.6</v>
      </c>
      <c r="BB6">
        <v>3</v>
      </c>
      <c r="BC6">
        <v>1735.1999999999998</v>
      </c>
      <c r="BD6">
        <v>3</v>
      </c>
      <c r="BE6">
        <v>1735.1999999999998</v>
      </c>
      <c r="BF6">
        <v>5</v>
      </c>
      <c r="BG6">
        <v>2892</v>
      </c>
      <c r="BH6">
        <v>3</v>
      </c>
      <c r="BI6">
        <v>1735.1999999999998</v>
      </c>
      <c r="BJ6">
        <v>3</v>
      </c>
      <c r="BK6">
        <v>1735.1999999999998</v>
      </c>
      <c r="BL6">
        <v>5</v>
      </c>
      <c r="BM6">
        <v>2892</v>
      </c>
      <c r="BN6">
        <v>5</v>
      </c>
      <c r="BO6">
        <v>2892</v>
      </c>
      <c r="BP6">
        <v>4</v>
      </c>
      <c r="BQ6">
        <v>2313.6</v>
      </c>
      <c r="BR6">
        <v>3</v>
      </c>
      <c r="BS6">
        <v>1735.1999999999998</v>
      </c>
      <c r="BT6">
        <v>5</v>
      </c>
      <c r="BU6">
        <v>2892</v>
      </c>
      <c r="BV6">
        <v>5</v>
      </c>
      <c r="BW6">
        <v>2892</v>
      </c>
      <c r="BX6">
        <v>5</v>
      </c>
      <c r="BY6">
        <v>2892</v>
      </c>
      <c r="BZ6">
        <v>6</v>
      </c>
      <c r="CA6">
        <v>3470.3999999999996</v>
      </c>
      <c r="CB6">
        <v>3</v>
      </c>
      <c r="CC6">
        <v>1735.1999999999998</v>
      </c>
      <c r="CD6">
        <v>3</v>
      </c>
      <c r="CE6">
        <v>1735.1999999999998</v>
      </c>
      <c r="CF6">
        <v>3</v>
      </c>
      <c r="CG6">
        <v>1735.1999999999998</v>
      </c>
      <c r="CH6">
        <v>4</v>
      </c>
      <c r="CI6">
        <v>2313.6</v>
      </c>
      <c r="CJ6">
        <v>4</v>
      </c>
      <c r="CK6">
        <v>2313.6</v>
      </c>
      <c r="CL6">
        <v>4</v>
      </c>
      <c r="CM6">
        <v>2313.6</v>
      </c>
      <c r="CN6">
        <v>4</v>
      </c>
      <c r="CO6">
        <v>2313.6</v>
      </c>
      <c r="CP6">
        <v>6</v>
      </c>
      <c r="CQ6">
        <v>3470.3999999999996</v>
      </c>
      <c r="CR6">
        <v>5</v>
      </c>
      <c r="CS6">
        <v>2892</v>
      </c>
      <c r="CT6">
        <v>4</v>
      </c>
      <c r="CU6">
        <v>2313.6</v>
      </c>
    </row>
    <row r="7" spans="1:99" x14ac:dyDescent="0.2">
      <c r="C7" s="105" t="s">
        <v>173</v>
      </c>
      <c r="D7">
        <v>4</v>
      </c>
      <c r="E7">
        <v>3153.6</v>
      </c>
      <c r="F7">
        <v>4</v>
      </c>
      <c r="G7">
        <v>3153.6</v>
      </c>
      <c r="H7">
        <v>4</v>
      </c>
      <c r="I7">
        <v>3153.6</v>
      </c>
      <c r="J7">
        <v>3</v>
      </c>
      <c r="K7">
        <v>2365.1999999999998</v>
      </c>
      <c r="L7">
        <v>3</v>
      </c>
      <c r="M7">
        <v>2365.1999999999998</v>
      </c>
      <c r="N7">
        <v>4</v>
      </c>
      <c r="O7">
        <v>3153.6</v>
      </c>
      <c r="P7">
        <v>4</v>
      </c>
      <c r="Q7">
        <v>3153.6</v>
      </c>
      <c r="R7">
        <v>5</v>
      </c>
      <c r="S7">
        <v>3942</v>
      </c>
      <c r="T7">
        <v>3</v>
      </c>
      <c r="U7">
        <v>2365.1999999999998</v>
      </c>
      <c r="V7">
        <v>3</v>
      </c>
      <c r="W7">
        <v>2365.1999999999998</v>
      </c>
      <c r="X7">
        <v>3</v>
      </c>
      <c r="Y7">
        <v>2365.1999999999998</v>
      </c>
      <c r="Z7">
        <v>3</v>
      </c>
      <c r="AA7">
        <v>2365.1999999999998</v>
      </c>
      <c r="AB7">
        <v>4</v>
      </c>
      <c r="AC7">
        <v>3153.6</v>
      </c>
      <c r="AD7">
        <v>6</v>
      </c>
      <c r="AE7">
        <v>4730.3999999999996</v>
      </c>
      <c r="AF7">
        <v>5</v>
      </c>
      <c r="AG7">
        <v>3942</v>
      </c>
      <c r="AH7">
        <v>6</v>
      </c>
      <c r="AI7">
        <v>4730.3999999999996</v>
      </c>
      <c r="AJ7">
        <v>5</v>
      </c>
      <c r="AK7">
        <v>3942</v>
      </c>
      <c r="AL7">
        <v>4</v>
      </c>
      <c r="AM7">
        <v>3153.6</v>
      </c>
      <c r="AN7">
        <v>4</v>
      </c>
      <c r="AO7">
        <v>3153.6</v>
      </c>
      <c r="AP7">
        <v>4</v>
      </c>
      <c r="AQ7">
        <v>3153.6</v>
      </c>
      <c r="AR7">
        <v>4</v>
      </c>
      <c r="AS7">
        <v>3153.6</v>
      </c>
      <c r="AT7">
        <v>4</v>
      </c>
      <c r="AU7">
        <v>3153.6</v>
      </c>
      <c r="AV7">
        <v>4</v>
      </c>
      <c r="AW7">
        <v>3153.6</v>
      </c>
      <c r="AX7">
        <v>4</v>
      </c>
      <c r="AY7">
        <v>3153.6</v>
      </c>
      <c r="AZ7">
        <v>3</v>
      </c>
      <c r="BA7">
        <v>2365.1999999999998</v>
      </c>
      <c r="BB7">
        <v>3</v>
      </c>
      <c r="BC7">
        <v>2365.1999999999998</v>
      </c>
      <c r="BD7">
        <v>3</v>
      </c>
      <c r="BE7">
        <v>2365.1999999999998</v>
      </c>
      <c r="BF7">
        <v>5</v>
      </c>
      <c r="BG7">
        <v>3942</v>
      </c>
      <c r="BH7">
        <v>3</v>
      </c>
      <c r="BI7">
        <v>2365.1999999999998</v>
      </c>
      <c r="BJ7">
        <v>3</v>
      </c>
      <c r="BK7">
        <v>2365.1999999999998</v>
      </c>
      <c r="BL7">
        <v>6</v>
      </c>
      <c r="BM7">
        <v>4730.3999999999996</v>
      </c>
      <c r="BN7">
        <v>6</v>
      </c>
      <c r="BO7">
        <v>4730.3999999999996</v>
      </c>
      <c r="BP7">
        <v>4</v>
      </c>
      <c r="BQ7">
        <v>3153.6</v>
      </c>
      <c r="BR7">
        <v>3</v>
      </c>
      <c r="BS7">
        <v>2365.1999999999998</v>
      </c>
      <c r="BT7">
        <v>5</v>
      </c>
      <c r="BU7">
        <v>3942</v>
      </c>
      <c r="BV7">
        <v>6</v>
      </c>
      <c r="BW7">
        <v>4730.3999999999996</v>
      </c>
      <c r="BX7">
        <v>5</v>
      </c>
      <c r="BY7">
        <v>3942</v>
      </c>
      <c r="BZ7">
        <v>5</v>
      </c>
      <c r="CA7">
        <v>3942</v>
      </c>
      <c r="CB7">
        <v>3</v>
      </c>
      <c r="CC7">
        <v>2365.1999999999998</v>
      </c>
      <c r="CD7">
        <v>3</v>
      </c>
      <c r="CE7">
        <v>2365.1999999999998</v>
      </c>
      <c r="CF7">
        <v>3</v>
      </c>
      <c r="CG7">
        <v>2365.1999999999998</v>
      </c>
      <c r="CH7">
        <v>4</v>
      </c>
      <c r="CI7">
        <v>3153.6</v>
      </c>
      <c r="CJ7">
        <v>4</v>
      </c>
      <c r="CK7">
        <v>3153.6</v>
      </c>
      <c r="CL7">
        <v>4</v>
      </c>
      <c r="CM7">
        <v>3153.6</v>
      </c>
      <c r="CN7">
        <v>4</v>
      </c>
      <c r="CO7">
        <v>3153.6</v>
      </c>
      <c r="CP7">
        <v>6</v>
      </c>
      <c r="CQ7">
        <v>4730.3999999999996</v>
      </c>
      <c r="CR7">
        <v>5</v>
      </c>
      <c r="CS7">
        <v>3942</v>
      </c>
      <c r="CT7">
        <v>4</v>
      </c>
      <c r="CU7">
        <v>3153.6</v>
      </c>
    </row>
    <row r="8" spans="1:99" x14ac:dyDescent="0.2">
      <c r="C8" s="105" t="s">
        <v>174</v>
      </c>
      <c r="D8">
        <v>4</v>
      </c>
      <c r="E8">
        <v>1238.3999999999999</v>
      </c>
      <c r="F8">
        <v>5</v>
      </c>
      <c r="G8">
        <v>1547.9999999999998</v>
      </c>
      <c r="H8">
        <v>5</v>
      </c>
      <c r="I8">
        <v>1547.9999999999998</v>
      </c>
      <c r="J8">
        <v>3</v>
      </c>
      <c r="K8">
        <v>928.8</v>
      </c>
      <c r="L8">
        <v>3</v>
      </c>
      <c r="M8">
        <v>928.8</v>
      </c>
      <c r="N8">
        <v>4</v>
      </c>
      <c r="O8">
        <v>1238.3999999999999</v>
      </c>
      <c r="P8">
        <v>4</v>
      </c>
      <c r="Q8">
        <v>1238.3999999999999</v>
      </c>
      <c r="R8">
        <v>5</v>
      </c>
      <c r="S8">
        <v>1547.9999999999998</v>
      </c>
      <c r="T8">
        <v>3</v>
      </c>
      <c r="U8">
        <v>928.8</v>
      </c>
      <c r="V8">
        <v>3</v>
      </c>
      <c r="W8">
        <v>928.8</v>
      </c>
      <c r="X8">
        <v>3</v>
      </c>
      <c r="Y8">
        <v>928.8</v>
      </c>
      <c r="Z8">
        <v>3</v>
      </c>
      <c r="AA8">
        <v>928.8</v>
      </c>
      <c r="AB8">
        <v>4</v>
      </c>
      <c r="AC8">
        <v>1238.3999999999999</v>
      </c>
      <c r="AD8">
        <v>6</v>
      </c>
      <c r="AE8">
        <v>1857.6</v>
      </c>
      <c r="AF8">
        <v>5</v>
      </c>
      <c r="AG8">
        <v>1547.9999999999998</v>
      </c>
      <c r="AH8">
        <v>6</v>
      </c>
      <c r="AI8">
        <v>1857.6</v>
      </c>
      <c r="AJ8">
        <v>4</v>
      </c>
      <c r="AK8">
        <v>1238.3999999999999</v>
      </c>
      <c r="AL8">
        <v>5</v>
      </c>
      <c r="AM8">
        <v>1547.9999999999998</v>
      </c>
      <c r="AN8">
        <v>4</v>
      </c>
      <c r="AO8">
        <v>1238.3999999999999</v>
      </c>
      <c r="AP8">
        <v>4</v>
      </c>
      <c r="AQ8">
        <v>1238.3999999999999</v>
      </c>
      <c r="AR8">
        <v>4</v>
      </c>
      <c r="AS8">
        <v>1238.3999999999999</v>
      </c>
      <c r="AT8">
        <v>5</v>
      </c>
      <c r="AU8">
        <v>1547.9999999999998</v>
      </c>
      <c r="AV8">
        <v>4</v>
      </c>
      <c r="AW8">
        <v>1238.3999999999999</v>
      </c>
      <c r="AX8">
        <v>4</v>
      </c>
      <c r="AY8">
        <v>1238.3999999999999</v>
      </c>
      <c r="AZ8">
        <v>4</v>
      </c>
      <c r="BA8">
        <v>1238.3999999999999</v>
      </c>
      <c r="BB8">
        <v>3</v>
      </c>
      <c r="BC8">
        <v>928.8</v>
      </c>
      <c r="BD8">
        <v>3</v>
      </c>
      <c r="BE8">
        <v>928.8</v>
      </c>
      <c r="BF8">
        <v>5</v>
      </c>
      <c r="BG8">
        <v>1547.9999999999998</v>
      </c>
      <c r="BH8">
        <v>3</v>
      </c>
      <c r="BI8">
        <v>928.8</v>
      </c>
      <c r="BJ8">
        <v>3</v>
      </c>
      <c r="BK8">
        <v>928.8</v>
      </c>
      <c r="BL8">
        <v>6</v>
      </c>
      <c r="BM8">
        <v>1857.6</v>
      </c>
      <c r="BN8">
        <v>6</v>
      </c>
      <c r="BO8">
        <v>1857.6</v>
      </c>
      <c r="BP8">
        <v>4</v>
      </c>
      <c r="BQ8">
        <v>1238.3999999999999</v>
      </c>
      <c r="BR8">
        <v>4</v>
      </c>
      <c r="BS8">
        <v>1238.3999999999999</v>
      </c>
      <c r="BT8">
        <v>5</v>
      </c>
      <c r="BU8">
        <v>1547.9999999999998</v>
      </c>
      <c r="BV8">
        <v>5</v>
      </c>
      <c r="BW8">
        <v>1547.9999999999998</v>
      </c>
      <c r="BX8">
        <v>5</v>
      </c>
      <c r="BY8">
        <v>1547.9999999999998</v>
      </c>
      <c r="BZ8">
        <v>5</v>
      </c>
      <c r="CA8">
        <v>1547.9999999999998</v>
      </c>
      <c r="CB8">
        <v>3</v>
      </c>
      <c r="CC8">
        <v>928.8</v>
      </c>
      <c r="CD8">
        <v>3</v>
      </c>
      <c r="CE8">
        <v>928.8</v>
      </c>
      <c r="CF8">
        <v>3</v>
      </c>
      <c r="CG8">
        <v>928.8</v>
      </c>
      <c r="CH8">
        <v>4</v>
      </c>
      <c r="CI8">
        <v>1238.3999999999999</v>
      </c>
      <c r="CJ8">
        <v>5</v>
      </c>
      <c r="CK8">
        <v>1547.9999999999998</v>
      </c>
      <c r="CL8">
        <v>4</v>
      </c>
      <c r="CM8">
        <v>1238.3999999999999</v>
      </c>
      <c r="CN8">
        <v>4</v>
      </c>
      <c r="CO8">
        <v>1238.3999999999999</v>
      </c>
      <c r="CP8">
        <v>6</v>
      </c>
      <c r="CQ8">
        <v>1857.6</v>
      </c>
      <c r="CR8">
        <v>5</v>
      </c>
      <c r="CS8">
        <v>1547.9999999999998</v>
      </c>
      <c r="CT8">
        <v>4</v>
      </c>
      <c r="CU8">
        <v>1238.3999999999999</v>
      </c>
    </row>
    <row r="9" spans="1:99" x14ac:dyDescent="0.2">
      <c r="C9" s="105" t="s">
        <v>175</v>
      </c>
      <c r="D9">
        <v>4</v>
      </c>
      <c r="E9">
        <v>2808</v>
      </c>
      <c r="F9">
        <v>4</v>
      </c>
      <c r="G9">
        <v>2808</v>
      </c>
      <c r="H9">
        <v>5</v>
      </c>
      <c r="I9">
        <v>3510</v>
      </c>
      <c r="J9">
        <v>3</v>
      </c>
      <c r="K9">
        <v>2106</v>
      </c>
      <c r="L9">
        <v>3</v>
      </c>
      <c r="M9">
        <v>2106</v>
      </c>
      <c r="N9">
        <v>4</v>
      </c>
      <c r="O9">
        <v>2808</v>
      </c>
      <c r="P9">
        <v>4</v>
      </c>
      <c r="Q9">
        <v>2808</v>
      </c>
      <c r="R9">
        <v>4</v>
      </c>
      <c r="S9">
        <v>2808</v>
      </c>
      <c r="T9">
        <v>3</v>
      </c>
      <c r="U9">
        <v>2106</v>
      </c>
      <c r="V9">
        <v>3</v>
      </c>
      <c r="W9">
        <v>2106</v>
      </c>
      <c r="X9">
        <v>3</v>
      </c>
      <c r="Y9">
        <v>2106</v>
      </c>
      <c r="Z9">
        <v>3</v>
      </c>
      <c r="AA9">
        <v>2106</v>
      </c>
      <c r="AB9">
        <v>4</v>
      </c>
      <c r="AC9">
        <v>2808</v>
      </c>
      <c r="AD9">
        <v>5</v>
      </c>
      <c r="AE9">
        <v>3510</v>
      </c>
      <c r="AF9">
        <v>5</v>
      </c>
      <c r="AG9">
        <v>3510</v>
      </c>
      <c r="AH9">
        <v>5</v>
      </c>
      <c r="AI9">
        <v>3510</v>
      </c>
      <c r="AJ9">
        <v>5</v>
      </c>
      <c r="AK9">
        <v>3510</v>
      </c>
      <c r="AL9">
        <v>5</v>
      </c>
      <c r="AM9">
        <v>3510</v>
      </c>
      <c r="AN9">
        <v>4</v>
      </c>
      <c r="AO9">
        <v>2808</v>
      </c>
      <c r="AP9">
        <v>4</v>
      </c>
      <c r="AQ9">
        <v>2808</v>
      </c>
      <c r="AR9">
        <v>4</v>
      </c>
      <c r="AS9">
        <v>2808</v>
      </c>
      <c r="AT9">
        <v>5</v>
      </c>
      <c r="AU9">
        <v>3510</v>
      </c>
      <c r="AV9">
        <v>4</v>
      </c>
      <c r="AW9">
        <v>2808</v>
      </c>
      <c r="AX9">
        <v>4</v>
      </c>
      <c r="AY9">
        <v>2808</v>
      </c>
      <c r="AZ9">
        <v>4</v>
      </c>
      <c r="BA9">
        <v>2808</v>
      </c>
      <c r="BB9">
        <v>3</v>
      </c>
      <c r="BC9">
        <v>2106</v>
      </c>
      <c r="BD9">
        <v>3</v>
      </c>
      <c r="BE9">
        <v>2106</v>
      </c>
      <c r="BF9">
        <v>4</v>
      </c>
      <c r="BG9">
        <v>2808</v>
      </c>
      <c r="BH9">
        <v>3</v>
      </c>
      <c r="BI9">
        <v>2106</v>
      </c>
      <c r="BJ9">
        <v>3</v>
      </c>
      <c r="BK9">
        <v>2106</v>
      </c>
      <c r="BL9">
        <v>6</v>
      </c>
      <c r="BM9">
        <v>4212</v>
      </c>
      <c r="BN9">
        <v>5</v>
      </c>
      <c r="BO9">
        <v>3510</v>
      </c>
      <c r="BP9">
        <v>4</v>
      </c>
      <c r="BQ9">
        <v>2808</v>
      </c>
      <c r="BR9">
        <v>3</v>
      </c>
      <c r="BS9">
        <v>2106</v>
      </c>
      <c r="BT9">
        <v>5</v>
      </c>
      <c r="BU9">
        <v>3510</v>
      </c>
      <c r="BV9">
        <v>5</v>
      </c>
      <c r="BW9">
        <v>3510</v>
      </c>
      <c r="BX9">
        <v>5</v>
      </c>
      <c r="BY9">
        <v>3510</v>
      </c>
      <c r="BZ9">
        <v>5</v>
      </c>
      <c r="CA9">
        <v>3510</v>
      </c>
      <c r="CB9">
        <v>3</v>
      </c>
      <c r="CC9">
        <v>2106</v>
      </c>
      <c r="CD9">
        <v>3</v>
      </c>
      <c r="CE9">
        <v>2106</v>
      </c>
      <c r="CF9">
        <v>3</v>
      </c>
      <c r="CG9">
        <v>2106</v>
      </c>
      <c r="CH9">
        <v>4</v>
      </c>
      <c r="CI9">
        <v>2808</v>
      </c>
      <c r="CJ9">
        <v>4</v>
      </c>
      <c r="CK9">
        <v>2808</v>
      </c>
      <c r="CL9">
        <v>5</v>
      </c>
      <c r="CM9">
        <v>3510</v>
      </c>
      <c r="CN9">
        <v>4</v>
      </c>
      <c r="CO9">
        <v>2808</v>
      </c>
      <c r="CP9">
        <v>7</v>
      </c>
      <c r="CQ9">
        <v>4914</v>
      </c>
      <c r="CR9">
        <v>5</v>
      </c>
      <c r="CS9">
        <v>3510</v>
      </c>
      <c r="CT9">
        <v>4</v>
      </c>
      <c r="CU9">
        <v>2808</v>
      </c>
    </row>
    <row r="10" spans="1:99" x14ac:dyDescent="0.2">
      <c r="C10" s="105" t="s">
        <v>176</v>
      </c>
      <c r="D10">
        <v>3</v>
      </c>
      <c r="E10">
        <v>1634.3999999999999</v>
      </c>
      <c r="F10">
        <v>4</v>
      </c>
      <c r="G10">
        <v>2179.1999999999998</v>
      </c>
      <c r="H10">
        <v>5</v>
      </c>
      <c r="I10">
        <v>2724</v>
      </c>
      <c r="J10">
        <v>3</v>
      </c>
      <c r="K10">
        <v>1634.3999999999999</v>
      </c>
      <c r="L10">
        <v>3</v>
      </c>
      <c r="M10">
        <v>1634.3999999999999</v>
      </c>
      <c r="N10">
        <v>4</v>
      </c>
      <c r="O10">
        <v>2179.1999999999998</v>
      </c>
      <c r="P10">
        <v>4</v>
      </c>
      <c r="Q10">
        <v>2179.1999999999998</v>
      </c>
      <c r="R10">
        <v>4</v>
      </c>
      <c r="S10">
        <v>2179.1999999999998</v>
      </c>
      <c r="T10">
        <v>3</v>
      </c>
      <c r="U10">
        <v>1634.3999999999999</v>
      </c>
      <c r="V10">
        <v>4</v>
      </c>
      <c r="W10">
        <v>2179.1999999999998</v>
      </c>
      <c r="X10">
        <v>3</v>
      </c>
      <c r="Y10">
        <v>1634.3999999999999</v>
      </c>
      <c r="Z10">
        <v>3</v>
      </c>
      <c r="AA10">
        <v>1634.3999999999999</v>
      </c>
      <c r="AB10">
        <v>4</v>
      </c>
      <c r="AC10">
        <v>2179.1999999999998</v>
      </c>
      <c r="AD10">
        <v>5</v>
      </c>
      <c r="AE10">
        <v>2724</v>
      </c>
      <c r="AF10">
        <v>6</v>
      </c>
      <c r="AG10">
        <v>3268.7999999999997</v>
      </c>
      <c r="AH10">
        <v>5</v>
      </c>
      <c r="AI10">
        <v>2724</v>
      </c>
      <c r="AJ10">
        <v>5</v>
      </c>
      <c r="AK10">
        <v>2724</v>
      </c>
      <c r="AL10">
        <v>4</v>
      </c>
      <c r="AM10">
        <v>2179.1999999999998</v>
      </c>
      <c r="AN10">
        <v>4</v>
      </c>
      <c r="AO10">
        <v>2179.1999999999998</v>
      </c>
      <c r="AP10">
        <v>3</v>
      </c>
      <c r="AQ10">
        <v>1634.3999999999999</v>
      </c>
      <c r="AR10">
        <v>4</v>
      </c>
      <c r="AS10">
        <v>2179.1999999999998</v>
      </c>
      <c r="AT10">
        <v>4</v>
      </c>
      <c r="AU10">
        <v>2179.1999999999998</v>
      </c>
      <c r="AV10">
        <v>4</v>
      </c>
      <c r="AW10">
        <v>2179.1999999999998</v>
      </c>
      <c r="AX10">
        <v>4</v>
      </c>
      <c r="AY10">
        <v>2179.1999999999998</v>
      </c>
      <c r="AZ10">
        <v>4</v>
      </c>
      <c r="BA10">
        <v>2179.1999999999998</v>
      </c>
      <c r="BB10">
        <v>3</v>
      </c>
      <c r="BC10">
        <v>1634.3999999999999</v>
      </c>
      <c r="BD10">
        <v>3</v>
      </c>
      <c r="BE10">
        <v>1634.3999999999999</v>
      </c>
      <c r="BF10">
        <v>4</v>
      </c>
      <c r="BG10">
        <v>2179.1999999999998</v>
      </c>
      <c r="BH10">
        <v>3</v>
      </c>
      <c r="BI10">
        <v>1634.3999999999999</v>
      </c>
      <c r="BJ10">
        <v>3</v>
      </c>
      <c r="BK10">
        <v>1634.3999999999999</v>
      </c>
      <c r="BL10">
        <v>5</v>
      </c>
      <c r="BM10">
        <v>2724</v>
      </c>
      <c r="BN10">
        <v>5</v>
      </c>
      <c r="BO10">
        <v>2724</v>
      </c>
      <c r="BP10">
        <v>4</v>
      </c>
      <c r="BQ10">
        <v>2179.1999999999998</v>
      </c>
      <c r="BR10">
        <v>4</v>
      </c>
      <c r="BS10">
        <v>2179.1999999999998</v>
      </c>
      <c r="BT10">
        <v>6</v>
      </c>
      <c r="BU10">
        <v>3268.7999999999997</v>
      </c>
      <c r="BV10">
        <v>6</v>
      </c>
      <c r="BW10">
        <v>3268.7999999999997</v>
      </c>
      <c r="BX10">
        <v>5</v>
      </c>
      <c r="BY10">
        <v>2724</v>
      </c>
      <c r="BZ10">
        <v>5</v>
      </c>
      <c r="CA10">
        <v>2724</v>
      </c>
      <c r="CB10">
        <v>3</v>
      </c>
      <c r="CC10">
        <v>1634.3999999999999</v>
      </c>
      <c r="CD10">
        <v>3</v>
      </c>
      <c r="CE10">
        <v>1634.3999999999999</v>
      </c>
      <c r="CF10">
        <v>3</v>
      </c>
      <c r="CG10">
        <v>1634.3999999999999</v>
      </c>
      <c r="CH10">
        <v>4</v>
      </c>
      <c r="CI10">
        <v>2179.1999999999998</v>
      </c>
      <c r="CJ10">
        <v>5</v>
      </c>
      <c r="CK10">
        <v>2724</v>
      </c>
      <c r="CL10">
        <v>4</v>
      </c>
      <c r="CM10">
        <v>2179.1999999999998</v>
      </c>
      <c r="CN10">
        <v>5</v>
      </c>
      <c r="CO10">
        <v>2724</v>
      </c>
      <c r="CP10">
        <v>6</v>
      </c>
      <c r="CQ10">
        <v>3268.7999999999997</v>
      </c>
      <c r="CR10">
        <v>5</v>
      </c>
      <c r="CS10">
        <v>2724</v>
      </c>
      <c r="CT10">
        <v>4</v>
      </c>
      <c r="CU10">
        <v>2179.1999999999998</v>
      </c>
    </row>
    <row r="11" spans="1:99" x14ac:dyDescent="0.2">
      <c r="C11" s="105" t="s">
        <v>177</v>
      </c>
      <c r="D11">
        <v>4</v>
      </c>
      <c r="E11">
        <v>2131.1999999999998</v>
      </c>
      <c r="F11">
        <v>5</v>
      </c>
      <c r="G11">
        <v>2664</v>
      </c>
      <c r="H11">
        <v>5</v>
      </c>
      <c r="I11">
        <v>2664</v>
      </c>
      <c r="J11">
        <v>3</v>
      </c>
      <c r="K11">
        <v>1598.3999999999999</v>
      </c>
      <c r="L11">
        <v>3</v>
      </c>
      <c r="M11">
        <v>1598.3999999999999</v>
      </c>
      <c r="N11">
        <v>4</v>
      </c>
      <c r="O11">
        <v>2131.1999999999998</v>
      </c>
      <c r="P11">
        <v>4</v>
      </c>
      <c r="Q11">
        <v>2131.1999999999998</v>
      </c>
      <c r="R11">
        <v>4</v>
      </c>
      <c r="S11">
        <v>2131.1999999999998</v>
      </c>
      <c r="T11">
        <v>3</v>
      </c>
      <c r="U11">
        <v>1598.3999999999999</v>
      </c>
      <c r="V11">
        <v>3</v>
      </c>
      <c r="W11">
        <v>1598.3999999999999</v>
      </c>
      <c r="X11">
        <v>3</v>
      </c>
      <c r="Y11">
        <v>1598.3999999999999</v>
      </c>
      <c r="Z11">
        <v>3</v>
      </c>
      <c r="AA11">
        <v>1598.3999999999999</v>
      </c>
      <c r="AB11">
        <v>4</v>
      </c>
      <c r="AC11">
        <v>2131.1999999999998</v>
      </c>
      <c r="AD11">
        <v>5</v>
      </c>
      <c r="AE11">
        <v>2664</v>
      </c>
      <c r="AF11">
        <v>5</v>
      </c>
      <c r="AG11">
        <v>2664</v>
      </c>
      <c r="AH11">
        <v>5</v>
      </c>
      <c r="AI11">
        <v>2664</v>
      </c>
      <c r="AJ11">
        <v>5</v>
      </c>
      <c r="AK11">
        <v>2664</v>
      </c>
      <c r="AL11">
        <v>5</v>
      </c>
      <c r="AM11">
        <v>2664</v>
      </c>
      <c r="AN11">
        <v>4</v>
      </c>
      <c r="AO11">
        <v>2131.1999999999998</v>
      </c>
      <c r="AP11">
        <v>4</v>
      </c>
      <c r="AQ11">
        <v>2131.1999999999998</v>
      </c>
      <c r="AR11">
        <v>4</v>
      </c>
      <c r="AS11">
        <v>2131.1999999999998</v>
      </c>
      <c r="AT11">
        <v>5</v>
      </c>
      <c r="AU11">
        <v>2664</v>
      </c>
      <c r="AV11">
        <v>5</v>
      </c>
      <c r="AW11">
        <v>2664</v>
      </c>
      <c r="AX11">
        <v>3</v>
      </c>
      <c r="AY11">
        <v>1598.3999999999999</v>
      </c>
      <c r="AZ11">
        <v>3</v>
      </c>
      <c r="BA11">
        <v>1598.3999999999999</v>
      </c>
      <c r="BB11">
        <v>3</v>
      </c>
      <c r="BC11">
        <v>1598.3999999999999</v>
      </c>
      <c r="BD11">
        <v>3</v>
      </c>
      <c r="BE11">
        <v>1598.3999999999999</v>
      </c>
      <c r="BF11">
        <v>4</v>
      </c>
      <c r="BG11">
        <v>2131.1999999999998</v>
      </c>
      <c r="BH11">
        <v>3</v>
      </c>
      <c r="BI11">
        <v>1598.3999999999999</v>
      </c>
      <c r="BJ11">
        <v>3</v>
      </c>
      <c r="BK11">
        <v>1598.3999999999999</v>
      </c>
      <c r="BL11">
        <v>6</v>
      </c>
      <c r="BM11">
        <v>3196.7999999999997</v>
      </c>
      <c r="BN11">
        <v>5</v>
      </c>
      <c r="BO11">
        <v>2664</v>
      </c>
      <c r="BP11">
        <v>4</v>
      </c>
      <c r="BQ11">
        <v>2131.1999999999998</v>
      </c>
      <c r="BR11">
        <v>3</v>
      </c>
      <c r="BS11">
        <v>1598.3999999999999</v>
      </c>
      <c r="BT11">
        <v>5</v>
      </c>
      <c r="BU11">
        <v>2664</v>
      </c>
      <c r="BV11">
        <v>5</v>
      </c>
      <c r="BW11">
        <v>2664</v>
      </c>
      <c r="BX11">
        <v>5</v>
      </c>
      <c r="BY11">
        <v>2664</v>
      </c>
      <c r="BZ11">
        <v>5</v>
      </c>
      <c r="CA11">
        <v>2664</v>
      </c>
      <c r="CB11">
        <v>3</v>
      </c>
      <c r="CC11">
        <v>1598.3999999999999</v>
      </c>
      <c r="CD11">
        <v>3</v>
      </c>
      <c r="CE11">
        <v>1598.3999999999999</v>
      </c>
      <c r="CF11">
        <v>4</v>
      </c>
      <c r="CG11">
        <v>2131.1999999999998</v>
      </c>
      <c r="CH11">
        <v>4</v>
      </c>
      <c r="CI11">
        <v>2131.1999999999998</v>
      </c>
      <c r="CJ11">
        <v>4</v>
      </c>
      <c r="CK11">
        <v>2131.1999999999998</v>
      </c>
      <c r="CL11">
        <v>5</v>
      </c>
      <c r="CM11">
        <v>2664</v>
      </c>
      <c r="CN11">
        <v>5</v>
      </c>
      <c r="CO11">
        <v>2664</v>
      </c>
      <c r="CP11">
        <v>6</v>
      </c>
      <c r="CQ11">
        <v>3196.7999999999997</v>
      </c>
      <c r="CR11">
        <v>6</v>
      </c>
      <c r="CS11">
        <v>3196.7999999999997</v>
      </c>
      <c r="CT11">
        <v>4</v>
      </c>
      <c r="CU11">
        <v>2131.1999999999998</v>
      </c>
    </row>
    <row r="12" spans="1:99" x14ac:dyDescent="0.2">
      <c r="C12" s="105" t="s">
        <v>178</v>
      </c>
      <c r="D12">
        <v>4</v>
      </c>
      <c r="E12">
        <v>2251.1999999999998</v>
      </c>
      <c r="F12">
        <v>5</v>
      </c>
      <c r="G12">
        <v>2814</v>
      </c>
      <c r="H12">
        <v>5</v>
      </c>
      <c r="I12">
        <v>2814</v>
      </c>
      <c r="J12">
        <v>3</v>
      </c>
      <c r="K12">
        <v>1688.3999999999999</v>
      </c>
      <c r="L12">
        <v>3</v>
      </c>
      <c r="M12">
        <v>1688.3999999999999</v>
      </c>
      <c r="N12">
        <v>4</v>
      </c>
      <c r="O12">
        <v>2251.1999999999998</v>
      </c>
      <c r="P12">
        <v>4</v>
      </c>
      <c r="Q12">
        <v>2251.1999999999998</v>
      </c>
      <c r="R12">
        <v>4</v>
      </c>
      <c r="S12">
        <v>2251.1999999999998</v>
      </c>
      <c r="T12">
        <v>3</v>
      </c>
      <c r="U12">
        <v>1688.3999999999999</v>
      </c>
      <c r="V12">
        <v>4</v>
      </c>
      <c r="W12">
        <v>2251.1999999999998</v>
      </c>
      <c r="X12">
        <v>3</v>
      </c>
      <c r="Y12">
        <v>1688.3999999999999</v>
      </c>
      <c r="Z12">
        <v>3</v>
      </c>
      <c r="AA12">
        <v>1688.3999999999999</v>
      </c>
      <c r="AB12">
        <v>4</v>
      </c>
      <c r="AC12">
        <v>2251.1999999999998</v>
      </c>
      <c r="AD12">
        <v>5</v>
      </c>
      <c r="AE12">
        <v>2814</v>
      </c>
      <c r="AF12">
        <v>6</v>
      </c>
      <c r="AG12">
        <v>3376.7999999999997</v>
      </c>
      <c r="AH12">
        <v>5</v>
      </c>
      <c r="AI12">
        <v>2814</v>
      </c>
      <c r="AJ12">
        <v>5</v>
      </c>
      <c r="AK12">
        <v>2814</v>
      </c>
      <c r="AL12">
        <v>5</v>
      </c>
      <c r="AM12">
        <v>2814</v>
      </c>
      <c r="AN12">
        <v>4</v>
      </c>
      <c r="AO12">
        <v>2251.1999999999998</v>
      </c>
      <c r="AP12">
        <v>4</v>
      </c>
      <c r="AQ12">
        <v>2251.1999999999998</v>
      </c>
      <c r="AR12">
        <v>4</v>
      </c>
      <c r="AS12">
        <v>2251.1999999999998</v>
      </c>
      <c r="AT12">
        <v>5</v>
      </c>
      <c r="AU12">
        <v>2814</v>
      </c>
      <c r="AV12">
        <v>4</v>
      </c>
      <c r="AW12">
        <v>2251.1999999999998</v>
      </c>
      <c r="AX12">
        <v>3</v>
      </c>
      <c r="AY12">
        <v>1688.3999999999999</v>
      </c>
      <c r="AZ12">
        <v>3</v>
      </c>
      <c r="BA12">
        <v>1688.3999999999999</v>
      </c>
      <c r="BB12">
        <v>3</v>
      </c>
      <c r="BC12">
        <v>1688.3999999999999</v>
      </c>
      <c r="BD12">
        <v>3</v>
      </c>
      <c r="BE12">
        <v>1688.3999999999999</v>
      </c>
      <c r="BF12">
        <v>4</v>
      </c>
      <c r="BG12">
        <v>2251.1999999999998</v>
      </c>
      <c r="BH12">
        <v>3</v>
      </c>
      <c r="BI12">
        <v>1688.3999999999999</v>
      </c>
      <c r="BJ12">
        <v>3</v>
      </c>
      <c r="BK12">
        <v>1688.3999999999999</v>
      </c>
      <c r="BL12">
        <v>6</v>
      </c>
      <c r="BM12">
        <v>3376.7999999999997</v>
      </c>
      <c r="BN12">
        <v>5</v>
      </c>
      <c r="BO12">
        <v>2814</v>
      </c>
      <c r="BP12">
        <v>4</v>
      </c>
      <c r="BQ12">
        <v>2251.1999999999998</v>
      </c>
      <c r="BR12">
        <v>4</v>
      </c>
      <c r="BS12">
        <v>2251.1999999999998</v>
      </c>
      <c r="BT12">
        <v>5</v>
      </c>
      <c r="BU12">
        <v>2814</v>
      </c>
      <c r="BV12">
        <v>6</v>
      </c>
      <c r="BW12">
        <v>3376.7999999999997</v>
      </c>
      <c r="BX12">
        <v>6</v>
      </c>
      <c r="BY12">
        <v>3376.7999999999997</v>
      </c>
      <c r="BZ12">
        <v>6</v>
      </c>
      <c r="CA12">
        <v>3376.7999999999997</v>
      </c>
      <c r="CB12">
        <v>3</v>
      </c>
      <c r="CC12">
        <v>1688.3999999999999</v>
      </c>
      <c r="CD12">
        <v>3</v>
      </c>
      <c r="CE12">
        <v>1688.3999999999999</v>
      </c>
      <c r="CF12">
        <v>4</v>
      </c>
      <c r="CG12">
        <v>2251.1999999999998</v>
      </c>
      <c r="CH12">
        <v>4</v>
      </c>
      <c r="CI12">
        <v>2251.1999999999998</v>
      </c>
      <c r="CJ12">
        <v>4</v>
      </c>
      <c r="CK12">
        <v>2251.1999999999998</v>
      </c>
      <c r="CL12">
        <v>5</v>
      </c>
      <c r="CM12">
        <v>2814</v>
      </c>
      <c r="CN12">
        <v>4</v>
      </c>
      <c r="CO12">
        <v>2251.1999999999998</v>
      </c>
      <c r="CP12">
        <v>6</v>
      </c>
      <c r="CQ12">
        <v>3376.7999999999997</v>
      </c>
      <c r="CR12">
        <v>5</v>
      </c>
      <c r="CS12">
        <v>2814</v>
      </c>
      <c r="CT12">
        <v>4</v>
      </c>
      <c r="CU12">
        <v>2251.1999999999998</v>
      </c>
    </row>
    <row r="13" spans="1:99" x14ac:dyDescent="0.2">
      <c r="C13" s="105" t="s">
        <v>179</v>
      </c>
      <c r="D13">
        <v>4</v>
      </c>
      <c r="E13">
        <v>340.8</v>
      </c>
      <c r="F13">
        <v>4</v>
      </c>
      <c r="G13">
        <v>340.8</v>
      </c>
      <c r="H13">
        <v>5</v>
      </c>
      <c r="I13">
        <v>426</v>
      </c>
      <c r="J13">
        <v>3</v>
      </c>
      <c r="K13">
        <v>255.60000000000002</v>
      </c>
      <c r="L13">
        <v>3</v>
      </c>
      <c r="M13">
        <v>255.60000000000002</v>
      </c>
      <c r="N13">
        <v>4</v>
      </c>
      <c r="O13">
        <v>340.8</v>
      </c>
      <c r="P13">
        <v>4</v>
      </c>
      <c r="Q13">
        <v>340.8</v>
      </c>
      <c r="R13">
        <v>5</v>
      </c>
      <c r="S13">
        <v>426</v>
      </c>
      <c r="T13">
        <v>3</v>
      </c>
      <c r="U13">
        <v>255.60000000000002</v>
      </c>
      <c r="V13">
        <v>4</v>
      </c>
      <c r="W13">
        <v>340.8</v>
      </c>
      <c r="X13">
        <v>3</v>
      </c>
      <c r="Y13">
        <v>255.60000000000002</v>
      </c>
      <c r="Z13">
        <v>3</v>
      </c>
      <c r="AA13">
        <v>255.60000000000002</v>
      </c>
      <c r="AB13">
        <v>5</v>
      </c>
      <c r="AC13">
        <v>426</v>
      </c>
      <c r="AD13">
        <v>6</v>
      </c>
      <c r="AE13">
        <v>511.20000000000005</v>
      </c>
      <c r="AF13">
        <v>5</v>
      </c>
      <c r="AG13">
        <v>426</v>
      </c>
      <c r="AH13">
        <v>6</v>
      </c>
      <c r="AI13">
        <v>511.20000000000005</v>
      </c>
      <c r="AJ13">
        <v>5</v>
      </c>
      <c r="AK13">
        <v>426</v>
      </c>
      <c r="AL13">
        <v>5</v>
      </c>
      <c r="AM13">
        <v>426</v>
      </c>
      <c r="AN13">
        <v>4</v>
      </c>
      <c r="AO13">
        <v>340.8</v>
      </c>
      <c r="AP13">
        <v>4</v>
      </c>
      <c r="AQ13">
        <v>340.8</v>
      </c>
      <c r="AR13">
        <v>4</v>
      </c>
      <c r="AS13">
        <v>340.8</v>
      </c>
      <c r="AT13">
        <v>5</v>
      </c>
      <c r="AU13">
        <v>426</v>
      </c>
      <c r="AV13">
        <v>4</v>
      </c>
      <c r="AW13">
        <v>340.8</v>
      </c>
      <c r="AX13">
        <v>4</v>
      </c>
      <c r="AY13">
        <v>340.8</v>
      </c>
      <c r="AZ13">
        <v>3</v>
      </c>
      <c r="BA13">
        <v>255.60000000000002</v>
      </c>
      <c r="BB13">
        <v>3</v>
      </c>
      <c r="BC13">
        <v>255.60000000000002</v>
      </c>
      <c r="BD13">
        <v>3</v>
      </c>
      <c r="BE13">
        <v>255.60000000000002</v>
      </c>
      <c r="BF13">
        <v>5</v>
      </c>
      <c r="BG13">
        <v>426</v>
      </c>
      <c r="BH13">
        <v>3</v>
      </c>
      <c r="BI13">
        <v>255.60000000000002</v>
      </c>
      <c r="BJ13">
        <v>3</v>
      </c>
      <c r="BK13">
        <v>255.60000000000002</v>
      </c>
      <c r="BL13">
        <v>5</v>
      </c>
      <c r="BM13">
        <v>426</v>
      </c>
      <c r="BN13">
        <v>6</v>
      </c>
      <c r="BO13">
        <v>511.20000000000005</v>
      </c>
      <c r="BP13">
        <v>4</v>
      </c>
      <c r="BQ13">
        <v>340.8</v>
      </c>
      <c r="BR13">
        <v>4</v>
      </c>
      <c r="BS13">
        <v>340.8</v>
      </c>
      <c r="BT13">
        <v>5</v>
      </c>
      <c r="BU13">
        <v>426</v>
      </c>
      <c r="BV13">
        <v>6</v>
      </c>
      <c r="BW13">
        <v>511.20000000000005</v>
      </c>
      <c r="BX13">
        <v>5</v>
      </c>
      <c r="BY13">
        <v>426</v>
      </c>
      <c r="BZ13">
        <v>6</v>
      </c>
      <c r="CA13">
        <v>511.20000000000005</v>
      </c>
      <c r="CB13">
        <v>4</v>
      </c>
      <c r="CC13">
        <v>340.8</v>
      </c>
      <c r="CD13">
        <v>3</v>
      </c>
      <c r="CE13">
        <v>255.60000000000002</v>
      </c>
      <c r="CF13">
        <v>3</v>
      </c>
      <c r="CG13">
        <v>255.60000000000002</v>
      </c>
      <c r="CH13">
        <v>4</v>
      </c>
      <c r="CI13">
        <v>340.8</v>
      </c>
      <c r="CJ13">
        <v>5</v>
      </c>
      <c r="CK13">
        <v>426</v>
      </c>
      <c r="CL13">
        <v>5</v>
      </c>
      <c r="CM13">
        <v>426</v>
      </c>
      <c r="CN13">
        <v>4</v>
      </c>
      <c r="CO13">
        <v>340.8</v>
      </c>
      <c r="CP13">
        <v>7</v>
      </c>
      <c r="CQ13">
        <v>596.4</v>
      </c>
      <c r="CR13">
        <v>6</v>
      </c>
      <c r="CS13">
        <v>511.20000000000005</v>
      </c>
      <c r="CT13">
        <v>4</v>
      </c>
      <c r="CU13">
        <v>340.8</v>
      </c>
    </row>
    <row r="14" spans="1:99" x14ac:dyDescent="0.2">
      <c r="C14" s="105" t="s">
        <v>180</v>
      </c>
      <c r="D14">
        <v>4</v>
      </c>
      <c r="E14">
        <v>1953.6</v>
      </c>
      <c r="F14">
        <v>4</v>
      </c>
      <c r="G14">
        <v>1953.6</v>
      </c>
      <c r="H14">
        <v>5</v>
      </c>
      <c r="I14">
        <v>2442</v>
      </c>
      <c r="J14">
        <v>3</v>
      </c>
      <c r="K14">
        <v>1465.1999999999998</v>
      </c>
      <c r="L14">
        <v>3</v>
      </c>
      <c r="M14">
        <v>1465.1999999999998</v>
      </c>
      <c r="N14">
        <v>4</v>
      </c>
      <c r="O14">
        <v>1953.6</v>
      </c>
      <c r="P14">
        <v>4</v>
      </c>
      <c r="Q14">
        <v>1953.6</v>
      </c>
      <c r="R14">
        <v>5</v>
      </c>
      <c r="S14">
        <v>2442</v>
      </c>
      <c r="T14">
        <v>3</v>
      </c>
      <c r="U14">
        <v>1465.1999999999998</v>
      </c>
      <c r="V14">
        <v>3</v>
      </c>
      <c r="W14">
        <v>1465.1999999999998</v>
      </c>
      <c r="X14">
        <v>3</v>
      </c>
      <c r="Y14">
        <v>1465.1999999999998</v>
      </c>
      <c r="Z14">
        <v>3</v>
      </c>
      <c r="AA14">
        <v>1465.1999999999998</v>
      </c>
      <c r="AB14">
        <v>5</v>
      </c>
      <c r="AC14">
        <v>2442</v>
      </c>
      <c r="AD14">
        <v>6</v>
      </c>
      <c r="AE14">
        <v>2930.3999999999996</v>
      </c>
      <c r="AF14">
        <v>5</v>
      </c>
      <c r="AG14">
        <v>2442</v>
      </c>
      <c r="AH14">
        <v>5</v>
      </c>
      <c r="AI14">
        <v>2442</v>
      </c>
      <c r="AJ14">
        <v>4</v>
      </c>
      <c r="AK14">
        <v>1953.6</v>
      </c>
      <c r="AL14">
        <v>5</v>
      </c>
      <c r="AM14">
        <v>2442</v>
      </c>
      <c r="AN14">
        <v>4</v>
      </c>
      <c r="AO14">
        <v>1953.6</v>
      </c>
      <c r="AP14">
        <v>4</v>
      </c>
      <c r="AQ14">
        <v>1953.6</v>
      </c>
      <c r="AR14">
        <v>4</v>
      </c>
      <c r="AS14">
        <v>1953.6</v>
      </c>
      <c r="AT14">
        <v>5</v>
      </c>
      <c r="AU14">
        <v>2442</v>
      </c>
      <c r="AV14">
        <v>5</v>
      </c>
      <c r="AW14">
        <v>2442</v>
      </c>
      <c r="AX14">
        <v>4</v>
      </c>
      <c r="AY14">
        <v>1953.6</v>
      </c>
      <c r="AZ14">
        <v>4</v>
      </c>
      <c r="BA14">
        <v>1953.6</v>
      </c>
      <c r="BB14">
        <v>3</v>
      </c>
      <c r="BC14">
        <v>1465.1999999999998</v>
      </c>
      <c r="BD14">
        <v>3</v>
      </c>
      <c r="BE14">
        <v>1465.1999999999998</v>
      </c>
      <c r="BF14">
        <v>4</v>
      </c>
      <c r="BG14">
        <v>1953.6</v>
      </c>
      <c r="BH14">
        <v>3</v>
      </c>
      <c r="BI14">
        <v>1465.1999999999998</v>
      </c>
      <c r="BJ14">
        <v>3</v>
      </c>
      <c r="BK14">
        <v>1465.1999999999998</v>
      </c>
      <c r="BL14">
        <v>5</v>
      </c>
      <c r="BM14">
        <v>2442</v>
      </c>
      <c r="BN14">
        <v>5</v>
      </c>
      <c r="BO14">
        <v>2442</v>
      </c>
      <c r="BP14">
        <v>5</v>
      </c>
      <c r="BQ14">
        <v>2442</v>
      </c>
      <c r="BR14">
        <v>3</v>
      </c>
      <c r="BS14">
        <v>1465.1999999999998</v>
      </c>
      <c r="BT14">
        <v>5</v>
      </c>
      <c r="BU14">
        <v>2442</v>
      </c>
      <c r="BV14">
        <v>5</v>
      </c>
      <c r="BW14">
        <v>2442</v>
      </c>
      <c r="BX14">
        <v>5</v>
      </c>
      <c r="BY14">
        <v>2442</v>
      </c>
      <c r="BZ14">
        <v>5</v>
      </c>
      <c r="CA14">
        <v>2442</v>
      </c>
      <c r="CB14">
        <v>3</v>
      </c>
      <c r="CC14">
        <v>1465.1999999999998</v>
      </c>
      <c r="CD14">
        <v>3</v>
      </c>
      <c r="CE14">
        <v>1465.1999999999998</v>
      </c>
      <c r="CF14">
        <v>3</v>
      </c>
      <c r="CG14">
        <v>1465.1999999999998</v>
      </c>
      <c r="CH14">
        <v>4</v>
      </c>
      <c r="CI14">
        <v>1953.6</v>
      </c>
      <c r="CJ14">
        <v>5</v>
      </c>
      <c r="CK14">
        <v>2442</v>
      </c>
      <c r="CL14">
        <v>4</v>
      </c>
      <c r="CM14">
        <v>1953.6</v>
      </c>
      <c r="CN14">
        <v>4</v>
      </c>
      <c r="CO14">
        <v>1953.6</v>
      </c>
      <c r="CP14">
        <v>7</v>
      </c>
      <c r="CQ14">
        <v>3418.7999999999997</v>
      </c>
      <c r="CR14">
        <v>6</v>
      </c>
      <c r="CS14">
        <v>2930.3999999999996</v>
      </c>
      <c r="CT14">
        <v>4</v>
      </c>
      <c r="CU14">
        <v>1953.6</v>
      </c>
    </row>
    <row r="15" spans="1:99" x14ac:dyDescent="0.2">
      <c r="C15" s="105" t="s">
        <v>181</v>
      </c>
      <c r="D15">
        <v>3</v>
      </c>
      <c r="E15">
        <v>2289.6</v>
      </c>
      <c r="F15">
        <v>4</v>
      </c>
      <c r="G15">
        <v>3052.7999999999997</v>
      </c>
      <c r="H15">
        <v>5</v>
      </c>
      <c r="I15">
        <v>3815.9999999999995</v>
      </c>
      <c r="J15">
        <v>3</v>
      </c>
      <c r="K15">
        <v>2289.6</v>
      </c>
      <c r="L15">
        <v>3</v>
      </c>
      <c r="M15">
        <v>2289.6</v>
      </c>
      <c r="N15">
        <v>4</v>
      </c>
      <c r="O15">
        <v>3052.7999999999997</v>
      </c>
      <c r="P15">
        <v>4</v>
      </c>
      <c r="Q15">
        <v>3052.7999999999997</v>
      </c>
      <c r="R15">
        <v>5</v>
      </c>
      <c r="S15">
        <v>3815.9999999999995</v>
      </c>
      <c r="T15">
        <v>3</v>
      </c>
      <c r="U15">
        <v>2289.6</v>
      </c>
      <c r="V15">
        <v>4</v>
      </c>
      <c r="W15">
        <v>3052.7999999999997</v>
      </c>
      <c r="X15">
        <v>3</v>
      </c>
      <c r="Y15">
        <v>2289.6</v>
      </c>
      <c r="Z15">
        <v>3</v>
      </c>
      <c r="AA15">
        <v>2289.6</v>
      </c>
      <c r="AB15">
        <v>4</v>
      </c>
      <c r="AC15">
        <v>3052.7999999999997</v>
      </c>
      <c r="AD15">
        <v>5</v>
      </c>
      <c r="AE15">
        <v>3815.9999999999995</v>
      </c>
      <c r="AF15">
        <v>5</v>
      </c>
      <c r="AG15">
        <v>3815.9999999999995</v>
      </c>
      <c r="AH15">
        <v>5</v>
      </c>
      <c r="AI15">
        <v>3815.9999999999995</v>
      </c>
      <c r="AJ15">
        <v>4</v>
      </c>
      <c r="AK15">
        <v>3052.7999999999997</v>
      </c>
      <c r="AL15">
        <v>4</v>
      </c>
      <c r="AM15">
        <v>3052.7999999999997</v>
      </c>
      <c r="AN15">
        <v>4</v>
      </c>
      <c r="AO15">
        <v>3052.7999999999997</v>
      </c>
      <c r="AP15">
        <v>4</v>
      </c>
      <c r="AQ15">
        <v>3052.7999999999997</v>
      </c>
      <c r="AR15">
        <v>3</v>
      </c>
      <c r="AS15">
        <v>2289.6</v>
      </c>
      <c r="AT15">
        <v>5</v>
      </c>
      <c r="AU15">
        <v>3815.9999999999995</v>
      </c>
      <c r="AV15">
        <v>5</v>
      </c>
      <c r="AW15">
        <v>3815.9999999999995</v>
      </c>
      <c r="AX15">
        <v>4</v>
      </c>
      <c r="AY15">
        <v>3052.7999999999997</v>
      </c>
      <c r="AZ15">
        <v>4</v>
      </c>
      <c r="BA15">
        <v>3052.7999999999997</v>
      </c>
      <c r="BB15">
        <v>3</v>
      </c>
      <c r="BC15">
        <v>2289.6</v>
      </c>
      <c r="BD15">
        <v>3</v>
      </c>
      <c r="BE15">
        <v>2289.6</v>
      </c>
      <c r="BF15">
        <v>5</v>
      </c>
      <c r="BG15">
        <v>3815.9999999999995</v>
      </c>
      <c r="BH15">
        <v>3</v>
      </c>
      <c r="BI15">
        <v>2289.6</v>
      </c>
      <c r="BJ15">
        <v>3</v>
      </c>
      <c r="BK15">
        <v>2289.6</v>
      </c>
      <c r="BL15">
        <v>5</v>
      </c>
      <c r="BM15">
        <v>3815.9999999999995</v>
      </c>
      <c r="BN15">
        <v>6</v>
      </c>
      <c r="BO15">
        <v>4579.2</v>
      </c>
      <c r="BP15">
        <v>5</v>
      </c>
      <c r="BQ15">
        <v>3815.9999999999995</v>
      </c>
      <c r="BR15">
        <v>3</v>
      </c>
      <c r="BS15">
        <v>2289.6</v>
      </c>
      <c r="BT15">
        <v>5</v>
      </c>
      <c r="BU15">
        <v>3815.9999999999995</v>
      </c>
      <c r="BV15">
        <v>6</v>
      </c>
      <c r="BW15">
        <v>4579.2</v>
      </c>
      <c r="BX15">
        <v>5</v>
      </c>
      <c r="BY15">
        <v>3815.9999999999995</v>
      </c>
      <c r="BZ15">
        <v>6</v>
      </c>
      <c r="CA15">
        <v>4579.2</v>
      </c>
      <c r="CB15">
        <v>3</v>
      </c>
      <c r="CC15">
        <v>2289.6</v>
      </c>
      <c r="CD15">
        <v>3</v>
      </c>
      <c r="CE15">
        <v>2289.6</v>
      </c>
      <c r="CF15">
        <v>3</v>
      </c>
      <c r="CG15">
        <v>2289.6</v>
      </c>
      <c r="CH15">
        <v>4</v>
      </c>
      <c r="CI15">
        <v>3052.7999999999997</v>
      </c>
      <c r="CJ15">
        <v>4</v>
      </c>
      <c r="CK15">
        <v>3052.7999999999997</v>
      </c>
      <c r="CL15">
        <v>5</v>
      </c>
      <c r="CM15">
        <v>3815.9999999999995</v>
      </c>
      <c r="CN15">
        <v>4</v>
      </c>
      <c r="CO15">
        <v>3052.7999999999997</v>
      </c>
      <c r="CP15">
        <v>6</v>
      </c>
      <c r="CQ15">
        <v>4579.2</v>
      </c>
      <c r="CR15">
        <v>5</v>
      </c>
      <c r="CS15">
        <v>3815.9999999999995</v>
      </c>
      <c r="CT15">
        <v>4</v>
      </c>
      <c r="CU15">
        <v>3052.7999999999997</v>
      </c>
    </row>
    <row r="16" spans="1:99" x14ac:dyDescent="0.2">
      <c r="C16" s="105" t="s">
        <v>182</v>
      </c>
      <c r="D16">
        <v>4</v>
      </c>
      <c r="E16">
        <v>1363.2</v>
      </c>
      <c r="F16">
        <v>4</v>
      </c>
      <c r="G16">
        <v>1363.2</v>
      </c>
      <c r="H16">
        <v>5</v>
      </c>
      <c r="I16">
        <v>1704</v>
      </c>
      <c r="J16">
        <v>3</v>
      </c>
      <c r="K16">
        <v>1022.4000000000001</v>
      </c>
      <c r="L16">
        <v>3</v>
      </c>
      <c r="M16">
        <v>1022.4000000000001</v>
      </c>
      <c r="N16">
        <v>4</v>
      </c>
      <c r="O16">
        <v>1363.2</v>
      </c>
      <c r="P16">
        <v>4</v>
      </c>
      <c r="Q16">
        <v>1363.2</v>
      </c>
      <c r="R16">
        <v>5</v>
      </c>
      <c r="S16">
        <v>1704</v>
      </c>
      <c r="T16">
        <v>3</v>
      </c>
      <c r="U16">
        <v>1022.4000000000001</v>
      </c>
      <c r="V16">
        <v>3</v>
      </c>
      <c r="W16">
        <v>1022.4000000000001</v>
      </c>
      <c r="X16">
        <v>3</v>
      </c>
      <c r="Y16">
        <v>1022.4000000000001</v>
      </c>
      <c r="Z16">
        <v>3</v>
      </c>
      <c r="AA16">
        <v>1022.4000000000001</v>
      </c>
      <c r="AB16">
        <v>4</v>
      </c>
      <c r="AC16">
        <v>1363.2</v>
      </c>
      <c r="AD16">
        <v>6</v>
      </c>
      <c r="AE16">
        <v>2044.8000000000002</v>
      </c>
      <c r="AF16">
        <v>5</v>
      </c>
      <c r="AG16">
        <v>1704</v>
      </c>
      <c r="AH16">
        <v>6</v>
      </c>
      <c r="AI16">
        <v>2044.8000000000002</v>
      </c>
      <c r="AJ16">
        <v>5</v>
      </c>
      <c r="AK16">
        <v>1704</v>
      </c>
      <c r="AL16">
        <v>5</v>
      </c>
      <c r="AM16">
        <v>1704</v>
      </c>
      <c r="AN16">
        <v>4</v>
      </c>
      <c r="AO16">
        <v>1363.2</v>
      </c>
      <c r="AP16">
        <v>4</v>
      </c>
      <c r="AQ16">
        <v>1363.2</v>
      </c>
      <c r="AR16">
        <v>4</v>
      </c>
      <c r="AS16">
        <v>1363.2</v>
      </c>
      <c r="AT16">
        <v>4</v>
      </c>
      <c r="AU16">
        <v>1363.2</v>
      </c>
      <c r="AV16">
        <v>5</v>
      </c>
      <c r="AW16">
        <v>1704</v>
      </c>
      <c r="AX16">
        <v>4</v>
      </c>
      <c r="AY16">
        <v>1363.2</v>
      </c>
      <c r="AZ16">
        <v>4</v>
      </c>
      <c r="BA16">
        <v>1363.2</v>
      </c>
      <c r="BB16">
        <v>3</v>
      </c>
      <c r="BC16">
        <v>1022.4000000000001</v>
      </c>
      <c r="BD16">
        <v>3</v>
      </c>
      <c r="BE16">
        <v>1022.4000000000001</v>
      </c>
      <c r="BF16">
        <v>4</v>
      </c>
      <c r="BG16">
        <v>1363.2</v>
      </c>
      <c r="BH16">
        <v>3</v>
      </c>
      <c r="BI16">
        <v>1022.4000000000001</v>
      </c>
      <c r="BJ16">
        <v>3</v>
      </c>
      <c r="BK16">
        <v>1022.4000000000001</v>
      </c>
      <c r="BL16">
        <v>5</v>
      </c>
      <c r="BM16">
        <v>1704</v>
      </c>
      <c r="BN16">
        <v>6</v>
      </c>
      <c r="BO16">
        <v>2044.8000000000002</v>
      </c>
      <c r="BP16">
        <v>5</v>
      </c>
      <c r="BQ16">
        <v>1704</v>
      </c>
      <c r="BR16">
        <v>4</v>
      </c>
      <c r="BS16">
        <v>1363.2</v>
      </c>
      <c r="BT16">
        <v>6</v>
      </c>
      <c r="BU16">
        <v>2044.8000000000002</v>
      </c>
      <c r="BV16">
        <v>6</v>
      </c>
      <c r="BW16">
        <v>2044.8000000000002</v>
      </c>
      <c r="BX16">
        <v>5</v>
      </c>
      <c r="BY16">
        <v>1704</v>
      </c>
      <c r="BZ16">
        <v>6</v>
      </c>
      <c r="CA16">
        <v>2044.8000000000002</v>
      </c>
      <c r="CB16">
        <v>3</v>
      </c>
      <c r="CC16">
        <v>1022.4000000000001</v>
      </c>
      <c r="CD16">
        <v>3</v>
      </c>
      <c r="CE16">
        <v>1022.4000000000001</v>
      </c>
      <c r="CF16">
        <v>4</v>
      </c>
      <c r="CG16">
        <v>1363.2</v>
      </c>
      <c r="CH16">
        <v>3</v>
      </c>
      <c r="CI16">
        <v>1022.4000000000001</v>
      </c>
      <c r="CJ16">
        <v>5</v>
      </c>
      <c r="CK16">
        <v>1704</v>
      </c>
      <c r="CL16">
        <v>4</v>
      </c>
      <c r="CM16">
        <v>1363.2</v>
      </c>
      <c r="CN16">
        <v>4</v>
      </c>
      <c r="CO16">
        <v>1363.2</v>
      </c>
      <c r="CP16">
        <v>6</v>
      </c>
      <c r="CQ16">
        <v>2044.8000000000002</v>
      </c>
      <c r="CR16">
        <v>5</v>
      </c>
      <c r="CS16">
        <v>1704</v>
      </c>
      <c r="CT16">
        <v>4</v>
      </c>
      <c r="CU16">
        <v>1363.2</v>
      </c>
    </row>
    <row r="17" spans="2:99" x14ac:dyDescent="0.2">
      <c r="C17" s="105" t="s">
        <v>183</v>
      </c>
      <c r="D17">
        <v>4</v>
      </c>
      <c r="E17">
        <v>1689.6</v>
      </c>
      <c r="F17">
        <v>5</v>
      </c>
      <c r="G17">
        <v>2112</v>
      </c>
      <c r="H17">
        <v>5</v>
      </c>
      <c r="I17">
        <v>2112</v>
      </c>
      <c r="J17">
        <v>3</v>
      </c>
      <c r="K17">
        <v>1267.1999999999998</v>
      </c>
      <c r="L17">
        <v>3</v>
      </c>
      <c r="M17">
        <v>1267.1999999999998</v>
      </c>
      <c r="N17">
        <v>4</v>
      </c>
      <c r="O17">
        <v>1689.6</v>
      </c>
      <c r="P17">
        <v>4</v>
      </c>
      <c r="Q17">
        <v>1689.6</v>
      </c>
      <c r="R17">
        <v>4</v>
      </c>
      <c r="S17">
        <v>1689.6</v>
      </c>
      <c r="T17">
        <v>3</v>
      </c>
      <c r="U17">
        <v>1267.1999999999998</v>
      </c>
      <c r="V17">
        <v>4</v>
      </c>
      <c r="W17">
        <v>1689.6</v>
      </c>
      <c r="X17">
        <v>4</v>
      </c>
      <c r="Y17">
        <v>1689.6</v>
      </c>
      <c r="Z17">
        <v>3</v>
      </c>
      <c r="AA17">
        <v>1267.1999999999998</v>
      </c>
      <c r="AB17">
        <v>5</v>
      </c>
      <c r="AC17">
        <v>2112</v>
      </c>
      <c r="AD17">
        <v>6</v>
      </c>
      <c r="AE17">
        <v>2534.3999999999996</v>
      </c>
      <c r="AF17">
        <v>5</v>
      </c>
      <c r="AG17">
        <v>2112</v>
      </c>
      <c r="AH17">
        <v>6</v>
      </c>
      <c r="AI17">
        <v>2534.3999999999996</v>
      </c>
      <c r="AJ17">
        <v>5</v>
      </c>
      <c r="AK17">
        <v>2112</v>
      </c>
      <c r="AL17">
        <v>5</v>
      </c>
      <c r="AM17">
        <v>2112</v>
      </c>
      <c r="AN17">
        <v>4</v>
      </c>
      <c r="AO17">
        <v>1689.6</v>
      </c>
      <c r="AP17">
        <v>4</v>
      </c>
      <c r="AQ17">
        <v>1689.6</v>
      </c>
      <c r="AR17">
        <v>4</v>
      </c>
      <c r="AS17">
        <v>1689.6</v>
      </c>
      <c r="AT17">
        <v>5</v>
      </c>
      <c r="AU17">
        <v>2112</v>
      </c>
      <c r="AV17">
        <v>4</v>
      </c>
      <c r="AW17">
        <v>1689.6</v>
      </c>
      <c r="AX17">
        <v>3</v>
      </c>
      <c r="AY17">
        <v>1267.1999999999998</v>
      </c>
      <c r="AZ17">
        <v>3</v>
      </c>
      <c r="BA17">
        <v>1267.1999999999998</v>
      </c>
      <c r="BB17">
        <v>3</v>
      </c>
      <c r="BC17">
        <v>1267.1999999999998</v>
      </c>
      <c r="BD17">
        <v>3</v>
      </c>
      <c r="BE17">
        <v>1267.1999999999998</v>
      </c>
      <c r="BF17">
        <v>5</v>
      </c>
      <c r="BG17">
        <v>2112</v>
      </c>
      <c r="BH17">
        <v>3</v>
      </c>
      <c r="BI17">
        <v>1267.1999999999998</v>
      </c>
      <c r="BJ17">
        <v>3</v>
      </c>
      <c r="BK17">
        <v>1267.1999999999998</v>
      </c>
      <c r="BL17">
        <v>5</v>
      </c>
      <c r="BM17">
        <v>2112</v>
      </c>
      <c r="BN17">
        <v>5</v>
      </c>
      <c r="BO17">
        <v>2112</v>
      </c>
      <c r="BP17">
        <v>5</v>
      </c>
      <c r="BQ17">
        <v>2112</v>
      </c>
      <c r="BR17">
        <v>4</v>
      </c>
      <c r="BS17">
        <v>1689.6</v>
      </c>
      <c r="BT17">
        <v>5</v>
      </c>
      <c r="BU17">
        <v>2112</v>
      </c>
      <c r="BV17">
        <v>5</v>
      </c>
      <c r="BW17">
        <v>2112</v>
      </c>
      <c r="BX17">
        <v>5</v>
      </c>
      <c r="BY17">
        <v>2112</v>
      </c>
      <c r="BZ17">
        <v>6</v>
      </c>
      <c r="CA17">
        <v>2534.3999999999996</v>
      </c>
      <c r="CB17">
        <v>3</v>
      </c>
      <c r="CC17">
        <v>1267.1999999999998</v>
      </c>
      <c r="CD17">
        <v>3</v>
      </c>
      <c r="CE17">
        <v>1267.1999999999998</v>
      </c>
      <c r="CF17">
        <v>3</v>
      </c>
      <c r="CG17">
        <v>1267.1999999999998</v>
      </c>
      <c r="CH17">
        <v>3</v>
      </c>
      <c r="CI17">
        <v>1267.1999999999998</v>
      </c>
      <c r="CJ17">
        <v>4</v>
      </c>
      <c r="CK17">
        <v>1689.6</v>
      </c>
      <c r="CL17">
        <v>5</v>
      </c>
      <c r="CM17">
        <v>2112</v>
      </c>
      <c r="CN17">
        <v>4</v>
      </c>
      <c r="CO17">
        <v>1689.6</v>
      </c>
      <c r="CP17">
        <v>6</v>
      </c>
      <c r="CQ17">
        <v>2534.3999999999996</v>
      </c>
      <c r="CR17">
        <v>6</v>
      </c>
      <c r="CS17">
        <v>2534.3999999999996</v>
      </c>
      <c r="CT17">
        <v>4</v>
      </c>
      <c r="CU17">
        <v>1689.6</v>
      </c>
    </row>
    <row r="18" spans="2:99" x14ac:dyDescent="0.2">
      <c r="C18" s="105" t="s">
        <v>184</v>
      </c>
      <c r="D18">
        <v>4</v>
      </c>
      <c r="E18">
        <v>2611.1999999999998</v>
      </c>
      <c r="F18">
        <v>4</v>
      </c>
      <c r="G18">
        <v>2611.1999999999998</v>
      </c>
      <c r="H18">
        <v>5</v>
      </c>
      <c r="I18">
        <v>3264</v>
      </c>
      <c r="J18">
        <v>3</v>
      </c>
      <c r="K18">
        <v>1958.3999999999999</v>
      </c>
      <c r="L18">
        <v>3</v>
      </c>
      <c r="M18">
        <v>1958.3999999999999</v>
      </c>
      <c r="N18">
        <v>4</v>
      </c>
      <c r="O18">
        <v>2611.1999999999998</v>
      </c>
      <c r="P18">
        <v>4</v>
      </c>
      <c r="Q18">
        <v>2611.1999999999998</v>
      </c>
      <c r="R18">
        <v>4</v>
      </c>
      <c r="S18">
        <v>2611.1999999999998</v>
      </c>
      <c r="T18">
        <v>3</v>
      </c>
      <c r="U18">
        <v>1958.3999999999999</v>
      </c>
      <c r="V18">
        <v>3</v>
      </c>
      <c r="W18">
        <v>1958.3999999999999</v>
      </c>
      <c r="X18">
        <v>3</v>
      </c>
      <c r="Y18">
        <v>1958.3999999999999</v>
      </c>
      <c r="Z18">
        <v>3</v>
      </c>
      <c r="AA18">
        <v>1958.3999999999999</v>
      </c>
      <c r="AB18">
        <v>5</v>
      </c>
      <c r="AC18">
        <v>3264</v>
      </c>
      <c r="AD18">
        <v>5</v>
      </c>
      <c r="AE18">
        <v>3264</v>
      </c>
      <c r="AF18">
        <v>5</v>
      </c>
      <c r="AG18">
        <v>3264</v>
      </c>
      <c r="AH18">
        <v>5</v>
      </c>
      <c r="AI18">
        <v>3264</v>
      </c>
      <c r="AJ18">
        <v>5</v>
      </c>
      <c r="AK18">
        <v>3264</v>
      </c>
      <c r="AL18">
        <v>5</v>
      </c>
      <c r="AM18">
        <v>3264</v>
      </c>
      <c r="AN18">
        <v>4</v>
      </c>
      <c r="AO18">
        <v>2611.1999999999998</v>
      </c>
      <c r="AP18">
        <v>4</v>
      </c>
      <c r="AQ18">
        <v>2611.1999999999998</v>
      </c>
      <c r="AR18">
        <v>4</v>
      </c>
      <c r="AS18">
        <v>2611.1999999999998</v>
      </c>
      <c r="AT18">
        <v>4</v>
      </c>
      <c r="AU18">
        <v>2611.1999999999998</v>
      </c>
      <c r="AV18">
        <v>4</v>
      </c>
      <c r="AW18">
        <v>2611.1999999999998</v>
      </c>
      <c r="AX18">
        <v>4</v>
      </c>
      <c r="AY18">
        <v>2611.1999999999998</v>
      </c>
      <c r="AZ18">
        <v>4</v>
      </c>
      <c r="BA18">
        <v>2611.1999999999998</v>
      </c>
      <c r="BB18">
        <v>3</v>
      </c>
      <c r="BC18">
        <v>1958.3999999999999</v>
      </c>
      <c r="BD18">
        <v>3</v>
      </c>
      <c r="BE18">
        <v>1958.3999999999999</v>
      </c>
      <c r="BF18">
        <v>4</v>
      </c>
      <c r="BG18">
        <v>2611.1999999999998</v>
      </c>
      <c r="BH18">
        <v>3</v>
      </c>
      <c r="BI18">
        <v>1958.3999999999999</v>
      </c>
      <c r="BJ18">
        <v>3</v>
      </c>
      <c r="BK18">
        <v>1958.3999999999999</v>
      </c>
      <c r="BL18">
        <v>6</v>
      </c>
      <c r="BM18">
        <v>3916.7999999999997</v>
      </c>
      <c r="BN18">
        <v>6</v>
      </c>
      <c r="BO18">
        <v>3916.7999999999997</v>
      </c>
      <c r="BP18">
        <v>4</v>
      </c>
      <c r="BQ18">
        <v>2611.1999999999998</v>
      </c>
      <c r="BR18">
        <v>4</v>
      </c>
      <c r="BS18">
        <v>2611.1999999999998</v>
      </c>
      <c r="BT18">
        <v>5</v>
      </c>
      <c r="BU18">
        <v>3264</v>
      </c>
      <c r="BV18">
        <v>6</v>
      </c>
      <c r="BW18">
        <v>3916.7999999999997</v>
      </c>
      <c r="BX18">
        <v>5</v>
      </c>
      <c r="BY18">
        <v>3264</v>
      </c>
      <c r="BZ18">
        <v>6</v>
      </c>
      <c r="CA18">
        <v>3916.7999999999997</v>
      </c>
      <c r="CB18">
        <v>3</v>
      </c>
      <c r="CC18">
        <v>1958.3999999999999</v>
      </c>
      <c r="CD18">
        <v>3</v>
      </c>
      <c r="CE18">
        <v>1958.3999999999999</v>
      </c>
      <c r="CF18">
        <v>4</v>
      </c>
      <c r="CG18">
        <v>2611.1999999999998</v>
      </c>
      <c r="CH18">
        <v>4</v>
      </c>
      <c r="CI18">
        <v>2611.1999999999998</v>
      </c>
      <c r="CJ18">
        <v>5</v>
      </c>
      <c r="CK18">
        <v>3264</v>
      </c>
      <c r="CL18">
        <v>4</v>
      </c>
      <c r="CM18">
        <v>2611.1999999999998</v>
      </c>
      <c r="CN18">
        <v>4</v>
      </c>
      <c r="CO18">
        <v>2611.1999999999998</v>
      </c>
      <c r="CP18">
        <v>6</v>
      </c>
      <c r="CQ18">
        <v>3916.7999999999997</v>
      </c>
      <c r="CR18">
        <v>5</v>
      </c>
      <c r="CS18">
        <v>3264</v>
      </c>
      <c r="CT18">
        <v>4</v>
      </c>
      <c r="CU18">
        <v>2611.1999999999998</v>
      </c>
    </row>
    <row r="19" spans="2:99" x14ac:dyDescent="0.2">
      <c r="C19" s="105" t="s">
        <v>185</v>
      </c>
      <c r="D19">
        <v>4</v>
      </c>
      <c r="E19">
        <v>1320</v>
      </c>
      <c r="F19">
        <v>4</v>
      </c>
      <c r="G19">
        <v>1320</v>
      </c>
      <c r="H19">
        <v>5</v>
      </c>
      <c r="I19">
        <v>1650</v>
      </c>
      <c r="J19">
        <v>3</v>
      </c>
      <c r="K19">
        <v>990</v>
      </c>
      <c r="L19">
        <v>3</v>
      </c>
      <c r="M19">
        <v>990</v>
      </c>
      <c r="N19">
        <v>4</v>
      </c>
      <c r="O19">
        <v>1320</v>
      </c>
      <c r="P19">
        <v>4</v>
      </c>
      <c r="Q19">
        <v>1320</v>
      </c>
      <c r="R19">
        <v>5</v>
      </c>
      <c r="S19">
        <v>1650</v>
      </c>
      <c r="T19">
        <v>3</v>
      </c>
      <c r="U19">
        <v>990</v>
      </c>
      <c r="V19">
        <v>3</v>
      </c>
      <c r="W19">
        <v>990</v>
      </c>
      <c r="X19">
        <v>3</v>
      </c>
      <c r="Y19">
        <v>990</v>
      </c>
      <c r="Z19">
        <v>3</v>
      </c>
      <c r="AA19">
        <v>990</v>
      </c>
      <c r="AB19">
        <v>4</v>
      </c>
      <c r="AC19">
        <v>1320</v>
      </c>
      <c r="AD19">
        <v>6</v>
      </c>
      <c r="AE19">
        <v>1980</v>
      </c>
      <c r="AF19">
        <v>5</v>
      </c>
      <c r="AG19">
        <v>1650</v>
      </c>
      <c r="AH19">
        <v>5</v>
      </c>
      <c r="AI19">
        <v>1650</v>
      </c>
      <c r="AJ19">
        <v>4</v>
      </c>
      <c r="AK19">
        <v>1320</v>
      </c>
      <c r="AL19">
        <v>5</v>
      </c>
      <c r="AM19">
        <v>1650</v>
      </c>
      <c r="AN19">
        <v>4</v>
      </c>
      <c r="AO19">
        <v>1320</v>
      </c>
      <c r="AP19">
        <v>4</v>
      </c>
      <c r="AQ19">
        <v>1320</v>
      </c>
      <c r="AR19">
        <v>4</v>
      </c>
      <c r="AS19">
        <v>1320</v>
      </c>
      <c r="AT19">
        <v>5</v>
      </c>
      <c r="AU19">
        <v>1650</v>
      </c>
      <c r="AV19">
        <v>5</v>
      </c>
      <c r="AW19">
        <v>1650</v>
      </c>
      <c r="AX19">
        <v>4</v>
      </c>
      <c r="AY19">
        <v>1320</v>
      </c>
      <c r="AZ19">
        <v>4</v>
      </c>
      <c r="BA19">
        <v>1320</v>
      </c>
      <c r="BB19">
        <v>3</v>
      </c>
      <c r="BC19">
        <v>990</v>
      </c>
      <c r="BD19">
        <v>3</v>
      </c>
      <c r="BE19">
        <v>990</v>
      </c>
      <c r="BF19">
        <v>5</v>
      </c>
      <c r="BG19">
        <v>1650</v>
      </c>
      <c r="BH19">
        <v>3</v>
      </c>
      <c r="BI19">
        <v>990</v>
      </c>
      <c r="BJ19">
        <v>3</v>
      </c>
      <c r="BK19">
        <v>990</v>
      </c>
      <c r="BL19">
        <v>6</v>
      </c>
      <c r="BM19">
        <v>1980</v>
      </c>
      <c r="BN19">
        <v>6</v>
      </c>
      <c r="BO19">
        <v>1980</v>
      </c>
      <c r="BP19">
        <v>5</v>
      </c>
      <c r="BQ19">
        <v>1650</v>
      </c>
      <c r="BR19">
        <v>3</v>
      </c>
      <c r="BS19">
        <v>990</v>
      </c>
      <c r="BT19">
        <v>5</v>
      </c>
      <c r="BU19">
        <v>1650</v>
      </c>
      <c r="BV19">
        <v>5</v>
      </c>
      <c r="BW19">
        <v>1650</v>
      </c>
      <c r="BX19">
        <v>5</v>
      </c>
      <c r="BY19">
        <v>1650</v>
      </c>
      <c r="BZ19">
        <v>5</v>
      </c>
      <c r="CA19">
        <v>1650</v>
      </c>
      <c r="CB19">
        <v>3</v>
      </c>
      <c r="CC19">
        <v>990</v>
      </c>
      <c r="CD19">
        <v>3</v>
      </c>
      <c r="CE19">
        <v>990</v>
      </c>
      <c r="CF19">
        <v>4</v>
      </c>
      <c r="CG19">
        <v>1320</v>
      </c>
      <c r="CH19">
        <v>3</v>
      </c>
      <c r="CI19">
        <v>990</v>
      </c>
      <c r="CJ19">
        <v>5</v>
      </c>
      <c r="CK19">
        <v>1650</v>
      </c>
      <c r="CL19">
        <v>4</v>
      </c>
      <c r="CM19">
        <v>1320</v>
      </c>
      <c r="CN19">
        <v>4</v>
      </c>
      <c r="CO19">
        <v>1320</v>
      </c>
      <c r="CP19">
        <v>6</v>
      </c>
      <c r="CQ19">
        <v>1980</v>
      </c>
      <c r="CR19">
        <v>5</v>
      </c>
      <c r="CS19">
        <v>1650</v>
      </c>
      <c r="CT19">
        <v>4</v>
      </c>
      <c r="CU19">
        <v>1320</v>
      </c>
    </row>
    <row r="20" spans="2:99" x14ac:dyDescent="0.2">
      <c r="B20" s="105" t="s">
        <v>127</v>
      </c>
      <c r="C20" s="105" t="s">
        <v>186</v>
      </c>
      <c r="D20">
        <v>8</v>
      </c>
      <c r="E20">
        <v>2294.4</v>
      </c>
      <c r="F20">
        <v>11</v>
      </c>
      <c r="G20">
        <v>3154.8</v>
      </c>
      <c r="H20">
        <v>10</v>
      </c>
      <c r="I20">
        <v>2868</v>
      </c>
      <c r="J20">
        <v>12</v>
      </c>
      <c r="K20">
        <v>3441.6000000000004</v>
      </c>
      <c r="L20">
        <v>7</v>
      </c>
      <c r="M20">
        <v>2007.6000000000001</v>
      </c>
      <c r="N20">
        <v>10</v>
      </c>
      <c r="O20">
        <v>2868</v>
      </c>
      <c r="P20">
        <v>9</v>
      </c>
      <c r="Q20">
        <v>2581.2000000000003</v>
      </c>
      <c r="R20">
        <v>6</v>
      </c>
      <c r="S20">
        <v>1720.8000000000002</v>
      </c>
      <c r="T20">
        <v>6</v>
      </c>
      <c r="U20">
        <v>1720.8000000000002</v>
      </c>
      <c r="V20">
        <v>11</v>
      </c>
      <c r="W20">
        <v>3154.8</v>
      </c>
      <c r="X20">
        <v>8</v>
      </c>
      <c r="Y20">
        <v>2294.4</v>
      </c>
      <c r="Z20">
        <v>6</v>
      </c>
      <c r="AA20">
        <v>1720.8000000000002</v>
      </c>
      <c r="AB20">
        <v>14</v>
      </c>
      <c r="AC20">
        <v>4015.2000000000003</v>
      </c>
      <c r="AD20">
        <v>6</v>
      </c>
      <c r="AE20">
        <v>1720.8000000000002</v>
      </c>
      <c r="AF20">
        <v>7</v>
      </c>
      <c r="AG20">
        <v>2007.6000000000001</v>
      </c>
      <c r="AH20">
        <v>7</v>
      </c>
      <c r="AI20">
        <v>2007.6000000000001</v>
      </c>
      <c r="AJ20">
        <v>6</v>
      </c>
      <c r="AK20">
        <v>1720.8000000000002</v>
      </c>
      <c r="AL20">
        <v>13</v>
      </c>
      <c r="AM20">
        <v>3728.4</v>
      </c>
      <c r="AN20">
        <v>11</v>
      </c>
      <c r="AO20">
        <v>3154.8</v>
      </c>
      <c r="AP20">
        <v>12</v>
      </c>
      <c r="AQ20">
        <v>3441.6000000000004</v>
      </c>
      <c r="AR20">
        <v>9</v>
      </c>
      <c r="AS20">
        <v>2581.2000000000003</v>
      </c>
      <c r="AT20">
        <v>11</v>
      </c>
      <c r="AU20">
        <v>3154.8</v>
      </c>
      <c r="AV20">
        <v>7</v>
      </c>
      <c r="AW20">
        <v>2007.6000000000001</v>
      </c>
      <c r="AX20">
        <v>12</v>
      </c>
      <c r="AY20">
        <v>3441.6000000000004</v>
      </c>
      <c r="AZ20">
        <v>8</v>
      </c>
      <c r="BA20">
        <v>2294.4</v>
      </c>
      <c r="BB20">
        <v>11</v>
      </c>
      <c r="BC20">
        <v>3154.8</v>
      </c>
      <c r="BD20">
        <v>10</v>
      </c>
      <c r="BE20">
        <v>2868</v>
      </c>
      <c r="BF20">
        <v>13</v>
      </c>
      <c r="BG20">
        <v>3728.4</v>
      </c>
      <c r="BH20">
        <v>13</v>
      </c>
      <c r="BI20">
        <v>3728.4</v>
      </c>
      <c r="BJ20">
        <v>11</v>
      </c>
      <c r="BK20">
        <v>3154.8</v>
      </c>
      <c r="BL20">
        <v>7</v>
      </c>
      <c r="BM20">
        <v>2007.6000000000001</v>
      </c>
      <c r="BN20">
        <v>13</v>
      </c>
      <c r="BO20">
        <v>3728.4</v>
      </c>
      <c r="BP20">
        <v>10</v>
      </c>
      <c r="BQ20">
        <v>2868</v>
      </c>
      <c r="BR20">
        <v>7</v>
      </c>
      <c r="BS20">
        <v>2007.6000000000001</v>
      </c>
      <c r="BT20">
        <v>11</v>
      </c>
      <c r="BU20">
        <v>3154.8</v>
      </c>
      <c r="BV20">
        <v>14</v>
      </c>
      <c r="BW20">
        <v>4015.2000000000003</v>
      </c>
      <c r="BX20">
        <v>9</v>
      </c>
      <c r="BY20">
        <v>2581.2000000000003</v>
      </c>
      <c r="BZ20">
        <v>10</v>
      </c>
      <c r="CA20">
        <v>2868</v>
      </c>
      <c r="CB20">
        <v>11</v>
      </c>
      <c r="CC20">
        <v>3154.8</v>
      </c>
      <c r="CD20">
        <v>11</v>
      </c>
      <c r="CE20">
        <v>3154.8</v>
      </c>
      <c r="CF20">
        <v>8</v>
      </c>
      <c r="CG20">
        <v>2294.4</v>
      </c>
      <c r="CH20">
        <v>8</v>
      </c>
      <c r="CI20">
        <v>2294.4</v>
      </c>
      <c r="CJ20">
        <v>11</v>
      </c>
      <c r="CK20">
        <v>3154.8</v>
      </c>
      <c r="CL20">
        <v>8</v>
      </c>
      <c r="CM20">
        <v>2294.4</v>
      </c>
      <c r="CN20">
        <v>12</v>
      </c>
      <c r="CO20">
        <v>3441.6000000000004</v>
      </c>
      <c r="CP20">
        <v>13</v>
      </c>
      <c r="CQ20">
        <v>3728.4</v>
      </c>
      <c r="CR20">
        <v>14</v>
      </c>
      <c r="CS20">
        <v>4015.2000000000003</v>
      </c>
      <c r="CT20">
        <v>8</v>
      </c>
      <c r="CU20">
        <v>2294.4</v>
      </c>
    </row>
    <row r="21" spans="2:99" x14ac:dyDescent="0.2">
      <c r="C21" s="105" t="s">
        <v>187</v>
      </c>
      <c r="D21">
        <v>9</v>
      </c>
      <c r="E21">
        <v>561.6</v>
      </c>
      <c r="F21">
        <v>10</v>
      </c>
      <c r="G21">
        <v>624</v>
      </c>
      <c r="H21">
        <v>12</v>
      </c>
      <c r="I21">
        <v>748.8</v>
      </c>
      <c r="J21">
        <v>13</v>
      </c>
      <c r="K21">
        <v>811.19999999999993</v>
      </c>
      <c r="L21">
        <v>8</v>
      </c>
      <c r="M21">
        <v>499.2</v>
      </c>
      <c r="N21">
        <v>11</v>
      </c>
      <c r="O21">
        <v>686.4</v>
      </c>
      <c r="P21">
        <v>9</v>
      </c>
      <c r="Q21">
        <v>561.6</v>
      </c>
      <c r="R21">
        <v>7</v>
      </c>
      <c r="S21">
        <v>436.8</v>
      </c>
      <c r="T21">
        <v>7</v>
      </c>
      <c r="U21">
        <v>436.8</v>
      </c>
      <c r="V21">
        <v>11</v>
      </c>
      <c r="W21">
        <v>686.4</v>
      </c>
      <c r="X21">
        <v>8</v>
      </c>
      <c r="Y21">
        <v>499.2</v>
      </c>
      <c r="Z21">
        <v>7</v>
      </c>
      <c r="AA21">
        <v>436.8</v>
      </c>
      <c r="AB21">
        <v>12</v>
      </c>
      <c r="AC21">
        <v>748.8</v>
      </c>
      <c r="AD21">
        <v>7</v>
      </c>
      <c r="AE21">
        <v>436.8</v>
      </c>
      <c r="AF21">
        <v>8</v>
      </c>
      <c r="AG21">
        <v>499.2</v>
      </c>
      <c r="AH21">
        <v>8</v>
      </c>
      <c r="AI21">
        <v>499.2</v>
      </c>
      <c r="AJ21">
        <v>8</v>
      </c>
      <c r="AK21">
        <v>499.2</v>
      </c>
      <c r="AL21">
        <v>12</v>
      </c>
      <c r="AM21">
        <v>748.8</v>
      </c>
      <c r="AN21">
        <v>11</v>
      </c>
      <c r="AO21">
        <v>686.4</v>
      </c>
      <c r="AP21">
        <v>10</v>
      </c>
      <c r="AQ21">
        <v>624</v>
      </c>
      <c r="AR21">
        <v>11</v>
      </c>
      <c r="AS21">
        <v>686.4</v>
      </c>
      <c r="AT21">
        <v>12</v>
      </c>
      <c r="AU21">
        <v>748.8</v>
      </c>
      <c r="AV21">
        <v>7</v>
      </c>
      <c r="AW21">
        <v>436.8</v>
      </c>
      <c r="AX21">
        <v>13</v>
      </c>
      <c r="AY21">
        <v>811.19999999999993</v>
      </c>
      <c r="AZ21">
        <v>7</v>
      </c>
      <c r="BA21">
        <v>436.8</v>
      </c>
      <c r="BB21">
        <v>10</v>
      </c>
      <c r="BC21">
        <v>624</v>
      </c>
      <c r="BD21">
        <v>12</v>
      </c>
      <c r="BE21">
        <v>748.8</v>
      </c>
      <c r="BF21">
        <v>12</v>
      </c>
      <c r="BG21">
        <v>748.8</v>
      </c>
      <c r="BH21">
        <v>14</v>
      </c>
      <c r="BI21">
        <v>873.6</v>
      </c>
      <c r="BJ21">
        <v>11</v>
      </c>
      <c r="BK21">
        <v>686.4</v>
      </c>
      <c r="BL21">
        <v>7</v>
      </c>
      <c r="BM21">
        <v>436.8</v>
      </c>
      <c r="BN21">
        <v>13</v>
      </c>
      <c r="BO21">
        <v>811.19999999999993</v>
      </c>
      <c r="BP21">
        <v>9</v>
      </c>
      <c r="BQ21">
        <v>561.6</v>
      </c>
      <c r="BR21">
        <v>7</v>
      </c>
      <c r="BS21">
        <v>436.8</v>
      </c>
      <c r="BT21">
        <v>11</v>
      </c>
      <c r="BU21">
        <v>686.4</v>
      </c>
      <c r="BV21">
        <v>13</v>
      </c>
      <c r="BW21">
        <v>811.19999999999993</v>
      </c>
      <c r="BX21">
        <v>9</v>
      </c>
      <c r="BY21">
        <v>561.6</v>
      </c>
      <c r="BZ21">
        <v>11</v>
      </c>
      <c r="CA21">
        <v>686.4</v>
      </c>
      <c r="CB21">
        <v>11</v>
      </c>
      <c r="CC21">
        <v>686.4</v>
      </c>
      <c r="CD21">
        <v>12</v>
      </c>
      <c r="CE21">
        <v>748.8</v>
      </c>
      <c r="CF21">
        <v>8</v>
      </c>
      <c r="CG21">
        <v>499.2</v>
      </c>
      <c r="CH21">
        <v>8</v>
      </c>
      <c r="CI21">
        <v>499.2</v>
      </c>
      <c r="CJ21">
        <v>11</v>
      </c>
      <c r="CK21">
        <v>686.4</v>
      </c>
      <c r="CL21">
        <v>9</v>
      </c>
      <c r="CM21">
        <v>561.6</v>
      </c>
      <c r="CN21">
        <v>12</v>
      </c>
      <c r="CO21">
        <v>748.8</v>
      </c>
      <c r="CP21">
        <v>14</v>
      </c>
      <c r="CQ21">
        <v>873.6</v>
      </c>
      <c r="CR21">
        <v>13</v>
      </c>
      <c r="CS21">
        <v>811.19999999999993</v>
      </c>
      <c r="CT21">
        <v>8</v>
      </c>
      <c r="CU21">
        <v>499.2</v>
      </c>
    </row>
    <row r="22" spans="2:99" x14ac:dyDescent="0.2">
      <c r="C22" s="105" t="s">
        <v>188</v>
      </c>
      <c r="D22">
        <v>8</v>
      </c>
      <c r="E22">
        <v>1497.6</v>
      </c>
      <c r="F22">
        <v>10</v>
      </c>
      <c r="G22">
        <v>1872</v>
      </c>
      <c r="H22">
        <v>10</v>
      </c>
      <c r="I22">
        <v>1872</v>
      </c>
      <c r="J22">
        <v>13</v>
      </c>
      <c r="K22">
        <v>2433.6</v>
      </c>
      <c r="L22">
        <v>8</v>
      </c>
      <c r="M22">
        <v>1497.6</v>
      </c>
      <c r="N22">
        <v>9</v>
      </c>
      <c r="O22">
        <v>1684.8</v>
      </c>
      <c r="P22">
        <v>8</v>
      </c>
      <c r="Q22">
        <v>1497.6</v>
      </c>
      <c r="R22">
        <v>6</v>
      </c>
      <c r="S22">
        <v>1123.1999999999998</v>
      </c>
      <c r="T22">
        <v>6</v>
      </c>
      <c r="U22">
        <v>1123.1999999999998</v>
      </c>
      <c r="V22">
        <v>11</v>
      </c>
      <c r="W22">
        <v>2059.1999999999998</v>
      </c>
      <c r="X22">
        <v>8</v>
      </c>
      <c r="Y22">
        <v>1497.6</v>
      </c>
      <c r="Z22">
        <v>6</v>
      </c>
      <c r="AA22">
        <v>1123.1999999999998</v>
      </c>
      <c r="AB22">
        <v>14</v>
      </c>
      <c r="AC22">
        <v>2620.7999999999997</v>
      </c>
      <c r="AD22">
        <v>7</v>
      </c>
      <c r="AE22">
        <v>1310.3999999999999</v>
      </c>
      <c r="AF22">
        <v>8</v>
      </c>
      <c r="AG22">
        <v>1497.6</v>
      </c>
      <c r="AH22">
        <v>7</v>
      </c>
      <c r="AI22">
        <v>1310.3999999999999</v>
      </c>
      <c r="AJ22">
        <v>7</v>
      </c>
      <c r="AK22">
        <v>1310.3999999999999</v>
      </c>
      <c r="AL22">
        <v>14</v>
      </c>
      <c r="AM22">
        <v>2620.7999999999997</v>
      </c>
      <c r="AN22">
        <v>10</v>
      </c>
      <c r="AO22">
        <v>1872</v>
      </c>
      <c r="AP22">
        <v>11</v>
      </c>
      <c r="AQ22">
        <v>2059.1999999999998</v>
      </c>
      <c r="AR22">
        <v>9</v>
      </c>
      <c r="AS22">
        <v>1684.8</v>
      </c>
      <c r="AT22">
        <v>12</v>
      </c>
      <c r="AU22">
        <v>2246.3999999999996</v>
      </c>
      <c r="AV22">
        <v>8</v>
      </c>
      <c r="AW22">
        <v>1497.6</v>
      </c>
      <c r="AX22">
        <v>12</v>
      </c>
      <c r="AY22">
        <v>2246.3999999999996</v>
      </c>
      <c r="AZ22">
        <v>8</v>
      </c>
      <c r="BA22">
        <v>1497.6</v>
      </c>
      <c r="BB22">
        <v>11</v>
      </c>
      <c r="BC22">
        <v>2059.1999999999998</v>
      </c>
      <c r="BD22">
        <v>10</v>
      </c>
      <c r="BE22">
        <v>1872</v>
      </c>
      <c r="BF22">
        <v>14</v>
      </c>
      <c r="BG22">
        <v>2620.7999999999997</v>
      </c>
      <c r="BH22">
        <v>14</v>
      </c>
      <c r="BI22">
        <v>2620.7999999999997</v>
      </c>
      <c r="BJ22">
        <v>13</v>
      </c>
      <c r="BK22">
        <v>2433.6</v>
      </c>
      <c r="BL22">
        <v>7</v>
      </c>
      <c r="BM22">
        <v>1310.3999999999999</v>
      </c>
      <c r="BN22">
        <v>13</v>
      </c>
      <c r="BO22">
        <v>2433.6</v>
      </c>
      <c r="BP22">
        <v>11</v>
      </c>
      <c r="BQ22">
        <v>2059.1999999999998</v>
      </c>
      <c r="BR22">
        <v>7</v>
      </c>
      <c r="BS22">
        <v>1310.3999999999999</v>
      </c>
      <c r="BT22">
        <v>9</v>
      </c>
      <c r="BU22">
        <v>1684.8</v>
      </c>
      <c r="BV22">
        <v>14</v>
      </c>
      <c r="BW22">
        <v>2620.7999999999997</v>
      </c>
      <c r="BX22">
        <v>9</v>
      </c>
      <c r="BY22">
        <v>1684.8</v>
      </c>
      <c r="BZ22">
        <v>10</v>
      </c>
      <c r="CA22">
        <v>1872</v>
      </c>
      <c r="CB22">
        <v>11</v>
      </c>
      <c r="CC22">
        <v>2059.1999999999998</v>
      </c>
      <c r="CD22">
        <v>12</v>
      </c>
      <c r="CE22">
        <v>2246.3999999999996</v>
      </c>
      <c r="CF22">
        <v>7</v>
      </c>
      <c r="CG22">
        <v>1310.3999999999999</v>
      </c>
      <c r="CH22">
        <v>8</v>
      </c>
      <c r="CI22">
        <v>1497.6</v>
      </c>
      <c r="CJ22">
        <v>11</v>
      </c>
      <c r="CK22">
        <v>2059.1999999999998</v>
      </c>
      <c r="CL22">
        <v>10</v>
      </c>
      <c r="CM22">
        <v>1872</v>
      </c>
      <c r="CN22">
        <v>12</v>
      </c>
      <c r="CO22">
        <v>2246.3999999999996</v>
      </c>
      <c r="CP22">
        <v>14</v>
      </c>
      <c r="CQ22">
        <v>2620.7999999999997</v>
      </c>
      <c r="CR22">
        <v>14</v>
      </c>
      <c r="CS22">
        <v>2620.7999999999997</v>
      </c>
      <c r="CT22">
        <v>8</v>
      </c>
      <c r="CU22">
        <v>1497.6</v>
      </c>
    </row>
    <row r="23" spans="2:99" x14ac:dyDescent="0.2">
      <c r="C23" s="105" t="s">
        <v>189</v>
      </c>
      <c r="D23">
        <v>8</v>
      </c>
      <c r="E23">
        <v>2352</v>
      </c>
      <c r="F23">
        <v>11</v>
      </c>
      <c r="G23">
        <v>3234</v>
      </c>
      <c r="H23">
        <v>11</v>
      </c>
      <c r="I23">
        <v>3234</v>
      </c>
      <c r="J23">
        <v>13</v>
      </c>
      <c r="K23">
        <v>3822</v>
      </c>
      <c r="L23">
        <v>7</v>
      </c>
      <c r="M23">
        <v>2058</v>
      </c>
      <c r="N23">
        <v>10</v>
      </c>
      <c r="O23">
        <v>2940</v>
      </c>
      <c r="P23">
        <v>8</v>
      </c>
      <c r="Q23">
        <v>2352</v>
      </c>
      <c r="R23">
        <v>6</v>
      </c>
      <c r="S23">
        <v>1764</v>
      </c>
      <c r="T23">
        <v>7</v>
      </c>
      <c r="U23">
        <v>2058</v>
      </c>
      <c r="V23">
        <v>11</v>
      </c>
      <c r="W23">
        <v>3234</v>
      </c>
      <c r="X23">
        <v>9</v>
      </c>
      <c r="Y23">
        <v>2646</v>
      </c>
      <c r="Z23">
        <v>7</v>
      </c>
      <c r="AA23">
        <v>2058</v>
      </c>
      <c r="AB23">
        <v>13</v>
      </c>
      <c r="AC23">
        <v>3822</v>
      </c>
      <c r="AD23">
        <v>6</v>
      </c>
      <c r="AE23">
        <v>1764</v>
      </c>
      <c r="AF23">
        <v>7</v>
      </c>
      <c r="AG23">
        <v>2058</v>
      </c>
      <c r="AH23">
        <v>7</v>
      </c>
      <c r="AI23">
        <v>2058</v>
      </c>
      <c r="AJ23">
        <v>8</v>
      </c>
      <c r="AK23">
        <v>2352</v>
      </c>
      <c r="AL23">
        <v>14</v>
      </c>
      <c r="AM23">
        <v>4116</v>
      </c>
      <c r="AN23">
        <v>9</v>
      </c>
      <c r="AO23">
        <v>2646</v>
      </c>
      <c r="AP23">
        <v>12</v>
      </c>
      <c r="AQ23">
        <v>3528</v>
      </c>
      <c r="AR23">
        <v>11</v>
      </c>
      <c r="AS23">
        <v>3234</v>
      </c>
      <c r="AT23">
        <v>13</v>
      </c>
      <c r="AU23">
        <v>3822</v>
      </c>
      <c r="AV23">
        <v>8</v>
      </c>
      <c r="AW23">
        <v>2352</v>
      </c>
      <c r="AX23">
        <v>12</v>
      </c>
      <c r="AY23">
        <v>3528</v>
      </c>
      <c r="AZ23">
        <v>7</v>
      </c>
      <c r="BA23">
        <v>2058</v>
      </c>
      <c r="BB23">
        <v>11</v>
      </c>
      <c r="BC23">
        <v>3234</v>
      </c>
      <c r="BD23">
        <v>10</v>
      </c>
      <c r="BE23">
        <v>2940</v>
      </c>
      <c r="BF23">
        <v>12</v>
      </c>
      <c r="BG23">
        <v>3528</v>
      </c>
      <c r="BH23">
        <v>14</v>
      </c>
      <c r="BI23">
        <v>4116</v>
      </c>
      <c r="BJ23">
        <v>13</v>
      </c>
      <c r="BK23">
        <v>3822</v>
      </c>
      <c r="BL23">
        <v>6</v>
      </c>
      <c r="BM23">
        <v>1764</v>
      </c>
      <c r="BN23">
        <v>13</v>
      </c>
      <c r="BO23">
        <v>3822</v>
      </c>
      <c r="BP23">
        <v>11</v>
      </c>
      <c r="BQ23">
        <v>3234</v>
      </c>
      <c r="BR23">
        <v>7</v>
      </c>
      <c r="BS23">
        <v>2058</v>
      </c>
      <c r="BT23">
        <v>11</v>
      </c>
      <c r="BU23">
        <v>3234</v>
      </c>
      <c r="BV23">
        <v>12</v>
      </c>
      <c r="BW23">
        <v>3528</v>
      </c>
      <c r="BX23">
        <v>9</v>
      </c>
      <c r="BY23">
        <v>2646</v>
      </c>
      <c r="BZ23">
        <v>11</v>
      </c>
      <c r="CA23">
        <v>3234</v>
      </c>
      <c r="CB23">
        <v>10</v>
      </c>
      <c r="CC23">
        <v>2940</v>
      </c>
      <c r="CD23">
        <v>10</v>
      </c>
      <c r="CE23">
        <v>2940</v>
      </c>
      <c r="CF23">
        <v>8</v>
      </c>
      <c r="CG23">
        <v>2352</v>
      </c>
      <c r="CH23">
        <v>9</v>
      </c>
      <c r="CI23">
        <v>2646</v>
      </c>
      <c r="CJ23">
        <v>9</v>
      </c>
      <c r="CK23">
        <v>2646</v>
      </c>
      <c r="CL23">
        <v>10</v>
      </c>
      <c r="CM23">
        <v>2940</v>
      </c>
      <c r="CN23">
        <v>13</v>
      </c>
      <c r="CO23">
        <v>3822</v>
      </c>
      <c r="CP23">
        <v>12</v>
      </c>
      <c r="CQ23">
        <v>3528</v>
      </c>
      <c r="CR23">
        <v>13</v>
      </c>
      <c r="CS23">
        <v>3822</v>
      </c>
      <c r="CT23">
        <v>8</v>
      </c>
      <c r="CU23">
        <v>2352</v>
      </c>
    </row>
    <row r="24" spans="2:99" x14ac:dyDescent="0.2">
      <c r="C24" s="105" t="s">
        <v>190</v>
      </c>
      <c r="D24">
        <v>9</v>
      </c>
      <c r="E24">
        <v>3304.7999999999997</v>
      </c>
      <c r="F24">
        <v>11</v>
      </c>
      <c r="G24">
        <v>4039.2</v>
      </c>
      <c r="H24">
        <v>10</v>
      </c>
      <c r="I24">
        <v>3672</v>
      </c>
      <c r="J24">
        <v>11</v>
      </c>
      <c r="K24">
        <v>4039.2</v>
      </c>
      <c r="L24">
        <v>7</v>
      </c>
      <c r="M24">
        <v>2570.4</v>
      </c>
      <c r="N24">
        <v>11</v>
      </c>
      <c r="O24">
        <v>4039.2</v>
      </c>
      <c r="P24">
        <v>9</v>
      </c>
      <c r="Q24">
        <v>3304.7999999999997</v>
      </c>
      <c r="R24">
        <v>7</v>
      </c>
      <c r="S24">
        <v>2570.4</v>
      </c>
      <c r="T24">
        <v>6</v>
      </c>
      <c r="U24">
        <v>2203.1999999999998</v>
      </c>
      <c r="V24">
        <v>10</v>
      </c>
      <c r="W24">
        <v>3672</v>
      </c>
      <c r="X24">
        <v>8</v>
      </c>
      <c r="Y24">
        <v>2937.6</v>
      </c>
      <c r="Z24">
        <v>6</v>
      </c>
      <c r="AA24">
        <v>2203.1999999999998</v>
      </c>
      <c r="AB24">
        <v>12</v>
      </c>
      <c r="AC24">
        <v>4406.3999999999996</v>
      </c>
      <c r="AD24">
        <v>6</v>
      </c>
      <c r="AE24">
        <v>2203.1999999999998</v>
      </c>
      <c r="AF24">
        <v>7</v>
      </c>
      <c r="AG24">
        <v>2570.4</v>
      </c>
      <c r="AH24">
        <v>7</v>
      </c>
      <c r="AI24">
        <v>2570.4</v>
      </c>
      <c r="AJ24">
        <v>6</v>
      </c>
      <c r="AK24">
        <v>2203.1999999999998</v>
      </c>
      <c r="AL24">
        <v>13</v>
      </c>
      <c r="AM24">
        <v>4773.5999999999995</v>
      </c>
      <c r="AN24">
        <v>11</v>
      </c>
      <c r="AO24">
        <v>4039.2</v>
      </c>
      <c r="AP24">
        <v>12</v>
      </c>
      <c r="AQ24">
        <v>4406.3999999999996</v>
      </c>
      <c r="AR24">
        <v>10</v>
      </c>
      <c r="AS24">
        <v>3672</v>
      </c>
      <c r="AT24">
        <v>11</v>
      </c>
      <c r="AU24">
        <v>4039.2</v>
      </c>
      <c r="AV24">
        <v>8</v>
      </c>
      <c r="AW24">
        <v>2937.6</v>
      </c>
      <c r="AX24">
        <v>12</v>
      </c>
      <c r="AY24">
        <v>4406.3999999999996</v>
      </c>
      <c r="AZ24">
        <v>7</v>
      </c>
      <c r="BA24">
        <v>2570.4</v>
      </c>
      <c r="BB24">
        <v>11</v>
      </c>
      <c r="BC24">
        <v>4039.2</v>
      </c>
      <c r="BD24">
        <v>10</v>
      </c>
      <c r="BE24">
        <v>3672</v>
      </c>
      <c r="BF24">
        <v>12</v>
      </c>
      <c r="BG24">
        <v>4406.3999999999996</v>
      </c>
      <c r="BH24">
        <v>13</v>
      </c>
      <c r="BI24">
        <v>4773.5999999999995</v>
      </c>
      <c r="BJ24">
        <v>12</v>
      </c>
      <c r="BK24">
        <v>4406.3999999999996</v>
      </c>
      <c r="BL24">
        <v>7</v>
      </c>
      <c r="BM24">
        <v>2570.4</v>
      </c>
      <c r="BN24">
        <v>12</v>
      </c>
      <c r="BO24">
        <v>4406.3999999999996</v>
      </c>
      <c r="BP24">
        <v>11</v>
      </c>
      <c r="BQ24">
        <v>4039.2</v>
      </c>
      <c r="BR24">
        <v>7</v>
      </c>
      <c r="BS24">
        <v>2570.4</v>
      </c>
      <c r="BT24">
        <v>10</v>
      </c>
      <c r="BU24">
        <v>3672</v>
      </c>
      <c r="BV24">
        <v>12</v>
      </c>
      <c r="BW24">
        <v>4406.3999999999996</v>
      </c>
      <c r="BX24">
        <v>9</v>
      </c>
      <c r="BY24">
        <v>3304.7999999999997</v>
      </c>
      <c r="BZ24">
        <v>10</v>
      </c>
      <c r="CA24">
        <v>3672</v>
      </c>
      <c r="CB24">
        <v>10</v>
      </c>
      <c r="CC24">
        <v>3672</v>
      </c>
      <c r="CD24">
        <v>11</v>
      </c>
      <c r="CE24">
        <v>4039.2</v>
      </c>
      <c r="CF24">
        <v>8</v>
      </c>
      <c r="CG24">
        <v>2937.6</v>
      </c>
      <c r="CH24">
        <v>9</v>
      </c>
      <c r="CI24">
        <v>3304.7999999999997</v>
      </c>
      <c r="CJ24">
        <v>10</v>
      </c>
      <c r="CK24">
        <v>3672</v>
      </c>
      <c r="CL24">
        <v>10</v>
      </c>
      <c r="CM24">
        <v>3672</v>
      </c>
      <c r="CN24">
        <v>13</v>
      </c>
      <c r="CO24">
        <v>4773.5999999999995</v>
      </c>
      <c r="CP24">
        <v>14</v>
      </c>
      <c r="CQ24">
        <v>5140.8</v>
      </c>
      <c r="CR24">
        <v>14</v>
      </c>
      <c r="CS24">
        <v>5140.8</v>
      </c>
      <c r="CT24">
        <v>8</v>
      </c>
      <c r="CU24">
        <v>2937.6</v>
      </c>
    </row>
    <row r="25" spans="2:99" x14ac:dyDescent="0.2">
      <c r="C25" s="105" t="s">
        <v>191</v>
      </c>
      <c r="D25">
        <v>8</v>
      </c>
      <c r="E25">
        <v>4243.2</v>
      </c>
      <c r="F25">
        <v>11</v>
      </c>
      <c r="G25">
        <v>5834.4</v>
      </c>
      <c r="H25">
        <v>10</v>
      </c>
      <c r="I25">
        <v>5304</v>
      </c>
      <c r="J25">
        <v>11</v>
      </c>
      <c r="K25">
        <v>5834.4</v>
      </c>
      <c r="L25">
        <v>8</v>
      </c>
      <c r="M25">
        <v>4243.2</v>
      </c>
      <c r="N25">
        <v>10</v>
      </c>
      <c r="O25">
        <v>5304</v>
      </c>
      <c r="P25">
        <v>8</v>
      </c>
      <c r="Q25">
        <v>4243.2</v>
      </c>
      <c r="R25">
        <v>6</v>
      </c>
      <c r="S25">
        <v>3182.3999999999996</v>
      </c>
      <c r="T25">
        <v>6</v>
      </c>
      <c r="U25">
        <v>3182.3999999999996</v>
      </c>
      <c r="V25">
        <v>11</v>
      </c>
      <c r="W25">
        <v>5834.4</v>
      </c>
      <c r="X25">
        <v>8</v>
      </c>
      <c r="Y25">
        <v>4243.2</v>
      </c>
      <c r="Z25">
        <v>6</v>
      </c>
      <c r="AA25">
        <v>3182.3999999999996</v>
      </c>
      <c r="AB25">
        <v>13</v>
      </c>
      <c r="AC25">
        <v>6895.2</v>
      </c>
      <c r="AD25">
        <v>7</v>
      </c>
      <c r="AE25">
        <v>3712.7999999999997</v>
      </c>
      <c r="AF25">
        <v>7</v>
      </c>
      <c r="AG25">
        <v>3712.7999999999997</v>
      </c>
      <c r="AH25">
        <v>7</v>
      </c>
      <c r="AI25">
        <v>3712.7999999999997</v>
      </c>
      <c r="AJ25">
        <v>7</v>
      </c>
      <c r="AK25">
        <v>3712.7999999999997</v>
      </c>
      <c r="AL25">
        <v>13</v>
      </c>
      <c r="AM25">
        <v>6895.2</v>
      </c>
      <c r="AN25">
        <v>10</v>
      </c>
      <c r="AO25">
        <v>5304</v>
      </c>
      <c r="AP25">
        <v>10</v>
      </c>
      <c r="AQ25">
        <v>5304</v>
      </c>
      <c r="AR25">
        <v>10</v>
      </c>
      <c r="AS25">
        <v>5304</v>
      </c>
      <c r="AT25">
        <v>12</v>
      </c>
      <c r="AU25">
        <v>6364.7999999999993</v>
      </c>
      <c r="AV25">
        <v>7</v>
      </c>
      <c r="AW25">
        <v>3712.7999999999997</v>
      </c>
      <c r="AX25">
        <v>12</v>
      </c>
      <c r="AY25">
        <v>6364.7999999999993</v>
      </c>
      <c r="AZ25">
        <v>7</v>
      </c>
      <c r="BA25">
        <v>3712.7999999999997</v>
      </c>
      <c r="BB25">
        <v>10</v>
      </c>
      <c r="BC25">
        <v>5304</v>
      </c>
      <c r="BD25">
        <v>10</v>
      </c>
      <c r="BE25">
        <v>5304</v>
      </c>
      <c r="BF25">
        <v>11</v>
      </c>
      <c r="BG25">
        <v>5834.4</v>
      </c>
      <c r="BH25">
        <v>12</v>
      </c>
      <c r="BI25">
        <v>6364.7999999999993</v>
      </c>
      <c r="BJ25">
        <v>11</v>
      </c>
      <c r="BK25">
        <v>5834.4</v>
      </c>
      <c r="BL25">
        <v>6</v>
      </c>
      <c r="BM25">
        <v>3182.3999999999996</v>
      </c>
      <c r="BN25">
        <v>13</v>
      </c>
      <c r="BO25">
        <v>6895.2</v>
      </c>
      <c r="BP25">
        <v>9</v>
      </c>
      <c r="BQ25">
        <v>4773.5999999999995</v>
      </c>
      <c r="BR25">
        <v>6</v>
      </c>
      <c r="BS25">
        <v>3182.3999999999996</v>
      </c>
      <c r="BT25">
        <v>11</v>
      </c>
      <c r="BU25">
        <v>5834.4</v>
      </c>
      <c r="BV25">
        <v>13</v>
      </c>
      <c r="BW25">
        <v>6895.2</v>
      </c>
      <c r="BX25">
        <v>9</v>
      </c>
      <c r="BY25">
        <v>4773.5999999999995</v>
      </c>
      <c r="BZ25">
        <v>9</v>
      </c>
      <c r="CA25">
        <v>4773.5999999999995</v>
      </c>
      <c r="CB25">
        <v>10</v>
      </c>
      <c r="CC25">
        <v>5304</v>
      </c>
      <c r="CD25">
        <v>12</v>
      </c>
      <c r="CE25">
        <v>6364.7999999999993</v>
      </c>
      <c r="CF25">
        <v>8</v>
      </c>
      <c r="CG25">
        <v>4243.2</v>
      </c>
      <c r="CH25">
        <v>9</v>
      </c>
      <c r="CI25">
        <v>4773.5999999999995</v>
      </c>
      <c r="CJ25">
        <v>10</v>
      </c>
      <c r="CK25">
        <v>5304</v>
      </c>
      <c r="CL25">
        <v>9</v>
      </c>
      <c r="CM25">
        <v>4773.5999999999995</v>
      </c>
      <c r="CN25">
        <v>13</v>
      </c>
      <c r="CO25">
        <v>6895.2</v>
      </c>
      <c r="CP25">
        <v>12</v>
      </c>
      <c r="CQ25">
        <v>6364.7999999999993</v>
      </c>
      <c r="CR25">
        <v>12</v>
      </c>
      <c r="CS25">
        <v>6364.7999999999993</v>
      </c>
      <c r="CT25">
        <v>8</v>
      </c>
      <c r="CU25">
        <v>4243.2</v>
      </c>
    </row>
    <row r="26" spans="2:99" x14ac:dyDescent="0.2">
      <c r="C26" s="105" t="s">
        <v>192</v>
      </c>
      <c r="D26">
        <v>8</v>
      </c>
      <c r="E26">
        <v>3888</v>
      </c>
      <c r="F26">
        <v>9</v>
      </c>
      <c r="G26">
        <v>4374</v>
      </c>
      <c r="H26">
        <v>11</v>
      </c>
      <c r="I26">
        <v>5346</v>
      </c>
      <c r="J26">
        <v>11</v>
      </c>
      <c r="K26">
        <v>5346</v>
      </c>
      <c r="L26">
        <v>7</v>
      </c>
      <c r="M26">
        <v>3402</v>
      </c>
      <c r="N26">
        <v>11</v>
      </c>
      <c r="O26">
        <v>5346</v>
      </c>
      <c r="P26">
        <v>8</v>
      </c>
      <c r="Q26">
        <v>3888</v>
      </c>
      <c r="R26">
        <v>7</v>
      </c>
      <c r="S26">
        <v>3402</v>
      </c>
      <c r="T26">
        <v>6</v>
      </c>
      <c r="U26">
        <v>2916</v>
      </c>
      <c r="V26">
        <v>11</v>
      </c>
      <c r="W26">
        <v>5346</v>
      </c>
      <c r="X26">
        <v>9</v>
      </c>
      <c r="Y26">
        <v>4374</v>
      </c>
      <c r="Z26">
        <v>6</v>
      </c>
      <c r="AA26">
        <v>2916</v>
      </c>
      <c r="AB26">
        <v>11</v>
      </c>
      <c r="AC26">
        <v>5346</v>
      </c>
      <c r="AD26">
        <v>6</v>
      </c>
      <c r="AE26">
        <v>2916</v>
      </c>
      <c r="AF26">
        <v>7</v>
      </c>
      <c r="AG26">
        <v>3402</v>
      </c>
      <c r="AH26">
        <v>8</v>
      </c>
      <c r="AI26">
        <v>3888</v>
      </c>
      <c r="AJ26">
        <v>7</v>
      </c>
      <c r="AK26">
        <v>3402</v>
      </c>
      <c r="AL26">
        <v>13</v>
      </c>
      <c r="AM26">
        <v>6318</v>
      </c>
      <c r="AN26">
        <v>10</v>
      </c>
      <c r="AO26">
        <v>4860</v>
      </c>
      <c r="AP26">
        <v>11</v>
      </c>
      <c r="AQ26">
        <v>5346</v>
      </c>
      <c r="AR26">
        <v>9</v>
      </c>
      <c r="AS26">
        <v>4374</v>
      </c>
      <c r="AT26">
        <v>10</v>
      </c>
      <c r="AU26">
        <v>4860</v>
      </c>
      <c r="AV26">
        <v>8</v>
      </c>
      <c r="AW26">
        <v>3888</v>
      </c>
      <c r="AX26">
        <v>12</v>
      </c>
      <c r="AY26">
        <v>5832</v>
      </c>
      <c r="AZ26">
        <v>8</v>
      </c>
      <c r="BA26">
        <v>3888</v>
      </c>
      <c r="BB26">
        <v>9</v>
      </c>
      <c r="BC26">
        <v>4374</v>
      </c>
      <c r="BD26">
        <v>11</v>
      </c>
      <c r="BE26">
        <v>5346</v>
      </c>
      <c r="BF26">
        <v>14</v>
      </c>
      <c r="BG26">
        <v>6804</v>
      </c>
      <c r="BH26">
        <v>13</v>
      </c>
      <c r="BI26">
        <v>6318</v>
      </c>
      <c r="BJ26">
        <v>13</v>
      </c>
      <c r="BK26">
        <v>6318</v>
      </c>
      <c r="BL26">
        <v>6</v>
      </c>
      <c r="BM26">
        <v>2916</v>
      </c>
      <c r="BN26">
        <v>11</v>
      </c>
      <c r="BO26">
        <v>5346</v>
      </c>
      <c r="BP26">
        <v>10</v>
      </c>
      <c r="BQ26">
        <v>4860</v>
      </c>
      <c r="BR26">
        <v>7</v>
      </c>
      <c r="BS26">
        <v>3402</v>
      </c>
      <c r="BT26">
        <v>10</v>
      </c>
      <c r="BU26">
        <v>4860</v>
      </c>
      <c r="BV26">
        <v>13</v>
      </c>
      <c r="BW26">
        <v>6318</v>
      </c>
      <c r="BX26">
        <v>10</v>
      </c>
      <c r="BY26">
        <v>4860</v>
      </c>
      <c r="BZ26">
        <v>9</v>
      </c>
      <c r="CA26">
        <v>4374</v>
      </c>
      <c r="CB26">
        <v>11</v>
      </c>
      <c r="CC26">
        <v>5346</v>
      </c>
      <c r="CD26">
        <v>12</v>
      </c>
      <c r="CE26">
        <v>5832</v>
      </c>
      <c r="CF26">
        <v>8</v>
      </c>
      <c r="CG26">
        <v>3888</v>
      </c>
      <c r="CH26">
        <v>8</v>
      </c>
      <c r="CI26">
        <v>3888</v>
      </c>
      <c r="CJ26">
        <v>10</v>
      </c>
      <c r="CK26">
        <v>4860</v>
      </c>
      <c r="CL26">
        <v>10</v>
      </c>
      <c r="CM26">
        <v>4860</v>
      </c>
      <c r="CN26">
        <v>13</v>
      </c>
      <c r="CO26">
        <v>6318</v>
      </c>
      <c r="CP26">
        <v>13</v>
      </c>
      <c r="CQ26">
        <v>6318</v>
      </c>
      <c r="CR26">
        <v>13</v>
      </c>
      <c r="CS26">
        <v>6318</v>
      </c>
      <c r="CT26">
        <v>8</v>
      </c>
      <c r="CU26">
        <v>3888</v>
      </c>
    </row>
    <row r="27" spans="2:99" x14ac:dyDescent="0.2">
      <c r="C27" s="105" t="s">
        <v>193</v>
      </c>
      <c r="D27">
        <v>9</v>
      </c>
      <c r="E27">
        <v>3844.7999999999997</v>
      </c>
      <c r="F27">
        <v>11</v>
      </c>
      <c r="G27">
        <v>4699.2</v>
      </c>
      <c r="H27">
        <v>11</v>
      </c>
      <c r="I27">
        <v>4699.2</v>
      </c>
      <c r="J27">
        <v>11</v>
      </c>
      <c r="K27">
        <v>4699.2</v>
      </c>
      <c r="L27">
        <v>7</v>
      </c>
      <c r="M27">
        <v>2990.4</v>
      </c>
      <c r="N27">
        <v>10</v>
      </c>
      <c r="O27">
        <v>4272</v>
      </c>
      <c r="P27">
        <v>8</v>
      </c>
      <c r="Q27">
        <v>3417.6</v>
      </c>
      <c r="R27">
        <v>7</v>
      </c>
      <c r="S27">
        <v>2990.4</v>
      </c>
      <c r="T27">
        <v>6</v>
      </c>
      <c r="U27">
        <v>2563.1999999999998</v>
      </c>
      <c r="V27">
        <v>9</v>
      </c>
      <c r="W27">
        <v>3844.7999999999997</v>
      </c>
      <c r="X27">
        <v>9</v>
      </c>
      <c r="Y27">
        <v>3844.7999999999997</v>
      </c>
      <c r="Z27">
        <v>6</v>
      </c>
      <c r="AA27">
        <v>2563.1999999999998</v>
      </c>
      <c r="AB27">
        <v>11</v>
      </c>
      <c r="AC27">
        <v>4699.2</v>
      </c>
      <c r="AD27">
        <v>6</v>
      </c>
      <c r="AE27">
        <v>2563.1999999999998</v>
      </c>
      <c r="AF27">
        <v>8</v>
      </c>
      <c r="AG27">
        <v>3417.6</v>
      </c>
      <c r="AH27">
        <v>8</v>
      </c>
      <c r="AI27">
        <v>3417.6</v>
      </c>
      <c r="AJ27">
        <v>7</v>
      </c>
      <c r="AK27">
        <v>2990.4</v>
      </c>
      <c r="AL27">
        <v>14</v>
      </c>
      <c r="AM27">
        <v>5980.8</v>
      </c>
      <c r="AN27">
        <v>10</v>
      </c>
      <c r="AO27">
        <v>4272</v>
      </c>
      <c r="AP27">
        <v>10</v>
      </c>
      <c r="AQ27">
        <v>4272</v>
      </c>
      <c r="AR27">
        <v>10</v>
      </c>
      <c r="AS27">
        <v>4272</v>
      </c>
      <c r="AT27">
        <v>11</v>
      </c>
      <c r="AU27">
        <v>4699.2</v>
      </c>
      <c r="AV27">
        <v>7</v>
      </c>
      <c r="AW27">
        <v>2990.4</v>
      </c>
      <c r="AX27">
        <v>11</v>
      </c>
      <c r="AY27">
        <v>4699.2</v>
      </c>
      <c r="AZ27">
        <v>7</v>
      </c>
      <c r="BA27">
        <v>2990.4</v>
      </c>
      <c r="BB27">
        <v>10</v>
      </c>
      <c r="BC27">
        <v>4272</v>
      </c>
      <c r="BD27">
        <v>11</v>
      </c>
      <c r="BE27">
        <v>4699.2</v>
      </c>
      <c r="BF27">
        <v>13</v>
      </c>
      <c r="BG27">
        <v>5553.5999999999995</v>
      </c>
      <c r="BH27">
        <v>12</v>
      </c>
      <c r="BI27">
        <v>5126.3999999999996</v>
      </c>
      <c r="BJ27">
        <v>13</v>
      </c>
      <c r="BK27">
        <v>5553.5999999999995</v>
      </c>
      <c r="BL27">
        <v>7</v>
      </c>
      <c r="BM27">
        <v>2990.4</v>
      </c>
      <c r="BN27">
        <v>13</v>
      </c>
      <c r="BO27">
        <v>5553.5999999999995</v>
      </c>
      <c r="BP27">
        <v>10</v>
      </c>
      <c r="BQ27">
        <v>4272</v>
      </c>
      <c r="BR27">
        <v>7</v>
      </c>
      <c r="BS27">
        <v>2990.4</v>
      </c>
      <c r="BT27">
        <v>10</v>
      </c>
      <c r="BU27">
        <v>4272</v>
      </c>
      <c r="BV27">
        <v>12</v>
      </c>
      <c r="BW27">
        <v>5126.3999999999996</v>
      </c>
      <c r="BX27">
        <v>10</v>
      </c>
      <c r="BY27">
        <v>4272</v>
      </c>
      <c r="BZ27">
        <v>9</v>
      </c>
      <c r="CA27">
        <v>3844.7999999999997</v>
      </c>
      <c r="CB27">
        <v>10</v>
      </c>
      <c r="CC27">
        <v>4272</v>
      </c>
      <c r="CD27">
        <v>12</v>
      </c>
      <c r="CE27">
        <v>5126.3999999999996</v>
      </c>
      <c r="CF27">
        <v>8</v>
      </c>
      <c r="CG27">
        <v>3417.6</v>
      </c>
      <c r="CH27">
        <v>9</v>
      </c>
      <c r="CI27">
        <v>3844.7999999999997</v>
      </c>
      <c r="CJ27">
        <v>9</v>
      </c>
      <c r="CK27">
        <v>3844.7999999999997</v>
      </c>
      <c r="CL27">
        <v>9</v>
      </c>
      <c r="CM27">
        <v>3844.7999999999997</v>
      </c>
      <c r="CN27">
        <v>12</v>
      </c>
      <c r="CO27">
        <v>5126.3999999999996</v>
      </c>
      <c r="CP27">
        <v>13</v>
      </c>
      <c r="CQ27">
        <v>5553.5999999999995</v>
      </c>
      <c r="CR27">
        <v>12</v>
      </c>
      <c r="CS27">
        <v>5126.3999999999996</v>
      </c>
      <c r="CT27">
        <v>7</v>
      </c>
      <c r="CU27">
        <v>2990.4</v>
      </c>
    </row>
    <row r="28" spans="2:99" x14ac:dyDescent="0.2">
      <c r="C28" s="105" t="s">
        <v>194</v>
      </c>
      <c r="D28">
        <v>9</v>
      </c>
      <c r="E28">
        <v>6642</v>
      </c>
      <c r="F28">
        <v>9</v>
      </c>
      <c r="G28">
        <v>6642</v>
      </c>
      <c r="H28">
        <v>10</v>
      </c>
      <c r="I28">
        <v>7380</v>
      </c>
      <c r="J28">
        <v>11</v>
      </c>
      <c r="K28">
        <v>8118</v>
      </c>
      <c r="L28">
        <v>7</v>
      </c>
      <c r="M28">
        <v>5166</v>
      </c>
      <c r="N28">
        <v>10</v>
      </c>
      <c r="O28">
        <v>7380</v>
      </c>
      <c r="P28">
        <v>9</v>
      </c>
      <c r="Q28">
        <v>6642</v>
      </c>
      <c r="R28">
        <v>6</v>
      </c>
      <c r="S28">
        <v>4428</v>
      </c>
      <c r="T28">
        <v>6</v>
      </c>
      <c r="U28">
        <v>4428</v>
      </c>
      <c r="V28">
        <v>11</v>
      </c>
      <c r="W28">
        <v>8118</v>
      </c>
      <c r="X28">
        <v>9</v>
      </c>
      <c r="Y28">
        <v>6642</v>
      </c>
      <c r="Z28">
        <v>6</v>
      </c>
      <c r="AA28">
        <v>4428</v>
      </c>
      <c r="AB28">
        <v>13</v>
      </c>
      <c r="AC28">
        <v>9594</v>
      </c>
      <c r="AD28">
        <v>6</v>
      </c>
      <c r="AE28">
        <v>4428</v>
      </c>
      <c r="AF28">
        <v>7</v>
      </c>
      <c r="AG28">
        <v>5166</v>
      </c>
      <c r="AH28">
        <v>7</v>
      </c>
      <c r="AI28">
        <v>5166</v>
      </c>
      <c r="AJ28">
        <v>7</v>
      </c>
      <c r="AK28">
        <v>5166</v>
      </c>
      <c r="AL28">
        <v>12</v>
      </c>
      <c r="AM28">
        <v>8856</v>
      </c>
      <c r="AN28">
        <v>9</v>
      </c>
      <c r="AO28">
        <v>6642</v>
      </c>
      <c r="AP28">
        <v>11</v>
      </c>
      <c r="AQ28">
        <v>8118</v>
      </c>
      <c r="AR28">
        <v>9</v>
      </c>
      <c r="AS28">
        <v>6642</v>
      </c>
      <c r="AT28">
        <v>11</v>
      </c>
      <c r="AU28">
        <v>8118</v>
      </c>
      <c r="AV28">
        <v>8</v>
      </c>
      <c r="AW28">
        <v>5904</v>
      </c>
      <c r="AX28">
        <v>12</v>
      </c>
      <c r="AY28">
        <v>8856</v>
      </c>
      <c r="AZ28">
        <v>7</v>
      </c>
      <c r="BA28">
        <v>5166</v>
      </c>
      <c r="BB28">
        <v>9</v>
      </c>
      <c r="BC28">
        <v>6642</v>
      </c>
      <c r="BD28">
        <v>11</v>
      </c>
      <c r="BE28">
        <v>8118</v>
      </c>
      <c r="BF28">
        <v>13</v>
      </c>
      <c r="BG28">
        <v>9594</v>
      </c>
      <c r="BH28">
        <v>12</v>
      </c>
      <c r="BI28">
        <v>8856</v>
      </c>
      <c r="BJ28">
        <v>13</v>
      </c>
      <c r="BK28">
        <v>9594</v>
      </c>
      <c r="BL28">
        <v>7</v>
      </c>
      <c r="BM28">
        <v>5166</v>
      </c>
      <c r="BN28">
        <v>13</v>
      </c>
      <c r="BO28">
        <v>9594</v>
      </c>
      <c r="BP28">
        <v>10</v>
      </c>
      <c r="BQ28">
        <v>7380</v>
      </c>
      <c r="BR28">
        <v>7</v>
      </c>
      <c r="BS28">
        <v>5166</v>
      </c>
      <c r="BT28">
        <v>9</v>
      </c>
      <c r="BU28">
        <v>6642</v>
      </c>
      <c r="BV28">
        <v>14</v>
      </c>
      <c r="BW28">
        <v>10332</v>
      </c>
      <c r="BX28">
        <v>9</v>
      </c>
      <c r="BY28">
        <v>6642</v>
      </c>
      <c r="BZ28">
        <v>10</v>
      </c>
      <c r="CA28">
        <v>7380</v>
      </c>
      <c r="CB28">
        <v>9</v>
      </c>
      <c r="CC28">
        <v>6642</v>
      </c>
      <c r="CD28">
        <v>12</v>
      </c>
      <c r="CE28">
        <v>8856</v>
      </c>
      <c r="CF28">
        <v>7</v>
      </c>
      <c r="CG28">
        <v>5166</v>
      </c>
      <c r="CH28">
        <v>9</v>
      </c>
      <c r="CI28">
        <v>6642</v>
      </c>
      <c r="CJ28">
        <v>9</v>
      </c>
      <c r="CK28">
        <v>6642</v>
      </c>
      <c r="CL28">
        <v>9</v>
      </c>
      <c r="CM28">
        <v>6642</v>
      </c>
      <c r="CN28">
        <v>11</v>
      </c>
      <c r="CO28">
        <v>8118</v>
      </c>
      <c r="CP28">
        <v>14</v>
      </c>
      <c r="CQ28">
        <v>10332</v>
      </c>
      <c r="CR28">
        <v>13</v>
      </c>
      <c r="CS28">
        <v>9594</v>
      </c>
      <c r="CT28">
        <v>7</v>
      </c>
      <c r="CU28">
        <v>5166</v>
      </c>
    </row>
    <row r="29" spans="2:99" x14ac:dyDescent="0.2">
      <c r="C29" s="105" t="s">
        <v>195</v>
      </c>
      <c r="D29">
        <v>9</v>
      </c>
      <c r="E29">
        <v>3045.6</v>
      </c>
      <c r="F29">
        <v>10</v>
      </c>
      <c r="G29">
        <v>3384</v>
      </c>
      <c r="H29">
        <v>10</v>
      </c>
      <c r="I29">
        <v>3384</v>
      </c>
      <c r="J29">
        <v>12</v>
      </c>
      <c r="K29">
        <v>4060.7999999999997</v>
      </c>
      <c r="L29">
        <v>8</v>
      </c>
      <c r="M29">
        <v>2707.2</v>
      </c>
      <c r="N29">
        <v>9</v>
      </c>
      <c r="O29">
        <v>3045.6</v>
      </c>
      <c r="P29">
        <v>7</v>
      </c>
      <c r="Q29">
        <v>2368.7999999999997</v>
      </c>
      <c r="R29">
        <v>7</v>
      </c>
      <c r="S29">
        <v>2368.7999999999997</v>
      </c>
      <c r="T29">
        <v>6</v>
      </c>
      <c r="U29">
        <v>2030.3999999999999</v>
      </c>
      <c r="V29">
        <v>11</v>
      </c>
      <c r="W29">
        <v>3722.3999999999996</v>
      </c>
      <c r="X29">
        <v>9</v>
      </c>
      <c r="Y29">
        <v>3045.6</v>
      </c>
      <c r="Z29">
        <v>7</v>
      </c>
      <c r="AA29">
        <v>2368.7999999999997</v>
      </c>
      <c r="AB29">
        <v>12</v>
      </c>
      <c r="AC29">
        <v>4060.7999999999997</v>
      </c>
      <c r="AD29">
        <v>7</v>
      </c>
      <c r="AE29">
        <v>2368.7999999999997</v>
      </c>
      <c r="AF29">
        <v>8</v>
      </c>
      <c r="AG29">
        <v>2707.2</v>
      </c>
      <c r="AH29">
        <v>8</v>
      </c>
      <c r="AI29">
        <v>2707.2</v>
      </c>
      <c r="AJ29">
        <v>7</v>
      </c>
      <c r="AK29">
        <v>2368.7999999999997</v>
      </c>
      <c r="AL29">
        <v>12</v>
      </c>
      <c r="AM29">
        <v>4060.7999999999997</v>
      </c>
      <c r="AN29">
        <v>9</v>
      </c>
      <c r="AO29">
        <v>3045.6</v>
      </c>
      <c r="AP29">
        <v>12</v>
      </c>
      <c r="AQ29">
        <v>4060.7999999999997</v>
      </c>
      <c r="AR29">
        <v>9</v>
      </c>
      <c r="AS29">
        <v>3045.6</v>
      </c>
      <c r="AT29">
        <v>12</v>
      </c>
      <c r="AU29">
        <v>4060.7999999999997</v>
      </c>
      <c r="AV29">
        <v>7</v>
      </c>
      <c r="AW29">
        <v>2368.7999999999997</v>
      </c>
      <c r="AX29">
        <v>13</v>
      </c>
      <c r="AY29">
        <v>4399.2</v>
      </c>
      <c r="AZ29">
        <v>7</v>
      </c>
      <c r="BA29">
        <v>2368.7999999999997</v>
      </c>
      <c r="BB29">
        <v>9</v>
      </c>
      <c r="BC29">
        <v>3045.6</v>
      </c>
      <c r="BD29">
        <v>10</v>
      </c>
      <c r="BE29">
        <v>3384</v>
      </c>
      <c r="BF29">
        <v>12</v>
      </c>
      <c r="BG29">
        <v>4060.7999999999997</v>
      </c>
      <c r="BH29">
        <v>13</v>
      </c>
      <c r="BI29">
        <v>4399.2</v>
      </c>
      <c r="BJ29">
        <v>11</v>
      </c>
      <c r="BK29">
        <v>3722.3999999999996</v>
      </c>
      <c r="BL29">
        <v>7</v>
      </c>
      <c r="BM29">
        <v>2368.7999999999997</v>
      </c>
      <c r="BN29">
        <v>13</v>
      </c>
      <c r="BO29">
        <v>4399.2</v>
      </c>
      <c r="BP29">
        <v>10</v>
      </c>
      <c r="BQ29">
        <v>3384</v>
      </c>
      <c r="BR29">
        <v>7</v>
      </c>
      <c r="BS29">
        <v>2368.7999999999997</v>
      </c>
      <c r="BT29">
        <v>11</v>
      </c>
      <c r="BU29">
        <v>3722.3999999999996</v>
      </c>
      <c r="BV29">
        <v>13</v>
      </c>
      <c r="BW29">
        <v>4399.2</v>
      </c>
      <c r="BX29">
        <v>10</v>
      </c>
      <c r="BY29">
        <v>3384</v>
      </c>
      <c r="BZ29">
        <v>9</v>
      </c>
      <c r="CA29">
        <v>3045.6</v>
      </c>
      <c r="CB29">
        <v>10</v>
      </c>
      <c r="CC29">
        <v>3384</v>
      </c>
      <c r="CD29">
        <v>11</v>
      </c>
      <c r="CE29">
        <v>3722.3999999999996</v>
      </c>
      <c r="CF29">
        <v>7</v>
      </c>
      <c r="CG29">
        <v>2368.7999999999997</v>
      </c>
      <c r="CH29">
        <v>8</v>
      </c>
      <c r="CI29">
        <v>2707.2</v>
      </c>
      <c r="CJ29">
        <v>11</v>
      </c>
      <c r="CK29">
        <v>3722.3999999999996</v>
      </c>
      <c r="CL29">
        <v>9</v>
      </c>
      <c r="CM29">
        <v>3045.6</v>
      </c>
      <c r="CN29">
        <v>14</v>
      </c>
      <c r="CO29">
        <v>4737.5999999999995</v>
      </c>
      <c r="CP29">
        <v>13</v>
      </c>
      <c r="CQ29">
        <v>4399.2</v>
      </c>
      <c r="CR29">
        <v>12</v>
      </c>
      <c r="CS29">
        <v>4060.7999999999997</v>
      </c>
      <c r="CT29">
        <v>8</v>
      </c>
      <c r="CU29">
        <v>2707.2</v>
      </c>
    </row>
    <row r="30" spans="2:99" x14ac:dyDescent="0.2">
      <c r="C30" s="105" t="s">
        <v>196</v>
      </c>
      <c r="D30">
        <v>9</v>
      </c>
      <c r="E30">
        <v>1252.8</v>
      </c>
      <c r="F30">
        <v>11</v>
      </c>
      <c r="G30">
        <v>1531.1999999999998</v>
      </c>
      <c r="H30">
        <v>11</v>
      </c>
      <c r="I30">
        <v>1531.1999999999998</v>
      </c>
      <c r="J30">
        <v>11</v>
      </c>
      <c r="K30">
        <v>1531.1999999999998</v>
      </c>
      <c r="L30">
        <v>8</v>
      </c>
      <c r="M30">
        <v>1113.5999999999999</v>
      </c>
      <c r="N30">
        <v>10</v>
      </c>
      <c r="O30">
        <v>1392</v>
      </c>
      <c r="P30">
        <v>8</v>
      </c>
      <c r="Q30">
        <v>1113.5999999999999</v>
      </c>
      <c r="R30">
        <v>7</v>
      </c>
      <c r="S30">
        <v>974.39999999999986</v>
      </c>
      <c r="T30">
        <v>6</v>
      </c>
      <c r="U30">
        <v>835.19999999999993</v>
      </c>
      <c r="V30">
        <v>10</v>
      </c>
      <c r="W30">
        <v>1392</v>
      </c>
      <c r="X30">
        <v>8</v>
      </c>
      <c r="Y30">
        <v>1113.5999999999999</v>
      </c>
      <c r="Z30">
        <v>7</v>
      </c>
      <c r="AA30">
        <v>974.39999999999986</v>
      </c>
      <c r="AB30">
        <v>12</v>
      </c>
      <c r="AC30">
        <v>1670.3999999999999</v>
      </c>
      <c r="AD30">
        <v>7</v>
      </c>
      <c r="AE30">
        <v>974.39999999999986</v>
      </c>
      <c r="AF30">
        <v>8</v>
      </c>
      <c r="AG30">
        <v>1113.5999999999999</v>
      </c>
      <c r="AH30">
        <v>7</v>
      </c>
      <c r="AI30">
        <v>974.39999999999986</v>
      </c>
      <c r="AJ30">
        <v>7</v>
      </c>
      <c r="AK30">
        <v>974.39999999999986</v>
      </c>
      <c r="AL30">
        <v>14</v>
      </c>
      <c r="AM30">
        <v>1948.7999999999997</v>
      </c>
      <c r="AN30">
        <v>11</v>
      </c>
      <c r="AO30">
        <v>1531.1999999999998</v>
      </c>
      <c r="AP30">
        <v>11</v>
      </c>
      <c r="AQ30">
        <v>1531.1999999999998</v>
      </c>
      <c r="AR30">
        <v>10</v>
      </c>
      <c r="AS30">
        <v>1392</v>
      </c>
      <c r="AT30">
        <v>11</v>
      </c>
      <c r="AU30">
        <v>1531.1999999999998</v>
      </c>
      <c r="AV30">
        <v>7</v>
      </c>
      <c r="AW30">
        <v>974.39999999999986</v>
      </c>
      <c r="AX30">
        <v>11</v>
      </c>
      <c r="AY30">
        <v>1531.1999999999998</v>
      </c>
      <c r="AZ30">
        <v>8</v>
      </c>
      <c r="BA30">
        <v>1113.5999999999999</v>
      </c>
      <c r="BB30">
        <v>10</v>
      </c>
      <c r="BC30">
        <v>1392</v>
      </c>
      <c r="BD30">
        <v>11</v>
      </c>
      <c r="BE30">
        <v>1531.1999999999998</v>
      </c>
      <c r="BF30">
        <v>13</v>
      </c>
      <c r="BG30">
        <v>1809.6</v>
      </c>
      <c r="BH30">
        <v>13</v>
      </c>
      <c r="BI30">
        <v>1809.6</v>
      </c>
      <c r="BJ30">
        <v>11</v>
      </c>
      <c r="BK30">
        <v>1531.1999999999998</v>
      </c>
      <c r="BL30">
        <v>7</v>
      </c>
      <c r="BM30">
        <v>974.39999999999986</v>
      </c>
      <c r="BN30">
        <v>12</v>
      </c>
      <c r="BO30">
        <v>1670.3999999999999</v>
      </c>
      <c r="BP30">
        <v>9</v>
      </c>
      <c r="BQ30">
        <v>1252.8</v>
      </c>
      <c r="BR30">
        <v>7</v>
      </c>
      <c r="BS30">
        <v>974.39999999999986</v>
      </c>
      <c r="BT30">
        <v>10</v>
      </c>
      <c r="BU30">
        <v>1392</v>
      </c>
      <c r="BV30">
        <v>12</v>
      </c>
      <c r="BW30">
        <v>1670.3999999999999</v>
      </c>
      <c r="BX30">
        <v>10</v>
      </c>
      <c r="BY30">
        <v>1392</v>
      </c>
      <c r="BZ30">
        <v>11</v>
      </c>
      <c r="CA30">
        <v>1531.1999999999998</v>
      </c>
      <c r="CB30">
        <v>10</v>
      </c>
      <c r="CC30">
        <v>1392</v>
      </c>
      <c r="CD30">
        <v>12</v>
      </c>
      <c r="CE30">
        <v>1670.3999999999999</v>
      </c>
      <c r="CF30">
        <v>9</v>
      </c>
      <c r="CG30">
        <v>1252.8</v>
      </c>
      <c r="CH30">
        <v>8</v>
      </c>
      <c r="CI30">
        <v>1113.5999999999999</v>
      </c>
      <c r="CJ30">
        <v>11</v>
      </c>
      <c r="CK30">
        <v>1531.1999999999998</v>
      </c>
      <c r="CL30">
        <v>10</v>
      </c>
      <c r="CM30">
        <v>1392</v>
      </c>
      <c r="CN30">
        <v>12</v>
      </c>
      <c r="CO30">
        <v>1670.3999999999999</v>
      </c>
      <c r="CP30">
        <v>13</v>
      </c>
      <c r="CQ30">
        <v>1809.6</v>
      </c>
      <c r="CR30">
        <v>15</v>
      </c>
      <c r="CS30">
        <v>2088</v>
      </c>
      <c r="CT30">
        <v>8</v>
      </c>
      <c r="CU30">
        <v>1113.5999999999999</v>
      </c>
    </row>
    <row r="31" spans="2:99" x14ac:dyDescent="0.2">
      <c r="C31" s="105" t="s">
        <v>197</v>
      </c>
      <c r="D31">
        <v>8</v>
      </c>
      <c r="E31">
        <v>2726.4</v>
      </c>
      <c r="F31">
        <v>11</v>
      </c>
      <c r="G31">
        <v>3748.8</v>
      </c>
      <c r="H31">
        <v>11</v>
      </c>
      <c r="I31">
        <v>3748.8</v>
      </c>
      <c r="J31">
        <v>11</v>
      </c>
      <c r="K31">
        <v>3748.8</v>
      </c>
      <c r="L31">
        <v>7</v>
      </c>
      <c r="M31">
        <v>2385.6</v>
      </c>
      <c r="N31">
        <v>9</v>
      </c>
      <c r="O31">
        <v>3067.2000000000003</v>
      </c>
      <c r="P31">
        <v>9</v>
      </c>
      <c r="Q31">
        <v>3067.2000000000003</v>
      </c>
      <c r="R31">
        <v>7</v>
      </c>
      <c r="S31">
        <v>2385.6</v>
      </c>
      <c r="T31">
        <v>6</v>
      </c>
      <c r="U31">
        <v>2044.8000000000002</v>
      </c>
      <c r="V31">
        <v>11</v>
      </c>
      <c r="W31">
        <v>3748.8</v>
      </c>
      <c r="X31">
        <v>9</v>
      </c>
      <c r="Y31">
        <v>3067.2000000000003</v>
      </c>
      <c r="Z31">
        <v>6</v>
      </c>
      <c r="AA31">
        <v>2044.8000000000002</v>
      </c>
      <c r="AB31">
        <v>14</v>
      </c>
      <c r="AC31">
        <v>4771.2</v>
      </c>
      <c r="AD31">
        <v>7</v>
      </c>
      <c r="AE31">
        <v>2385.6</v>
      </c>
      <c r="AF31">
        <v>8</v>
      </c>
      <c r="AG31">
        <v>2726.4</v>
      </c>
      <c r="AH31">
        <v>7</v>
      </c>
      <c r="AI31">
        <v>2385.6</v>
      </c>
      <c r="AJ31">
        <v>6</v>
      </c>
      <c r="AK31">
        <v>2044.8000000000002</v>
      </c>
      <c r="AL31">
        <v>13</v>
      </c>
      <c r="AM31">
        <v>4430.4000000000005</v>
      </c>
      <c r="AN31">
        <v>10</v>
      </c>
      <c r="AO31">
        <v>3408</v>
      </c>
      <c r="AP31">
        <v>10</v>
      </c>
      <c r="AQ31">
        <v>3408</v>
      </c>
      <c r="AR31">
        <v>10</v>
      </c>
      <c r="AS31">
        <v>3408</v>
      </c>
      <c r="AT31">
        <v>12</v>
      </c>
      <c r="AU31">
        <v>4089.6000000000004</v>
      </c>
      <c r="AV31">
        <v>7</v>
      </c>
      <c r="AW31">
        <v>2385.6</v>
      </c>
      <c r="AX31">
        <v>13</v>
      </c>
      <c r="AY31">
        <v>4430.4000000000005</v>
      </c>
      <c r="AZ31">
        <v>8</v>
      </c>
      <c r="BA31">
        <v>2726.4</v>
      </c>
      <c r="BB31">
        <v>9</v>
      </c>
      <c r="BC31">
        <v>3067.2000000000003</v>
      </c>
      <c r="BD31">
        <v>11</v>
      </c>
      <c r="BE31">
        <v>3748.8</v>
      </c>
      <c r="BF31">
        <v>14</v>
      </c>
      <c r="BG31">
        <v>4771.2</v>
      </c>
      <c r="BH31">
        <v>14</v>
      </c>
      <c r="BI31">
        <v>4771.2</v>
      </c>
      <c r="BJ31">
        <v>12</v>
      </c>
      <c r="BK31">
        <v>4089.6000000000004</v>
      </c>
      <c r="BL31">
        <v>7</v>
      </c>
      <c r="BM31">
        <v>2385.6</v>
      </c>
      <c r="BN31">
        <v>12</v>
      </c>
      <c r="BO31">
        <v>4089.6000000000004</v>
      </c>
      <c r="BP31">
        <v>9</v>
      </c>
      <c r="BQ31">
        <v>3067.2000000000003</v>
      </c>
      <c r="BR31">
        <v>7</v>
      </c>
      <c r="BS31">
        <v>2385.6</v>
      </c>
      <c r="BT31">
        <v>10</v>
      </c>
      <c r="BU31">
        <v>3408</v>
      </c>
      <c r="BV31">
        <v>12</v>
      </c>
      <c r="BW31">
        <v>4089.6000000000004</v>
      </c>
      <c r="BX31">
        <v>9</v>
      </c>
      <c r="BY31">
        <v>3067.2000000000003</v>
      </c>
      <c r="BZ31">
        <v>10</v>
      </c>
      <c r="CA31">
        <v>3408</v>
      </c>
      <c r="CB31">
        <v>10</v>
      </c>
      <c r="CC31">
        <v>3408</v>
      </c>
      <c r="CD31">
        <v>11</v>
      </c>
      <c r="CE31">
        <v>3748.8</v>
      </c>
      <c r="CF31">
        <v>8</v>
      </c>
      <c r="CG31">
        <v>2726.4</v>
      </c>
      <c r="CH31">
        <v>8</v>
      </c>
      <c r="CI31">
        <v>2726.4</v>
      </c>
      <c r="CJ31">
        <v>10</v>
      </c>
      <c r="CK31">
        <v>3408</v>
      </c>
      <c r="CL31">
        <v>9</v>
      </c>
      <c r="CM31">
        <v>3067.2000000000003</v>
      </c>
      <c r="CN31">
        <v>12</v>
      </c>
      <c r="CO31">
        <v>4089.6000000000004</v>
      </c>
      <c r="CP31">
        <v>14</v>
      </c>
      <c r="CQ31">
        <v>4771.2</v>
      </c>
      <c r="CR31">
        <v>12</v>
      </c>
      <c r="CS31">
        <v>4089.6000000000004</v>
      </c>
      <c r="CT31">
        <v>8</v>
      </c>
      <c r="CU31">
        <v>2726.4</v>
      </c>
    </row>
    <row r="32" spans="2:99" x14ac:dyDescent="0.2">
      <c r="C32" s="105" t="s">
        <v>198</v>
      </c>
      <c r="D32">
        <v>9</v>
      </c>
      <c r="E32">
        <v>7560</v>
      </c>
      <c r="F32">
        <v>10</v>
      </c>
      <c r="G32">
        <v>8400</v>
      </c>
      <c r="H32">
        <v>10</v>
      </c>
      <c r="I32">
        <v>8400</v>
      </c>
      <c r="J32">
        <v>11</v>
      </c>
      <c r="K32">
        <v>9240</v>
      </c>
      <c r="L32">
        <v>7</v>
      </c>
      <c r="M32">
        <v>5880</v>
      </c>
      <c r="N32">
        <v>9</v>
      </c>
      <c r="O32">
        <v>7560</v>
      </c>
      <c r="P32">
        <v>7</v>
      </c>
      <c r="Q32">
        <v>5880</v>
      </c>
      <c r="R32">
        <v>6</v>
      </c>
      <c r="S32">
        <v>5040</v>
      </c>
      <c r="T32">
        <v>6</v>
      </c>
      <c r="U32">
        <v>5040</v>
      </c>
      <c r="V32">
        <v>11</v>
      </c>
      <c r="W32">
        <v>9240</v>
      </c>
      <c r="X32">
        <v>8</v>
      </c>
      <c r="Y32">
        <v>6720</v>
      </c>
      <c r="Z32">
        <v>7</v>
      </c>
      <c r="AA32">
        <v>5880</v>
      </c>
      <c r="AB32">
        <v>13</v>
      </c>
      <c r="AC32">
        <v>10920</v>
      </c>
      <c r="AD32">
        <v>6</v>
      </c>
      <c r="AE32">
        <v>5040</v>
      </c>
      <c r="AF32">
        <v>7</v>
      </c>
      <c r="AG32">
        <v>5880</v>
      </c>
      <c r="AH32">
        <v>6</v>
      </c>
      <c r="AI32">
        <v>5040</v>
      </c>
      <c r="AJ32">
        <v>7</v>
      </c>
      <c r="AK32">
        <v>5880</v>
      </c>
      <c r="AL32">
        <v>13</v>
      </c>
      <c r="AM32">
        <v>10920</v>
      </c>
      <c r="AN32">
        <v>9</v>
      </c>
      <c r="AO32">
        <v>7560</v>
      </c>
      <c r="AP32">
        <v>11</v>
      </c>
      <c r="AQ32">
        <v>9240</v>
      </c>
      <c r="AR32">
        <v>10</v>
      </c>
      <c r="AS32">
        <v>8400</v>
      </c>
      <c r="AT32">
        <v>11</v>
      </c>
      <c r="AU32">
        <v>9240</v>
      </c>
      <c r="AV32">
        <v>6</v>
      </c>
      <c r="AW32">
        <v>5040</v>
      </c>
      <c r="AX32">
        <v>13</v>
      </c>
      <c r="AY32">
        <v>10920</v>
      </c>
      <c r="AZ32">
        <v>7</v>
      </c>
      <c r="BA32">
        <v>5880</v>
      </c>
      <c r="BB32">
        <v>9</v>
      </c>
      <c r="BC32">
        <v>7560</v>
      </c>
      <c r="BD32">
        <v>11</v>
      </c>
      <c r="BE32">
        <v>9240</v>
      </c>
      <c r="BF32">
        <v>13</v>
      </c>
      <c r="BG32">
        <v>10920</v>
      </c>
      <c r="BH32">
        <v>13</v>
      </c>
      <c r="BI32">
        <v>10920</v>
      </c>
      <c r="BJ32">
        <v>10</v>
      </c>
      <c r="BK32">
        <v>8400</v>
      </c>
      <c r="BL32">
        <v>6</v>
      </c>
      <c r="BM32">
        <v>5040</v>
      </c>
      <c r="BN32">
        <v>11</v>
      </c>
      <c r="BO32">
        <v>9240</v>
      </c>
      <c r="BP32">
        <v>9</v>
      </c>
      <c r="BQ32">
        <v>7560</v>
      </c>
      <c r="BR32">
        <v>6</v>
      </c>
      <c r="BS32">
        <v>5040</v>
      </c>
      <c r="BT32">
        <v>9</v>
      </c>
      <c r="BU32">
        <v>7560</v>
      </c>
      <c r="BV32">
        <v>12</v>
      </c>
      <c r="BW32">
        <v>10080</v>
      </c>
      <c r="BX32">
        <v>8</v>
      </c>
      <c r="BY32">
        <v>6720</v>
      </c>
      <c r="BZ32">
        <v>10</v>
      </c>
      <c r="CA32">
        <v>8400</v>
      </c>
      <c r="CB32">
        <v>9</v>
      </c>
      <c r="CC32">
        <v>7560</v>
      </c>
      <c r="CD32">
        <v>10</v>
      </c>
      <c r="CE32">
        <v>8400</v>
      </c>
      <c r="CF32">
        <v>7</v>
      </c>
      <c r="CG32">
        <v>5880</v>
      </c>
      <c r="CH32">
        <v>8</v>
      </c>
      <c r="CI32">
        <v>6720</v>
      </c>
      <c r="CJ32">
        <v>10</v>
      </c>
      <c r="CK32">
        <v>8400</v>
      </c>
      <c r="CL32">
        <v>8</v>
      </c>
      <c r="CM32">
        <v>6720</v>
      </c>
      <c r="CN32">
        <v>12</v>
      </c>
      <c r="CO32">
        <v>10080</v>
      </c>
      <c r="CP32">
        <v>12</v>
      </c>
      <c r="CQ32">
        <v>10080</v>
      </c>
      <c r="CR32">
        <v>14</v>
      </c>
      <c r="CS32">
        <v>11760</v>
      </c>
      <c r="CT32">
        <v>7</v>
      </c>
      <c r="CU32">
        <v>5880</v>
      </c>
    </row>
    <row r="33" spans="2:99" x14ac:dyDescent="0.2">
      <c r="C33" s="105" t="s">
        <v>199</v>
      </c>
      <c r="D33">
        <v>9</v>
      </c>
      <c r="E33">
        <v>4266</v>
      </c>
      <c r="F33">
        <v>10</v>
      </c>
      <c r="G33">
        <v>4740</v>
      </c>
      <c r="H33">
        <v>10</v>
      </c>
      <c r="I33">
        <v>4740</v>
      </c>
      <c r="J33">
        <v>11</v>
      </c>
      <c r="K33">
        <v>5214</v>
      </c>
      <c r="L33">
        <v>7</v>
      </c>
      <c r="M33">
        <v>3318</v>
      </c>
      <c r="N33">
        <v>9</v>
      </c>
      <c r="O33">
        <v>4266</v>
      </c>
      <c r="P33">
        <v>8</v>
      </c>
      <c r="Q33">
        <v>3792</v>
      </c>
      <c r="R33">
        <v>6</v>
      </c>
      <c r="S33">
        <v>2844</v>
      </c>
      <c r="T33">
        <v>7</v>
      </c>
      <c r="U33">
        <v>3318</v>
      </c>
      <c r="V33">
        <v>10</v>
      </c>
      <c r="W33">
        <v>4740</v>
      </c>
      <c r="X33">
        <v>8</v>
      </c>
      <c r="Y33">
        <v>3792</v>
      </c>
      <c r="Z33">
        <v>6</v>
      </c>
      <c r="AA33">
        <v>2844</v>
      </c>
      <c r="AB33">
        <v>13</v>
      </c>
      <c r="AC33">
        <v>6162</v>
      </c>
      <c r="AD33">
        <v>6</v>
      </c>
      <c r="AE33">
        <v>2844</v>
      </c>
      <c r="AF33">
        <v>7</v>
      </c>
      <c r="AG33">
        <v>3318</v>
      </c>
      <c r="AH33">
        <v>7</v>
      </c>
      <c r="AI33">
        <v>3318</v>
      </c>
      <c r="AJ33">
        <v>7</v>
      </c>
      <c r="AK33">
        <v>3318</v>
      </c>
      <c r="AL33">
        <v>12</v>
      </c>
      <c r="AM33">
        <v>5688</v>
      </c>
      <c r="AN33">
        <v>9</v>
      </c>
      <c r="AO33">
        <v>4266</v>
      </c>
      <c r="AP33">
        <v>12</v>
      </c>
      <c r="AQ33">
        <v>5688</v>
      </c>
      <c r="AR33">
        <v>10</v>
      </c>
      <c r="AS33">
        <v>4740</v>
      </c>
      <c r="AT33">
        <v>12</v>
      </c>
      <c r="AU33">
        <v>5688</v>
      </c>
      <c r="AV33">
        <v>8</v>
      </c>
      <c r="AW33">
        <v>3792</v>
      </c>
      <c r="AX33">
        <v>12</v>
      </c>
      <c r="AY33">
        <v>5688</v>
      </c>
      <c r="AZ33">
        <v>8</v>
      </c>
      <c r="BA33">
        <v>3792</v>
      </c>
      <c r="BB33">
        <v>10</v>
      </c>
      <c r="BC33">
        <v>4740</v>
      </c>
      <c r="BD33">
        <v>11</v>
      </c>
      <c r="BE33">
        <v>5214</v>
      </c>
      <c r="BF33">
        <v>13</v>
      </c>
      <c r="BG33">
        <v>6162</v>
      </c>
      <c r="BH33">
        <v>13</v>
      </c>
      <c r="BI33">
        <v>6162</v>
      </c>
      <c r="BJ33">
        <v>12</v>
      </c>
      <c r="BK33">
        <v>5688</v>
      </c>
      <c r="BL33">
        <v>7</v>
      </c>
      <c r="BM33">
        <v>3318</v>
      </c>
      <c r="BN33">
        <v>12</v>
      </c>
      <c r="BO33">
        <v>5688</v>
      </c>
      <c r="BP33">
        <v>10</v>
      </c>
      <c r="BQ33">
        <v>4740</v>
      </c>
      <c r="BR33">
        <v>7</v>
      </c>
      <c r="BS33">
        <v>3318</v>
      </c>
      <c r="BT33">
        <v>10</v>
      </c>
      <c r="BU33">
        <v>4740</v>
      </c>
      <c r="BV33">
        <v>12</v>
      </c>
      <c r="BW33">
        <v>5688</v>
      </c>
      <c r="BX33">
        <v>9</v>
      </c>
      <c r="BY33">
        <v>4266</v>
      </c>
      <c r="BZ33">
        <v>10</v>
      </c>
      <c r="CA33">
        <v>4740</v>
      </c>
      <c r="CB33">
        <v>10</v>
      </c>
      <c r="CC33">
        <v>4740</v>
      </c>
      <c r="CD33">
        <v>11</v>
      </c>
      <c r="CE33">
        <v>5214</v>
      </c>
      <c r="CF33">
        <v>8</v>
      </c>
      <c r="CG33">
        <v>3792</v>
      </c>
      <c r="CH33">
        <v>9</v>
      </c>
      <c r="CI33">
        <v>4266</v>
      </c>
      <c r="CJ33">
        <v>11</v>
      </c>
      <c r="CK33">
        <v>5214</v>
      </c>
      <c r="CL33">
        <v>10</v>
      </c>
      <c r="CM33">
        <v>4740</v>
      </c>
      <c r="CN33">
        <v>13</v>
      </c>
      <c r="CO33">
        <v>6162</v>
      </c>
      <c r="CP33">
        <v>14</v>
      </c>
      <c r="CQ33">
        <v>6636</v>
      </c>
      <c r="CR33">
        <v>13</v>
      </c>
      <c r="CS33">
        <v>6162</v>
      </c>
      <c r="CT33">
        <v>8</v>
      </c>
      <c r="CU33">
        <v>3792</v>
      </c>
    </row>
    <row r="34" spans="2:99" x14ac:dyDescent="0.2">
      <c r="C34" s="105" t="s">
        <v>200</v>
      </c>
      <c r="D34">
        <v>9</v>
      </c>
      <c r="E34">
        <v>4935.5999999999995</v>
      </c>
      <c r="F34">
        <v>9</v>
      </c>
      <c r="G34">
        <v>4935.5999999999995</v>
      </c>
      <c r="H34">
        <v>10</v>
      </c>
      <c r="I34">
        <v>5484</v>
      </c>
      <c r="J34">
        <v>12</v>
      </c>
      <c r="K34">
        <v>6580.7999999999993</v>
      </c>
      <c r="L34">
        <v>7</v>
      </c>
      <c r="M34">
        <v>3838.7999999999997</v>
      </c>
      <c r="N34">
        <v>11</v>
      </c>
      <c r="O34">
        <v>6032.4</v>
      </c>
      <c r="P34">
        <v>7</v>
      </c>
      <c r="Q34">
        <v>3838.7999999999997</v>
      </c>
      <c r="R34">
        <v>7</v>
      </c>
      <c r="S34">
        <v>3838.7999999999997</v>
      </c>
      <c r="T34">
        <v>7</v>
      </c>
      <c r="U34">
        <v>3838.7999999999997</v>
      </c>
      <c r="V34">
        <v>10</v>
      </c>
      <c r="W34">
        <v>5484</v>
      </c>
      <c r="X34">
        <v>9</v>
      </c>
      <c r="Y34">
        <v>4935.5999999999995</v>
      </c>
      <c r="Z34">
        <v>7</v>
      </c>
      <c r="AA34">
        <v>3838.7999999999997</v>
      </c>
      <c r="AB34">
        <v>13</v>
      </c>
      <c r="AC34">
        <v>7129.2</v>
      </c>
      <c r="AD34">
        <v>7</v>
      </c>
      <c r="AE34">
        <v>3838.7999999999997</v>
      </c>
      <c r="AF34">
        <v>7</v>
      </c>
      <c r="AG34">
        <v>3838.7999999999997</v>
      </c>
      <c r="AH34">
        <v>6</v>
      </c>
      <c r="AI34">
        <v>3290.3999999999996</v>
      </c>
      <c r="AJ34">
        <v>7</v>
      </c>
      <c r="AK34">
        <v>3838.7999999999997</v>
      </c>
      <c r="AL34">
        <v>12</v>
      </c>
      <c r="AM34">
        <v>6580.7999999999993</v>
      </c>
      <c r="AN34">
        <v>10</v>
      </c>
      <c r="AO34">
        <v>5484</v>
      </c>
      <c r="AP34">
        <v>10</v>
      </c>
      <c r="AQ34">
        <v>5484</v>
      </c>
      <c r="AR34">
        <v>10</v>
      </c>
      <c r="AS34">
        <v>5484</v>
      </c>
      <c r="AT34">
        <v>12</v>
      </c>
      <c r="AU34">
        <v>6580.7999999999993</v>
      </c>
      <c r="AV34">
        <v>7</v>
      </c>
      <c r="AW34">
        <v>3838.7999999999997</v>
      </c>
      <c r="AX34">
        <v>12</v>
      </c>
      <c r="AY34">
        <v>6580.7999999999993</v>
      </c>
      <c r="AZ34">
        <v>7</v>
      </c>
      <c r="BA34">
        <v>3838.7999999999997</v>
      </c>
      <c r="BB34">
        <v>11</v>
      </c>
      <c r="BC34">
        <v>6032.4</v>
      </c>
      <c r="BD34">
        <v>11</v>
      </c>
      <c r="BE34">
        <v>6032.4</v>
      </c>
      <c r="BF34">
        <v>12</v>
      </c>
      <c r="BG34">
        <v>6580.7999999999993</v>
      </c>
      <c r="BH34">
        <v>13</v>
      </c>
      <c r="BI34">
        <v>7129.2</v>
      </c>
      <c r="BJ34">
        <v>12</v>
      </c>
      <c r="BK34">
        <v>6580.7999999999993</v>
      </c>
      <c r="BL34">
        <v>6</v>
      </c>
      <c r="BM34">
        <v>3290.3999999999996</v>
      </c>
      <c r="BN34">
        <v>11</v>
      </c>
      <c r="BO34">
        <v>6032.4</v>
      </c>
      <c r="BP34">
        <v>11</v>
      </c>
      <c r="BQ34">
        <v>6032.4</v>
      </c>
      <c r="BR34">
        <v>6</v>
      </c>
      <c r="BS34">
        <v>3290.3999999999996</v>
      </c>
      <c r="BT34">
        <v>11</v>
      </c>
      <c r="BU34">
        <v>6032.4</v>
      </c>
      <c r="BV34">
        <v>14</v>
      </c>
      <c r="BW34">
        <v>7677.5999999999995</v>
      </c>
      <c r="BX34">
        <v>9</v>
      </c>
      <c r="BY34">
        <v>4935.5999999999995</v>
      </c>
      <c r="BZ34">
        <v>9</v>
      </c>
      <c r="CA34">
        <v>4935.5999999999995</v>
      </c>
      <c r="CB34">
        <v>11</v>
      </c>
      <c r="CC34">
        <v>6032.4</v>
      </c>
      <c r="CD34">
        <v>11</v>
      </c>
      <c r="CE34">
        <v>6032.4</v>
      </c>
      <c r="CF34">
        <v>8</v>
      </c>
      <c r="CG34">
        <v>4387.2</v>
      </c>
      <c r="CH34">
        <v>8</v>
      </c>
      <c r="CI34">
        <v>4387.2</v>
      </c>
      <c r="CJ34">
        <v>10</v>
      </c>
      <c r="CK34">
        <v>5484</v>
      </c>
      <c r="CL34">
        <v>10</v>
      </c>
      <c r="CM34">
        <v>5484</v>
      </c>
      <c r="CN34">
        <v>13</v>
      </c>
      <c r="CO34">
        <v>7129.2</v>
      </c>
      <c r="CP34">
        <v>13</v>
      </c>
      <c r="CQ34">
        <v>7129.2</v>
      </c>
      <c r="CR34">
        <v>14</v>
      </c>
      <c r="CS34">
        <v>7677.5999999999995</v>
      </c>
      <c r="CT34">
        <v>8</v>
      </c>
      <c r="CU34">
        <v>4387.2</v>
      </c>
    </row>
    <row r="35" spans="2:99" x14ac:dyDescent="0.2">
      <c r="C35" s="105" t="s">
        <v>201</v>
      </c>
      <c r="D35">
        <v>9</v>
      </c>
      <c r="E35">
        <v>4525.1999999999989</v>
      </c>
      <c r="F35">
        <v>11</v>
      </c>
      <c r="G35">
        <v>5530.7999999999993</v>
      </c>
      <c r="H35">
        <v>11</v>
      </c>
      <c r="I35">
        <v>5530.7999999999993</v>
      </c>
      <c r="J35">
        <v>12</v>
      </c>
      <c r="K35">
        <v>6033.5999999999985</v>
      </c>
      <c r="L35">
        <v>7</v>
      </c>
      <c r="M35">
        <v>3519.5999999999995</v>
      </c>
      <c r="N35">
        <v>10</v>
      </c>
      <c r="O35">
        <v>5027.9999999999991</v>
      </c>
      <c r="P35">
        <v>7</v>
      </c>
      <c r="Q35">
        <v>3519.5999999999995</v>
      </c>
      <c r="R35">
        <v>7</v>
      </c>
      <c r="S35">
        <v>3519.5999999999995</v>
      </c>
      <c r="T35">
        <v>6</v>
      </c>
      <c r="U35">
        <v>3016.7999999999993</v>
      </c>
      <c r="V35">
        <v>9</v>
      </c>
      <c r="W35">
        <v>4525.1999999999989</v>
      </c>
      <c r="X35">
        <v>9</v>
      </c>
      <c r="Y35">
        <v>4525.1999999999989</v>
      </c>
      <c r="Z35">
        <v>7</v>
      </c>
      <c r="AA35">
        <v>3519.5999999999995</v>
      </c>
      <c r="AB35">
        <v>11</v>
      </c>
      <c r="AC35">
        <v>5530.7999999999993</v>
      </c>
      <c r="AD35">
        <v>6</v>
      </c>
      <c r="AE35">
        <v>3016.7999999999993</v>
      </c>
      <c r="AF35">
        <v>8</v>
      </c>
      <c r="AG35">
        <v>4022.3999999999992</v>
      </c>
      <c r="AH35">
        <v>7</v>
      </c>
      <c r="AI35">
        <v>3519.5999999999995</v>
      </c>
      <c r="AJ35">
        <v>7</v>
      </c>
      <c r="AK35">
        <v>3519.5999999999995</v>
      </c>
      <c r="AL35">
        <v>13</v>
      </c>
      <c r="AM35">
        <v>6536.3999999999987</v>
      </c>
      <c r="AN35">
        <v>9</v>
      </c>
      <c r="AO35">
        <v>4525.1999999999989</v>
      </c>
      <c r="AP35">
        <v>10</v>
      </c>
      <c r="AQ35">
        <v>5027.9999999999991</v>
      </c>
      <c r="AR35">
        <v>11</v>
      </c>
      <c r="AS35">
        <v>5530.7999999999993</v>
      </c>
      <c r="AT35">
        <v>11</v>
      </c>
      <c r="AU35">
        <v>5530.7999999999993</v>
      </c>
      <c r="AV35">
        <v>7</v>
      </c>
      <c r="AW35">
        <v>3519.5999999999995</v>
      </c>
      <c r="AX35">
        <v>12</v>
      </c>
      <c r="AY35">
        <v>6033.5999999999985</v>
      </c>
      <c r="AZ35">
        <v>8</v>
      </c>
      <c r="BA35">
        <v>4022.3999999999992</v>
      </c>
      <c r="BB35">
        <v>11</v>
      </c>
      <c r="BC35">
        <v>5530.7999999999993</v>
      </c>
      <c r="BD35">
        <v>11</v>
      </c>
      <c r="BE35">
        <v>5530.7999999999993</v>
      </c>
      <c r="BF35">
        <v>14</v>
      </c>
      <c r="BG35">
        <v>7039.1999999999989</v>
      </c>
      <c r="BH35">
        <v>14</v>
      </c>
      <c r="BI35">
        <v>7039.1999999999989</v>
      </c>
      <c r="BJ35">
        <v>13</v>
      </c>
      <c r="BK35">
        <v>6536.3999999999987</v>
      </c>
      <c r="BL35">
        <v>6</v>
      </c>
      <c r="BM35">
        <v>3016.7999999999993</v>
      </c>
      <c r="BN35">
        <v>12</v>
      </c>
      <c r="BO35">
        <v>6033.5999999999985</v>
      </c>
      <c r="BP35">
        <v>10</v>
      </c>
      <c r="BQ35">
        <v>5027.9999999999991</v>
      </c>
      <c r="BR35">
        <v>7</v>
      </c>
      <c r="BS35">
        <v>3519.5999999999995</v>
      </c>
      <c r="BT35">
        <v>10</v>
      </c>
      <c r="BU35">
        <v>5027.9999999999991</v>
      </c>
      <c r="BV35">
        <v>13</v>
      </c>
      <c r="BW35">
        <v>6536.3999999999987</v>
      </c>
      <c r="BX35">
        <v>9</v>
      </c>
      <c r="BY35">
        <v>4525.1999999999989</v>
      </c>
      <c r="BZ35">
        <v>9</v>
      </c>
      <c r="CA35">
        <v>4525.1999999999989</v>
      </c>
      <c r="CB35">
        <v>11</v>
      </c>
      <c r="CC35">
        <v>5530.7999999999993</v>
      </c>
      <c r="CD35">
        <v>11</v>
      </c>
      <c r="CE35">
        <v>5530.7999999999993</v>
      </c>
      <c r="CF35">
        <v>8</v>
      </c>
      <c r="CG35">
        <v>4022.3999999999992</v>
      </c>
      <c r="CH35">
        <v>9</v>
      </c>
      <c r="CI35">
        <v>4525.1999999999989</v>
      </c>
      <c r="CJ35">
        <v>11</v>
      </c>
      <c r="CK35">
        <v>5530.7999999999993</v>
      </c>
      <c r="CL35">
        <v>9</v>
      </c>
      <c r="CM35">
        <v>4525.1999999999989</v>
      </c>
      <c r="CN35">
        <v>11</v>
      </c>
      <c r="CO35">
        <v>5530.7999999999993</v>
      </c>
      <c r="CP35">
        <v>13</v>
      </c>
      <c r="CQ35">
        <v>6536.3999999999987</v>
      </c>
      <c r="CR35">
        <v>13</v>
      </c>
      <c r="CS35">
        <v>6536.3999999999987</v>
      </c>
      <c r="CT35">
        <v>8</v>
      </c>
      <c r="CU35">
        <v>4022.3999999999992</v>
      </c>
    </row>
    <row r="36" spans="2:99" x14ac:dyDescent="0.2">
      <c r="C36" s="105" t="s">
        <v>202</v>
      </c>
      <c r="D36">
        <v>8</v>
      </c>
      <c r="E36">
        <v>6086.4</v>
      </c>
      <c r="F36">
        <v>9</v>
      </c>
      <c r="G36">
        <v>6847.2</v>
      </c>
      <c r="H36">
        <v>11</v>
      </c>
      <c r="I36">
        <v>8368.7999999999993</v>
      </c>
      <c r="J36">
        <v>12</v>
      </c>
      <c r="K36">
        <v>9129.5999999999985</v>
      </c>
      <c r="L36">
        <v>8</v>
      </c>
      <c r="M36">
        <v>6086.4</v>
      </c>
      <c r="N36">
        <v>11</v>
      </c>
      <c r="O36">
        <v>8368.7999999999993</v>
      </c>
      <c r="P36">
        <v>8</v>
      </c>
      <c r="Q36">
        <v>6086.4</v>
      </c>
      <c r="R36">
        <v>6</v>
      </c>
      <c r="S36">
        <v>4564.7999999999993</v>
      </c>
      <c r="T36">
        <v>6</v>
      </c>
      <c r="U36">
        <v>4564.7999999999993</v>
      </c>
      <c r="V36">
        <v>11</v>
      </c>
      <c r="W36">
        <v>8368.7999999999993</v>
      </c>
      <c r="X36">
        <v>8</v>
      </c>
      <c r="Y36">
        <v>6086.4</v>
      </c>
      <c r="Z36">
        <v>6</v>
      </c>
      <c r="AA36">
        <v>4564.7999999999993</v>
      </c>
      <c r="AB36">
        <v>12</v>
      </c>
      <c r="AC36">
        <v>9129.5999999999985</v>
      </c>
      <c r="AD36">
        <v>6</v>
      </c>
      <c r="AE36">
        <v>4564.7999999999993</v>
      </c>
      <c r="AF36">
        <v>7</v>
      </c>
      <c r="AG36">
        <v>5325.5999999999995</v>
      </c>
      <c r="AH36">
        <v>7</v>
      </c>
      <c r="AI36">
        <v>5325.5999999999995</v>
      </c>
      <c r="AJ36">
        <v>7</v>
      </c>
      <c r="AK36">
        <v>5325.5999999999995</v>
      </c>
      <c r="AL36">
        <v>12</v>
      </c>
      <c r="AM36">
        <v>9129.5999999999985</v>
      </c>
      <c r="AN36">
        <v>10</v>
      </c>
      <c r="AO36">
        <v>7608</v>
      </c>
      <c r="AP36">
        <v>10</v>
      </c>
      <c r="AQ36">
        <v>7608</v>
      </c>
      <c r="AR36">
        <v>10</v>
      </c>
      <c r="AS36">
        <v>7608</v>
      </c>
      <c r="AT36">
        <v>12</v>
      </c>
      <c r="AU36">
        <v>9129.5999999999985</v>
      </c>
      <c r="AV36">
        <v>7</v>
      </c>
      <c r="AW36">
        <v>5325.5999999999995</v>
      </c>
      <c r="AX36">
        <v>11</v>
      </c>
      <c r="AY36">
        <v>8368.7999999999993</v>
      </c>
      <c r="AZ36">
        <v>7</v>
      </c>
      <c r="BA36">
        <v>5325.5999999999995</v>
      </c>
      <c r="BB36">
        <v>10</v>
      </c>
      <c r="BC36">
        <v>7608</v>
      </c>
      <c r="BD36">
        <v>11</v>
      </c>
      <c r="BE36">
        <v>8368.7999999999993</v>
      </c>
      <c r="BF36">
        <v>13</v>
      </c>
      <c r="BG36">
        <v>9890.4</v>
      </c>
      <c r="BH36">
        <v>12</v>
      </c>
      <c r="BI36">
        <v>9129.5999999999985</v>
      </c>
      <c r="BJ36">
        <v>12</v>
      </c>
      <c r="BK36">
        <v>9129.5999999999985</v>
      </c>
      <c r="BL36">
        <v>7</v>
      </c>
      <c r="BM36">
        <v>5325.5999999999995</v>
      </c>
      <c r="BN36">
        <v>12</v>
      </c>
      <c r="BO36">
        <v>9129.5999999999985</v>
      </c>
      <c r="BP36">
        <v>10</v>
      </c>
      <c r="BQ36">
        <v>7608</v>
      </c>
      <c r="BR36">
        <v>6</v>
      </c>
      <c r="BS36">
        <v>4564.7999999999993</v>
      </c>
      <c r="BT36">
        <v>10</v>
      </c>
      <c r="BU36">
        <v>7608</v>
      </c>
      <c r="BV36">
        <v>13</v>
      </c>
      <c r="BW36">
        <v>9890.4</v>
      </c>
      <c r="BX36">
        <v>9</v>
      </c>
      <c r="BY36">
        <v>6847.2</v>
      </c>
      <c r="BZ36">
        <v>10</v>
      </c>
      <c r="CA36">
        <v>7608</v>
      </c>
      <c r="CB36">
        <v>9</v>
      </c>
      <c r="CC36">
        <v>6847.2</v>
      </c>
      <c r="CD36">
        <v>12</v>
      </c>
      <c r="CE36">
        <v>9129.5999999999985</v>
      </c>
      <c r="CF36">
        <v>7</v>
      </c>
      <c r="CG36">
        <v>5325.5999999999995</v>
      </c>
      <c r="CH36">
        <v>8</v>
      </c>
      <c r="CI36">
        <v>6086.4</v>
      </c>
      <c r="CJ36">
        <v>10</v>
      </c>
      <c r="CK36">
        <v>7608</v>
      </c>
      <c r="CL36">
        <v>9</v>
      </c>
      <c r="CM36">
        <v>6847.2</v>
      </c>
      <c r="CN36">
        <v>11</v>
      </c>
      <c r="CO36">
        <v>8368.7999999999993</v>
      </c>
      <c r="CP36">
        <v>14</v>
      </c>
      <c r="CQ36">
        <v>10651.199999999999</v>
      </c>
      <c r="CR36">
        <v>13</v>
      </c>
      <c r="CS36">
        <v>9890.4</v>
      </c>
      <c r="CT36">
        <v>8</v>
      </c>
      <c r="CU36">
        <v>6086.4</v>
      </c>
    </row>
    <row r="37" spans="2:99" x14ac:dyDescent="0.2">
      <c r="B37" s="105" t="s">
        <v>128</v>
      </c>
      <c r="C37" s="105" t="s">
        <v>203</v>
      </c>
      <c r="D37">
        <v>11</v>
      </c>
      <c r="E37">
        <v>9464.4</v>
      </c>
      <c r="F37">
        <v>10</v>
      </c>
      <c r="G37">
        <v>8604</v>
      </c>
      <c r="H37">
        <v>12</v>
      </c>
      <c r="I37">
        <v>10324.799999999999</v>
      </c>
      <c r="J37">
        <v>7</v>
      </c>
      <c r="K37">
        <v>6022.8</v>
      </c>
      <c r="L37">
        <v>6</v>
      </c>
      <c r="M37">
        <v>5162.3999999999996</v>
      </c>
      <c r="N37">
        <v>12</v>
      </c>
      <c r="O37">
        <v>10324.799999999999</v>
      </c>
      <c r="P37">
        <v>9</v>
      </c>
      <c r="Q37">
        <v>7743.5999999999995</v>
      </c>
      <c r="R37">
        <v>9</v>
      </c>
      <c r="S37">
        <v>7743.5999999999995</v>
      </c>
      <c r="T37">
        <v>7</v>
      </c>
      <c r="U37">
        <v>6022.8</v>
      </c>
      <c r="V37">
        <v>9</v>
      </c>
      <c r="W37">
        <v>7743.5999999999995</v>
      </c>
      <c r="X37">
        <v>11</v>
      </c>
      <c r="Y37">
        <v>9464.4</v>
      </c>
      <c r="Z37">
        <v>10</v>
      </c>
      <c r="AA37">
        <v>8604</v>
      </c>
      <c r="AB37">
        <v>7</v>
      </c>
      <c r="AC37">
        <v>6022.8</v>
      </c>
      <c r="AD37">
        <v>10</v>
      </c>
      <c r="AE37">
        <v>8604</v>
      </c>
      <c r="AF37">
        <v>7</v>
      </c>
      <c r="AG37">
        <v>6022.8</v>
      </c>
      <c r="AH37">
        <v>11</v>
      </c>
      <c r="AI37">
        <v>9464.4</v>
      </c>
      <c r="AJ37">
        <v>13</v>
      </c>
      <c r="AK37">
        <v>11185.199999999999</v>
      </c>
      <c r="AL37">
        <v>8</v>
      </c>
      <c r="AM37">
        <v>6883.2</v>
      </c>
      <c r="AN37">
        <v>11</v>
      </c>
      <c r="AO37">
        <v>9464.4</v>
      </c>
      <c r="AP37">
        <v>7</v>
      </c>
      <c r="AQ37">
        <v>6022.8</v>
      </c>
      <c r="AR37">
        <v>7</v>
      </c>
      <c r="AS37">
        <v>6022.8</v>
      </c>
      <c r="AT37">
        <v>10</v>
      </c>
      <c r="AU37">
        <v>8604</v>
      </c>
      <c r="AV37">
        <v>7</v>
      </c>
      <c r="AW37">
        <v>6022.8</v>
      </c>
      <c r="AX37">
        <v>10</v>
      </c>
      <c r="AY37">
        <v>8604</v>
      </c>
      <c r="AZ37">
        <v>8</v>
      </c>
      <c r="BA37">
        <v>6883.2</v>
      </c>
      <c r="BB37">
        <v>12</v>
      </c>
      <c r="BC37">
        <v>10324.799999999999</v>
      </c>
      <c r="BD37">
        <v>11</v>
      </c>
      <c r="BE37">
        <v>9464.4</v>
      </c>
      <c r="BF37">
        <v>8</v>
      </c>
      <c r="BG37">
        <v>6883.2</v>
      </c>
      <c r="BH37">
        <v>9</v>
      </c>
      <c r="BI37">
        <v>7743.5999999999995</v>
      </c>
      <c r="BJ37">
        <v>11</v>
      </c>
      <c r="BK37">
        <v>9464.4</v>
      </c>
      <c r="BL37">
        <v>7</v>
      </c>
      <c r="BM37">
        <v>6022.8</v>
      </c>
      <c r="BN37">
        <v>9</v>
      </c>
      <c r="BO37">
        <v>7743.5999999999995</v>
      </c>
      <c r="BP37">
        <v>13</v>
      </c>
      <c r="BQ37">
        <v>11185.199999999999</v>
      </c>
      <c r="BR37">
        <v>11</v>
      </c>
      <c r="BS37">
        <v>9464.4</v>
      </c>
      <c r="BT37">
        <v>13</v>
      </c>
      <c r="BU37">
        <v>11185.199999999999</v>
      </c>
      <c r="BV37">
        <v>10</v>
      </c>
      <c r="BW37">
        <v>8604</v>
      </c>
      <c r="BX37">
        <v>10</v>
      </c>
      <c r="BY37">
        <v>8604</v>
      </c>
      <c r="BZ37">
        <v>10</v>
      </c>
      <c r="CA37">
        <v>8604</v>
      </c>
      <c r="CB37">
        <v>8</v>
      </c>
      <c r="CC37">
        <v>6883.2</v>
      </c>
      <c r="CD37">
        <v>10</v>
      </c>
      <c r="CE37">
        <v>8604</v>
      </c>
      <c r="CF37">
        <v>11</v>
      </c>
      <c r="CG37">
        <v>9464.4</v>
      </c>
      <c r="CH37">
        <v>9</v>
      </c>
      <c r="CI37">
        <v>7743.5999999999995</v>
      </c>
      <c r="CJ37">
        <v>12</v>
      </c>
      <c r="CK37">
        <v>10324.799999999999</v>
      </c>
      <c r="CL37">
        <v>9</v>
      </c>
      <c r="CM37">
        <v>7743.5999999999995</v>
      </c>
      <c r="CN37">
        <v>10</v>
      </c>
      <c r="CO37">
        <v>8604</v>
      </c>
      <c r="CP37">
        <v>8</v>
      </c>
      <c r="CQ37">
        <v>6883.2</v>
      </c>
      <c r="CR37">
        <v>11</v>
      </c>
      <c r="CS37">
        <v>9464.4</v>
      </c>
      <c r="CT37">
        <v>9</v>
      </c>
      <c r="CU37">
        <v>7743.5999999999995</v>
      </c>
    </row>
    <row r="38" spans="2:99" x14ac:dyDescent="0.2">
      <c r="C38" s="105" t="s">
        <v>204</v>
      </c>
      <c r="D38">
        <v>11</v>
      </c>
      <c r="E38">
        <v>13662</v>
      </c>
      <c r="F38">
        <v>10</v>
      </c>
      <c r="G38">
        <v>12420</v>
      </c>
      <c r="H38">
        <v>11</v>
      </c>
      <c r="I38">
        <v>13662</v>
      </c>
      <c r="J38">
        <v>7</v>
      </c>
      <c r="K38">
        <v>8694</v>
      </c>
      <c r="L38">
        <v>6</v>
      </c>
      <c r="M38">
        <v>7452</v>
      </c>
      <c r="N38">
        <v>12</v>
      </c>
      <c r="O38">
        <v>14904</v>
      </c>
      <c r="P38">
        <v>8</v>
      </c>
      <c r="Q38">
        <v>9936</v>
      </c>
      <c r="R38">
        <v>9</v>
      </c>
      <c r="S38">
        <v>11178</v>
      </c>
      <c r="T38">
        <v>6</v>
      </c>
      <c r="U38">
        <v>7452</v>
      </c>
      <c r="V38">
        <v>8</v>
      </c>
      <c r="W38">
        <v>9936</v>
      </c>
      <c r="X38">
        <v>9</v>
      </c>
      <c r="Y38">
        <v>11178</v>
      </c>
      <c r="Z38">
        <v>10</v>
      </c>
      <c r="AA38">
        <v>12420</v>
      </c>
      <c r="AB38">
        <v>7</v>
      </c>
      <c r="AC38">
        <v>8694</v>
      </c>
      <c r="AD38">
        <v>9</v>
      </c>
      <c r="AE38">
        <v>11178</v>
      </c>
      <c r="AF38">
        <v>8</v>
      </c>
      <c r="AG38">
        <v>9936</v>
      </c>
      <c r="AH38">
        <v>11</v>
      </c>
      <c r="AI38">
        <v>13662</v>
      </c>
      <c r="AJ38">
        <v>11</v>
      </c>
      <c r="AK38">
        <v>13662</v>
      </c>
      <c r="AL38">
        <v>8</v>
      </c>
      <c r="AM38">
        <v>9936</v>
      </c>
      <c r="AN38">
        <v>10</v>
      </c>
      <c r="AO38">
        <v>12420</v>
      </c>
      <c r="AP38">
        <v>8</v>
      </c>
      <c r="AQ38">
        <v>9936</v>
      </c>
      <c r="AR38">
        <v>8</v>
      </c>
      <c r="AS38">
        <v>9936</v>
      </c>
      <c r="AT38">
        <v>9</v>
      </c>
      <c r="AU38">
        <v>11178</v>
      </c>
      <c r="AV38">
        <v>6</v>
      </c>
      <c r="AW38">
        <v>7452</v>
      </c>
      <c r="AX38">
        <v>10</v>
      </c>
      <c r="AY38">
        <v>12420</v>
      </c>
      <c r="AZ38">
        <v>7</v>
      </c>
      <c r="BA38">
        <v>8694</v>
      </c>
      <c r="BB38">
        <v>12</v>
      </c>
      <c r="BC38">
        <v>14904</v>
      </c>
      <c r="BD38">
        <v>10</v>
      </c>
      <c r="BE38">
        <v>12420</v>
      </c>
      <c r="BF38">
        <v>7</v>
      </c>
      <c r="BG38">
        <v>8694</v>
      </c>
      <c r="BH38">
        <v>11</v>
      </c>
      <c r="BI38">
        <v>13662</v>
      </c>
      <c r="BJ38">
        <v>10</v>
      </c>
      <c r="BK38">
        <v>12420</v>
      </c>
      <c r="BL38">
        <v>7</v>
      </c>
      <c r="BM38">
        <v>8694</v>
      </c>
      <c r="BN38">
        <v>10</v>
      </c>
      <c r="BO38">
        <v>12420</v>
      </c>
      <c r="BP38">
        <v>11</v>
      </c>
      <c r="BQ38">
        <v>13662</v>
      </c>
      <c r="BR38">
        <v>12</v>
      </c>
      <c r="BS38">
        <v>14904</v>
      </c>
      <c r="BT38">
        <v>13</v>
      </c>
      <c r="BU38">
        <v>16146</v>
      </c>
      <c r="BV38">
        <v>10</v>
      </c>
      <c r="BW38">
        <v>12420</v>
      </c>
      <c r="BX38">
        <v>8</v>
      </c>
      <c r="BY38">
        <v>9936</v>
      </c>
      <c r="BZ38">
        <v>9</v>
      </c>
      <c r="CA38">
        <v>11178</v>
      </c>
      <c r="CB38">
        <v>8</v>
      </c>
      <c r="CC38">
        <v>9936</v>
      </c>
      <c r="CD38">
        <v>10</v>
      </c>
      <c r="CE38">
        <v>12420</v>
      </c>
      <c r="CF38">
        <v>10</v>
      </c>
      <c r="CG38">
        <v>12420</v>
      </c>
      <c r="CH38">
        <v>9</v>
      </c>
      <c r="CI38">
        <v>11178</v>
      </c>
      <c r="CJ38">
        <v>11</v>
      </c>
      <c r="CK38">
        <v>13662</v>
      </c>
      <c r="CL38">
        <v>9</v>
      </c>
      <c r="CM38">
        <v>11178</v>
      </c>
      <c r="CN38">
        <v>10</v>
      </c>
      <c r="CO38">
        <v>12420</v>
      </c>
      <c r="CP38">
        <v>8</v>
      </c>
      <c r="CQ38">
        <v>9936</v>
      </c>
      <c r="CR38">
        <v>10</v>
      </c>
      <c r="CS38">
        <v>12420</v>
      </c>
      <c r="CT38">
        <v>9</v>
      </c>
      <c r="CU38">
        <v>11178</v>
      </c>
    </row>
    <row r="39" spans="2:99" x14ac:dyDescent="0.2">
      <c r="C39" s="105" t="s">
        <v>205</v>
      </c>
      <c r="D39">
        <v>12</v>
      </c>
      <c r="E39">
        <v>17078.400000000001</v>
      </c>
      <c r="F39">
        <v>10</v>
      </c>
      <c r="G39">
        <v>14232</v>
      </c>
      <c r="H39">
        <v>10</v>
      </c>
      <c r="I39">
        <v>14232</v>
      </c>
      <c r="J39">
        <v>6</v>
      </c>
      <c r="K39">
        <v>8539.2000000000007</v>
      </c>
      <c r="L39">
        <v>7</v>
      </c>
      <c r="M39">
        <v>9962.4</v>
      </c>
      <c r="N39">
        <v>12</v>
      </c>
      <c r="O39">
        <v>17078.400000000001</v>
      </c>
      <c r="P39">
        <v>9</v>
      </c>
      <c r="Q39">
        <v>12808.800000000001</v>
      </c>
      <c r="R39">
        <v>8</v>
      </c>
      <c r="S39">
        <v>11385.6</v>
      </c>
      <c r="T39">
        <v>7</v>
      </c>
      <c r="U39">
        <v>9962.4</v>
      </c>
      <c r="V39">
        <v>9</v>
      </c>
      <c r="W39">
        <v>12808.800000000001</v>
      </c>
      <c r="X39">
        <v>9</v>
      </c>
      <c r="Y39">
        <v>12808.800000000001</v>
      </c>
      <c r="Z39">
        <v>10</v>
      </c>
      <c r="AA39">
        <v>14232</v>
      </c>
      <c r="AB39">
        <v>8</v>
      </c>
      <c r="AC39">
        <v>11385.6</v>
      </c>
      <c r="AD39">
        <v>10</v>
      </c>
      <c r="AE39">
        <v>14232</v>
      </c>
      <c r="AF39">
        <v>7</v>
      </c>
      <c r="AG39">
        <v>9962.4</v>
      </c>
      <c r="AH39">
        <v>10</v>
      </c>
      <c r="AI39">
        <v>14232</v>
      </c>
      <c r="AJ39">
        <v>11</v>
      </c>
      <c r="AK39">
        <v>15655.2</v>
      </c>
      <c r="AL39">
        <v>7</v>
      </c>
      <c r="AM39">
        <v>9962.4</v>
      </c>
      <c r="AN39">
        <v>10</v>
      </c>
      <c r="AO39">
        <v>14232</v>
      </c>
      <c r="AP39">
        <v>8</v>
      </c>
      <c r="AQ39">
        <v>11385.6</v>
      </c>
      <c r="AR39">
        <v>7</v>
      </c>
      <c r="AS39">
        <v>9962.4</v>
      </c>
      <c r="AT39">
        <v>9</v>
      </c>
      <c r="AU39">
        <v>12808.800000000001</v>
      </c>
      <c r="AV39">
        <v>7</v>
      </c>
      <c r="AW39">
        <v>9962.4</v>
      </c>
      <c r="AX39">
        <v>11</v>
      </c>
      <c r="AY39">
        <v>15655.2</v>
      </c>
      <c r="AZ39">
        <v>7</v>
      </c>
      <c r="BA39">
        <v>9962.4</v>
      </c>
      <c r="BB39">
        <v>11</v>
      </c>
      <c r="BC39">
        <v>15655.2</v>
      </c>
      <c r="BD39">
        <v>11</v>
      </c>
      <c r="BE39">
        <v>15655.2</v>
      </c>
      <c r="BF39">
        <v>7</v>
      </c>
      <c r="BG39">
        <v>9962.4</v>
      </c>
      <c r="BH39">
        <v>10</v>
      </c>
      <c r="BI39">
        <v>14232</v>
      </c>
      <c r="BJ39">
        <v>10</v>
      </c>
      <c r="BK39">
        <v>14232</v>
      </c>
      <c r="BL39">
        <v>6</v>
      </c>
      <c r="BM39">
        <v>8539.2000000000007</v>
      </c>
      <c r="BN39">
        <v>10</v>
      </c>
      <c r="BO39">
        <v>14232</v>
      </c>
      <c r="BP39">
        <v>11</v>
      </c>
      <c r="BQ39">
        <v>15655.2</v>
      </c>
      <c r="BR39">
        <v>11</v>
      </c>
      <c r="BS39">
        <v>15655.2</v>
      </c>
      <c r="BT39">
        <v>13</v>
      </c>
      <c r="BU39">
        <v>18501.600000000002</v>
      </c>
      <c r="BV39">
        <v>10</v>
      </c>
      <c r="BW39">
        <v>14232</v>
      </c>
      <c r="BX39">
        <v>9</v>
      </c>
      <c r="BY39">
        <v>12808.800000000001</v>
      </c>
      <c r="BZ39">
        <v>9</v>
      </c>
      <c r="CA39">
        <v>12808.800000000001</v>
      </c>
      <c r="CB39">
        <v>8</v>
      </c>
      <c r="CC39">
        <v>11385.6</v>
      </c>
      <c r="CD39">
        <v>10</v>
      </c>
      <c r="CE39">
        <v>14232</v>
      </c>
      <c r="CF39">
        <v>10</v>
      </c>
      <c r="CG39">
        <v>14232</v>
      </c>
      <c r="CH39">
        <v>8</v>
      </c>
      <c r="CI39">
        <v>11385.6</v>
      </c>
      <c r="CJ39">
        <v>12</v>
      </c>
      <c r="CK39">
        <v>17078.400000000001</v>
      </c>
      <c r="CL39">
        <v>8</v>
      </c>
      <c r="CM39">
        <v>11385.6</v>
      </c>
      <c r="CN39">
        <v>10</v>
      </c>
      <c r="CO39">
        <v>14232</v>
      </c>
      <c r="CP39">
        <v>8</v>
      </c>
      <c r="CQ39">
        <v>11385.6</v>
      </c>
      <c r="CR39">
        <v>10</v>
      </c>
      <c r="CS39">
        <v>14232</v>
      </c>
      <c r="CT39">
        <v>9</v>
      </c>
      <c r="CU39">
        <v>12808.800000000001</v>
      </c>
    </row>
    <row r="40" spans="2:99" x14ac:dyDescent="0.2">
      <c r="C40" s="105" t="s">
        <v>206</v>
      </c>
      <c r="D40">
        <v>13</v>
      </c>
      <c r="E40">
        <v>9422.4</v>
      </c>
      <c r="F40">
        <v>10</v>
      </c>
      <c r="G40">
        <v>7248</v>
      </c>
      <c r="H40">
        <v>12</v>
      </c>
      <c r="I40">
        <v>8697.5999999999985</v>
      </c>
      <c r="J40">
        <v>8</v>
      </c>
      <c r="K40">
        <v>5798.4</v>
      </c>
      <c r="L40">
        <v>6</v>
      </c>
      <c r="M40">
        <v>4348.7999999999993</v>
      </c>
      <c r="N40">
        <v>11</v>
      </c>
      <c r="O40">
        <v>7972.7999999999993</v>
      </c>
      <c r="P40">
        <v>10</v>
      </c>
      <c r="Q40">
        <v>7248</v>
      </c>
      <c r="R40">
        <v>11</v>
      </c>
      <c r="S40">
        <v>7972.7999999999993</v>
      </c>
      <c r="T40">
        <v>7</v>
      </c>
      <c r="U40">
        <v>5073.5999999999995</v>
      </c>
      <c r="V40">
        <v>8</v>
      </c>
      <c r="W40">
        <v>5798.4</v>
      </c>
      <c r="X40">
        <v>10</v>
      </c>
      <c r="Y40">
        <v>7248</v>
      </c>
      <c r="Z40">
        <v>10</v>
      </c>
      <c r="AA40">
        <v>7248</v>
      </c>
      <c r="AB40">
        <v>8</v>
      </c>
      <c r="AC40">
        <v>5798.4</v>
      </c>
      <c r="AD40">
        <v>10</v>
      </c>
      <c r="AE40">
        <v>7248</v>
      </c>
      <c r="AF40">
        <v>8</v>
      </c>
      <c r="AG40">
        <v>5798.4</v>
      </c>
      <c r="AH40">
        <v>10</v>
      </c>
      <c r="AI40">
        <v>7248</v>
      </c>
      <c r="AJ40">
        <v>12</v>
      </c>
      <c r="AK40">
        <v>8697.5999999999985</v>
      </c>
      <c r="AL40">
        <v>7</v>
      </c>
      <c r="AM40">
        <v>5073.5999999999995</v>
      </c>
      <c r="AN40">
        <v>10</v>
      </c>
      <c r="AO40">
        <v>7248</v>
      </c>
      <c r="AP40">
        <v>8</v>
      </c>
      <c r="AQ40">
        <v>5798.4</v>
      </c>
      <c r="AR40">
        <v>7</v>
      </c>
      <c r="AS40">
        <v>5073.5999999999995</v>
      </c>
      <c r="AT40">
        <v>10</v>
      </c>
      <c r="AU40">
        <v>7248</v>
      </c>
      <c r="AV40">
        <v>7</v>
      </c>
      <c r="AW40">
        <v>5073.5999999999995</v>
      </c>
      <c r="AX40">
        <v>10</v>
      </c>
      <c r="AY40">
        <v>7248</v>
      </c>
      <c r="AZ40">
        <v>7</v>
      </c>
      <c r="BA40">
        <v>5073.5999999999995</v>
      </c>
      <c r="BB40">
        <v>12</v>
      </c>
      <c r="BC40">
        <v>8697.5999999999985</v>
      </c>
      <c r="BD40">
        <v>10</v>
      </c>
      <c r="BE40">
        <v>7248</v>
      </c>
      <c r="BF40">
        <v>7</v>
      </c>
      <c r="BG40">
        <v>5073.5999999999995</v>
      </c>
      <c r="BH40">
        <v>10</v>
      </c>
      <c r="BI40">
        <v>7248</v>
      </c>
      <c r="BJ40">
        <v>10</v>
      </c>
      <c r="BK40">
        <v>7248</v>
      </c>
      <c r="BL40">
        <v>6</v>
      </c>
      <c r="BM40">
        <v>4348.7999999999993</v>
      </c>
      <c r="BN40">
        <v>11</v>
      </c>
      <c r="BO40">
        <v>7972.7999999999993</v>
      </c>
      <c r="BP40">
        <v>12</v>
      </c>
      <c r="BQ40">
        <v>8697.5999999999985</v>
      </c>
      <c r="BR40">
        <v>14</v>
      </c>
      <c r="BS40">
        <v>10147.199999999999</v>
      </c>
      <c r="BT40">
        <v>13</v>
      </c>
      <c r="BU40">
        <v>9422.4</v>
      </c>
      <c r="BV40">
        <v>11</v>
      </c>
      <c r="BW40">
        <v>7972.7999999999993</v>
      </c>
      <c r="BX40">
        <v>9</v>
      </c>
      <c r="BY40">
        <v>6523.2</v>
      </c>
      <c r="BZ40">
        <v>10</v>
      </c>
      <c r="CA40">
        <v>7248</v>
      </c>
      <c r="CB40">
        <v>9</v>
      </c>
      <c r="CC40">
        <v>6523.2</v>
      </c>
      <c r="CD40">
        <v>11</v>
      </c>
      <c r="CE40">
        <v>7972.7999999999993</v>
      </c>
      <c r="CF40">
        <v>11</v>
      </c>
      <c r="CG40">
        <v>7972.7999999999993</v>
      </c>
      <c r="CH40">
        <v>9</v>
      </c>
      <c r="CI40">
        <v>6523.2</v>
      </c>
      <c r="CJ40">
        <v>11</v>
      </c>
      <c r="CK40">
        <v>7972.7999999999993</v>
      </c>
      <c r="CL40">
        <v>8</v>
      </c>
      <c r="CM40">
        <v>5798.4</v>
      </c>
      <c r="CN40">
        <v>10</v>
      </c>
      <c r="CO40">
        <v>7248</v>
      </c>
      <c r="CP40">
        <v>8</v>
      </c>
      <c r="CQ40">
        <v>5798.4</v>
      </c>
      <c r="CR40">
        <v>10</v>
      </c>
      <c r="CS40">
        <v>7248</v>
      </c>
      <c r="CT40">
        <v>10</v>
      </c>
      <c r="CU40">
        <v>7248</v>
      </c>
    </row>
    <row r="41" spans="2:99" x14ac:dyDescent="0.2">
      <c r="C41" s="105" t="s">
        <v>207</v>
      </c>
      <c r="D41">
        <v>11</v>
      </c>
      <c r="E41">
        <v>7260</v>
      </c>
      <c r="F41">
        <v>11</v>
      </c>
      <c r="G41">
        <v>7260</v>
      </c>
      <c r="H41">
        <v>11</v>
      </c>
      <c r="I41">
        <v>7260</v>
      </c>
      <c r="J41">
        <v>8</v>
      </c>
      <c r="K41">
        <v>5280</v>
      </c>
      <c r="L41">
        <v>6</v>
      </c>
      <c r="M41">
        <v>3960</v>
      </c>
      <c r="N41">
        <v>13</v>
      </c>
      <c r="O41">
        <v>8580</v>
      </c>
      <c r="P41">
        <v>10</v>
      </c>
      <c r="Q41">
        <v>6600</v>
      </c>
      <c r="R41">
        <v>10</v>
      </c>
      <c r="S41">
        <v>6600</v>
      </c>
      <c r="T41">
        <v>8</v>
      </c>
      <c r="U41">
        <v>5280</v>
      </c>
      <c r="V41">
        <v>10</v>
      </c>
      <c r="W41">
        <v>6600</v>
      </c>
      <c r="X41">
        <v>11</v>
      </c>
      <c r="Y41">
        <v>7260</v>
      </c>
      <c r="Z41">
        <v>11</v>
      </c>
      <c r="AA41">
        <v>7260</v>
      </c>
      <c r="AB41">
        <v>9</v>
      </c>
      <c r="AC41">
        <v>5940</v>
      </c>
      <c r="AD41">
        <v>10</v>
      </c>
      <c r="AE41">
        <v>6600</v>
      </c>
      <c r="AF41">
        <v>7</v>
      </c>
      <c r="AG41">
        <v>4620</v>
      </c>
      <c r="AH41">
        <v>12</v>
      </c>
      <c r="AI41">
        <v>7920</v>
      </c>
      <c r="AJ41">
        <v>13</v>
      </c>
      <c r="AK41">
        <v>8580</v>
      </c>
      <c r="AL41">
        <v>8</v>
      </c>
      <c r="AM41">
        <v>5280</v>
      </c>
      <c r="AN41">
        <v>10</v>
      </c>
      <c r="AO41">
        <v>6600</v>
      </c>
      <c r="AP41">
        <v>8</v>
      </c>
      <c r="AQ41">
        <v>5280</v>
      </c>
      <c r="AR41">
        <v>8</v>
      </c>
      <c r="AS41">
        <v>5280</v>
      </c>
      <c r="AT41">
        <v>10</v>
      </c>
      <c r="AU41">
        <v>6600</v>
      </c>
      <c r="AV41">
        <v>7</v>
      </c>
      <c r="AW41">
        <v>4620</v>
      </c>
      <c r="AX41">
        <v>10</v>
      </c>
      <c r="AY41">
        <v>6600</v>
      </c>
      <c r="AZ41">
        <v>7</v>
      </c>
      <c r="BA41">
        <v>4620</v>
      </c>
      <c r="BB41">
        <v>12</v>
      </c>
      <c r="BC41">
        <v>7920</v>
      </c>
      <c r="BD41">
        <v>12</v>
      </c>
      <c r="BE41">
        <v>7920</v>
      </c>
      <c r="BF41">
        <v>8</v>
      </c>
      <c r="BG41">
        <v>5280</v>
      </c>
      <c r="BH41">
        <v>11</v>
      </c>
      <c r="BI41">
        <v>7260</v>
      </c>
      <c r="BJ41">
        <v>12</v>
      </c>
      <c r="BK41">
        <v>7920</v>
      </c>
      <c r="BL41">
        <v>7</v>
      </c>
      <c r="BM41">
        <v>4620</v>
      </c>
      <c r="BN41">
        <v>10</v>
      </c>
      <c r="BO41">
        <v>6600</v>
      </c>
      <c r="BP41">
        <v>11</v>
      </c>
      <c r="BQ41">
        <v>7260</v>
      </c>
      <c r="BR41">
        <v>13</v>
      </c>
      <c r="BS41">
        <v>8580</v>
      </c>
      <c r="BT41">
        <v>14</v>
      </c>
      <c r="BU41">
        <v>9240</v>
      </c>
      <c r="BV41">
        <v>10</v>
      </c>
      <c r="BW41">
        <v>6600</v>
      </c>
      <c r="BX41">
        <v>9</v>
      </c>
      <c r="BY41">
        <v>5940</v>
      </c>
      <c r="BZ41">
        <v>10</v>
      </c>
      <c r="CA41">
        <v>6600</v>
      </c>
      <c r="CB41">
        <v>9</v>
      </c>
      <c r="CC41">
        <v>5940</v>
      </c>
      <c r="CD41">
        <v>10</v>
      </c>
      <c r="CE41">
        <v>6600</v>
      </c>
      <c r="CF41">
        <v>10</v>
      </c>
      <c r="CG41">
        <v>6600</v>
      </c>
      <c r="CH41">
        <v>9</v>
      </c>
      <c r="CI41">
        <v>5940</v>
      </c>
      <c r="CJ41">
        <v>11</v>
      </c>
      <c r="CK41">
        <v>7260</v>
      </c>
      <c r="CL41">
        <v>10</v>
      </c>
      <c r="CM41">
        <v>6600</v>
      </c>
      <c r="CN41">
        <v>10</v>
      </c>
      <c r="CO41">
        <v>6600</v>
      </c>
      <c r="CP41">
        <v>8</v>
      </c>
      <c r="CQ41">
        <v>5280</v>
      </c>
      <c r="CR41">
        <v>11</v>
      </c>
      <c r="CS41">
        <v>7260</v>
      </c>
      <c r="CT41">
        <v>11</v>
      </c>
      <c r="CU41">
        <v>7260</v>
      </c>
    </row>
    <row r="42" spans="2:99" x14ac:dyDescent="0.2">
      <c r="C42" s="105" t="s">
        <v>208</v>
      </c>
      <c r="D42">
        <v>11</v>
      </c>
      <c r="E42">
        <v>9306</v>
      </c>
      <c r="F42">
        <v>10</v>
      </c>
      <c r="G42">
        <v>8460</v>
      </c>
      <c r="H42">
        <v>11</v>
      </c>
      <c r="I42">
        <v>9306</v>
      </c>
      <c r="J42">
        <v>7</v>
      </c>
      <c r="K42">
        <v>5922</v>
      </c>
      <c r="L42">
        <v>7</v>
      </c>
      <c r="M42">
        <v>5922</v>
      </c>
      <c r="N42">
        <v>12</v>
      </c>
      <c r="O42">
        <v>10152</v>
      </c>
      <c r="P42">
        <v>9</v>
      </c>
      <c r="Q42">
        <v>7614</v>
      </c>
      <c r="R42">
        <v>9</v>
      </c>
      <c r="S42">
        <v>7614</v>
      </c>
      <c r="T42">
        <v>8</v>
      </c>
      <c r="U42">
        <v>6768</v>
      </c>
      <c r="V42">
        <v>9</v>
      </c>
      <c r="W42">
        <v>7614</v>
      </c>
      <c r="X42">
        <v>10</v>
      </c>
      <c r="Y42">
        <v>8460</v>
      </c>
      <c r="Z42">
        <v>10</v>
      </c>
      <c r="AA42">
        <v>8460</v>
      </c>
      <c r="AB42">
        <v>8</v>
      </c>
      <c r="AC42">
        <v>6768</v>
      </c>
      <c r="AD42">
        <v>9</v>
      </c>
      <c r="AE42">
        <v>7614</v>
      </c>
      <c r="AF42">
        <v>7</v>
      </c>
      <c r="AG42">
        <v>5922</v>
      </c>
      <c r="AH42">
        <v>11</v>
      </c>
      <c r="AI42">
        <v>9306</v>
      </c>
      <c r="AJ42">
        <v>13</v>
      </c>
      <c r="AK42">
        <v>10998</v>
      </c>
      <c r="AL42">
        <v>7</v>
      </c>
      <c r="AM42">
        <v>5922</v>
      </c>
      <c r="AN42">
        <v>11</v>
      </c>
      <c r="AO42">
        <v>9306</v>
      </c>
      <c r="AP42">
        <v>9</v>
      </c>
      <c r="AQ42">
        <v>7614</v>
      </c>
      <c r="AR42">
        <v>7</v>
      </c>
      <c r="AS42">
        <v>5922</v>
      </c>
      <c r="AT42">
        <v>10</v>
      </c>
      <c r="AU42">
        <v>8460</v>
      </c>
      <c r="AV42">
        <v>6</v>
      </c>
      <c r="AW42">
        <v>5076</v>
      </c>
      <c r="AX42">
        <v>11</v>
      </c>
      <c r="AY42">
        <v>9306</v>
      </c>
      <c r="AZ42">
        <v>8</v>
      </c>
      <c r="BA42">
        <v>6768</v>
      </c>
      <c r="BB42">
        <v>13</v>
      </c>
      <c r="BC42">
        <v>10998</v>
      </c>
      <c r="BD42">
        <v>10</v>
      </c>
      <c r="BE42">
        <v>8460</v>
      </c>
      <c r="BF42">
        <v>8</v>
      </c>
      <c r="BG42">
        <v>6768</v>
      </c>
      <c r="BH42">
        <v>9</v>
      </c>
      <c r="BI42">
        <v>7614</v>
      </c>
      <c r="BJ42">
        <v>10</v>
      </c>
      <c r="BK42">
        <v>8460</v>
      </c>
      <c r="BL42">
        <v>6</v>
      </c>
      <c r="BM42">
        <v>5076</v>
      </c>
      <c r="BN42">
        <v>10</v>
      </c>
      <c r="BO42">
        <v>8460</v>
      </c>
      <c r="BP42">
        <v>12</v>
      </c>
      <c r="BQ42">
        <v>10152</v>
      </c>
      <c r="BR42">
        <v>11</v>
      </c>
      <c r="BS42">
        <v>9306</v>
      </c>
      <c r="BT42">
        <v>11</v>
      </c>
      <c r="BU42">
        <v>9306</v>
      </c>
      <c r="BV42">
        <v>10</v>
      </c>
      <c r="BW42">
        <v>8460</v>
      </c>
      <c r="BX42">
        <v>9</v>
      </c>
      <c r="BY42">
        <v>7614</v>
      </c>
      <c r="BZ42">
        <v>9</v>
      </c>
      <c r="CA42">
        <v>7614</v>
      </c>
      <c r="CB42">
        <v>8</v>
      </c>
      <c r="CC42">
        <v>6768</v>
      </c>
      <c r="CD42">
        <v>11</v>
      </c>
      <c r="CE42">
        <v>9306</v>
      </c>
      <c r="CF42">
        <v>10</v>
      </c>
      <c r="CG42">
        <v>8460</v>
      </c>
      <c r="CH42">
        <v>9</v>
      </c>
      <c r="CI42">
        <v>7614</v>
      </c>
      <c r="CJ42">
        <v>10</v>
      </c>
      <c r="CK42">
        <v>8460</v>
      </c>
      <c r="CL42">
        <v>8</v>
      </c>
      <c r="CM42">
        <v>6768</v>
      </c>
      <c r="CN42">
        <v>11</v>
      </c>
      <c r="CO42">
        <v>9306</v>
      </c>
      <c r="CP42">
        <v>8</v>
      </c>
      <c r="CQ42">
        <v>6768</v>
      </c>
      <c r="CR42">
        <v>10</v>
      </c>
      <c r="CS42">
        <v>8460</v>
      </c>
      <c r="CT42">
        <v>9</v>
      </c>
      <c r="CU42">
        <v>7614</v>
      </c>
    </row>
    <row r="43" spans="2:99" x14ac:dyDescent="0.2">
      <c r="C43" s="105" t="s">
        <v>209</v>
      </c>
      <c r="D43">
        <v>12</v>
      </c>
      <c r="E43">
        <v>12268.8</v>
      </c>
      <c r="F43">
        <v>11</v>
      </c>
      <c r="G43">
        <v>11246.4</v>
      </c>
      <c r="H43">
        <v>10</v>
      </c>
      <c r="I43">
        <v>10224</v>
      </c>
      <c r="J43">
        <v>7</v>
      </c>
      <c r="K43">
        <v>7156.8</v>
      </c>
      <c r="L43">
        <v>7</v>
      </c>
      <c r="M43">
        <v>7156.8</v>
      </c>
      <c r="N43">
        <v>12</v>
      </c>
      <c r="O43">
        <v>12268.8</v>
      </c>
      <c r="P43">
        <v>9</v>
      </c>
      <c r="Q43">
        <v>9201.6</v>
      </c>
      <c r="R43">
        <v>10</v>
      </c>
      <c r="S43">
        <v>10224</v>
      </c>
      <c r="T43">
        <v>7</v>
      </c>
      <c r="U43">
        <v>7156.8</v>
      </c>
      <c r="V43">
        <v>9</v>
      </c>
      <c r="W43">
        <v>9201.6</v>
      </c>
      <c r="X43">
        <v>11</v>
      </c>
      <c r="Y43">
        <v>11246.4</v>
      </c>
      <c r="Z43">
        <v>11</v>
      </c>
      <c r="AA43">
        <v>11246.4</v>
      </c>
      <c r="AB43">
        <v>8</v>
      </c>
      <c r="AC43">
        <v>8179.2</v>
      </c>
      <c r="AD43">
        <v>9</v>
      </c>
      <c r="AE43">
        <v>9201.6</v>
      </c>
      <c r="AF43">
        <v>7</v>
      </c>
      <c r="AG43">
        <v>7156.8</v>
      </c>
      <c r="AH43">
        <v>11</v>
      </c>
      <c r="AI43">
        <v>11246.4</v>
      </c>
      <c r="AJ43">
        <v>11</v>
      </c>
      <c r="AK43">
        <v>11246.4</v>
      </c>
      <c r="AL43">
        <v>8</v>
      </c>
      <c r="AM43">
        <v>8179.2</v>
      </c>
      <c r="AN43">
        <v>11</v>
      </c>
      <c r="AO43">
        <v>11246.4</v>
      </c>
      <c r="AP43">
        <v>8</v>
      </c>
      <c r="AQ43">
        <v>8179.2</v>
      </c>
      <c r="AR43">
        <v>8</v>
      </c>
      <c r="AS43">
        <v>8179.2</v>
      </c>
      <c r="AT43">
        <v>9</v>
      </c>
      <c r="AU43">
        <v>9201.6</v>
      </c>
      <c r="AV43">
        <v>7</v>
      </c>
      <c r="AW43">
        <v>7156.8</v>
      </c>
      <c r="AX43">
        <v>10</v>
      </c>
      <c r="AY43">
        <v>10224</v>
      </c>
      <c r="AZ43">
        <v>8</v>
      </c>
      <c r="BA43">
        <v>8179.2</v>
      </c>
      <c r="BB43">
        <v>12</v>
      </c>
      <c r="BC43">
        <v>12268.8</v>
      </c>
      <c r="BD43">
        <v>10</v>
      </c>
      <c r="BE43">
        <v>10224</v>
      </c>
      <c r="BF43">
        <v>7</v>
      </c>
      <c r="BG43">
        <v>7156.8</v>
      </c>
      <c r="BH43">
        <v>10</v>
      </c>
      <c r="BI43">
        <v>10224</v>
      </c>
      <c r="BJ43">
        <v>12</v>
      </c>
      <c r="BK43">
        <v>12268.8</v>
      </c>
      <c r="BL43">
        <v>7</v>
      </c>
      <c r="BM43">
        <v>7156.8</v>
      </c>
      <c r="BN43">
        <v>9</v>
      </c>
      <c r="BO43">
        <v>9201.6</v>
      </c>
      <c r="BP43">
        <v>12</v>
      </c>
      <c r="BQ43">
        <v>12268.8</v>
      </c>
      <c r="BR43">
        <v>12</v>
      </c>
      <c r="BS43">
        <v>12268.8</v>
      </c>
      <c r="BT43">
        <v>13</v>
      </c>
      <c r="BU43">
        <v>13291.199999999999</v>
      </c>
      <c r="BV43">
        <v>10</v>
      </c>
      <c r="BW43">
        <v>10224</v>
      </c>
      <c r="BX43">
        <v>9</v>
      </c>
      <c r="BY43">
        <v>9201.6</v>
      </c>
      <c r="BZ43">
        <v>10</v>
      </c>
      <c r="CA43">
        <v>10224</v>
      </c>
      <c r="CB43">
        <v>9</v>
      </c>
      <c r="CC43">
        <v>9201.6</v>
      </c>
      <c r="CD43">
        <v>11</v>
      </c>
      <c r="CE43">
        <v>11246.4</v>
      </c>
      <c r="CF43">
        <v>11</v>
      </c>
      <c r="CG43">
        <v>11246.4</v>
      </c>
      <c r="CH43">
        <v>9</v>
      </c>
      <c r="CI43">
        <v>9201.6</v>
      </c>
      <c r="CJ43">
        <v>11</v>
      </c>
      <c r="CK43">
        <v>11246.4</v>
      </c>
      <c r="CL43">
        <v>9</v>
      </c>
      <c r="CM43">
        <v>9201.6</v>
      </c>
      <c r="CN43">
        <v>11</v>
      </c>
      <c r="CO43">
        <v>11246.4</v>
      </c>
      <c r="CP43">
        <v>8</v>
      </c>
      <c r="CQ43">
        <v>8179.2</v>
      </c>
      <c r="CR43">
        <v>9</v>
      </c>
      <c r="CS43">
        <v>9201.6</v>
      </c>
      <c r="CT43">
        <v>9</v>
      </c>
      <c r="CU43">
        <v>9201.6</v>
      </c>
    </row>
    <row r="44" spans="2:99" x14ac:dyDescent="0.2">
      <c r="C44" s="105" t="s">
        <v>210</v>
      </c>
      <c r="D44">
        <v>11</v>
      </c>
      <c r="E44">
        <v>11246.4</v>
      </c>
      <c r="F44">
        <v>10</v>
      </c>
      <c r="G44">
        <v>10224</v>
      </c>
      <c r="H44">
        <v>11</v>
      </c>
      <c r="I44">
        <v>11246.4</v>
      </c>
      <c r="J44">
        <v>7</v>
      </c>
      <c r="K44">
        <v>7156.8</v>
      </c>
      <c r="L44">
        <v>7</v>
      </c>
      <c r="M44">
        <v>7156.8</v>
      </c>
      <c r="N44">
        <v>11</v>
      </c>
      <c r="O44">
        <v>11246.4</v>
      </c>
      <c r="P44">
        <v>10</v>
      </c>
      <c r="Q44">
        <v>10224</v>
      </c>
      <c r="R44">
        <v>9</v>
      </c>
      <c r="S44">
        <v>9201.6</v>
      </c>
      <c r="T44">
        <v>7</v>
      </c>
      <c r="U44">
        <v>7156.8</v>
      </c>
      <c r="V44">
        <v>8</v>
      </c>
      <c r="W44">
        <v>8179.2</v>
      </c>
      <c r="X44">
        <v>11</v>
      </c>
      <c r="Y44">
        <v>11246.4</v>
      </c>
      <c r="Z44">
        <v>10</v>
      </c>
      <c r="AA44">
        <v>10224</v>
      </c>
      <c r="AB44">
        <v>9</v>
      </c>
      <c r="AC44">
        <v>9201.6</v>
      </c>
      <c r="AD44">
        <v>9</v>
      </c>
      <c r="AE44">
        <v>9201.6</v>
      </c>
      <c r="AF44">
        <v>7</v>
      </c>
      <c r="AG44">
        <v>7156.8</v>
      </c>
      <c r="AH44">
        <v>12</v>
      </c>
      <c r="AI44">
        <v>12268.8</v>
      </c>
      <c r="AJ44">
        <v>12</v>
      </c>
      <c r="AK44">
        <v>12268.8</v>
      </c>
      <c r="AL44">
        <v>7</v>
      </c>
      <c r="AM44">
        <v>7156.8</v>
      </c>
      <c r="AN44">
        <v>10</v>
      </c>
      <c r="AO44">
        <v>10224</v>
      </c>
      <c r="AP44">
        <v>8</v>
      </c>
      <c r="AQ44">
        <v>8179.2</v>
      </c>
      <c r="AR44">
        <v>7</v>
      </c>
      <c r="AS44">
        <v>7156.8</v>
      </c>
      <c r="AT44">
        <v>9</v>
      </c>
      <c r="AU44">
        <v>9201.6</v>
      </c>
      <c r="AV44">
        <v>7</v>
      </c>
      <c r="AW44">
        <v>7156.8</v>
      </c>
      <c r="AX44">
        <v>10</v>
      </c>
      <c r="AY44">
        <v>10224</v>
      </c>
      <c r="AZ44">
        <v>7</v>
      </c>
      <c r="BA44">
        <v>7156.8</v>
      </c>
      <c r="BB44">
        <v>12</v>
      </c>
      <c r="BC44">
        <v>12268.8</v>
      </c>
      <c r="BD44">
        <v>11</v>
      </c>
      <c r="BE44">
        <v>11246.4</v>
      </c>
      <c r="BF44">
        <v>7</v>
      </c>
      <c r="BG44">
        <v>7156.8</v>
      </c>
      <c r="BH44">
        <v>10</v>
      </c>
      <c r="BI44">
        <v>10224</v>
      </c>
      <c r="BJ44">
        <v>12</v>
      </c>
      <c r="BK44">
        <v>12268.8</v>
      </c>
      <c r="BL44">
        <v>7</v>
      </c>
      <c r="BM44">
        <v>7156.8</v>
      </c>
      <c r="BN44">
        <v>10</v>
      </c>
      <c r="BO44">
        <v>10224</v>
      </c>
      <c r="BP44">
        <v>13</v>
      </c>
      <c r="BQ44">
        <v>13291.199999999999</v>
      </c>
      <c r="BR44">
        <v>11</v>
      </c>
      <c r="BS44">
        <v>11246.4</v>
      </c>
      <c r="BT44">
        <v>13</v>
      </c>
      <c r="BU44">
        <v>13291.199999999999</v>
      </c>
      <c r="BV44">
        <v>10</v>
      </c>
      <c r="BW44">
        <v>10224</v>
      </c>
      <c r="BX44">
        <v>10</v>
      </c>
      <c r="BY44">
        <v>10224</v>
      </c>
      <c r="BZ44">
        <v>9</v>
      </c>
      <c r="CA44">
        <v>9201.6</v>
      </c>
      <c r="CB44">
        <v>8</v>
      </c>
      <c r="CC44">
        <v>8179.2</v>
      </c>
      <c r="CD44">
        <v>10</v>
      </c>
      <c r="CE44">
        <v>10224</v>
      </c>
      <c r="CF44">
        <v>11</v>
      </c>
      <c r="CG44">
        <v>11246.4</v>
      </c>
      <c r="CH44">
        <v>8</v>
      </c>
      <c r="CI44">
        <v>8179.2</v>
      </c>
      <c r="CJ44">
        <v>11</v>
      </c>
      <c r="CK44">
        <v>11246.4</v>
      </c>
      <c r="CL44">
        <v>9</v>
      </c>
      <c r="CM44">
        <v>9201.6</v>
      </c>
      <c r="CN44">
        <v>10</v>
      </c>
      <c r="CO44">
        <v>10224</v>
      </c>
      <c r="CP44">
        <v>7</v>
      </c>
      <c r="CQ44">
        <v>7156.8</v>
      </c>
      <c r="CR44">
        <v>10</v>
      </c>
      <c r="CS44">
        <v>10224</v>
      </c>
      <c r="CT44">
        <v>10</v>
      </c>
      <c r="CU44">
        <v>10224</v>
      </c>
    </row>
    <row r="45" spans="2:99" x14ac:dyDescent="0.2">
      <c r="C45" s="105" t="s">
        <v>211</v>
      </c>
      <c r="D45">
        <v>12</v>
      </c>
      <c r="E45">
        <v>14990.400000000001</v>
      </c>
      <c r="F45">
        <v>9</v>
      </c>
      <c r="G45">
        <v>11242.800000000001</v>
      </c>
      <c r="H45">
        <v>10</v>
      </c>
      <c r="I45">
        <v>12492</v>
      </c>
      <c r="J45">
        <v>7</v>
      </c>
      <c r="K45">
        <v>8744.4</v>
      </c>
      <c r="L45">
        <v>6</v>
      </c>
      <c r="M45">
        <v>7495.2000000000007</v>
      </c>
      <c r="N45">
        <v>11</v>
      </c>
      <c r="O45">
        <v>13741.2</v>
      </c>
      <c r="P45">
        <v>10</v>
      </c>
      <c r="Q45">
        <v>12492</v>
      </c>
      <c r="R45">
        <v>9</v>
      </c>
      <c r="S45">
        <v>11242.800000000001</v>
      </c>
      <c r="T45">
        <v>7</v>
      </c>
      <c r="U45">
        <v>8744.4</v>
      </c>
      <c r="V45">
        <v>8</v>
      </c>
      <c r="W45">
        <v>9993.6</v>
      </c>
      <c r="X45">
        <v>9</v>
      </c>
      <c r="Y45">
        <v>11242.800000000001</v>
      </c>
      <c r="Z45">
        <v>10</v>
      </c>
      <c r="AA45">
        <v>12492</v>
      </c>
      <c r="AB45">
        <v>8</v>
      </c>
      <c r="AC45">
        <v>9993.6</v>
      </c>
      <c r="AD45">
        <v>9</v>
      </c>
      <c r="AE45">
        <v>11242.800000000001</v>
      </c>
      <c r="AF45">
        <v>7</v>
      </c>
      <c r="AG45">
        <v>8744.4</v>
      </c>
      <c r="AH45">
        <v>9</v>
      </c>
      <c r="AI45">
        <v>11242.800000000001</v>
      </c>
      <c r="AJ45">
        <v>12</v>
      </c>
      <c r="AK45">
        <v>14990.400000000001</v>
      </c>
      <c r="AL45">
        <v>8</v>
      </c>
      <c r="AM45">
        <v>9993.6</v>
      </c>
      <c r="AN45">
        <v>10</v>
      </c>
      <c r="AO45">
        <v>12492</v>
      </c>
      <c r="AP45">
        <v>8</v>
      </c>
      <c r="AQ45">
        <v>9993.6</v>
      </c>
      <c r="AR45">
        <v>8</v>
      </c>
      <c r="AS45">
        <v>9993.6</v>
      </c>
      <c r="AT45">
        <v>9</v>
      </c>
      <c r="AU45">
        <v>11242.800000000001</v>
      </c>
      <c r="AV45">
        <v>7</v>
      </c>
      <c r="AW45">
        <v>8744.4</v>
      </c>
      <c r="AX45">
        <v>11</v>
      </c>
      <c r="AY45">
        <v>13741.2</v>
      </c>
      <c r="AZ45">
        <v>8</v>
      </c>
      <c r="BA45">
        <v>9993.6</v>
      </c>
      <c r="BB45">
        <v>12</v>
      </c>
      <c r="BC45">
        <v>14990.400000000001</v>
      </c>
      <c r="BD45">
        <v>11</v>
      </c>
      <c r="BE45">
        <v>13741.2</v>
      </c>
      <c r="BF45">
        <v>7</v>
      </c>
      <c r="BG45">
        <v>8744.4</v>
      </c>
      <c r="BH45">
        <v>9</v>
      </c>
      <c r="BI45">
        <v>11242.800000000001</v>
      </c>
      <c r="BJ45">
        <v>11</v>
      </c>
      <c r="BK45">
        <v>13741.2</v>
      </c>
      <c r="BL45">
        <v>6</v>
      </c>
      <c r="BM45">
        <v>7495.2000000000007</v>
      </c>
      <c r="BN45">
        <v>9</v>
      </c>
      <c r="BO45">
        <v>11242.800000000001</v>
      </c>
      <c r="BP45">
        <v>11</v>
      </c>
      <c r="BQ45">
        <v>13741.2</v>
      </c>
      <c r="BR45">
        <v>12</v>
      </c>
      <c r="BS45">
        <v>14990.400000000001</v>
      </c>
      <c r="BT45">
        <v>12</v>
      </c>
      <c r="BU45">
        <v>14990.400000000001</v>
      </c>
      <c r="BV45">
        <v>10</v>
      </c>
      <c r="BW45">
        <v>12492</v>
      </c>
      <c r="BX45">
        <v>8</v>
      </c>
      <c r="BY45">
        <v>9993.6</v>
      </c>
      <c r="BZ45">
        <v>10</v>
      </c>
      <c r="CA45">
        <v>12492</v>
      </c>
      <c r="CB45">
        <v>8</v>
      </c>
      <c r="CC45">
        <v>9993.6</v>
      </c>
      <c r="CD45">
        <v>9</v>
      </c>
      <c r="CE45">
        <v>11242.800000000001</v>
      </c>
      <c r="CF45">
        <v>11</v>
      </c>
      <c r="CG45">
        <v>13741.2</v>
      </c>
      <c r="CH45">
        <v>9</v>
      </c>
      <c r="CI45">
        <v>11242.800000000001</v>
      </c>
      <c r="CJ45">
        <v>12</v>
      </c>
      <c r="CK45">
        <v>14990.400000000001</v>
      </c>
      <c r="CL45">
        <v>9</v>
      </c>
      <c r="CM45">
        <v>11242.800000000001</v>
      </c>
      <c r="CN45">
        <v>11</v>
      </c>
      <c r="CO45">
        <v>13741.2</v>
      </c>
      <c r="CP45">
        <v>8</v>
      </c>
      <c r="CQ45">
        <v>9993.6</v>
      </c>
      <c r="CR45">
        <v>10</v>
      </c>
      <c r="CS45">
        <v>12492</v>
      </c>
      <c r="CT45">
        <v>11</v>
      </c>
      <c r="CU45">
        <v>13741.2</v>
      </c>
    </row>
    <row r="46" spans="2:99" x14ac:dyDescent="0.2">
      <c r="C46" s="105" t="s">
        <v>212</v>
      </c>
      <c r="D46">
        <v>11</v>
      </c>
      <c r="E46">
        <v>13332</v>
      </c>
      <c r="F46">
        <v>10</v>
      </c>
      <c r="G46">
        <v>12120</v>
      </c>
      <c r="H46">
        <v>10</v>
      </c>
      <c r="I46">
        <v>12120</v>
      </c>
      <c r="J46">
        <v>7</v>
      </c>
      <c r="K46">
        <v>8484</v>
      </c>
      <c r="L46">
        <v>7</v>
      </c>
      <c r="M46">
        <v>8484</v>
      </c>
      <c r="N46">
        <v>13</v>
      </c>
      <c r="O46">
        <v>15756</v>
      </c>
      <c r="P46">
        <v>8</v>
      </c>
      <c r="Q46">
        <v>9696</v>
      </c>
      <c r="R46">
        <v>10</v>
      </c>
      <c r="S46">
        <v>12120</v>
      </c>
      <c r="T46">
        <v>6</v>
      </c>
      <c r="U46">
        <v>7272</v>
      </c>
      <c r="V46">
        <v>9</v>
      </c>
      <c r="W46">
        <v>10908</v>
      </c>
      <c r="X46">
        <v>11</v>
      </c>
      <c r="Y46">
        <v>13332</v>
      </c>
      <c r="Z46">
        <v>10</v>
      </c>
      <c r="AA46">
        <v>12120</v>
      </c>
      <c r="AB46">
        <v>7</v>
      </c>
      <c r="AC46">
        <v>8484</v>
      </c>
      <c r="AD46">
        <v>10</v>
      </c>
      <c r="AE46">
        <v>12120</v>
      </c>
      <c r="AF46">
        <v>8</v>
      </c>
      <c r="AG46">
        <v>9696</v>
      </c>
      <c r="AH46">
        <v>10</v>
      </c>
      <c r="AI46">
        <v>12120</v>
      </c>
      <c r="AJ46">
        <v>12</v>
      </c>
      <c r="AK46">
        <v>14544</v>
      </c>
      <c r="AL46">
        <v>7</v>
      </c>
      <c r="AM46">
        <v>8484</v>
      </c>
      <c r="AN46">
        <v>11</v>
      </c>
      <c r="AO46">
        <v>13332</v>
      </c>
      <c r="AP46">
        <v>9</v>
      </c>
      <c r="AQ46">
        <v>10908</v>
      </c>
      <c r="AR46">
        <v>7</v>
      </c>
      <c r="AS46">
        <v>8484</v>
      </c>
      <c r="AT46">
        <v>9</v>
      </c>
      <c r="AU46">
        <v>10908</v>
      </c>
      <c r="AV46">
        <v>7</v>
      </c>
      <c r="AW46">
        <v>8484</v>
      </c>
      <c r="AX46">
        <v>10</v>
      </c>
      <c r="AY46">
        <v>12120</v>
      </c>
      <c r="AZ46">
        <v>7</v>
      </c>
      <c r="BA46">
        <v>8484</v>
      </c>
      <c r="BB46">
        <v>12</v>
      </c>
      <c r="BC46">
        <v>14544</v>
      </c>
      <c r="BD46">
        <v>11</v>
      </c>
      <c r="BE46">
        <v>13332</v>
      </c>
      <c r="BF46">
        <v>7</v>
      </c>
      <c r="BG46">
        <v>8484</v>
      </c>
      <c r="BH46">
        <v>10</v>
      </c>
      <c r="BI46">
        <v>12120</v>
      </c>
      <c r="BJ46">
        <v>11</v>
      </c>
      <c r="BK46">
        <v>13332</v>
      </c>
      <c r="BL46">
        <v>7</v>
      </c>
      <c r="BM46">
        <v>8484</v>
      </c>
      <c r="BN46">
        <v>9</v>
      </c>
      <c r="BO46">
        <v>10908</v>
      </c>
      <c r="BP46">
        <v>13</v>
      </c>
      <c r="BQ46">
        <v>15756</v>
      </c>
      <c r="BR46">
        <v>13</v>
      </c>
      <c r="BS46">
        <v>15756</v>
      </c>
      <c r="BT46">
        <v>12</v>
      </c>
      <c r="BU46">
        <v>14544</v>
      </c>
      <c r="BV46">
        <v>9</v>
      </c>
      <c r="BW46">
        <v>10908</v>
      </c>
      <c r="BX46">
        <v>9</v>
      </c>
      <c r="BY46">
        <v>10908</v>
      </c>
      <c r="BZ46">
        <v>9</v>
      </c>
      <c r="CA46">
        <v>10908</v>
      </c>
      <c r="CB46">
        <v>8</v>
      </c>
      <c r="CC46">
        <v>9696</v>
      </c>
      <c r="CD46">
        <v>9</v>
      </c>
      <c r="CE46">
        <v>10908</v>
      </c>
      <c r="CF46">
        <v>10</v>
      </c>
      <c r="CG46">
        <v>12120</v>
      </c>
      <c r="CH46">
        <v>9</v>
      </c>
      <c r="CI46">
        <v>10908</v>
      </c>
      <c r="CJ46">
        <v>12</v>
      </c>
      <c r="CK46">
        <v>14544</v>
      </c>
      <c r="CL46">
        <v>9</v>
      </c>
      <c r="CM46">
        <v>10908</v>
      </c>
      <c r="CN46">
        <v>10</v>
      </c>
      <c r="CO46">
        <v>12120</v>
      </c>
      <c r="CP46">
        <v>8</v>
      </c>
      <c r="CQ46">
        <v>9696</v>
      </c>
      <c r="CR46">
        <v>10</v>
      </c>
      <c r="CS46">
        <v>12120</v>
      </c>
      <c r="CT46">
        <v>10</v>
      </c>
      <c r="CU46">
        <v>12120</v>
      </c>
    </row>
    <row r="47" spans="2:99" x14ac:dyDescent="0.2">
      <c r="C47" s="105" t="s">
        <v>213</v>
      </c>
      <c r="D47">
        <v>12</v>
      </c>
      <c r="E47">
        <v>18331.199999999997</v>
      </c>
      <c r="F47">
        <v>11</v>
      </c>
      <c r="G47">
        <v>16803.599999999999</v>
      </c>
      <c r="H47">
        <v>10</v>
      </c>
      <c r="I47">
        <v>15276</v>
      </c>
      <c r="J47">
        <v>7</v>
      </c>
      <c r="K47">
        <v>10693.199999999999</v>
      </c>
      <c r="L47">
        <v>6</v>
      </c>
      <c r="M47">
        <v>9165.5999999999985</v>
      </c>
      <c r="N47">
        <v>12</v>
      </c>
      <c r="O47">
        <v>18331.199999999997</v>
      </c>
      <c r="P47">
        <v>9</v>
      </c>
      <c r="Q47">
        <v>13748.4</v>
      </c>
      <c r="R47">
        <v>9</v>
      </c>
      <c r="S47">
        <v>13748.4</v>
      </c>
      <c r="T47">
        <v>7</v>
      </c>
      <c r="U47">
        <v>10693.199999999999</v>
      </c>
      <c r="V47">
        <v>8</v>
      </c>
      <c r="W47">
        <v>12220.8</v>
      </c>
      <c r="X47">
        <v>10</v>
      </c>
      <c r="Y47">
        <v>15276</v>
      </c>
      <c r="Z47">
        <v>10</v>
      </c>
      <c r="AA47">
        <v>15276</v>
      </c>
      <c r="AB47">
        <v>7</v>
      </c>
      <c r="AC47">
        <v>10693.199999999999</v>
      </c>
      <c r="AD47">
        <v>9</v>
      </c>
      <c r="AE47">
        <v>13748.4</v>
      </c>
      <c r="AF47">
        <v>7</v>
      </c>
      <c r="AG47">
        <v>10693.199999999999</v>
      </c>
      <c r="AH47">
        <v>9</v>
      </c>
      <c r="AI47">
        <v>13748.4</v>
      </c>
      <c r="AJ47">
        <v>11</v>
      </c>
      <c r="AK47">
        <v>16803.599999999999</v>
      </c>
      <c r="AL47">
        <v>6</v>
      </c>
      <c r="AM47">
        <v>9165.5999999999985</v>
      </c>
      <c r="AN47">
        <v>11</v>
      </c>
      <c r="AO47">
        <v>16803.599999999999</v>
      </c>
      <c r="AP47">
        <v>8</v>
      </c>
      <c r="AQ47">
        <v>12220.8</v>
      </c>
      <c r="AR47">
        <v>7</v>
      </c>
      <c r="AS47">
        <v>10693.199999999999</v>
      </c>
      <c r="AT47">
        <v>9</v>
      </c>
      <c r="AU47">
        <v>13748.4</v>
      </c>
      <c r="AV47">
        <v>6</v>
      </c>
      <c r="AW47">
        <v>9165.5999999999985</v>
      </c>
      <c r="AX47">
        <v>10</v>
      </c>
      <c r="AY47">
        <v>15276</v>
      </c>
      <c r="AZ47">
        <v>8</v>
      </c>
      <c r="BA47">
        <v>12220.8</v>
      </c>
      <c r="BB47">
        <v>10</v>
      </c>
      <c r="BC47">
        <v>15276</v>
      </c>
      <c r="BD47">
        <v>10</v>
      </c>
      <c r="BE47">
        <v>15276</v>
      </c>
      <c r="BF47">
        <v>7</v>
      </c>
      <c r="BG47">
        <v>10693.199999999999</v>
      </c>
      <c r="BH47">
        <v>9</v>
      </c>
      <c r="BI47">
        <v>13748.4</v>
      </c>
      <c r="BJ47">
        <v>11</v>
      </c>
      <c r="BK47">
        <v>16803.599999999999</v>
      </c>
      <c r="BL47">
        <v>7</v>
      </c>
      <c r="BM47">
        <v>10693.199999999999</v>
      </c>
      <c r="BN47">
        <v>10</v>
      </c>
      <c r="BO47">
        <v>15276</v>
      </c>
      <c r="BP47">
        <v>11</v>
      </c>
      <c r="BQ47">
        <v>16803.599999999999</v>
      </c>
      <c r="BR47">
        <v>12</v>
      </c>
      <c r="BS47">
        <v>18331.199999999997</v>
      </c>
      <c r="BT47">
        <v>12</v>
      </c>
      <c r="BU47">
        <v>18331.199999999997</v>
      </c>
      <c r="BV47">
        <v>10</v>
      </c>
      <c r="BW47">
        <v>15276</v>
      </c>
      <c r="BX47">
        <v>8</v>
      </c>
      <c r="BY47">
        <v>12220.8</v>
      </c>
      <c r="BZ47">
        <v>9</v>
      </c>
      <c r="CA47">
        <v>13748.4</v>
      </c>
      <c r="CB47">
        <v>8</v>
      </c>
      <c r="CC47">
        <v>12220.8</v>
      </c>
      <c r="CD47">
        <v>9</v>
      </c>
      <c r="CE47">
        <v>13748.4</v>
      </c>
      <c r="CF47">
        <v>11</v>
      </c>
      <c r="CG47">
        <v>16803.599999999999</v>
      </c>
      <c r="CH47">
        <v>8</v>
      </c>
      <c r="CI47">
        <v>12220.8</v>
      </c>
      <c r="CJ47">
        <v>10</v>
      </c>
      <c r="CK47">
        <v>15276</v>
      </c>
      <c r="CL47">
        <v>8</v>
      </c>
      <c r="CM47">
        <v>12220.8</v>
      </c>
      <c r="CN47">
        <v>11</v>
      </c>
      <c r="CO47">
        <v>16803.599999999999</v>
      </c>
      <c r="CP47">
        <v>8</v>
      </c>
      <c r="CQ47">
        <v>12220.8</v>
      </c>
      <c r="CR47">
        <v>9</v>
      </c>
      <c r="CS47">
        <v>13748.4</v>
      </c>
      <c r="CT47">
        <v>10</v>
      </c>
      <c r="CU47">
        <v>15276</v>
      </c>
    </row>
    <row r="48" spans="2:99" x14ac:dyDescent="0.2">
      <c r="C48" s="105" t="s">
        <v>214</v>
      </c>
      <c r="D48">
        <v>12</v>
      </c>
      <c r="E48">
        <v>10411.200000000001</v>
      </c>
      <c r="F48">
        <v>11</v>
      </c>
      <c r="G48">
        <v>9543.6</v>
      </c>
      <c r="H48">
        <v>11</v>
      </c>
      <c r="I48">
        <v>9543.6</v>
      </c>
      <c r="J48">
        <v>7</v>
      </c>
      <c r="K48">
        <v>6073.2</v>
      </c>
      <c r="L48">
        <v>7</v>
      </c>
      <c r="M48">
        <v>6073.2</v>
      </c>
      <c r="N48">
        <v>11</v>
      </c>
      <c r="O48">
        <v>9543.6</v>
      </c>
      <c r="P48">
        <v>10</v>
      </c>
      <c r="Q48">
        <v>8676</v>
      </c>
      <c r="R48">
        <v>10</v>
      </c>
      <c r="S48">
        <v>8676</v>
      </c>
      <c r="T48">
        <v>8</v>
      </c>
      <c r="U48">
        <v>6940.8</v>
      </c>
      <c r="V48">
        <v>8</v>
      </c>
      <c r="W48">
        <v>6940.8</v>
      </c>
      <c r="X48">
        <v>10</v>
      </c>
      <c r="Y48">
        <v>8676</v>
      </c>
      <c r="Z48">
        <v>10</v>
      </c>
      <c r="AA48">
        <v>8676</v>
      </c>
      <c r="AB48">
        <v>9</v>
      </c>
      <c r="AC48">
        <v>7808.4000000000005</v>
      </c>
      <c r="AD48">
        <v>9</v>
      </c>
      <c r="AE48">
        <v>7808.4000000000005</v>
      </c>
      <c r="AF48">
        <v>7</v>
      </c>
      <c r="AG48">
        <v>6073.2</v>
      </c>
      <c r="AH48">
        <v>10</v>
      </c>
      <c r="AI48">
        <v>8676</v>
      </c>
      <c r="AJ48">
        <v>11</v>
      </c>
      <c r="AK48">
        <v>9543.6</v>
      </c>
      <c r="AL48">
        <v>8</v>
      </c>
      <c r="AM48">
        <v>6940.8</v>
      </c>
      <c r="AN48">
        <v>10</v>
      </c>
      <c r="AO48">
        <v>8676</v>
      </c>
      <c r="AP48">
        <v>8</v>
      </c>
      <c r="AQ48">
        <v>6940.8</v>
      </c>
      <c r="AR48">
        <v>7</v>
      </c>
      <c r="AS48">
        <v>6073.2</v>
      </c>
      <c r="AT48">
        <v>11</v>
      </c>
      <c r="AU48">
        <v>9543.6</v>
      </c>
      <c r="AV48">
        <v>7</v>
      </c>
      <c r="AW48">
        <v>6073.2</v>
      </c>
      <c r="AX48">
        <v>11</v>
      </c>
      <c r="AY48">
        <v>9543.6</v>
      </c>
      <c r="AZ48">
        <v>8</v>
      </c>
      <c r="BA48">
        <v>6940.8</v>
      </c>
      <c r="BB48">
        <v>13</v>
      </c>
      <c r="BC48">
        <v>11278.800000000001</v>
      </c>
      <c r="BD48">
        <v>11</v>
      </c>
      <c r="BE48">
        <v>9543.6</v>
      </c>
      <c r="BF48">
        <v>7</v>
      </c>
      <c r="BG48">
        <v>6073.2</v>
      </c>
      <c r="BH48">
        <v>10</v>
      </c>
      <c r="BI48">
        <v>8676</v>
      </c>
      <c r="BJ48">
        <v>10</v>
      </c>
      <c r="BK48">
        <v>8676</v>
      </c>
      <c r="BL48">
        <v>7</v>
      </c>
      <c r="BM48">
        <v>6073.2</v>
      </c>
      <c r="BN48">
        <v>11</v>
      </c>
      <c r="BO48">
        <v>9543.6</v>
      </c>
      <c r="BP48">
        <v>13</v>
      </c>
      <c r="BQ48">
        <v>11278.800000000001</v>
      </c>
      <c r="BR48">
        <v>11</v>
      </c>
      <c r="BS48">
        <v>9543.6</v>
      </c>
      <c r="BT48">
        <v>11</v>
      </c>
      <c r="BU48">
        <v>9543.6</v>
      </c>
      <c r="BV48">
        <v>9</v>
      </c>
      <c r="BW48">
        <v>7808.4000000000005</v>
      </c>
      <c r="BX48">
        <v>8</v>
      </c>
      <c r="BY48">
        <v>6940.8</v>
      </c>
      <c r="BZ48">
        <v>10</v>
      </c>
      <c r="CA48">
        <v>8676</v>
      </c>
      <c r="CB48">
        <v>9</v>
      </c>
      <c r="CC48">
        <v>7808.4000000000005</v>
      </c>
      <c r="CD48">
        <v>10</v>
      </c>
      <c r="CE48">
        <v>8676</v>
      </c>
      <c r="CF48">
        <v>12</v>
      </c>
      <c r="CG48">
        <v>10411.200000000001</v>
      </c>
      <c r="CH48">
        <v>9</v>
      </c>
      <c r="CI48">
        <v>7808.4000000000005</v>
      </c>
      <c r="CJ48">
        <v>11</v>
      </c>
      <c r="CK48">
        <v>9543.6</v>
      </c>
      <c r="CL48">
        <v>9</v>
      </c>
      <c r="CM48">
        <v>7808.4000000000005</v>
      </c>
      <c r="CN48">
        <v>10</v>
      </c>
      <c r="CO48">
        <v>8676</v>
      </c>
      <c r="CP48">
        <v>8</v>
      </c>
      <c r="CQ48">
        <v>6940.8</v>
      </c>
      <c r="CR48">
        <v>10</v>
      </c>
      <c r="CS48">
        <v>8676</v>
      </c>
      <c r="CT48">
        <v>10</v>
      </c>
      <c r="CU48">
        <v>8676</v>
      </c>
    </row>
    <row r="49" spans="2:99" x14ac:dyDescent="0.2">
      <c r="B49" s="105" t="s">
        <v>129</v>
      </c>
      <c r="C49" s="105" t="s">
        <v>215</v>
      </c>
      <c r="D49">
        <v>11</v>
      </c>
      <c r="E49">
        <v>10837.199999999999</v>
      </c>
      <c r="F49">
        <v>12</v>
      </c>
      <c r="G49">
        <v>11822.4</v>
      </c>
      <c r="H49">
        <v>8</v>
      </c>
      <c r="I49">
        <v>7881.5999999999995</v>
      </c>
      <c r="J49">
        <v>10</v>
      </c>
      <c r="K49">
        <v>9852</v>
      </c>
      <c r="L49">
        <v>11</v>
      </c>
      <c r="M49">
        <v>10837.199999999999</v>
      </c>
      <c r="N49">
        <v>7</v>
      </c>
      <c r="O49">
        <v>6896.4</v>
      </c>
      <c r="P49">
        <v>6</v>
      </c>
      <c r="Q49">
        <v>5911.2</v>
      </c>
      <c r="R49">
        <v>10</v>
      </c>
      <c r="S49">
        <v>9852</v>
      </c>
      <c r="T49">
        <v>12</v>
      </c>
      <c r="U49">
        <v>11822.4</v>
      </c>
      <c r="V49">
        <v>7</v>
      </c>
      <c r="W49">
        <v>6896.4</v>
      </c>
      <c r="X49">
        <v>9</v>
      </c>
      <c r="Y49">
        <v>8866.7999999999993</v>
      </c>
      <c r="Z49">
        <v>7</v>
      </c>
      <c r="AA49">
        <v>6896.4</v>
      </c>
      <c r="AB49">
        <v>6</v>
      </c>
      <c r="AC49">
        <v>5911.2</v>
      </c>
      <c r="AD49">
        <v>9</v>
      </c>
      <c r="AE49">
        <v>8866.7999999999993</v>
      </c>
      <c r="AF49">
        <v>7</v>
      </c>
      <c r="AG49">
        <v>6896.4</v>
      </c>
      <c r="AH49">
        <v>6.0625258727658018</v>
      </c>
      <c r="AI49">
        <v>5972.8004898488671</v>
      </c>
      <c r="AJ49">
        <v>8</v>
      </c>
      <c r="AK49">
        <v>7881.5999999999995</v>
      </c>
      <c r="AL49">
        <v>3.3042520798342485</v>
      </c>
      <c r="AM49">
        <v>3255.3491490527013</v>
      </c>
      <c r="AN49">
        <v>9</v>
      </c>
      <c r="AO49">
        <v>8866.7999999999993</v>
      </c>
      <c r="AP49">
        <v>6.29669562460239</v>
      </c>
      <c r="AQ49">
        <v>6203.5045293582743</v>
      </c>
      <c r="AR49">
        <v>5.1706080138915729</v>
      </c>
      <c r="AS49">
        <v>5094.0830152859771</v>
      </c>
      <c r="AT49">
        <v>7</v>
      </c>
      <c r="AU49">
        <v>6896.4</v>
      </c>
      <c r="AV49">
        <v>7.2694143054126013</v>
      </c>
      <c r="AW49">
        <v>7161.826973692494</v>
      </c>
      <c r="AX49">
        <v>10</v>
      </c>
      <c r="AY49">
        <v>9852</v>
      </c>
      <c r="AZ49">
        <v>8</v>
      </c>
      <c r="BA49">
        <v>7881.5999999999995</v>
      </c>
      <c r="BB49">
        <v>8</v>
      </c>
      <c r="BC49">
        <v>7881.5999999999995</v>
      </c>
      <c r="BD49">
        <v>11</v>
      </c>
      <c r="BE49">
        <v>10837.199999999999</v>
      </c>
      <c r="BF49">
        <v>10</v>
      </c>
      <c r="BG49">
        <v>9852</v>
      </c>
      <c r="BH49">
        <v>9</v>
      </c>
      <c r="BI49">
        <v>8866.7999999999993</v>
      </c>
      <c r="BJ49">
        <v>8</v>
      </c>
      <c r="BK49">
        <v>7881.5999999999995</v>
      </c>
      <c r="BL49">
        <v>6</v>
      </c>
      <c r="BM49">
        <v>5911.2</v>
      </c>
      <c r="BN49">
        <v>8.2606954753871591</v>
      </c>
      <c r="BO49">
        <v>8138.4371823514284</v>
      </c>
      <c r="BP49">
        <v>6.8316263856387325</v>
      </c>
      <c r="BQ49">
        <v>6730.5183151312785</v>
      </c>
      <c r="BR49">
        <v>9</v>
      </c>
      <c r="BS49">
        <v>8866.7999999999993</v>
      </c>
      <c r="BT49">
        <v>4.3845318898561878</v>
      </c>
      <c r="BU49">
        <v>4319.6408178863157</v>
      </c>
      <c r="BV49">
        <v>7</v>
      </c>
      <c r="BW49">
        <v>6896.4</v>
      </c>
      <c r="BX49">
        <v>4.5775515583859265</v>
      </c>
      <c r="BY49">
        <v>4509.8037953218145</v>
      </c>
      <c r="BZ49">
        <v>11</v>
      </c>
      <c r="CA49">
        <v>10837.199999999999</v>
      </c>
      <c r="CB49">
        <v>4.5236120041197125</v>
      </c>
      <c r="CC49">
        <v>4456.6625464587405</v>
      </c>
      <c r="CD49">
        <v>7</v>
      </c>
      <c r="CE49">
        <v>6896.4</v>
      </c>
      <c r="CF49">
        <v>8</v>
      </c>
      <c r="CG49">
        <v>7881.5999999999995</v>
      </c>
      <c r="CH49">
        <v>11.171187250758354</v>
      </c>
      <c r="CI49">
        <v>11005.853679447129</v>
      </c>
      <c r="CJ49">
        <v>4.8745176833791932</v>
      </c>
      <c r="CK49">
        <v>4802.3748216651811</v>
      </c>
      <c r="CL49">
        <v>3.8045705169478508</v>
      </c>
      <c r="CM49">
        <v>3748.2628732970225</v>
      </c>
      <c r="CN49">
        <v>8.0141310852069605</v>
      </c>
      <c r="CO49">
        <v>7895.521945145897</v>
      </c>
      <c r="CP49">
        <v>6.8294128650611752</v>
      </c>
      <c r="CQ49">
        <v>6728.3375546582693</v>
      </c>
      <c r="CR49">
        <v>6.3576446467535073</v>
      </c>
      <c r="CS49">
        <v>6263.5515059815552</v>
      </c>
      <c r="CT49">
        <v>10</v>
      </c>
      <c r="CU49">
        <v>9852</v>
      </c>
    </row>
    <row r="50" spans="2:99" x14ac:dyDescent="0.2">
      <c r="C50" s="105" t="s">
        <v>216</v>
      </c>
      <c r="D50">
        <v>10</v>
      </c>
      <c r="E50">
        <v>2820</v>
      </c>
      <c r="F50">
        <v>12</v>
      </c>
      <c r="G50">
        <v>3384</v>
      </c>
      <c r="H50">
        <v>8</v>
      </c>
      <c r="I50">
        <v>2256</v>
      </c>
      <c r="J50">
        <v>10</v>
      </c>
      <c r="K50">
        <v>2820</v>
      </c>
      <c r="L50">
        <v>11</v>
      </c>
      <c r="M50">
        <v>3102</v>
      </c>
      <c r="N50">
        <v>6</v>
      </c>
      <c r="O50">
        <v>1692</v>
      </c>
      <c r="P50">
        <v>7</v>
      </c>
      <c r="Q50">
        <v>1974</v>
      </c>
      <c r="R50">
        <v>10</v>
      </c>
      <c r="S50">
        <v>2820</v>
      </c>
      <c r="T50">
        <v>12</v>
      </c>
      <c r="U50">
        <v>3384</v>
      </c>
      <c r="V50">
        <v>7</v>
      </c>
      <c r="W50">
        <v>1974</v>
      </c>
      <c r="X50">
        <v>10</v>
      </c>
      <c r="Y50">
        <v>2820</v>
      </c>
      <c r="Z50">
        <v>8</v>
      </c>
      <c r="AA50">
        <v>2256</v>
      </c>
      <c r="AB50">
        <v>7</v>
      </c>
      <c r="AC50">
        <v>1974</v>
      </c>
      <c r="AD50">
        <v>10</v>
      </c>
      <c r="AE50">
        <v>2820</v>
      </c>
      <c r="AF50">
        <v>6</v>
      </c>
      <c r="AG50">
        <v>1692</v>
      </c>
      <c r="AH50">
        <v>9</v>
      </c>
      <c r="AI50">
        <v>2538</v>
      </c>
      <c r="AJ50">
        <v>10</v>
      </c>
      <c r="AK50">
        <v>2820</v>
      </c>
      <c r="AL50">
        <v>8</v>
      </c>
      <c r="AM50">
        <v>2256</v>
      </c>
      <c r="AN50">
        <v>9</v>
      </c>
      <c r="AO50">
        <v>2538</v>
      </c>
      <c r="AP50">
        <v>6</v>
      </c>
      <c r="AQ50">
        <v>1692</v>
      </c>
      <c r="AR50">
        <v>8</v>
      </c>
      <c r="AS50">
        <v>2256</v>
      </c>
      <c r="AT50">
        <v>7</v>
      </c>
      <c r="AU50">
        <v>1974</v>
      </c>
      <c r="AV50">
        <v>10</v>
      </c>
      <c r="AW50">
        <v>2820</v>
      </c>
      <c r="AX50">
        <v>10</v>
      </c>
      <c r="AY50">
        <v>2820</v>
      </c>
      <c r="AZ50">
        <v>9</v>
      </c>
      <c r="BA50">
        <v>2538</v>
      </c>
      <c r="BB50">
        <v>9</v>
      </c>
      <c r="BC50">
        <v>2538</v>
      </c>
      <c r="BD50">
        <v>12</v>
      </c>
      <c r="BE50">
        <v>3384</v>
      </c>
      <c r="BF50">
        <v>11</v>
      </c>
      <c r="BG50">
        <v>3102</v>
      </c>
      <c r="BH50">
        <v>10</v>
      </c>
      <c r="BI50">
        <v>2820</v>
      </c>
      <c r="BJ50">
        <v>10</v>
      </c>
      <c r="BK50">
        <v>2820</v>
      </c>
      <c r="BL50">
        <v>7</v>
      </c>
      <c r="BM50">
        <v>1974</v>
      </c>
      <c r="BN50">
        <v>12</v>
      </c>
      <c r="BO50">
        <v>3384</v>
      </c>
      <c r="BP50">
        <v>9</v>
      </c>
      <c r="BQ50">
        <v>2538</v>
      </c>
      <c r="BR50">
        <v>11</v>
      </c>
      <c r="BS50">
        <v>3102</v>
      </c>
      <c r="BT50">
        <v>7</v>
      </c>
      <c r="BU50">
        <v>1974</v>
      </c>
      <c r="BV50">
        <v>7</v>
      </c>
      <c r="BW50">
        <v>1974</v>
      </c>
      <c r="BX50">
        <v>8</v>
      </c>
      <c r="BY50">
        <v>2256</v>
      </c>
      <c r="BZ50">
        <v>10</v>
      </c>
      <c r="CA50">
        <v>2820</v>
      </c>
      <c r="CB50">
        <v>8</v>
      </c>
      <c r="CC50">
        <v>2256</v>
      </c>
      <c r="CD50">
        <v>8</v>
      </c>
      <c r="CE50">
        <v>2256</v>
      </c>
      <c r="CF50">
        <v>9</v>
      </c>
      <c r="CG50">
        <v>2538</v>
      </c>
      <c r="CH50">
        <v>12</v>
      </c>
      <c r="CI50">
        <v>3384</v>
      </c>
      <c r="CJ50">
        <v>6</v>
      </c>
      <c r="CK50">
        <v>1692</v>
      </c>
      <c r="CL50">
        <v>7</v>
      </c>
      <c r="CM50">
        <v>1974</v>
      </c>
      <c r="CN50">
        <v>11</v>
      </c>
      <c r="CO50">
        <v>3102</v>
      </c>
      <c r="CP50">
        <v>9</v>
      </c>
      <c r="CQ50">
        <v>2538</v>
      </c>
      <c r="CR50">
        <v>8</v>
      </c>
      <c r="CS50">
        <v>2256</v>
      </c>
      <c r="CT50">
        <v>10</v>
      </c>
      <c r="CU50">
        <v>2820</v>
      </c>
    </row>
    <row r="51" spans="2:99" x14ac:dyDescent="0.2">
      <c r="C51" s="105" t="s">
        <v>217</v>
      </c>
      <c r="D51">
        <v>11</v>
      </c>
      <c r="E51">
        <v>9398.4</v>
      </c>
      <c r="F51">
        <v>12</v>
      </c>
      <c r="G51">
        <v>10252.799999999999</v>
      </c>
      <c r="H51">
        <v>8</v>
      </c>
      <c r="I51">
        <v>6835.2</v>
      </c>
      <c r="J51">
        <v>9</v>
      </c>
      <c r="K51">
        <v>7689.5999999999995</v>
      </c>
      <c r="L51">
        <v>11</v>
      </c>
      <c r="M51">
        <v>9398.4</v>
      </c>
      <c r="N51">
        <v>6</v>
      </c>
      <c r="O51">
        <v>5126.3999999999996</v>
      </c>
      <c r="P51">
        <v>7</v>
      </c>
      <c r="Q51">
        <v>5980.8</v>
      </c>
      <c r="R51">
        <v>10</v>
      </c>
      <c r="S51">
        <v>8544</v>
      </c>
      <c r="T51">
        <v>12</v>
      </c>
      <c r="U51">
        <v>10252.799999999999</v>
      </c>
      <c r="V51">
        <v>7</v>
      </c>
      <c r="W51">
        <v>5980.8</v>
      </c>
      <c r="X51">
        <v>8</v>
      </c>
      <c r="Y51">
        <v>6835.2</v>
      </c>
      <c r="Z51">
        <v>7</v>
      </c>
      <c r="AA51">
        <v>5980.8</v>
      </c>
      <c r="AB51">
        <v>6</v>
      </c>
      <c r="AC51">
        <v>5126.3999999999996</v>
      </c>
      <c r="AD51">
        <v>9</v>
      </c>
      <c r="AE51">
        <v>7689.5999999999995</v>
      </c>
      <c r="AF51">
        <v>6</v>
      </c>
      <c r="AG51">
        <v>5126.3999999999996</v>
      </c>
      <c r="AH51">
        <v>9</v>
      </c>
      <c r="AI51">
        <v>7689.5999999999995</v>
      </c>
      <c r="AJ51">
        <v>9</v>
      </c>
      <c r="AK51">
        <v>7689.5999999999995</v>
      </c>
      <c r="AL51">
        <v>7</v>
      </c>
      <c r="AM51">
        <v>5980.8</v>
      </c>
      <c r="AN51">
        <v>8</v>
      </c>
      <c r="AO51">
        <v>6835.2</v>
      </c>
      <c r="AP51">
        <v>7</v>
      </c>
      <c r="AQ51">
        <v>5980.8</v>
      </c>
      <c r="AR51">
        <v>7</v>
      </c>
      <c r="AS51">
        <v>5980.8</v>
      </c>
      <c r="AT51">
        <v>7</v>
      </c>
      <c r="AU51">
        <v>5980.8</v>
      </c>
      <c r="AV51">
        <v>9</v>
      </c>
      <c r="AW51">
        <v>7689.5999999999995</v>
      </c>
      <c r="AX51">
        <v>9</v>
      </c>
      <c r="AY51">
        <v>7689.5999999999995</v>
      </c>
      <c r="AZ51">
        <v>9</v>
      </c>
      <c r="BA51">
        <v>7689.5999999999995</v>
      </c>
      <c r="BB51">
        <v>8</v>
      </c>
      <c r="BC51">
        <v>6835.2</v>
      </c>
      <c r="BD51">
        <v>12</v>
      </c>
      <c r="BE51">
        <v>10252.799999999999</v>
      </c>
      <c r="BF51">
        <v>10</v>
      </c>
      <c r="BG51">
        <v>8544</v>
      </c>
      <c r="BH51">
        <v>9</v>
      </c>
      <c r="BI51">
        <v>7689.5999999999995</v>
      </c>
      <c r="BJ51">
        <v>8</v>
      </c>
      <c r="BK51">
        <v>6835.2</v>
      </c>
      <c r="BL51">
        <v>7</v>
      </c>
      <c r="BM51">
        <v>5980.8</v>
      </c>
      <c r="BN51">
        <v>12</v>
      </c>
      <c r="BO51">
        <v>10252.799999999999</v>
      </c>
      <c r="BP51">
        <v>10</v>
      </c>
      <c r="BQ51">
        <v>8544</v>
      </c>
      <c r="BR51">
        <v>10</v>
      </c>
      <c r="BS51">
        <v>8544</v>
      </c>
      <c r="BT51">
        <v>6</v>
      </c>
      <c r="BU51">
        <v>5126.3999999999996</v>
      </c>
      <c r="BV51">
        <v>6</v>
      </c>
      <c r="BW51">
        <v>5126.3999999999996</v>
      </c>
      <c r="BX51">
        <v>9</v>
      </c>
      <c r="BY51">
        <v>7689.5999999999995</v>
      </c>
      <c r="BZ51">
        <v>10</v>
      </c>
      <c r="CA51">
        <v>8544</v>
      </c>
      <c r="CB51">
        <v>7</v>
      </c>
      <c r="CC51">
        <v>5980.8</v>
      </c>
      <c r="CD51">
        <v>7</v>
      </c>
      <c r="CE51">
        <v>5980.8</v>
      </c>
      <c r="CF51">
        <v>9</v>
      </c>
      <c r="CG51">
        <v>7689.5999999999995</v>
      </c>
      <c r="CH51">
        <v>11</v>
      </c>
      <c r="CI51">
        <v>9398.4</v>
      </c>
      <c r="CJ51">
        <v>6</v>
      </c>
      <c r="CK51">
        <v>5126.3999999999996</v>
      </c>
      <c r="CL51">
        <v>7</v>
      </c>
      <c r="CM51">
        <v>5980.8</v>
      </c>
      <c r="CN51">
        <v>10</v>
      </c>
      <c r="CO51">
        <v>8544</v>
      </c>
      <c r="CP51">
        <v>8</v>
      </c>
      <c r="CQ51">
        <v>6835.2</v>
      </c>
      <c r="CR51">
        <v>8</v>
      </c>
      <c r="CS51">
        <v>6835.2</v>
      </c>
      <c r="CT51">
        <v>10</v>
      </c>
      <c r="CU51">
        <v>8544</v>
      </c>
    </row>
    <row r="52" spans="2:99" x14ac:dyDescent="0.2">
      <c r="C52" s="105" t="s">
        <v>218</v>
      </c>
      <c r="D52">
        <v>12</v>
      </c>
      <c r="E52">
        <v>6480</v>
      </c>
      <c r="F52">
        <v>11</v>
      </c>
      <c r="G52">
        <v>5940</v>
      </c>
      <c r="H52">
        <v>8</v>
      </c>
      <c r="I52">
        <v>4320</v>
      </c>
      <c r="J52">
        <v>9</v>
      </c>
      <c r="K52">
        <v>4860</v>
      </c>
      <c r="L52">
        <v>10</v>
      </c>
      <c r="M52">
        <v>5400</v>
      </c>
      <c r="N52">
        <v>6</v>
      </c>
      <c r="O52">
        <v>3240</v>
      </c>
      <c r="P52">
        <v>6</v>
      </c>
      <c r="Q52">
        <v>3240</v>
      </c>
      <c r="R52">
        <v>10</v>
      </c>
      <c r="S52">
        <v>5400</v>
      </c>
      <c r="T52">
        <v>12</v>
      </c>
      <c r="U52">
        <v>6480</v>
      </c>
      <c r="V52">
        <v>6</v>
      </c>
      <c r="W52">
        <v>3240</v>
      </c>
      <c r="X52">
        <v>9</v>
      </c>
      <c r="Y52">
        <v>4860</v>
      </c>
      <c r="Z52">
        <v>7</v>
      </c>
      <c r="AA52">
        <v>3780</v>
      </c>
      <c r="AB52">
        <v>6</v>
      </c>
      <c r="AC52">
        <v>3240</v>
      </c>
      <c r="AD52">
        <v>9</v>
      </c>
      <c r="AE52">
        <v>4860</v>
      </c>
      <c r="AF52">
        <v>6</v>
      </c>
      <c r="AG52">
        <v>3240</v>
      </c>
      <c r="AH52">
        <v>9</v>
      </c>
      <c r="AI52">
        <v>4860</v>
      </c>
      <c r="AJ52">
        <v>8</v>
      </c>
      <c r="AK52">
        <v>4320</v>
      </c>
      <c r="AL52">
        <v>8</v>
      </c>
      <c r="AM52">
        <v>4320</v>
      </c>
      <c r="AN52">
        <v>9</v>
      </c>
      <c r="AO52">
        <v>4860</v>
      </c>
      <c r="AP52">
        <v>7</v>
      </c>
      <c r="AQ52">
        <v>3780</v>
      </c>
      <c r="AR52">
        <v>8</v>
      </c>
      <c r="AS52">
        <v>4320</v>
      </c>
      <c r="AT52">
        <v>7</v>
      </c>
      <c r="AU52">
        <v>3780</v>
      </c>
      <c r="AV52">
        <v>9</v>
      </c>
      <c r="AW52">
        <v>4860</v>
      </c>
      <c r="AX52">
        <v>10</v>
      </c>
      <c r="AY52">
        <v>5400</v>
      </c>
      <c r="AZ52">
        <v>9</v>
      </c>
      <c r="BA52">
        <v>4860</v>
      </c>
      <c r="BB52">
        <v>8</v>
      </c>
      <c r="BC52">
        <v>4320</v>
      </c>
      <c r="BD52">
        <v>12</v>
      </c>
      <c r="BE52">
        <v>6480</v>
      </c>
      <c r="BF52">
        <v>10</v>
      </c>
      <c r="BG52">
        <v>5400</v>
      </c>
      <c r="BH52">
        <v>10</v>
      </c>
      <c r="BI52">
        <v>5400</v>
      </c>
      <c r="BJ52">
        <v>8</v>
      </c>
      <c r="BK52">
        <v>4320</v>
      </c>
      <c r="BL52">
        <v>6</v>
      </c>
      <c r="BM52">
        <v>3240</v>
      </c>
      <c r="BN52">
        <v>11</v>
      </c>
      <c r="BO52">
        <v>5940</v>
      </c>
      <c r="BP52">
        <v>9</v>
      </c>
      <c r="BQ52">
        <v>4860</v>
      </c>
      <c r="BR52">
        <v>10</v>
      </c>
      <c r="BS52">
        <v>5400</v>
      </c>
      <c r="BT52">
        <v>6</v>
      </c>
      <c r="BU52">
        <v>3240</v>
      </c>
      <c r="BV52">
        <v>7</v>
      </c>
      <c r="BW52">
        <v>3780</v>
      </c>
      <c r="BX52">
        <v>8</v>
      </c>
      <c r="BY52">
        <v>4320</v>
      </c>
      <c r="BZ52">
        <v>10</v>
      </c>
      <c r="CA52">
        <v>5400</v>
      </c>
      <c r="CB52">
        <v>8</v>
      </c>
      <c r="CC52">
        <v>4320</v>
      </c>
      <c r="CD52">
        <v>8</v>
      </c>
      <c r="CE52">
        <v>4320</v>
      </c>
      <c r="CF52">
        <v>8</v>
      </c>
      <c r="CG52">
        <v>4320</v>
      </c>
      <c r="CH52">
        <v>11</v>
      </c>
      <c r="CI52">
        <v>5940</v>
      </c>
      <c r="CJ52">
        <v>6</v>
      </c>
      <c r="CK52">
        <v>3240</v>
      </c>
      <c r="CL52">
        <v>8</v>
      </c>
      <c r="CM52">
        <v>4320</v>
      </c>
      <c r="CN52">
        <v>11</v>
      </c>
      <c r="CO52">
        <v>5940</v>
      </c>
      <c r="CP52">
        <v>9</v>
      </c>
      <c r="CQ52">
        <v>4860</v>
      </c>
      <c r="CR52">
        <v>9</v>
      </c>
      <c r="CS52">
        <v>4860</v>
      </c>
      <c r="CT52">
        <v>11</v>
      </c>
      <c r="CU52">
        <v>5940</v>
      </c>
    </row>
    <row r="53" spans="2:99" x14ac:dyDescent="0.2">
      <c r="C53" s="105" t="s">
        <v>219</v>
      </c>
      <c r="D53">
        <v>10</v>
      </c>
      <c r="E53">
        <v>4068</v>
      </c>
      <c r="F53">
        <v>13</v>
      </c>
      <c r="G53">
        <v>5288.4000000000005</v>
      </c>
      <c r="H53">
        <v>9</v>
      </c>
      <c r="I53">
        <v>3661.2000000000003</v>
      </c>
      <c r="J53">
        <v>10</v>
      </c>
      <c r="K53">
        <v>4068</v>
      </c>
      <c r="L53">
        <v>10</v>
      </c>
      <c r="M53">
        <v>4068</v>
      </c>
      <c r="N53">
        <v>7</v>
      </c>
      <c r="O53">
        <v>2847.6</v>
      </c>
      <c r="P53">
        <v>6</v>
      </c>
      <c r="Q53">
        <v>2440.8000000000002</v>
      </c>
      <c r="R53">
        <v>12</v>
      </c>
      <c r="S53">
        <v>4881.6000000000004</v>
      </c>
      <c r="T53">
        <v>10</v>
      </c>
      <c r="U53">
        <v>4068</v>
      </c>
      <c r="V53">
        <v>8</v>
      </c>
      <c r="W53">
        <v>3254.4</v>
      </c>
      <c r="X53">
        <v>9</v>
      </c>
      <c r="Y53">
        <v>3661.2000000000003</v>
      </c>
      <c r="Z53">
        <v>7</v>
      </c>
      <c r="AA53">
        <v>2847.6</v>
      </c>
      <c r="AB53">
        <v>6</v>
      </c>
      <c r="AC53">
        <v>2440.8000000000002</v>
      </c>
      <c r="AD53">
        <v>9</v>
      </c>
      <c r="AE53">
        <v>3661.2000000000003</v>
      </c>
      <c r="AF53">
        <v>7</v>
      </c>
      <c r="AG53">
        <v>2847.6</v>
      </c>
      <c r="AH53">
        <v>9</v>
      </c>
      <c r="AI53">
        <v>3661.2000000000003</v>
      </c>
      <c r="AJ53">
        <v>9</v>
      </c>
      <c r="AK53">
        <v>3661.2000000000003</v>
      </c>
      <c r="AL53">
        <v>8</v>
      </c>
      <c r="AM53">
        <v>3254.4</v>
      </c>
      <c r="AN53">
        <v>8</v>
      </c>
      <c r="AO53">
        <v>3254.4</v>
      </c>
      <c r="AP53">
        <v>7</v>
      </c>
      <c r="AQ53">
        <v>2847.6</v>
      </c>
      <c r="AR53">
        <v>8</v>
      </c>
      <c r="AS53">
        <v>3254.4</v>
      </c>
      <c r="AT53">
        <v>7</v>
      </c>
      <c r="AU53">
        <v>2847.6</v>
      </c>
      <c r="AV53">
        <v>10</v>
      </c>
      <c r="AW53">
        <v>4068</v>
      </c>
      <c r="AX53">
        <v>10</v>
      </c>
      <c r="AY53">
        <v>4068</v>
      </c>
      <c r="AZ53">
        <v>9</v>
      </c>
      <c r="BA53">
        <v>3661.2000000000003</v>
      </c>
      <c r="BB53">
        <v>8</v>
      </c>
      <c r="BC53">
        <v>3254.4</v>
      </c>
      <c r="BD53">
        <v>11</v>
      </c>
      <c r="BE53">
        <v>4474.8</v>
      </c>
      <c r="BF53">
        <v>10</v>
      </c>
      <c r="BG53">
        <v>4068</v>
      </c>
      <c r="BH53">
        <v>9</v>
      </c>
      <c r="BI53">
        <v>3661.2000000000003</v>
      </c>
      <c r="BJ53">
        <v>9</v>
      </c>
      <c r="BK53">
        <v>3661.2000000000003</v>
      </c>
      <c r="BL53">
        <v>7</v>
      </c>
      <c r="BM53">
        <v>2847.6</v>
      </c>
      <c r="BN53">
        <v>12</v>
      </c>
      <c r="BO53">
        <v>4881.6000000000004</v>
      </c>
      <c r="BP53">
        <v>9</v>
      </c>
      <c r="BQ53">
        <v>3661.2000000000003</v>
      </c>
      <c r="BR53">
        <v>9</v>
      </c>
      <c r="BS53">
        <v>3661.2000000000003</v>
      </c>
      <c r="BT53">
        <v>6</v>
      </c>
      <c r="BU53">
        <v>2440.8000000000002</v>
      </c>
      <c r="BV53">
        <v>6</v>
      </c>
      <c r="BW53">
        <v>2440.8000000000002</v>
      </c>
      <c r="BX53">
        <v>9</v>
      </c>
      <c r="BY53">
        <v>3661.2000000000003</v>
      </c>
      <c r="BZ53">
        <v>11</v>
      </c>
      <c r="CA53">
        <v>4474.8</v>
      </c>
      <c r="CB53">
        <v>8</v>
      </c>
      <c r="CC53">
        <v>3254.4</v>
      </c>
      <c r="CD53">
        <v>8</v>
      </c>
      <c r="CE53">
        <v>3254.4</v>
      </c>
      <c r="CF53">
        <v>8</v>
      </c>
      <c r="CG53">
        <v>3254.4</v>
      </c>
      <c r="CH53">
        <v>12</v>
      </c>
      <c r="CI53">
        <v>4881.6000000000004</v>
      </c>
      <c r="CJ53">
        <v>6</v>
      </c>
      <c r="CK53">
        <v>2440.8000000000002</v>
      </c>
      <c r="CL53">
        <v>8</v>
      </c>
      <c r="CM53">
        <v>3254.4</v>
      </c>
      <c r="CN53">
        <v>11</v>
      </c>
      <c r="CO53">
        <v>4474.8</v>
      </c>
      <c r="CP53">
        <v>9</v>
      </c>
      <c r="CQ53">
        <v>3661.2000000000003</v>
      </c>
      <c r="CR53">
        <v>8</v>
      </c>
      <c r="CS53">
        <v>3254.4</v>
      </c>
      <c r="CT53">
        <v>11</v>
      </c>
      <c r="CU53">
        <v>4474.8</v>
      </c>
    </row>
    <row r="54" spans="2:99" x14ac:dyDescent="0.2">
      <c r="C54" s="105" t="s">
        <v>220</v>
      </c>
      <c r="D54">
        <v>12</v>
      </c>
      <c r="E54">
        <v>4017.6000000000004</v>
      </c>
      <c r="F54">
        <v>12</v>
      </c>
      <c r="G54">
        <v>4017.6000000000004</v>
      </c>
      <c r="H54">
        <v>9</v>
      </c>
      <c r="I54">
        <v>3013.2000000000003</v>
      </c>
      <c r="J54">
        <v>9</v>
      </c>
      <c r="K54">
        <v>3013.2000000000003</v>
      </c>
      <c r="L54">
        <v>11</v>
      </c>
      <c r="M54">
        <v>3682.8</v>
      </c>
      <c r="N54">
        <v>7</v>
      </c>
      <c r="O54">
        <v>2343.6</v>
      </c>
      <c r="P54">
        <v>6</v>
      </c>
      <c r="Q54">
        <v>2008.8000000000002</v>
      </c>
      <c r="R54">
        <v>10</v>
      </c>
      <c r="S54">
        <v>3348</v>
      </c>
      <c r="T54">
        <v>12</v>
      </c>
      <c r="U54">
        <v>4017.6000000000004</v>
      </c>
      <c r="V54">
        <v>8</v>
      </c>
      <c r="W54">
        <v>2678.4</v>
      </c>
      <c r="X54">
        <v>10</v>
      </c>
      <c r="Y54">
        <v>3348</v>
      </c>
      <c r="Z54">
        <v>8</v>
      </c>
      <c r="AA54">
        <v>2678.4</v>
      </c>
      <c r="AB54">
        <v>7</v>
      </c>
      <c r="AC54">
        <v>2343.6</v>
      </c>
      <c r="AD54">
        <v>10</v>
      </c>
      <c r="AE54">
        <v>3348</v>
      </c>
      <c r="AF54">
        <v>6</v>
      </c>
      <c r="AG54">
        <v>2008.8000000000002</v>
      </c>
      <c r="AH54">
        <v>10</v>
      </c>
      <c r="AI54">
        <v>3348</v>
      </c>
      <c r="AJ54">
        <v>10</v>
      </c>
      <c r="AK54">
        <v>3348</v>
      </c>
      <c r="AL54">
        <v>8</v>
      </c>
      <c r="AM54">
        <v>2678.4</v>
      </c>
      <c r="AN54">
        <v>9</v>
      </c>
      <c r="AO54">
        <v>3013.2000000000003</v>
      </c>
      <c r="AP54">
        <v>7</v>
      </c>
      <c r="AQ54">
        <v>2343.6</v>
      </c>
      <c r="AR54">
        <v>8</v>
      </c>
      <c r="AS54">
        <v>2678.4</v>
      </c>
      <c r="AT54">
        <v>7</v>
      </c>
      <c r="AU54">
        <v>2343.6</v>
      </c>
      <c r="AV54">
        <v>9</v>
      </c>
      <c r="AW54">
        <v>3013.2000000000003</v>
      </c>
      <c r="AX54">
        <v>10</v>
      </c>
      <c r="AY54">
        <v>3348</v>
      </c>
      <c r="AZ54">
        <v>9</v>
      </c>
      <c r="BA54">
        <v>3013.2000000000003</v>
      </c>
      <c r="BB54">
        <v>8</v>
      </c>
      <c r="BC54">
        <v>2678.4</v>
      </c>
      <c r="BD54">
        <v>12</v>
      </c>
      <c r="BE54">
        <v>4017.6000000000004</v>
      </c>
      <c r="BF54">
        <v>12</v>
      </c>
      <c r="BG54">
        <v>4017.6000000000004</v>
      </c>
      <c r="BH54">
        <v>10</v>
      </c>
      <c r="BI54">
        <v>3348</v>
      </c>
      <c r="BJ54">
        <v>8</v>
      </c>
      <c r="BK54">
        <v>2678.4</v>
      </c>
      <c r="BL54">
        <v>6</v>
      </c>
      <c r="BM54">
        <v>2008.8000000000002</v>
      </c>
      <c r="BN54">
        <v>11</v>
      </c>
      <c r="BO54">
        <v>3682.8</v>
      </c>
      <c r="BP54">
        <v>10</v>
      </c>
      <c r="BQ54">
        <v>3348</v>
      </c>
      <c r="BR54">
        <v>10</v>
      </c>
      <c r="BS54">
        <v>3348</v>
      </c>
      <c r="BT54">
        <v>6</v>
      </c>
      <c r="BU54">
        <v>2008.8000000000002</v>
      </c>
      <c r="BV54">
        <v>7</v>
      </c>
      <c r="BW54">
        <v>2343.6</v>
      </c>
      <c r="BX54">
        <v>9</v>
      </c>
      <c r="BY54">
        <v>3013.2000000000003</v>
      </c>
      <c r="BZ54">
        <v>10</v>
      </c>
      <c r="CA54">
        <v>3348</v>
      </c>
      <c r="CB54">
        <v>7</v>
      </c>
      <c r="CC54">
        <v>2343.6</v>
      </c>
      <c r="CD54">
        <v>8</v>
      </c>
      <c r="CE54">
        <v>2678.4</v>
      </c>
      <c r="CF54">
        <v>8</v>
      </c>
      <c r="CG54">
        <v>2678.4</v>
      </c>
      <c r="CH54">
        <v>12</v>
      </c>
      <c r="CI54">
        <v>4017.6000000000004</v>
      </c>
      <c r="CJ54">
        <v>7</v>
      </c>
      <c r="CK54">
        <v>2343.6</v>
      </c>
      <c r="CL54">
        <v>7</v>
      </c>
      <c r="CM54">
        <v>2343.6</v>
      </c>
      <c r="CN54">
        <v>10</v>
      </c>
      <c r="CO54">
        <v>3348</v>
      </c>
      <c r="CP54">
        <v>9</v>
      </c>
      <c r="CQ54">
        <v>3013.2000000000003</v>
      </c>
      <c r="CR54">
        <v>10</v>
      </c>
      <c r="CS54">
        <v>3348</v>
      </c>
      <c r="CT54">
        <v>10</v>
      </c>
      <c r="CU54">
        <v>3348</v>
      </c>
    </row>
    <row r="55" spans="2:99" x14ac:dyDescent="0.2">
      <c r="C55" s="105" t="s">
        <v>221</v>
      </c>
      <c r="D55">
        <v>11</v>
      </c>
      <c r="E55">
        <v>7299.6</v>
      </c>
      <c r="F55">
        <v>11</v>
      </c>
      <c r="G55">
        <v>7299.6</v>
      </c>
      <c r="H55">
        <v>9</v>
      </c>
      <c r="I55">
        <v>5972.4000000000005</v>
      </c>
      <c r="J55">
        <v>9</v>
      </c>
      <c r="K55">
        <v>5972.4000000000005</v>
      </c>
      <c r="L55">
        <v>11</v>
      </c>
      <c r="M55">
        <v>7299.6</v>
      </c>
      <c r="N55">
        <v>7</v>
      </c>
      <c r="O55">
        <v>4645.2</v>
      </c>
      <c r="P55">
        <v>6</v>
      </c>
      <c r="Q55">
        <v>3981.6000000000004</v>
      </c>
      <c r="R55">
        <v>11</v>
      </c>
      <c r="S55">
        <v>7299.6</v>
      </c>
      <c r="T55">
        <v>12</v>
      </c>
      <c r="U55">
        <v>7963.2000000000007</v>
      </c>
      <c r="V55">
        <v>7</v>
      </c>
      <c r="W55">
        <v>4645.2</v>
      </c>
      <c r="X55">
        <v>8</v>
      </c>
      <c r="Y55">
        <v>5308.8</v>
      </c>
      <c r="Z55">
        <v>7</v>
      </c>
      <c r="AA55">
        <v>4645.2</v>
      </c>
      <c r="AB55">
        <v>6</v>
      </c>
      <c r="AC55">
        <v>3981.6000000000004</v>
      </c>
      <c r="AD55">
        <v>10</v>
      </c>
      <c r="AE55">
        <v>6636</v>
      </c>
      <c r="AF55">
        <v>6</v>
      </c>
      <c r="AG55">
        <v>3981.6000000000004</v>
      </c>
      <c r="AH55">
        <v>10</v>
      </c>
      <c r="AI55">
        <v>6636</v>
      </c>
      <c r="AJ55">
        <v>8</v>
      </c>
      <c r="AK55">
        <v>5308.8</v>
      </c>
      <c r="AL55">
        <v>7</v>
      </c>
      <c r="AM55">
        <v>4645.2</v>
      </c>
      <c r="AN55">
        <v>9</v>
      </c>
      <c r="AO55">
        <v>5972.4000000000005</v>
      </c>
      <c r="AP55">
        <v>6</v>
      </c>
      <c r="AQ55">
        <v>3981.6000000000004</v>
      </c>
      <c r="AR55">
        <v>8</v>
      </c>
      <c r="AS55">
        <v>5308.8</v>
      </c>
      <c r="AT55">
        <v>8</v>
      </c>
      <c r="AU55">
        <v>5308.8</v>
      </c>
      <c r="AV55">
        <v>10</v>
      </c>
      <c r="AW55">
        <v>6636</v>
      </c>
      <c r="AX55">
        <v>10</v>
      </c>
      <c r="AY55">
        <v>6636</v>
      </c>
      <c r="AZ55">
        <v>9</v>
      </c>
      <c r="BA55">
        <v>5972.4000000000005</v>
      </c>
      <c r="BB55">
        <v>8</v>
      </c>
      <c r="BC55">
        <v>5308.8</v>
      </c>
      <c r="BD55">
        <v>12</v>
      </c>
      <c r="BE55">
        <v>7963.2000000000007</v>
      </c>
      <c r="BF55">
        <v>10</v>
      </c>
      <c r="BG55">
        <v>6636</v>
      </c>
      <c r="BH55">
        <v>10</v>
      </c>
      <c r="BI55">
        <v>6636</v>
      </c>
      <c r="BJ55">
        <v>9</v>
      </c>
      <c r="BK55">
        <v>5972.4000000000005</v>
      </c>
      <c r="BL55">
        <v>6</v>
      </c>
      <c r="BM55">
        <v>3981.6000000000004</v>
      </c>
      <c r="BN55">
        <v>11</v>
      </c>
      <c r="BO55">
        <v>7299.6</v>
      </c>
      <c r="BP55">
        <v>8</v>
      </c>
      <c r="BQ55">
        <v>5308.8</v>
      </c>
      <c r="BR55">
        <v>9</v>
      </c>
      <c r="BS55">
        <v>5972.4000000000005</v>
      </c>
      <c r="BT55">
        <v>6</v>
      </c>
      <c r="BU55">
        <v>3981.6000000000004</v>
      </c>
      <c r="BV55">
        <v>7</v>
      </c>
      <c r="BW55">
        <v>4645.2</v>
      </c>
      <c r="BX55">
        <v>8</v>
      </c>
      <c r="BY55">
        <v>5308.8</v>
      </c>
      <c r="BZ55">
        <v>10</v>
      </c>
      <c r="CA55">
        <v>6636</v>
      </c>
      <c r="CB55">
        <v>8</v>
      </c>
      <c r="CC55">
        <v>5308.8</v>
      </c>
      <c r="CD55">
        <v>8</v>
      </c>
      <c r="CE55">
        <v>5308.8</v>
      </c>
      <c r="CF55">
        <v>8</v>
      </c>
      <c r="CG55">
        <v>5308.8</v>
      </c>
      <c r="CH55">
        <v>12</v>
      </c>
      <c r="CI55">
        <v>7963.2000000000007</v>
      </c>
      <c r="CJ55">
        <v>6</v>
      </c>
      <c r="CK55">
        <v>3981.6000000000004</v>
      </c>
      <c r="CL55">
        <v>7</v>
      </c>
      <c r="CM55">
        <v>4645.2</v>
      </c>
      <c r="CN55">
        <v>10</v>
      </c>
      <c r="CO55">
        <v>6636</v>
      </c>
      <c r="CP55">
        <v>10</v>
      </c>
      <c r="CQ55">
        <v>6636</v>
      </c>
      <c r="CR55">
        <v>8</v>
      </c>
      <c r="CS55">
        <v>5308.8</v>
      </c>
      <c r="CT55">
        <v>10</v>
      </c>
      <c r="CU55">
        <v>6636</v>
      </c>
    </row>
    <row r="56" spans="2:99" x14ac:dyDescent="0.2">
      <c r="C56" s="105" t="s">
        <v>222</v>
      </c>
      <c r="D56">
        <v>11</v>
      </c>
      <c r="E56">
        <v>12658.8</v>
      </c>
      <c r="F56">
        <v>12</v>
      </c>
      <c r="G56">
        <v>13809.599999999999</v>
      </c>
      <c r="H56">
        <v>8</v>
      </c>
      <c r="I56">
        <v>9206.4</v>
      </c>
      <c r="J56">
        <v>10</v>
      </c>
      <c r="K56">
        <v>11508</v>
      </c>
      <c r="L56">
        <v>10</v>
      </c>
      <c r="M56">
        <v>11508</v>
      </c>
      <c r="N56">
        <v>6</v>
      </c>
      <c r="O56">
        <v>6904.7999999999993</v>
      </c>
      <c r="P56">
        <v>5</v>
      </c>
      <c r="Q56">
        <v>5754</v>
      </c>
      <c r="R56">
        <v>11</v>
      </c>
      <c r="S56">
        <v>12658.8</v>
      </c>
      <c r="T56">
        <v>11</v>
      </c>
      <c r="U56">
        <v>12658.8</v>
      </c>
      <c r="V56">
        <v>6</v>
      </c>
      <c r="W56">
        <v>6904.7999999999993</v>
      </c>
      <c r="X56">
        <v>10</v>
      </c>
      <c r="Y56">
        <v>11508</v>
      </c>
      <c r="Z56">
        <v>6</v>
      </c>
      <c r="AA56">
        <v>6904.7999999999993</v>
      </c>
      <c r="AB56">
        <v>6</v>
      </c>
      <c r="AC56">
        <v>6904.7999999999993</v>
      </c>
      <c r="AD56">
        <v>9</v>
      </c>
      <c r="AE56">
        <v>10357.199999999999</v>
      </c>
      <c r="AF56">
        <v>6</v>
      </c>
      <c r="AG56">
        <v>6904.7999999999993</v>
      </c>
      <c r="AH56">
        <v>6.0625258727658018</v>
      </c>
      <c r="AI56">
        <v>6976.7547743788846</v>
      </c>
      <c r="AJ56">
        <v>8</v>
      </c>
      <c r="AK56">
        <v>9206.4</v>
      </c>
      <c r="AL56">
        <v>3.3042520798342485</v>
      </c>
      <c r="AM56">
        <v>3802.5332934732533</v>
      </c>
      <c r="AN56">
        <v>9</v>
      </c>
      <c r="AO56">
        <v>10357.199999999999</v>
      </c>
      <c r="AP56">
        <v>5.3971676782306206</v>
      </c>
      <c r="AQ56">
        <v>6211.0605641077982</v>
      </c>
      <c r="AR56">
        <v>5.9092663015903693</v>
      </c>
      <c r="AS56">
        <v>6800.3836598701964</v>
      </c>
      <c r="AT56">
        <v>7</v>
      </c>
      <c r="AU56">
        <v>8055.5999999999995</v>
      </c>
      <c r="AV56">
        <v>6.5424728748713408</v>
      </c>
      <c r="AW56">
        <v>7529.0777844019385</v>
      </c>
      <c r="AX56">
        <v>9</v>
      </c>
      <c r="AY56">
        <v>10357.199999999999</v>
      </c>
      <c r="AZ56">
        <v>8</v>
      </c>
      <c r="BA56">
        <v>9206.4</v>
      </c>
      <c r="BB56">
        <v>8</v>
      </c>
      <c r="BC56">
        <v>9206.4</v>
      </c>
      <c r="BD56">
        <v>11</v>
      </c>
      <c r="BE56">
        <v>12658.8</v>
      </c>
      <c r="BF56">
        <v>10</v>
      </c>
      <c r="BG56">
        <v>11508</v>
      </c>
      <c r="BH56">
        <v>8</v>
      </c>
      <c r="BI56">
        <v>9206.4</v>
      </c>
      <c r="BJ56">
        <v>9</v>
      </c>
      <c r="BK56">
        <v>10357.199999999999</v>
      </c>
      <c r="BL56">
        <v>7</v>
      </c>
      <c r="BM56">
        <v>8055.5999999999995</v>
      </c>
      <c r="BN56">
        <v>7.5097231594428706</v>
      </c>
      <c r="BO56">
        <v>8642.1894118868549</v>
      </c>
      <c r="BP56">
        <v>6.8316263856387325</v>
      </c>
      <c r="BQ56">
        <v>7861.8356445930531</v>
      </c>
      <c r="BR56">
        <v>10</v>
      </c>
      <c r="BS56">
        <v>11508</v>
      </c>
      <c r="BT56">
        <v>4.3845318898561878</v>
      </c>
      <c r="BU56">
        <v>5045.7192988465004</v>
      </c>
      <c r="BV56">
        <v>7</v>
      </c>
      <c r="BW56">
        <v>8055.5999999999995</v>
      </c>
      <c r="BX56">
        <v>4.5775515583859265</v>
      </c>
      <c r="BY56">
        <v>5267.8463333905238</v>
      </c>
      <c r="BZ56">
        <v>10</v>
      </c>
      <c r="CA56">
        <v>11508</v>
      </c>
      <c r="CB56">
        <v>5.1698422904225287</v>
      </c>
      <c r="CC56">
        <v>5949.4545078182455</v>
      </c>
      <c r="CD56">
        <v>7</v>
      </c>
      <c r="CE56">
        <v>8055.5999999999995</v>
      </c>
      <c r="CF56">
        <v>8</v>
      </c>
      <c r="CG56">
        <v>9206.4</v>
      </c>
      <c r="CH56">
        <v>10.311865154546171</v>
      </c>
      <c r="CI56">
        <v>11866.894419851733</v>
      </c>
      <c r="CJ56">
        <v>4.8745176833791932</v>
      </c>
      <c r="CK56">
        <v>5609.5949500327752</v>
      </c>
      <c r="CL56">
        <v>3.8045705169478508</v>
      </c>
      <c r="CM56">
        <v>4378.2997509035868</v>
      </c>
      <c r="CN56">
        <v>8.8155441937276571</v>
      </c>
      <c r="CO56">
        <v>10144.928258141787</v>
      </c>
      <c r="CP56">
        <v>7.5882365167346384</v>
      </c>
      <c r="CQ56">
        <v>8732.542583458222</v>
      </c>
      <c r="CR56">
        <v>6.3576446467535073</v>
      </c>
      <c r="CS56">
        <v>7316.377459483936</v>
      </c>
      <c r="CT56">
        <v>9</v>
      </c>
      <c r="CU56">
        <v>10357.199999999999</v>
      </c>
    </row>
    <row r="57" spans="2:99" x14ac:dyDescent="0.2">
      <c r="C57" s="105" t="s">
        <v>223</v>
      </c>
      <c r="D57">
        <v>10</v>
      </c>
      <c r="E57">
        <v>14112</v>
      </c>
      <c r="F57">
        <v>10</v>
      </c>
      <c r="G57">
        <v>14112</v>
      </c>
      <c r="H57">
        <v>9</v>
      </c>
      <c r="I57">
        <v>12700.800000000001</v>
      </c>
      <c r="J57">
        <v>9</v>
      </c>
      <c r="K57">
        <v>12700.800000000001</v>
      </c>
      <c r="L57">
        <v>9</v>
      </c>
      <c r="M57">
        <v>12700.800000000001</v>
      </c>
      <c r="N57">
        <v>6</v>
      </c>
      <c r="O57">
        <v>8467.2000000000007</v>
      </c>
      <c r="P57">
        <v>6</v>
      </c>
      <c r="Q57">
        <v>8467.2000000000007</v>
      </c>
      <c r="R57">
        <v>10</v>
      </c>
      <c r="S57">
        <v>14112</v>
      </c>
      <c r="T57">
        <v>10</v>
      </c>
      <c r="U57">
        <v>14112</v>
      </c>
      <c r="V57">
        <v>7</v>
      </c>
      <c r="W57">
        <v>9878.4</v>
      </c>
      <c r="X57">
        <v>9</v>
      </c>
      <c r="Y57">
        <v>12700.800000000001</v>
      </c>
      <c r="Z57">
        <v>6</v>
      </c>
      <c r="AA57">
        <v>8467.2000000000007</v>
      </c>
      <c r="AB57">
        <v>5</v>
      </c>
      <c r="AC57">
        <v>7056</v>
      </c>
      <c r="AD57">
        <v>9</v>
      </c>
      <c r="AE57">
        <v>12700.800000000001</v>
      </c>
      <c r="AF57">
        <v>5</v>
      </c>
      <c r="AG57">
        <v>7056</v>
      </c>
      <c r="AH57">
        <v>8</v>
      </c>
      <c r="AI57">
        <v>11289.6</v>
      </c>
      <c r="AJ57">
        <v>8</v>
      </c>
      <c r="AK57">
        <v>11289.6</v>
      </c>
      <c r="AL57">
        <v>8</v>
      </c>
      <c r="AM57">
        <v>11289.6</v>
      </c>
      <c r="AN57">
        <v>7</v>
      </c>
      <c r="AO57">
        <v>9878.4</v>
      </c>
      <c r="AP57">
        <v>7</v>
      </c>
      <c r="AQ57">
        <v>9878.4</v>
      </c>
      <c r="AR57">
        <v>7</v>
      </c>
      <c r="AS57">
        <v>9878.4</v>
      </c>
      <c r="AT57">
        <v>7</v>
      </c>
      <c r="AU57">
        <v>9878.4</v>
      </c>
      <c r="AV57">
        <v>9</v>
      </c>
      <c r="AW57">
        <v>12700.800000000001</v>
      </c>
      <c r="AX57">
        <v>8</v>
      </c>
      <c r="AY57">
        <v>11289.6</v>
      </c>
      <c r="AZ57">
        <v>8</v>
      </c>
      <c r="BA57">
        <v>11289.6</v>
      </c>
      <c r="BB57">
        <v>8</v>
      </c>
      <c r="BC57">
        <v>11289.6</v>
      </c>
      <c r="BD57">
        <v>11</v>
      </c>
      <c r="BE57">
        <v>15523.2</v>
      </c>
      <c r="BF57">
        <v>9</v>
      </c>
      <c r="BG57">
        <v>12700.800000000001</v>
      </c>
      <c r="BH57">
        <v>9</v>
      </c>
      <c r="BI57">
        <v>12700.800000000001</v>
      </c>
      <c r="BJ57">
        <v>8</v>
      </c>
      <c r="BK57">
        <v>11289.6</v>
      </c>
      <c r="BL57">
        <v>6</v>
      </c>
      <c r="BM57">
        <v>8467.2000000000007</v>
      </c>
      <c r="BN57">
        <v>11</v>
      </c>
      <c r="BO57">
        <v>15523.2</v>
      </c>
      <c r="BP57">
        <v>8</v>
      </c>
      <c r="BQ57">
        <v>11289.6</v>
      </c>
      <c r="BR57">
        <v>9</v>
      </c>
      <c r="BS57">
        <v>12700.800000000001</v>
      </c>
      <c r="BT57">
        <v>6</v>
      </c>
      <c r="BU57">
        <v>8467.2000000000007</v>
      </c>
      <c r="BV57">
        <v>7</v>
      </c>
      <c r="BW57">
        <v>9878.4</v>
      </c>
      <c r="BX57">
        <v>8</v>
      </c>
      <c r="BY57">
        <v>11289.6</v>
      </c>
      <c r="BZ57">
        <v>9</v>
      </c>
      <c r="CA57">
        <v>12700.800000000001</v>
      </c>
      <c r="CB57">
        <v>8</v>
      </c>
      <c r="CC57">
        <v>11289.6</v>
      </c>
      <c r="CD57">
        <v>7</v>
      </c>
      <c r="CE57">
        <v>9878.4</v>
      </c>
      <c r="CF57">
        <v>8</v>
      </c>
      <c r="CG57">
        <v>11289.6</v>
      </c>
      <c r="CH57">
        <v>11</v>
      </c>
      <c r="CI57">
        <v>15523.2</v>
      </c>
      <c r="CJ57">
        <v>6</v>
      </c>
      <c r="CK57">
        <v>8467.2000000000007</v>
      </c>
      <c r="CL57">
        <v>6</v>
      </c>
      <c r="CM57">
        <v>8467.2000000000007</v>
      </c>
      <c r="CN57">
        <v>11</v>
      </c>
      <c r="CO57">
        <v>15523.2</v>
      </c>
      <c r="CP57">
        <v>8</v>
      </c>
      <c r="CQ57">
        <v>11289.6</v>
      </c>
      <c r="CR57">
        <v>8</v>
      </c>
      <c r="CS57">
        <v>11289.6</v>
      </c>
      <c r="CT57">
        <v>9</v>
      </c>
      <c r="CU57">
        <v>12700.800000000001</v>
      </c>
    </row>
    <row r="58" spans="2:99" x14ac:dyDescent="0.2">
      <c r="C58" s="105" t="s">
        <v>224</v>
      </c>
      <c r="D58">
        <v>9</v>
      </c>
      <c r="E58">
        <v>10594.800000000001</v>
      </c>
      <c r="F58">
        <v>10</v>
      </c>
      <c r="G58">
        <v>11772</v>
      </c>
      <c r="H58">
        <v>8</v>
      </c>
      <c r="I58">
        <v>9417.6</v>
      </c>
      <c r="J58">
        <v>10</v>
      </c>
      <c r="K58">
        <v>11772</v>
      </c>
      <c r="L58">
        <v>10</v>
      </c>
      <c r="M58">
        <v>11772</v>
      </c>
      <c r="N58">
        <v>6</v>
      </c>
      <c r="O58">
        <v>7063.2000000000007</v>
      </c>
      <c r="P58">
        <v>6</v>
      </c>
      <c r="Q58">
        <v>7063.2000000000007</v>
      </c>
      <c r="R58">
        <v>9</v>
      </c>
      <c r="S58">
        <v>10594.800000000001</v>
      </c>
      <c r="T58">
        <v>12</v>
      </c>
      <c r="U58">
        <v>14126.400000000001</v>
      </c>
      <c r="V58">
        <v>6</v>
      </c>
      <c r="W58">
        <v>7063.2000000000007</v>
      </c>
      <c r="X58">
        <v>9</v>
      </c>
      <c r="Y58">
        <v>10594.800000000001</v>
      </c>
      <c r="Z58">
        <v>7</v>
      </c>
      <c r="AA58">
        <v>8240.4</v>
      </c>
      <c r="AB58">
        <v>6</v>
      </c>
      <c r="AC58">
        <v>7063.2000000000007</v>
      </c>
      <c r="AD58">
        <v>9</v>
      </c>
      <c r="AE58">
        <v>10594.800000000001</v>
      </c>
      <c r="AF58">
        <v>6</v>
      </c>
      <c r="AG58">
        <v>7063.2000000000007</v>
      </c>
      <c r="AH58">
        <v>5.3889118869029344</v>
      </c>
      <c r="AI58">
        <v>6343.8270732621349</v>
      </c>
      <c r="AJ58">
        <v>8</v>
      </c>
      <c r="AK58">
        <v>9417.6</v>
      </c>
      <c r="AL58">
        <v>3.7762880912391412</v>
      </c>
      <c r="AM58">
        <v>4445.4463410067174</v>
      </c>
      <c r="AN58">
        <v>8</v>
      </c>
      <c r="AO58">
        <v>9417.6</v>
      </c>
      <c r="AP58">
        <v>6.29669562460239</v>
      </c>
      <c r="AQ58">
        <v>7412.4700892819337</v>
      </c>
      <c r="AR58">
        <v>5.9092663015903693</v>
      </c>
      <c r="AS58">
        <v>6956.388290232183</v>
      </c>
      <c r="AT58">
        <v>7</v>
      </c>
      <c r="AU58">
        <v>8240.4</v>
      </c>
      <c r="AV58">
        <v>5.8155314443300803</v>
      </c>
      <c r="AW58">
        <v>6846.0436162653705</v>
      </c>
      <c r="AX58">
        <v>9</v>
      </c>
      <c r="AY58">
        <v>10594.800000000001</v>
      </c>
      <c r="AZ58">
        <v>8</v>
      </c>
      <c r="BA58">
        <v>9417.6</v>
      </c>
      <c r="BB58">
        <v>8</v>
      </c>
      <c r="BC58">
        <v>9417.6</v>
      </c>
      <c r="BD58">
        <v>11</v>
      </c>
      <c r="BE58">
        <v>12949.2</v>
      </c>
      <c r="BF58">
        <v>11</v>
      </c>
      <c r="BG58">
        <v>12949.2</v>
      </c>
      <c r="BH58">
        <v>9</v>
      </c>
      <c r="BI58">
        <v>10594.800000000001</v>
      </c>
      <c r="BJ58">
        <v>9</v>
      </c>
      <c r="BK58">
        <v>10594.800000000001</v>
      </c>
      <c r="BL58">
        <v>6</v>
      </c>
      <c r="BM58">
        <v>7063.2000000000007</v>
      </c>
      <c r="BN58">
        <v>7.5097231594428706</v>
      </c>
      <c r="BO58">
        <v>8840.4461032961481</v>
      </c>
      <c r="BP58">
        <v>7.5906959840430366</v>
      </c>
      <c r="BQ58">
        <v>8935.7673124154626</v>
      </c>
      <c r="BR58">
        <v>10</v>
      </c>
      <c r="BS58">
        <v>11772</v>
      </c>
      <c r="BT58">
        <v>4.3845318898561878</v>
      </c>
      <c r="BU58">
        <v>5161.4709407387045</v>
      </c>
      <c r="BV58">
        <v>7</v>
      </c>
      <c r="BW58">
        <v>8240.4</v>
      </c>
      <c r="BX58">
        <v>4.5775515583859265</v>
      </c>
      <c r="BY58">
        <v>5388.693694531913</v>
      </c>
      <c r="BZ58">
        <v>9</v>
      </c>
      <c r="CA58">
        <v>10594.800000000001</v>
      </c>
      <c r="CB58">
        <v>4.5236120041197125</v>
      </c>
      <c r="CC58">
        <v>5325.1960512497262</v>
      </c>
      <c r="CD58">
        <v>7</v>
      </c>
      <c r="CE58">
        <v>8240.4</v>
      </c>
      <c r="CF58">
        <v>8</v>
      </c>
      <c r="CG58">
        <v>9417.6</v>
      </c>
      <c r="CH58">
        <v>9.4525430583339904</v>
      </c>
      <c r="CI58">
        <v>11127.533688270774</v>
      </c>
      <c r="CJ58">
        <v>4.8745176833791932</v>
      </c>
      <c r="CK58">
        <v>5738.2822168739867</v>
      </c>
      <c r="CL58">
        <v>3.8045705169478508</v>
      </c>
      <c r="CM58">
        <v>4478.7404125510102</v>
      </c>
      <c r="CN58">
        <v>8.0141310852069605</v>
      </c>
      <c r="CO58">
        <v>9434.2351135056342</v>
      </c>
      <c r="CP58">
        <v>6.8294128650611752</v>
      </c>
      <c r="CQ58">
        <v>8039.5848247500153</v>
      </c>
      <c r="CR58">
        <v>6.3576446467535073</v>
      </c>
      <c r="CS58">
        <v>7484.2192781582289</v>
      </c>
      <c r="CT58">
        <v>10</v>
      </c>
      <c r="CU58">
        <v>11772</v>
      </c>
    </row>
    <row r="59" spans="2:99" x14ac:dyDescent="0.2">
      <c r="C59" s="105" t="s">
        <v>225</v>
      </c>
      <c r="D59">
        <v>10</v>
      </c>
      <c r="E59">
        <v>3035.9999999999995</v>
      </c>
      <c r="F59">
        <v>13</v>
      </c>
      <c r="G59">
        <v>3946.7999999999997</v>
      </c>
      <c r="H59">
        <v>9</v>
      </c>
      <c r="I59">
        <v>2732.3999999999996</v>
      </c>
      <c r="J59">
        <v>9</v>
      </c>
      <c r="K59">
        <v>2732.3999999999996</v>
      </c>
      <c r="L59">
        <v>11</v>
      </c>
      <c r="M59">
        <v>3339.5999999999995</v>
      </c>
      <c r="N59">
        <v>7</v>
      </c>
      <c r="O59">
        <v>2125.1999999999998</v>
      </c>
      <c r="P59">
        <v>7</v>
      </c>
      <c r="Q59">
        <v>2125.1999999999998</v>
      </c>
      <c r="R59">
        <v>12</v>
      </c>
      <c r="S59">
        <v>3643.2</v>
      </c>
      <c r="T59">
        <v>12</v>
      </c>
      <c r="U59">
        <v>3643.2</v>
      </c>
      <c r="V59">
        <v>8</v>
      </c>
      <c r="W59">
        <v>2428.7999999999997</v>
      </c>
      <c r="X59">
        <v>10</v>
      </c>
      <c r="Y59">
        <v>3035.9999999999995</v>
      </c>
      <c r="Z59">
        <v>7</v>
      </c>
      <c r="AA59">
        <v>2125.1999999999998</v>
      </c>
      <c r="AB59">
        <v>6</v>
      </c>
      <c r="AC59">
        <v>1821.6</v>
      </c>
      <c r="AD59">
        <v>10</v>
      </c>
      <c r="AE59">
        <v>3035.9999999999995</v>
      </c>
      <c r="AF59">
        <v>7</v>
      </c>
      <c r="AG59">
        <v>2125.1999999999998</v>
      </c>
      <c r="AH59">
        <v>10</v>
      </c>
      <c r="AI59">
        <v>3035.9999999999995</v>
      </c>
      <c r="AJ59">
        <v>9</v>
      </c>
      <c r="AK59">
        <v>2732.3999999999996</v>
      </c>
      <c r="AL59">
        <v>8</v>
      </c>
      <c r="AM59">
        <v>2428.7999999999997</v>
      </c>
      <c r="AN59">
        <v>8</v>
      </c>
      <c r="AO59">
        <v>2428.7999999999997</v>
      </c>
      <c r="AP59">
        <v>7</v>
      </c>
      <c r="AQ59">
        <v>2125.1999999999998</v>
      </c>
      <c r="AR59">
        <v>7</v>
      </c>
      <c r="AS59">
        <v>2125.1999999999998</v>
      </c>
      <c r="AT59">
        <v>7</v>
      </c>
      <c r="AU59">
        <v>2125.1999999999998</v>
      </c>
      <c r="AV59">
        <v>10</v>
      </c>
      <c r="AW59">
        <v>3035.9999999999995</v>
      </c>
      <c r="AX59">
        <v>9</v>
      </c>
      <c r="AY59">
        <v>2732.3999999999996</v>
      </c>
      <c r="AZ59">
        <v>8</v>
      </c>
      <c r="BA59">
        <v>2428.7999999999997</v>
      </c>
      <c r="BB59">
        <v>9</v>
      </c>
      <c r="BC59">
        <v>2732.3999999999996</v>
      </c>
      <c r="BD59">
        <v>12</v>
      </c>
      <c r="BE59">
        <v>3643.2</v>
      </c>
      <c r="BF59">
        <v>11</v>
      </c>
      <c r="BG59">
        <v>3339.5999999999995</v>
      </c>
      <c r="BH59">
        <v>9</v>
      </c>
      <c r="BI59">
        <v>2732.3999999999996</v>
      </c>
      <c r="BJ59">
        <v>8</v>
      </c>
      <c r="BK59">
        <v>2428.7999999999997</v>
      </c>
      <c r="BL59">
        <v>7</v>
      </c>
      <c r="BM59">
        <v>2125.1999999999998</v>
      </c>
      <c r="BN59">
        <v>11</v>
      </c>
      <c r="BO59">
        <v>3339.5999999999995</v>
      </c>
      <c r="BP59">
        <v>11</v>
      </c>
      <c r="BQ59">
        <v>3339.5999999999995</v>
      </c>
      <c r="BR59">
        <v>10</v>
      </c>
      <c r="BS59">
        <v>3035.9999999999995</v>
      </c>
      <c r="BT59">
        <v>6</v>
      </c>
      <c r="BU59">
        <v>1821.6</v>
      </c>
      <c r="BV59">
        <v>8</v>
      </c>
      <c r="BW59">
        <v>2428.7999999999997</v>
      </c>
      <c r="BX59">
        <v>9</v>
      </c>
      <c r="BY59">
        <v>2732.3999999999996</v>
      </c>
      <c r="BZ59">
        <v>11</v>
      </c>
      <c r="CA59">
        <v>3339.5999999999995</v>
      </c>
      <c r="CB59">
        <v>8</v>
      </c>
      <c r="CC59">
        <v>2428.7999999999997</v>
      </c>
      <c r="CD59">
        <v>7</v>
      </c>
      <c r="CE59">
        <v>2125.1999999999998</v>
      </c>
      <c r="CF59">
        <v>8</v>
      </c>
      <c r="CG59">
        <v>2428.7999999999997</v>
      </c>
      <c r="CH59">
        <v>14</v>
      </c>
      <c r="CI59">
        <v>4250.3999999999996</v>
      </c>
      <c r="CJ59">
        <v>6</v>
      </c>
      <c r="CK59">
        <v>1821.6</v>
      </c>
      <c r="CL59">
        <v>7</v>
      </c>
      <c r="CM59">
        <v>2125.1999999999998</v>
      </c>
      <c r="CN59">
        <v>11</v>
      </c>
      <c r="CO59">
        <v>3339.5999999999995</v>
      </c>
      <c r="CP59">
        <v>9</v>
      </c>
      <c r="CQ59">
        <v>2732.3999999999996</v>
      </c>
      <c r="CR59">
        <v>10</v>
      </c>
      <c r="CS59">
        <v>3035.9999999999995</v>
      </c>
      <c r="CT59">
        <v>9</v>
      </c>
      <c r="CU59">
        <v>2732.3999999999996</v>
      </c>
    </row>
    <row r="60" spans="2:99" x14ac:dyDescent="0.2">
      <c r="C60" s="105" t="s">
        <v>226</v>
      </c>
      <c r="D60">
        <v>10</v>
      </c>
      <c r="E60">
        <v>6516</v>
      </c>
      <c r="F60">
        <v>11</v>
      </c>
      <c r="G60">
        <v>7167.6</v>
      </c>
      <c r="H60">
        <v>8</v>
      </c>
      <c r="I60">
        <v>5212.8</v>
      </c>
      <c r="J60">
        <v>10</v>
      </c>
      <c r="K60">
        <v>6516</v>
      </c>
      <c r="L60">
        <v>11</v>
      </c>
      <c r="M60">
        <v>7167.6</v>
      </c>
      <c r="N60">
        <v>6</v>
      </c>
      <c r="O60">
        <v>3909.6000000000004</v>
      </c>
      <c r="P60">
        <v>6</v>
      </c>
      <c r="Q60">
        <v>3909.6000000000004</v>
      </c>
      <c r="R60">
        <v>11</v>
      </c>
      <c r="S60">
        <v>7167.6</v>
      </c>
      <c r="T60">
        <v>12</v>
      </c>
      <c r="U60">
        <v>7819.2000000000007</v>
      </c>
      <c r="V60">
        <v>7</v>
      </c>
      <c r="W60">
        <v>4561.2</v>
      </c>
      <c r="X60">
        <v>8</v>
      </c>
      <c r="Y60">
        <v>5212.8</v>
      </c>
      <c r="Z60">
        <v>7</v>
      </c>
      <c r="AA60">
        <v>4561.2</v>
      </c>
      <c r="AB60">
        <v>7</v>
      </c>
      <c r="AC60">
        <v>4561.2</v>
      </c>
      <c r="AD60">
        <v>10</v>
      </c>
      <c r="AE60">
        <v>6516</v>
      </c>
      <c r="AF60">
        <v>7</v>
      </c>
      <c r="AG60">
        <v>4561.2</v>
      </c>
      <c r="AH60">
        <v>10</v>
      </c>
      <c r="AI60">
        <v>6516</v>
      </c>
      <c r="AJ60">
        <v>9</v>
      </c>
      <c r="AK60">
        <v>5864.4000000000005</v>
      </c>
      <c r="AL60">
        <v>7</v>
      </c>
      <c r="AM60">
        <v>4561.2</v>
      </c>
      <c r="AN60">
        <v>8</v>
      </c>
      <c r="AO60">
        <v>5212.8</v>
      </c>
      <c r="AP60">
        <v>7</v>
      </c>
      <c r="AQ60">
        <v>4561.2</v>
      </c>
      <c r="AR60">
        <v>8</v>
      </c>
      <c r="AS60">
        <v>5212.8</v>
      </c>
      <c r="AT60">
        <v>7</v>
      </c>
      <c r="AU60">
        <v>4561.2</v>
      </c>
      <c r="AV60">
        <v>9</v>
      </c>
      <c r="AW60">
        <v>5864.4000000000005</v>
      </c>
      <c r="AX60">
        <v>9</v>
      </c>
      <c r="AY60">
        <v>5864.4000000000005</v>
      </c>
      <c r="AZ60">
        <v>8</v>
      </c>
      <c r="BA60">
        <v>5212.8</v>
      </c>
      <c r="BB60">
        <v>8</v>
      </c>
      <c r="BC60">
        <v>5212.8</v>
      </c>
      <c r="BD60">
        <v>11</v>
      </c>
      <c r="BE60">
        <v>7167.6</v>
      </c>
      <c r="BF60">
        <v>9</v>
      </c>
      <c r="BG60">
        <v>5864.4000000000005</v>
      </c>
      <c r="BH60">
        <v>10</v>
      </c>
      <c r="BI60">
        <v>6516</v>
      </c>
      <c r="BJ60">
        <v>8</v>
      </c>
      <c r="BK60">
        <v>5212.8</v>
      </c>
      <c r="BL60">
        <v>7</v>
      </c>
      <c r="BM60">
        <v>4561.2</v>
      </c>
      <c r="BN60">
        <v>11</v>
      </c>
      <c r="BO60">
        <v>7167.6</v>
      </c>
      <c r="BP60">
        <v>9</v>
      </c>
      <c r="BQ60">
        <v>5864.4000000000005</v>
      </c>
      <c r="BR60">
        <v>10</v>
      </c>
      <c r="BS60">
        <v>6516</v>
      </c>
      <c r="BT60">
        <v>7</v>
      </c>
      <c r="BU60">
        <v>4561.2</v>
      </c>
      <c r="BV60">
        <v>7</v>
      </c>
      <c r="BW60">
        <v>4561.2</v>
      </c>
      <c r="BX60">
        <v>8</v>
      </c>
      <c r="BY60">
        <v>5212.8</v>
      </c>
      <c r="BZ60">
        <v>10</v>
      </c>
      <c r="CA60">
        <v>6516</v>
      </c>
      <c r="CB60">
        <v>7</v>
      </c>
      <c r="CC60">
        <v>4561.2</v>
      </c>
      <c r="CD60">
        <v>8</v>
      </c>
      <c r="CE60">
        <v>5212.8</v>
      </c>
      <c r="CF60">
        <v>8</v>
      </c>
      <c r="CG60">
        <v>5212.8</v>
      </c>
      <c r="CH60">
        <v>13</v>
      </c>
      <c r="CI60">
        <v>8470.8000000000011</v>
      </c>
      <c r="CJ60">
        <v>7</v>
      </c>
      <c r="CK60">
        <v>4561.2</v>
      </c>
      <c r="CL60">
        <v>7</v>
      </c>
      <c r="CM60">
        <v>4561.2</v>
      </c>
      <c r="CN60">
        <v>11</v>
      </c>
      <c r="CO60">
        <v>7167.6</v>
      </c>
      <c r="CP60">
        <v>10</v>
      </c>
      <c r="CQ60">
        <v>6516</v>
      </c>
      <c r="CR60">
        <v>9</v>
      </c>
      <c r="CS60">
        <v>5864.4000000000005</v>
      </c>
      <c r="CT60">
        <v>9</v>
      </c>
      <c r="CU60">
        <v>5864.4000000000005</v>
      </c>
    </row>
    <row r="61" spans="2:99" x14ac:dyDescent="0.2">
      <c r="C61" s="105" t="s">
        <v>227</v>
      </c>
      <c r="D61">
        <v>11</v>
      </c>
      <c r="E61">
        <v>10467.599999999999</v>
      </c>
      <c r="F61">
        <v>11</v>
      </c>
      <c r="G61">
        <v>10467.599999999999</v>
      </c>
      <c r="H61">
        <v>7</v>
      </c>
      <c r="I61">
        <v>6661.1999999999989</v>
      </c>
      <c r="J61">
        <v>9</v>
      </c>
      <c r="K61">
        <v>8564.4</v>
      </c>
      <c r="L61">
        <v>10</v>
      </c>
      <c r="M61">
        <v>9516</v>
      </c>
      <c r="N61">
        <v>6</v>
      </c>
      <c r="O61">
        <v>5709.5999999999995</v>
      </c>
      <c r="P61">
        <v>6</v>
      </c>
      <c r="Q61">
        <v>5709.5999999999995</v>
      </c>
      <c r="R61">
        <v>10</v>
      </c>
      <c r="S61">
        <v>9516</v>
      </c>
      <c r="T61">
        <v>12</v>
      </c>
      <c r="U61">
        <v>11419.199999999999</v>
      </c>
      <c r="V61">
        <v>6</v>
      </c>
      <c r="W61">
        <v>5709.5999999999995</v>
      </c>
      <c r="X61">
        <v>9</v>
      </c>
      <c r="Y61">
        <v>8564.4</v>
      </c>
      <c r="Z61">
        <v>7</v>
      </c>
      <c r="AA61">
        <v>6661.1999999999989</v>
      </c>
      <c r="AB61">
        <v>6</v>
      </c>
      <c r="AC61">
        <v>5709.5999999999995</v>
      </c>
      <c r="AD61">
        <v>9</v>
      </c>
      <c r="AE61">
        <v>8564.4</v>
      </c>
      <c r="AF61">
        <v>6</v>
      </c>
      <c r="AG61">
        <v>5709.5999999999995</v>
      </c>
      <c r="AH61">
        <v>9</v>
      </c>
      <c r="AI61">
        <v>8564.4</v>
      </c>
      <c r="AJ61">
        <v>8</v>
      </c>
      <c r="AK61">
        <v>7612.7999999999993</v>
      </c>
      <c r="AL61">
        <v>7</v>
      </c>
      <c r="AM61">
        <v>6661.1999999999989</v>
      </c>
      <c r="AN61">
        <v>8</v>
      </c>
      <c r="AO61">
        <v>7612.7999999999993</v>
      </c>
      <c r="AP61">
        <v>6</v>
      </c>
      <c r="AQ61">
        <v>5709.5999999999995</v>
      </c>
      <c r="AR61">
        <v>8</v>
      </c>
      <c r="AS61">
        <v>7612.7999999999993</v>
      </c>
      <c r="AT61">
        <v>7</v>
      </c>
      <c r="AU61">
        <v>6661.1999999999989</v>
      </c>
      <c r="AV61">
        <v>8</v>
      </c>
      <c r="AW61">
        <v>7612.7999999999993</v>
      </c>
      <c r="AX61">
        <v>10</v>
      </c>
      <c r="AY61">
        <v>9516</v>
      </c>
      <c r="AZ61">
        <v>8</v>
      </c>
      <c r="BA61">
        <v>7612.7999999999993</v>
      </c>
      <c r="BB61">
        <v>8</v>
      </c>
      <c r="BC61">
        <v>7612.7999999999993</v>
      </c>
      <c r="BD61">
        <v>10</v>
      </c>
      <c r="BE61">
        <v>9516</v>
      </c>
      <c r="BF61">
        <v>10</v>
      </c>
      <c r="BG61">
        <v>9516</v>
      </c>
      <c r="BH61">
        <v>8</v>
      </c>
      <c r="BI61">
        <v>7612.7999999999993</v>
      </c>
      <c r="BJ61">
        <v>9</v>
      </c>
      <c r="BK61">
        <v>8564.4</v>
      </c>
      <c r="BL61">
        <v>7</v>
      </c>
      <c r="BM61">
        <v>6661.1999999999989</v>
      </c>
      <c r="BN61">
        <v>10</v>
      </c>
      <c r="BO61">
        <v>9516</v>
      </c>
      <c r="BP61">
        <v>9</v>
      </c>
      <c r="BQ61">
        <v>8564.4</v>
      </c>
      <c r="BR61">
        <v>10</v>
      </c>
      <c r="BS61">
        <v>9516</v>
      </c>
      <c r="BT61">
        <v>6</v>
      </c>
      <c r="BU61">
        <v>5709.5999999999995</v>
      </c>
      <c r="BV61">
        <v>7</v>
      </c>
      <c r="BW61">
        <v>6661.1999999999989</v>
      </c>
      <c r="BX61">
        <v>8</v>
      </c>
      <c r="BY61">
        <v>7612.7999999999993</v>
      </c>
      <c r="BZ61">
        <v>10</v>
      </c>
      <c r="CA61">
        <v>9516</v>
      </c>
      <c r="CB61">
        <v>7</v>
      </c>
      <c r="CC61">
        <v>6661.1999999999989</v>
      </c>
      <c r="CD61">
        <v>7</v>
      </c>
      <c r="CE61">
        <v>6661.1999999999989</v>
      </c>
      <c r="CF61">
        <v>9</v>
      </c>
      <c r="CG61">
        <v>8564.4</v>
      </c>
      <c r="CH61">
        <v>12</v>
      </c>
      <c r="CI61">
        <v>11419.199999999999</v>
      </c>
      <c r="CJ61">
        <v>6</v>
      </c>
      <c r="CK61">
        <v>5709.5999999999995</v>
      </c>
      <c r="CL61">
        <v>7</v>
      </c>
      <c r="CM61">
        <v>6661.1999999999989</v>
      </c>
      <c r="CN61">
        <v>11</v>
      </c>
      <c r="CO61">
        <v>10467.599999999999</v>
      </c>
      <c r="CP61">
        <v>9</v>
      </c>
      <c r="CQ61">
        <v>8564.4</v>
      </c>
      <c r="CR61">
        <v>9</v>
      </c>
      <c r="CS61">
        <v>8564.4</v>
      </c>
      <c r="CT61">
        <v>10</v>
      </c>
      <c r="CU61">
        <v>9516</v>
      </c>
    </row>
    <row r="62" spans="2:99" x14ac:dyDescent="0.2">
      <c r="C62" s="105" t="s">
        <v>228</v>
      </c>
      <c r="D62">
        <v>10</v>
      </c>
      <c r="E62">
        <v>17052</v>
      </c>
      <c r="F62">
        <v>11</v>
      </c>
      <c r="G62">
        <v>18757.2</v>
      </c>
      <c r="H62">
        <v>8</v>
      </c>
      <c r="I62">
        <v>13641.6</v>
      </c>
      <c r="J62">
        <v>9</v>
      </c>
      <c r="K62">
        <v>15346.800000000001</v>
      </c>
      <c r="L62">
        <v>10</v>
      </c>
      <c r="M62">
        <v>17052</v>
      </c>
      <c r="N62">
        <v>5</v>
      </c>
      <c r="O62">
        <v>8526</v>
      </c>
      <c r="P62">
        <v>5</v>
      </c>
      <c r="Q62">
        <v>8526</v>
      </c>
      <c r="R62">
        <v>9</v>
      </c>
      <c r="S62">
        <v>15346.800000000001</v>
      </c>
      <c r="T62">
        <v>11</v>
      </c>
      <c r="U62">
        <v>18757.2</v>
      </c>
      <c r="V62">
        <v>7</v>
      </c>
      <c r="W62">
        <v>11936.4</v>
      </c>
      <c r="X62">
        <v>9</v>
      </c>
      <c r="Y62">
        <v>15346.800000000001</v>
      </c>
      <c r="Z62">
        <v>7</v>
      </c>
      <c r="AA62">
        <v>11936.4</v>
      </c>
      <c r="AB62">
        <v>6</v>
      </c>
      <c r="AC62">
        <v>10231.200000000001</v>
      </c>
      <c r="AD62">
        <v>8</v>
      </c>
      <c r="AE62">
        <v>13641.6</v>
      </c>
      <c r="AF62">
        <v>6</v>
      </c>
      <c r="AG62">
        <v>10231.200000000001</v>
      </c>
      <c r="AH62">
        <v>8</v>
      </c>
      <c r="AI62">
        <v>13641.6</v>
      </c>
      <c r="AJ62">
        <v>8</v>
      </c>
      <c r="AK62">
        <v>13641.6</v>
      </c>
      <c r="AL62">
        <v>6</v>
      </c>
      <c r="AM62">
        <v>10231.200000000001</v>
      </c>
      <c r="AN62">
        <v>8</v>
      </c>
      <c r="AO62">
        <v>13641.6</v>
      </c>
      <c r="AP62">
        <v>6</v>
      </c>
      <c r="AQ62">
        <v>10231.200000000001</v>
      </c>
      <c r="AR62">
        <v>8</v>
      </c>
      <c r="AS62">
        <v>13641.6</v>
      </c>
      <c r="AT62">
        <v>6</v>
      </c>
      <c r="AU62">
        <v>10231.200000000001</v>
      </c>
      <c r="AV62">
        <v>9</v>
      </c>
      <c r="AW62">
        <v>15346.800000000001</v>
      </c>
      <c r="AX62">
        <v>8</v>
      </c>
      <c r="AY62">
        <v>13641.6</v>
      </c>
      <c r="AZ62">
        <v>8</v>
      </c>
      <c r="BA62">
        <v>13641.6</v>
      </c>
      <c r="BB62">
        <v>7</v>
      </c>
      <c r="BC62">
        <v>11936.4</v>
      </c>
      <c r="BD62">
        <v>9</v>
      </c>
      <c r="BE62">
        <v>15346.800000000001</v>
      </c>
      <c r="BF62">
        <v>9</v>
      </c>
      <c r="BG62">
        <v>15346.800000000001</v>
      </c>
      <c r="BH62">
        <v>9</v>
      </c>
      <c r="BI62">
        <v>15346.800000000001</v>
      </c>
      <c r="BJ62">
        <v>8</v>
      </c>
      <c r="BK62">
        <v>13641.6</v>
      </c>
      <c r="BL62">
        <v>6</v>
      </c>
      <c r="BM62">
        <v>10231.200000000001</v>
      </c>
      <c r="BN62">
        <v>10</v>
      </c>
      <c r="BO62">
        <v>17052</v>
      </c>
      <c r="BP62">
        <v>8</v>
      </c>
      <c r="BQ62">
        <v>13641.6</v>
      </c>
      <c r="BR62">
        <v>9</v>
      </c>
      <c r="BS62">
        <v>15346.800000000001</v>
      </c>
      <c r="BT62">
        <v>6</v>
      </c>
      <c r="BU62">
        <v>10231.200000000001</v>
      </c>
      <c r="BV62">
        <v>6</v>
      </c>
      <c r="BW62">
        <v>10231.200000000001</v>
      </c>
      <c r="BX62">
        <v>8</v>
      </c>
      <c r="BY62">
        <v>13641.6</v>
      </c>
      <c r="BZ62">
        <v>10</v>
      </c>
      <c r="CA62">
        <v>17052</v>
      </c>
      <c r="CB62">
        <v>7</v>
      </c>
      <c r="CC62">
        <v>11936.4</v>
      </c>
      <c r="CD62">
        <v>7</v>
      </c>
      <c r="CE62">
        <v>11936.4</v>
      </c>
      <c r="CF62">
        <v>8</v>
      </c>
      <c r="CG62">
        <v>13641.6</v>
      </c>
      <c r="CH62">
        <v>11</v>
      </c>
      <c r="CI62">
        <v>18757.2</v>
      </c>
      <c r="CJ62">
        <v>5</v>
      </c>
      <c r="CK62">
        <v>8526</v>
      </c>
      <c r="CL62">
        <v>7</v>
      </c>
      <c r="CM62">
        <v>11936.4</v>
      </c>
      <c r="CN62">
        <v>11</v>
      </c>
      <c r="CO62">
        <v>18757.2</v>
      </c>
      <c r="CP62">
        <v>8</v>
      </c>
      <c r="CQ62">
        <v>13641.6</v>
      </c>
      <c r="CR62">
        <v>8</v>
      </c>
      <c r="CS62">
        <v>13641.6</v>
      </c>
      <c r="CT62">
        <v>10</v>
      </c>
      <c r="CU62">
        <v>17052</v>
      </c>
    </row>
    <row r="63" spans="2:99" x14ac:dyDescent="0.2">
      <c r="C63" s="105" t="s">
        <v>229</v>
      </c>
      <c r="D63">
        <v>10</v>
      </c>
      <c r="E63">
        <v>7956</v>
      </c>
      <c r="F63">
        <v>11</v>
      </c>
      <c r="G63">
        <v>8751.6</v>
      </c>
      <c r="H63">
        <v>9</v>
      </c>
      <c r="I63">
        <v>7160.4000000000005</v>
      </c>
      <c r="J63">
        <v>10</v>
      </c>
      <c r="K63">
        <v>7956</v>
      </c>
      <c r="L63">
        <v>10</v>
      </c>
      <c r="M63">
        <v>7956</v>
      </c>
      <c r="N63">
        <v>6</v>
      </c>
      <c r="O63">
        <v>4773.6000000000004</v>
      </c>
      <c r="P63">
        <v>6</v>
      </c>
      <c r="Q63">
        <v>4773.6000000000004</v>
      </c>
      <c r="R63">
        <v>11</v>
      </c>
      <c r="S63">
        <v>8751.6</v>
      </c>
      <c r="T63">
        <v>12</v>
      </c>
      <c r="U63">
        <v>9547.2000000000007</v>
      </c>
      <c r="V63">
        <v>7</v>
      </c>
      <c r="W63">
        <v>5569.2</v>
      </c>
      <c r="X63">
        <v>9</v>
      </c>
      <c r="Y63">
        <v>7160.4000000000005</v>
      </c>
      <c r="Z63">
        <v>6</v>
      </c>
      <c r="AA63">
        <v>4773.6000000000004</v>
      </c>
      <c r="AB63">
        <v>6</v>
      </c>
      <c r="AC63">
        <v>4773.6000000000004</v>
      </c>
      <c r="AD63">
        <v>9</v>
      </c>
      <c r="AE63">
        <v>7160.4000000000005</v>
      </c>
      <c r="AF63">
        <v>7</v>
      </c>
      <c r="AG63">
        <v>5569.2</v>
      </c>
      <c r="AH63">
        <v>9</v>
      </c>
      <c r="AI63">
        <v>7160.4000000000005</v>
      </c>
      <c r="AJ63">
        <v>8</v>
      </c>
      <c r="AK63">
        <v>6364.8</v>
      </c>
      <c r="AL63">
        <v>8</v>
      </c>
      <c r="AM63">
        <v>6364.8</v>
      </c>
      <c r="AN63">
        <v>9</v>
      </c>
      <c r="AO63">
        <v>7160.4000000000005</v>
      </c>
      <c r="AP63">
        <v>7</v>
      </c>
      <c r="AQ63">
        <v>5569.2</v>
      </c>
      <c r="AR63">
        <v>8</v>
      </c>
      <c r="AS63">
        <v>6364.8</v>
      </c>
      <c r="AT63">
        <v>6</v>
      </c>
      <c r="AU63">
        <v>4773.6000000000004</v>
      </c>
      <c r="AV63">
        <v>9</v>
      </c>
      <c r="AW63">
        <v>7160.4000000000005</v>
      </c>
      <c r="AX63">
        <v>9</v>
      </c>
      <c r="AY63">
        <v>7160.4000000000005</v>
      </c>
      <c r="AZ63">
        <v>8</v>
      </c>
      <c r="BA63">
        <v>6364.8</v>
      </c>
      <c r="BB63">
        <v>8</v>
      </c>
      <c r="BC63">
        <v>6364.8</v>
      </c>
      <c r="BD63">
        <v>12</v>
      </c>
      <c r="BE63">
        <v>9547.2000000000007</v>
      </c>
      <c r="BF63">
        <v>10</v>
      </c>
      <c r="BG63">
        <v>7956</v>
      </c>
      <c r="BH63">
        <v>9</v>
      </c>
      <c r="BI63">
        <v>7160.4000000000005</v>
      </c>
      <c r="BJ63">
        <v>8</v>
      </c>
      <c r="BK63">
        <v>6364.8</v>
      </c>
      <c r="BL63">
        <v>6</v>
      </c>
      <c r="BM63">
        <v>4773.6000000000004</v>
      </c>
      <c r="BN63">
        <v>11</v>
      </c>
      <c r="BO63">
        <v>8751.6</v>
      </c>
      <c r="BP63">
        <v>9</v>
      </c>
      <c r="BQ63">
        <v>7160.4000000000005</v>
      </c>
      <c r="BR63">
        <v>10</v>
      </c>
      <c r="BS63">
        <v>7956</v>
      </c>
      <c r="BT63">
        <v>7</v>
      </c>
      <c r="BU63">
        <v>5569.2</v>
      </c>
      <c r="BV63">
        <v>7</v>
      </c>
      <c r="BW63">
        <v>5569.2</v>
      </c>
      <c r="BX63">
        <v>7</v>
      </c>
      <c r="BY63">
        <v>5569.2</v>
      </c>
      <c r="BZ63">
        <v>11</v>
      </c>
      <c r="CA63">
        <v>8751.6</v>
      </c>
      <c r="CB63">
        <v>7</v>
      </c>
      <c r="CC63">
        <v>5569.2</v>
      </c>
      <c r="CD63">
        <v>8</v>
      </c>
      <c r="CE63">
        <v>6364.8</v>
      </c>
      <c r="CF63">
        <v>8</v>
      </c>
      <c r="CG63">
        <v>6364.8</v>
      </c>
      <c r="CH63">
        <v>12</v>
      </c>
      <c r="CI63">
        <v>9547.2000000000007</v>
      </c>
      <c r="CJ63">
        <v>6</v>
      </c>
      <c r="CK63">
        <v>4773.6000000000004</v>
      </c>
      <c r="CL63">
        <v>7</v>
      </c>
      <c r="CM63">
        <v>5569.2</v>
      </c>
      <c r="CN63">
        <v>11</v>
      </c>
      <c r="CO63">
        <v>8751.6</v>
      </c>
      <c r="CP63">
        <v>9</v>
      </c>
      <c r="CQ63">
        <v>7160.4000000000005</v>
      </c>
      <c r="CR63">
        <v>8</v>
      </c>
      <c r="CS63">
        <v>6364.8</v>
      </c>
      <c r="CT63">
        <v>11</v>
      </c>
      <c r="CU63">
        <v>8751.6</v>
      </c>
    </row>
    <row r="64" spans="2:99" x14ac:dyDescent="0.2">
      <c r="C64" s="105" t="s">
        <v>230</v>
      </c>
      <c r="D64">
        <v>11</v>
      </c>
      <c r="E64">
        <v>11101.199999999997</v>
      </c>
      <c r="F64">
        <v>12</v>
      </c>
      <c r="G64">
        <v>12110.399999999998</v>
      </c>
      <c r="H64">
        <v>9</v>
      </c>
      <c r="I64">
        <v>9082.7999999999993</v>
      </c>
      <c r="J64">
        <v>9</v>
      </c>
      <c r="K64">
        <v>9082.7999999999993</v>
      </c>
      <c r="L64">
        <v>9</v>
      </c>
      <c r="M64">
        <v>9082.7999999999993</v>
      </c>
      <c r="N64">
        <v>7</v>
      </c>
      <c r="O64">
        <v>7064.3999999999987</v>
      </c>
      <c r="P64">
        <v>5</v>
      </c>
      <c r="Q64">
        <v>5045.9999999999991</v>
      </c>
      <c r="R64">
        <v>10</v>
      </c>
      <c r="S64">
        <v>10091.999999999998</v>
      </c>
      <c r="T64">
        <v>11</v>
      </c>
      <c r="U64">
        <v>11101.199999999997</v>
      </c>
      <c r="V64">
        <v>7</v>
      </c>
      <c r="W64">
        <v>7064.3999999999987</v>
      </c>
      <c r="X64">
        <v>9</v>
      </c>
      <c r="Y64">
        <v>9082.7999999999993</v>
      </c>
      <c r="Z64">
        <v>6</v>
      </c>
      <c r="AA64">
        <v>6055.1999999999989</v>
      </c>
      <c r="AB64">
        <v>6</v>
      </c>
      <c r="AC64">
        <v>6055.1999999999989</v>
      </c>
      <c r="AD64">
        <v>9</v>
      </c>
      <c r="AE64">
        <v>9082.7999999999993</v>
      </c>
      <c r="AF64">
        <v>6</v>
      </c>
      <c r="AG64">
        <v>6055.1999999999989</v>
      </c>
      <c r="AH64">
        <v>9</v>
      </c>
      <c r="AI64">
        <v>9082.7999999999993</v>
      </c>
      <c r="AJ64">
        <v>8</v>
      </c>
      <c r="AK64">
        <v>8073.5999999999985</v>
      </c>
      <c r="AL64">
        <v>7</v>
      </c>
      <c r="AM64">
        <v>7064.3999999999987</v>
      </c>
      <c r="AN64">
        <v>8</v>
      </c>
      <c r="AO64">
        <v>8073.5999999999985</v>
      </c>
      <c r="AP64">
        <v>6</v>
      </c>
      <c r="AQ64">
        <v>6055.1999999999989</v>
      </c>
      <c r="AR64">
        <v>8</v>
      </c>
      <c r="AS64">
        <v>8073.5999999999985</v>
      </c>
      <c r="AT64">
        <v>7</v>
      </c>
      <c r="AU64">
        <v>7064.3999999999987</v>
      </c>
      <c r="AV64">
        <v>9</v>
      </c>
      <c r="AW64">
        <v>9082.7999999999993</v>
      </c>
      <c r="AX64">
        <v>10</v>
      </c>
      <c r="AY64">
        <v>10091.999999999998</v>
      </c>
      <c r="AZ64">
        <v>9</v>
      </c>
      <c r="BA64">
        <v>9082.7999999999993</v>
      </c>
      <c r="BB64">
        <v>7</v>
      </c>
      <c r="BC64">
        <v>7064.3999999999987</v>
      </c>
      <c r="BD64">
        <v>10</v>
      </c>
      <c r="BE64">
        <v>10091.999999999998</v>
      </c>
      <c r="BF64">
        <v>9</v>
      </c>
      <c r="BG64">
        <v>9082.7999999999993</v>
      </c>
      <c r="BH64">
        <v>9</v>
      </c>
      <c r="BI64">
        <v>9082.7999999999993</v>
      </c>
      <c r="BJ64">
        <v>9</v>
      </c>
      <c r="BK64">
        <v>9082.7999999999993</v>
      </c>
      <c r="BL64">
        <v>7</v>
      </c>
      <c r="BM64">
        <v>7064.3999999999987</v>
      </c>
      <c r="BN64">
        <v>11</v>
      </c>
      <c r="BO64">
        <v>11101.199999999997</v>
      </c>
      <c r="BP64">
        <v>9</v>
      </c>
      <c r="BQ64">
        <v>9082.7999999999993</v>
      </c>
      <c r="BR64">
        <v>10</v>
      </c>
      <c r="BS64">
        <v>10091.999999999998</v>
      </c>
      <c r="BT64">
        <v>6</v>
      </c>
      <c r="BU64">
        <v>6055.1999999999989</v>
      </c>
      <c r="BV64">
        <v>7</v>
      </c>
      <c r="BW64">
        <v>7064.3999999999987</v>
      </c>
      <c r="BX64">
        <v>7</v>
      </c>
      <c r="BY64">
        <v>7064.3999999999987</v>
      </c>
      <c r="BZ64">
        <v>11</v>
      </c>
      <c r="CA64">
        <v>11101.199999999997</v>
      </c>
      <c r="CB64">
        <v>7</v>
      </c>
      <c r="CC64">
        <v>7064.3999999999987</v>
      </c>
      <c r="CD64">
        <v>7</v>
      </c>
      <c r="CE64">
        <v>7064.3999999999987</v>
      </c>
      <c r="CF64">
        <v>9</v>
      </c>
      <c r="CG64">
        <v>9082.7999999999993</v>
      </c>
      <c r="CH64">
        <v>11</v>
      </c>
      <c r="CI64">
        <v>11101.199999999997</v>
      </c>
      <c r="CJ64">
        <v>6</v>
      </c>
      <c r="CK64">
        <v>6055.1999999999989</v>
      </c>
      <c r="CL64">
        <v>7</v>
      </c>
      <c r="CM64">
        <v>7064.3999999999987</v>
      </c>
      <c r="CN64">
        <v>10</v>
      </c>
      <c r="CO64">
        <v>10091.999999999998</v>
      </c>
      <c r="CP64">
        <v>8</v>
      </c>
      <c r="CQ64">
        <v>8073.5999999999985</v>
      </c>
      <c r="CR64">
        <v>8</v>
      </c>
      <c r="CS64">
        <v>8073.5999999999985</v>
      </c>
      <c r="CT64">
        <v>9</v>
      </c>
      <c r="CU64">
        <v>9082.7999999999993</v>
      </c>
    </row>
    <row r="65" spans="2:99" x14ac:dyDescent="0.2">
      <c r="C65" s="105" t="s">
        <v>231</v>
      </c>
      <c r="D65">
        <v>10</v>
      </c>
      <c r="E65">
        <v>10260</v>
      </c>
      <c r="F65">
        <v>11</v>
      </c>
      <c r="G65">
        <v>11286</v>
      </c>
      <c r="H65">
        <v>9</v>
      </c>
      <c r="I65">
        <v>9234</v>
      </c>
      <c r="J65">
        <v>9</v>
      </c>
      <c r="K65">
        <v>9234</v>
      </c>
      <c r="L65">
        <v>9</v>
      </c>
      <c r="M65">
        <v>9234</v>
      </c>
      <c r="N65">
        <v>6</v>
      </c>
      <c r="O65">
        <v>6156</v>
      </c>
      <c r="P65">
        <v>6</v>
      </c>
      <c r="Q65">
        <v>6156</v>
      </c>
      <c r="R65">
        <v>11</v>
      </c>
      <c r="S65">
        <v>11286</v>
      </c>
      <c r="T65">
        <v>10</v>
      </c>
      <c r="U65">
        <v>10260</v>
      </c>
      <c r="V65">
        <v>7</v>
      </c>
      <c r="W65">
        <v>7182</v>
      </c>
      <c r="X65">
        <v>10</v>
      </c>
      <c r="Y65">
        <v>10260</v>
      </c>
      <c r="Z65">
        <v>6</v>
      </c>
      <c r="AA65">
        <v>6156</v>
      </c>
      <c r="AB65">
        <v>6</v>
      </c>
      <c r="AC65">
        <v>6156</v>
      </c>
      <c r="AD65">
        <v>9</v>
      </c>
      <c r="AE65">
        <v>9234</v>
      </c>
      <c r="AF65">
        <v>7</v>
      </c>
      <c r="AG65">
        <v>7182</v>
      </c>
      <c r="AH65">
        <v>9</v>
      </c>
      <c r="AI65">
        <v>9234</v>
      </c>
      <c r="AJ65">
        <v>9</v>
      </c>
      <c r="AK65">
        <v>9234</v>
      </c>
      <c r="AL65">
        <v>7</v>
      </c>
      <c r="AM65">
        <v>7182</v>
      </c>
      <c r="AN65">
        <v>9</v>
      </c>
      <c r="AO65">
        <v>9234</v>
      </c>
      <c r="AP65">
        <v>6</v>
      </c>
      <c r="AQ65">
        <v>6156</v>
      </c>
      <c r="AR65">
        <v>8</v>
      </c>
      <c r="AS65">
        <v>8208</v>
      </c>
      <c r="AT65">
        <v>7</v>
      </c>
      <c r="AU65">
        <v>7182</v>
      </c>
      <c r="AV65">
        <v>9</v>
      </c>
      <c r="AW65">
        <v>9234</v>
      </c>
      <c r="AX65">
        <v>9</v>
      </c>
      <c r="AY65">
        <v>9234</v>
      </c>
      <c r="AZ65">
        <v>9</v>
      </c>
      <c r="BA65">
        <v>9234</v>
      </c>
      <c r="BB65">
        <v>7</v>
      </c>
      <c r="BC65">
        <v>7182</v>
      </c>
      <c r="BD65">
        <v>11</v>
      </c>
      <c r="BE65">
        <v>11286</v>
      </c>
      <c r="BF65">
        <v>11</v>
      </c>
      <c r="BG65">
        <v>11286</v>
      </c>
      <c r="BH65">
        <v>8</v>
      </c>
      <c r="BI65">
        <v>8208</v>
      </c>
      <c r="BJ65">
        <v>8</v>
      </c>
      <c r="BK65">
        <v>8208</v>
      </c>
      <c r="BL65">
        <v>6</v>
      </c>
      <c r="BM65">
        <v>6156</v>
      </c>
      <c r="BN65">
        <v>10</v>
      </c>
      <c r="BO65">
        <v>10260</v>
      </c>
      <c r="BP65">
        <v>9</v>
      </c>
      <c r="BQ65">
        <v>9234</v>
      </c>
      <c r="BR65">
        <v>9</v>
      </c>
      <c r="BS65">
        <v>9234</v>
      </c>
      <c r="BT65">
        <v>6</v>
      </c>
      <c r="BU65">
        <v>6156</v>
      </c>
      <c r="BV65">
        <v>7</v>
      </c>
      <c r="BW65">
        <v>7182</v>
      </c>
      <c r="BX65">
        <v>8</v>
      </c>
      <c r="BY65">
        <v>8208</v>
      </c>
      <c r="BZ65">
        <v>10</v>
      </c>
      <c r="CA65">
        <v>10260</v>
      </c>
      <c r="CB65">
        <v>7</v>
      </c>
      <c r="CC65">
        <v>7182</v>
      </c>
      <c r="CD65">
        <v>8</v>
      </c>
      <c r="CE65">
        <v>8208</v>
      </c>
      <c r="CF65">
        <v>8</v>
      </c>
      <c r="CG65">
        <v>8208</v>
      </c>
      <c r="CH65">
        <v>11</v>
      </c>
      <c r="CI65">
        <v>11286</v>
      </c>
      <c r="CJ65">
        <v>6</v>
      </c>
      <c r="CK65">
        <v>6156</v>
      </c>
      <c r="CL65">
        <v>7</v>
      </c>
      <c r="CM65">
        <v>7182</v>
      </c>
      <c r="CN65">
        <v>12</v>
      </c>
      <c r="CO65">
        <v>12312</v>
      </c>
      <c r="CP65">
        <v>8</v>
      </c>
      <c r="CQ65">
        <v>8208</v>
      </c>
      <c r="CR65">
        <v>8</v>
      </c>
      <c r="CS65">
        <v>8208</v>
      </c>
      <c r="CT65">
        <v>10</v>
      </c>
      <c r="CU65">
        <v>10260</v>
      </c>
    </row>
    <row r="66" spans="2:99" x14ac:dyDescent="0.2">
      <c r="C66" s="105" t="s">
        <v>232</v>
      </c>
      <c r="D66">
        <v>10</v>
      </c>
      <c r="E66">
        <v>11903.999999999998</v>
      </c>
      <c r="F66">
        <v>12</v>
      </c>
      <c r="G66">
        <v>14284.8</v>
      </c>
      <c r="H66">
        <v>9</v>
      </c>
      <c r="I66">
        <v>10713.599999999999</v>
      </c>
      <c r="J66">
        <v>9</v>
      </c>
      <c r="K66">
        <v>10713.599999999999</v>
      </c>
      <c r="L66">
        <v>10</v>
      </c>
      <c r="M66">
        <v>11903.999999999998</v>
      </c>
      <c r="N66">
        <v>6</v>
      </c>
      <c r="O66">
        <v>7142.4</v>
      </c>
      <c r="P66">
        <v>6</v>
      </c>
      <c r="Q66">
        <v>7142.4</v>
      </c>
      <c r="R66">
        <v>10</v>
      </c>
      <c r="S66">
        <v>11903.999999999998</v>
      </c>
      <c r="T66">
        <v>12</v>
      </c>
      <c r="U66">
        <v>14284.8</v>
      </c>
      <c r="V66">
        <v>7</v>
      </c>
      <c r="W66">
        <v>8332.7999999999993</v>
      </c>
      <c r="X66">
        <v>9</v>
      </c>
      <c r="Y66">
        <v>10713.599999999999</v>
      </c>
      <c r="Z66">
        <v>7</v>
      </c>
      <c r="AA66">
        <v>8332.7999999999993</v>
      </c>
      <c r="AB66">
        <v>6</v>
      </c>
      <c r="AC66">
        <v>7142.4</v>
      </c>
      <c r="AD66">
        <v>9</v>
      </c>
      <c r="AE66">
        <v>10713.599999999999</v>
      </c>
      <c r="AF66">
        <v>6</v>
      </c>
      <c r="AG66">
        <v>7142.4</v>
      </c>
      <c r="AH66">
        <v>8</v>
      </c>
      <c r="AI66">
        <v>9523.1999999999989</v>
      </c>
      <c r="AJ66">
        <v>9</v>
      </c>
      <c r="AK66">
        <v>10713.599999999999</v>
      </c>
      <c r="AL66">
        <v>7</v>
      </c>
      <c r="AM66">
        <v>8332.7999999999993</v>
      </c>
      <c r="AN66">
        <v>8</v>
      </c>
      <c r="AO66">
        <v>9523.1999999999989</v>
      </c>
      <c r="AP66">
        <v>6</v>
      </c>
      <c r="AQ66">
        <v>7142.4</v>
      </c>
      <c r="AR66">
        <v>7</v>
      </c>
      <c r="AS66">
        <v>8332.7999999999993</v>
      </c>
      <c r="AT66">
        <v>7</v>
      </c>
      <c r="AU66">
        <v>8332.7999999999993</v>
      </c>
      <c r="AV66">
        <v>10</v>
      </c>
      <c r="AW66">
        <v>11903.999999999998</v>
      </c>
      <c r="AX66">
        <v>10</v>
      </c>
      <c r="AY66">
        <v>11903.999999999998</v>
      </c>
      <c r="AZ66">
        <v>9</v>
      </c>
      <c r="BA66">
        <v>10713.599999999999</v>
      </c>
      <c r="BB66">
        <v>8</v>
      </c>
      <c r="BC66">
        <v>9523.1999999999989</v>
      </c>
      <c r="BD66">
        <v>11</v>
      </c>
      <c r="BE66">
        <v>13094.399999999998</v>
      </c>
      <c r="BF66">
        <v>10</v>
      </c>
      <c r="BG66">
        <v>11903.999999999998</v>
      </c>
      <c r="BH66">
        <v>9</v>
      </c>
      <c r="BI66">
        <v>10713.599999999999</v>
      </c>
      <c r="BJ66">
        <v>9</v>
      </c>
      <c r="BK66">
        <v>10713.599999999999</v>
      </c>
      <c r="BL66">
        <v>6</v>
      </c>
      <c r="BM66">
        <v>7142.4</v>
      </c>
      <c r="BN66">
        <v>10</v>
      </c>
      <c r="BO66">
        <v>11903.999999999998</v>
      </c>
      <c r="BP66">
        <v>9</v>
      </c>
      <c r="BQ66">
        <v>10713.599999999999</v>
      </c>
      <c r="BR66">
        <v>10</v>
      </c>
      <c r="BS66">
        <v>11903.999999999998</v>
      </c>
      <c r="BT66">
        <v>6</v>
      </c>
      <c r="BU66">
        <v>7142.4</v>
      </c>
      <c r="BV66">
        <v>7</v>
      </c>
      <c r="BW66">
        <v>8332.7999999999993</v>
      </c>
      <c r="BX66">
        <v>8</v>
      </c>
      <c r="BY66">
        <v>9523.1999999999989</v>
      </c>
      <c r="BZ66">
        <v>9</v>
      </c>
      <c r="CA66">
        <v>10713.599999999999</v>
      </c>
      <c r="CB66">
        <v>7</v>
      </c>
      <c r="CC66">
        <v>8332.7999999999993</v>
      </c>
      <c r="CD66">
        <v>7</v>
      </c>
      <c r="CE66">
        <v>8332.7999999999993</v>
      </c>
      <c r="CF66">
        <v>8</v>
      </c>
      <c r="CG66">
        <v>9523.1999999999989</v>
      </c>
      <c r="CH66">
        <v>11</v>
      </c>
      <c r="CI66">
        <v>13094.399999999998</v>
      </c>
      <c r="CJ66">
        <v>5</v>
      </c>
      <c r="CK66">
        <v>5951.9999999999991</v>
      </c>
      <c r="CL66">
        <v>7</v>
      </c>
      <c r="CM66">
        <v>8332.7999999999993</v>
      </c>
      <c r="CN66">
        <v>10</v>
      </c>
      <c r="CO66">
        <v>11903.999999999998</v>
      </c>
      <c r="CP66">
        <v>9</v>
      </c>
      <c r="CQ66">
        <v>10713.599999999999</v>
      </c>
      <c r="CR66">
        <v>8</v>
      </c>
      <c r="CS66">
        <v>9523.1999999999989</v>
      </c>
      <c r="CT66">
        <v>9</v>
      </c>
      <c r="CU66">
        <v>10713.599999999999</v>
      </c>
    </row>
    <row r="67" spans="2:99" x14ac:dyDescent="0.2">
      <c r="C67" s="105" t="s">
        <v>233</v>
      </c>
      <c r="D67">
        <v>9</v>
      </c>
      <c r="E67">
        <v>10108.800000000001</v>
      </c>
      <c r="F67">
        <v>11</v>
      </c>
      <c r="G67">
        <v>12355.2</v>
      </c>
      <c r="H67">
        <v>8</v>
      </c>
      <c r="I67">
        <v>8985.6</v>
      </c>
      <c r="J67">
        <v>10</v>
      </c>
      <c r="K67">
        <v>11232</v>
      </c>
      <c r="L67">
        <v>11</v>
      </c>
      <c r="M67">
        <v>12355.2</v>
      </c>
      <c r="N67">
        <v>6</v>
      </c>
      <c r="O67">
        <v>6739.2000000000007</v>
      </c>
      <c r="P67">
        <v>5</v>
      </c>
      <c r="Q67">
        <v>5616</v>
      </c>
      <c r="R67">
        <v>11</v>
      </c>
      <c r="S67">
        <v>12355.2</v>
      </c>
      <c r="T67">
        <v>11</v>
      </c>
      <c r="U67">
        <v>12355.2</v>
      </c>
      <c r="V67">
        <v>7</v>
      </c>
      <c r="W67">
        <v>7862.4000000000005</v>
      </c>
      <c r="X67">
        <v>9</v>
      </c>
      <c r="Y67">
        <v>10108.800000000001</v>
      </c>
      <c r="Z67">
        <v>6</v>
      </c>
      <c r="AA67">
        <v>6739.2000000000007</v>
      </c>
      <c r="AB67">
        <v>6</v>
      </c>
      <c r="AC67">
        <v>6739.2000000000007</v>
      </c>
      <c r="AD67">
        <v>9</v>
      </c>
      <c r="AE67">
        <v>10108.800000000001</v>
      </c>
      <c r="AF67">
        <v>6</v>
      </c>
      <c r="AG67">
        <v>6739.2000000000007</v>
      </c>
      <c r="AH67">
        <v>9</v>
      </c>
      <c r="AI67">
        <v>10108.800000000001</v>
      </c>
      <c r="AJ67">
        <v>8</v>
      </c>
      <c r="AK67">
        <v>8985.6</v>
      </c>
      <c r="AL67">
        <v>7</v>
      </c>
      <c r="AM67">
        <v>7862.4000000000005</v>
      </c>
      <c r="AN67">
        <v>8</v>
      </c>
      <c r="AO67">
        <v>8985.6</v>
      </c>
      <c r="AP67">
        <v>6</v>
      </c>
      <c r="AQ67">
        <v>6739.2000000000007</v>
      </c>
      <c r="AR67">
        <v>8</v>
      </c>
      <c r="AS67">
        <v>8985.6</v>
      </c>
      <c r="AT67">
        <v>6</v>
      </c>
      <c r="AU67">
        <v>6739.2000000000007</v>
      </c>
      <c r="AV67">
        <v>9</v>
      </c>
      <c r="AW67">
        <v>10108.800000000001</v>
      </c>
      <c r="AX67">
        <v>8</v>
      </c>
      <c r="AY67">
        <v>8985.6</v>
      </c>
      <c r="AZ67">
        <v>8</v>
      </c>
      <c r="BA67">
        <v>8985.6</v>
      </c>
      <c r="BB67">
        <v>8</v>
      </c>
      <c r="BC67">
        <v>8985.6</v>
      </c>
      <c r="BD67">
        <v>11</v>
      </c>
      <c r="BE67">
        <v>12355.2</v>
      </c>
      <c r="BF67">
        <v>10</v>
      </c>
      <c r="BG67">
        <v>11232</v>
      </c>
      <c r="BH67">
        <v>9</v>
      </c>
      <c r="BI67">
        <v>10108.800000000001</v>
      </c>
      <c r="BJ67">
        <v>9</v>
      </c>
      <c r="BK67">
        <v>10108.800000000001</v>
      </c>
      <c r="BL67">
        <v>6</v>
      </c>
      <c r="BM67">
        <v>6739.2000000000007</v>
      </c>
      <c r="BN67">
        <v>12</v>
      </c>
      <c r="BO67">
        <v>13478.400000000001</v>
      </c>
      <c r="BP67">
        <v>8</v>
      </c>
      <c r="BQ67">
        <v>8985.6</v>
      </c>
      <c r="BR67">
        <v>10</v>
      </c>
      <c r="BS67">
        <v>11232</v>
      </c>
      <c r="BT67">
        <v>6</v>
      </c>
      <c r="BU67">
        <v>6739.2000000000007</v>
      </c>
      <c r="BV67">
        <v>7</v>
      </c>
      <c r="BW67">
        <v>7862.4000000000005</v>
      </c>
      <c r="BX67">
        <v>7</v>
      </c>
      <c r="BY67">
        <v>7862.4000000000005</v>
      </c>
      <c r="BZ67">
        <v>9</v>
      </c>
      <c r="CA67">
        <v>10108.800000000001</v>
      </c>
      <c r="CB67">
        <v>7</v>
      </c>
      <c r="CC67">
        <v>7862.4000000000005</v>
      </c>
      <c r="CD67">
        <v>7</v>
      </c>
      <c r="CE67">
        <v>7862.4000000000005</v>
      </c>
      <c r="CF67">
        <v>7</v>
      </c>
      <c r="CG67">
        <v>7862.4000000000005</v>
      </c>
      <c r="CH67">
        <v>12</v>
      </c>
      <c r="CI67">
        <v>13478.400000000001</v>
      </c>
      <c r="CJ67">
        <v>6</v>
      </c>
      <c r="CK67">
        <v>6739.2000000000007</v>
      </c>
      <c r="CL67">
        <v>6</v>
      </c>
      <c r="CM67">
        <v>6739.2000000000007</v>
      </c>
      <c r="CN67">
        <v>12</v>
      </c>
      <c r="CO67">
        <v>13478.400000000001</v>
      </c>
      <c r="CP67">
        <v>9</v>
      </c>
      <c r="CQ67">
        <v>10108.800000000001</v>
      </c>
      <c r="CR67">
        <v>8</v>
      </c>
      <c r="CS67">
        <v>8985.6</v>
      </c>
      <c r="CT67">
        <v>9</v>
      </c>
      <c r="CU67">
        <v>10108.800000000001</v>
      </c>
    </row>
    <row r="68" spans="2:99" x14ac:dyDescent="0.2">
      <c r="C68" s="105" t="s">
        <v>234</v>
      </c>
      <c r="D68">
        <v>9</v>
      </c>
      <c r="E68">
        <v>9298.8000000000011</v>
      </c>
      <c r="F68">
        <v>12</v>
      </c>
      <c r="G68">
        <v>12398.400000000001</v>
      </c>
      <c r="H68">
        <v>8</v>
      </c>
      <c r="I68">
        <v>8265.6</v>
      </c>
      <c r="J68">
        <v>9</v>
      </c>
      <c r="K68">
        <v>9298.8000000000011</v>
      </c>
      <c r="L68">
        <v>11</v>
      </c>
      <c r="M68">
        <v>11365.2</v>
      </c>
      <c r="N68">
        <v>6</v>
      </c>
      <c r="O68">
        <v>6199.2000000000007</v>
      </c>
      <c r="P68">
        <v>6</v>
      </c>
      <c r="Q68">
        <v>6199.2000000000007</v>
      </c>
      <c r="R68">
        <v>9</v>
      </c>
      <c r="S68">
        <v>9298.8000000000011</v>
      </c>
      <c r="T68">
        <v>11</v>
      </c>
      <c r="U68">
        <v>11365.2</v>
      </c>
      <c r="V68">
        <v>7</v>
      </c>
      <c r="W68">
        <v>7232.4000000000005</v>
      </c>
      <c r="X68">
        <v>8</v>
      </c>
      <c r="Y68">
        <v>8265.6</v>
      </c>
      <c r="Z68">
        <v>7</v>
      </c>
      <c r="AA68">
        <v>7232.4000000000005</v>
      </c>
      <c r="AB68">
        <v>6</v>
      </c>
      <c r="AC68">
        <v>6199.2000000000007</v>
      </c>
      <c r="AD68">
        <v>10</v>
      </c>
      <c r="AE68">
        <v>10332</v>
      </c>
      <c r="AF68">
        <v>6</v>
      </c>
      <c r="AG68">
        <v>6199.2000000000007</v>
      </c>
      <c r="AH68">
        <v>9</v>
      </c>
      <c r="AI68">
        <v>9298.8000000000011</v>
      </c>
      <c r="AJ68">
        <v>8</v>
      </c>
      <c r="AK68">
        <v>8265.6</v>
      </c>
      <c r="AL68">
        <v>7</v>
      </c>
      <c r="AM68">
        <v>7232.4000000000005</v>
      </c>
      <c r="AN68">
        <v>9</v>
      </c>
      <c r="AO68">
        <v>9298.8000000000011</v>
      </c>
      <c r="AP68">
        <v>6</v>
      </c>
      <c r="AQ68">
        <v>6199.2000000000007</v>
      </c>
      <c r="AR68">
        <v>7</v>
      </c>
      <c r="AS68">
        <v>7232.4000000000005</v>
      </c>
      <c r="AT68">
        <v>6</v>
      </c>
      <c r="AU68">
        <v>6199.2000000000007</v>
      </c>
      <c r="AV68">
        <v>9</v>
      </c>
      <c r="AW68">
        <v>9298.8000000000011</v>
      </c>
      <c r="AX68">
        <v>9</v>
      </c>
      <c r="AY68">
        <v>9298.8000000000011</v>
      </c>
      <c r="AZ68">
        <v>9</v>
      </c>
      <c r="BA68">
        <v>9298.8000000000011</v>
      </c>
      <c r="BB68">
        <v>8</v>
      </c>
      <c r="BC68">
        <v>8265.6</v>
      </c>
      <c r="BD68">
        <v>11</v>
      </c>
      <c r="BE68">
        <v>11365.2</v>
      </c>
      <c r="BF68">
        <v>9</v>
      </c>
      <c r="BG68">
        <v>9298.8000000000011</v>
      </c>
      <c r="BH68">
        <v>9</v>
      </c>
      <c r="BI68">
        <v>9298.8000000000011</v>
      </c>
      <c r="BJ68">
        <v>8</v>
      </c>
      <c r="BK68">
        <v>8265.6</v>
      </c>
      <c r="BL68">
        <v>6</v>
      </c>
      <c r="BM68">
        <v>6199.2000000000007</v>
      </c>
      <c r="BN68">
        <v>10</v>
      </c>
      <c r="BO68">
        <v>10332</v>
      </c>
      <c r="BP68">
        <v>10</v>
      </c>
      <c r="BQ68">
        <v>10332</v>
      </c>
      <c r="BR68">
        <v>10</v>
      </c>
      <c r="BS68">
        <v>10332</v>
      </c>
      <c r="BT68">
        <v>6</v>
      </c>
      <c r="BU68">
        <v>6199.2000000000007</v>
      </c>
      <c r="BV68">
        <v>7</v>
      </c>
      <c r="BW68">
        <v>7232.4000000000005</v>
      </c>
      <c r="BX68">
        <v>8</v>
      </c>
      <c r="BY68">
        <v>8265.6</v>
      </c>
      <c r="BZ68">
        <v>10</v>
      </c>
      <c r="CA68">
        <v>10332</v>
      </c>
      <c r="CB68">
        <v>7</v>
      </c>
      <c r="CC68">
        <v>7232.4000000000005</v>
      </c>
      <c r="CD68">
        <v>8</v>
      </c>
      <c r="CE68">
        <v>8265.6</v>
      </c>
      <c r="CF68">
        <v>8</v>
      </c>
      <c r="CG68">
        <v>8265.6</v>
      </c>
      <c r="CH68">
        <v>12</v>
      </c>
      <c r="CI68">
        <v>12398.400000000001</v>
      </c>
      <c r="CJ68">
        <v>6</v>
      </c>
      <c r="CK68">
        <v>6199.2000000000007</v>
      </c>
      <c r="CL68">
        <v>7</v>
      </c>
      <c r="CM68">
        <v>7232.4000000000005</v>
      </c>
      <c r="CN68">
        <v>10</v>
      </c>
      <c r="CO68">
        <v>10332</v>
      </c>
      <c r="CP68">
        <v>9</v>
      </c>
      <c r="CQ68">
        <v>9298.8000000000011</v>
      </c>
      <c r="CR68">
        <v>8</v>
      </c>
      <c r="CS68">
        <v>8265.6</v>
      </c>
      <c r="CT68">
        <v>11</v>
      </c>
      <c r="CU68">
        <v>11365.2</v>
      </c>
    </row>
    <row r="69" spans="2:99" x14ac:dyDescent="0.2">
      <c r="C69" s="105" t="s">
        <v>235</v>
      </c>
      <c r="D69">
        <v>11</v>
      </c>
      <c r="E69">
        <v>8342.4</v>
      </c>
      <c r="F69">
        <v>12</v>
      </c>
      <c r="G69">
        <v>9100.7999999999993</v>
      </c>
      <c r="H69">
        <v>8</v>
      </c>
      <c r="I69">
        <v>6067.2</v>
      </c>
      <c r="J69">
        <v>10</v>
      </c>
      <c r="K69">
        <v>7584</v>
      </c>
      <c r="L69">
        <v>11</v>
      </c>
      <c r="M69">
        <v>8342.4</v>
      </c>
      <c r="N69">
        <v>6</v>
      </c>
      <c r="O69">
        <v>4550.3999999999996</v>
      </c>
      <c r="P69">
        <v>6</v>
      </c>
      <c r="Q69">
        <v>4550.3999999999996</v>
      </c>
      <c r="R69">
        <v>10</v>
      </c>
      <c r="S69">
        <v>7584</v>
      </c>
      <c r="T69">
        <v>12</v>
      </c>
      <c r="U69">
        <v>9100.7999999999993</v>
      </c>
      <c r="V69">
        <v>7</v>
      </c>
      <c r="W69">
        <v>5308.8</v>
      </c>
      <c r="X69">
        <v>9</v>
      </c>
      <c r="Y69">
        <v>6825.5999999999995</v>
      </c>
      <c r="Z69">
        <v>6</v>
      </c>
      <c r="AA69">
        <v>4550.3999999999996</v>
      </c>
      <c r="AB69">
        <v>7</v>
      </c>
      <c r="AC69">
        <v>5308.8</v>
      </c>
      <c r="AD69">
        <v>9</v>
      </c>
      <c r="AE69">
        <v>6825.5999999999995</v>
      </c>
      <c r="AF69">
        <v>7</v>
      </c>
      <c r="AG69">
        <v>5308.8</v>
      </c>
      <c r="AH69">
        <v>10</v>
      </c>
      <c r="AI69">
        <v>7584</v>
      </c>
      <c r="AJ69">
        <v>8</v>
      </c>
      <c r="AK69">
        <v>6067.2</v>
      </c>
      <c r="AL69">
        <v>7</v>
      </c>
      <c r="AM69">
        <v>5308.8</v>
      </c>
      <c r="AN69">
        <v>9</v>
      </c>
      <c r="AO69">
        <v>6825.5999999999995</v>
      </c>
      <c r="AP69">
        <v>7</v>
      </c>
      <c r="AQ69">
        <v>5308.8</v>
      </c>
      <c r="AR69">
        <v>7</v>
      </c>
      <c r="AS69">
        <v>5308.8</v>
      </c>
      <c r="AT69">
        <v>7</v>
      </c>
      <c r="AU69">
        <v>5308.8</v>
      </c>
      <c r="AV69">
        <v>9</v>
      </c>
      <c r="AW69">
        <v>6825.5999999999995</v>
      </c>
      <c r="AX69">
        <v>10</v>
      </c>
      <c r="AY69">
        <v>7584</v>
      </c>
      <c r="AZ69">
        <v>8</v>
      </c>
      <c r="BA69">
        <v>6067.2</v>
      </c>
      <c r="BB69">
        <v>9</v>
      </c>
      <c r="BC69">
        <v>6825.5999999999995</v>
      </c>
      <c r="BD69">
        <v>11</v>
      </c>
      <c r="BE69">
        <v>8342.4</v>
      </c>
      <c r="BF69">
        <v>10</v>
      </c>
      <c r="BG69">
        <v>7584</v>
      </c>
      <c r="BH69">
        <v>9</v>
      </c>
      <c r="BI69">
        <v>6825.5999999999995</v>
      </c>
      <c r="BJ69">
        <v>9</v>
      </c>
      <c r="BK69">
        <v>6825.5999999999995</v>
      </c>
      <c r="BL69">
        <v>6</v>
      </c>
      <c r="BM69">
        <v>4550.3999999999996</v>
      </c>
      <c r="BN69">
        <v>11</v>
      </c>
      <c r="BO69">
        <v>8342.4</v>
      </c>
      <c r="BP69">
        <v>10</v>
      </c>
      <c r="BQ69">
        <v>7584</v>
      </c>
      <c r="BR69">
        <v>9</v>
      </c>
      <c r="BS69">
        <v>6825.5999999999995</v>
      </c>
      <c r="BT69">
        <v>6</v>
      </c>
      <c r="BU69">
        <v>4550.3999999999996</v>
      </c>
      <c r="BV69">
        <v>7</v>
      </c>
      <c r="BW69">
        <v>5308.8</v>
      </c>
      <c r="BX69">
        <v>7</v>
      </c>
      <c r="BY69">
        <v>5308.8</v>
      </c>
      <c r="BZ69">
        <v>11</v>
      </c>
      <c r="CA69">
        <v>8342.4</v>
      </c>
      <c r="CB69">
        <v>8</v>
      </c>
      <c r="CC69">
        <v>6067.2</v>
      </c>
      <c r="CD69">
        <v>7</v>
      </c>
      <c r="CE69">
        <v>5308.8</v>
      </c>
      <c r="CF69">
        <v>7</v>
      </c>
      <c r="CG69">
        <v>5308.8</v>
      </c>
      <c r="CH69">
        <v>13</v>
      </c>
      <c r="CI69">
        <v>9859.1999999999989</v>
      </c>
      <c r="CJ69">
        <v>6</v>
      </c>
      <c r="CK69">
        <v>4550.3999999999996</v>
      </c>
      <c r="CL69">
        <v>7</v>
      </c>
      <c r="CM69">
        <v>5308.8</v>
      </c>
      <c r="CN69">
        <v>11</v>
      </c>
      <c r="CO69">
        <v>8342.4</v>
      </c>
      <c r="CP69">
        <v>8</v>
      </c>
      <c r="CQ69">
        <v>6067.2</v>
      </c>
      <c r="CR69">
        <v>9</v>
      </c>
      <c r="CS69">
        <v>6825.5999999999995</v>
      </c>
      <c r="CT69">
        <v>10</v>
      </c>
      <c r="CU69">
        <v>7584</v>
      </c>
    </row>
    <row r="70" spans="2:99" x14ac:dyDescent="0.2">
      <c r="C70" s="105" t="s">
        <v>236</v>
      </c>
      <c r="D70">
        <v>10</v>
      </c>
      <c r="E70">
        <v>5351.9999999999991</v>
      </c>
      <c r="F70">
        <v>12</v>
      </c>
      <c r="G70">
        <v>6422.4</v>
      </c>
      <c r="H70">
        <v>9</v>
      </c>
      <c r="I70">
        <v>4816.7999999999993</v>
      </c>
      <c r="J70">
        <v>9</v>
      </c>
      <c r="K70">
        <v>4816.7999999999993</v>
      </c>
      <c r="L70">
        <v>11</v>
      </c>
      <c r="M70">
        <v>5887.1999999999989</v>
      </c>
      <c r="N70">
        <v>7</v>
      </c>
      <c r="O70">
        <v>3746.3999999999996</v>
      </c>
      <c r="P70">
        <v>6</v>
      </c>
      <c r="Q70">
        <v>3211.2</v>
      </c>
      <c r="R70">
        <v>10</v>
      </c>
      <c r="S70">
        <v>5351.9999999999991</v>
      </c>
      <c r="T70">
        <v>12</v>
      </c>
      <c r="U70">
        <v>6422.4</v>
      </c>
      <c r="V70">
        <v>7</v>
      </c>
      <c r="W70">
        <v>3746.3999999999996</v>
      </c>
      <c r="X70">
        <v>10</v>
      </c>
      <c r="Y70">
        <v>5351.9999999999991</v>
      </c>
      <c r="Z70">
        <v>7</v>
      </c>
      <c r="AA70">
        <v>3746.3999999999996</v>
      </c>
      <c r="AB70">
        <v>6</v>
      </c>
      <c r="AC70">
        <v>3211.2</v>
      </c>
      <c r="AD70">
        <v>10</v>
      </c>
      <c r="AE70">
        <v>5351.9999999999991</v>
      </c>
      <c r="AF70">
        <v>7</v>
      </c>
      <c r="AG70">
        <v>3746.3999999999996</v>
      </c>
      <c r="AH70">
        <v>10</v>
      </c>
      <c r="AI70">
        <v>5351.9999999999991</v>
      </c>
      <c r="AJ70">
        <v>9</v>
      </c>
      <c r="AK70">
        <v>4816.7999999999993</v>
      </c>
      <c r="AL70">
        <v>8</v>
      </c>
      <c r="AM70">
        <v>4281.5999999999995</v>
      </c>
      <c r="AN70">
        <v>9</v>
      </c>
      <c r="AO70">
        <v>4816.7999999999993</v>
      </c>
      <c r="AP70">
        <v>7</v>
      </c>
      <c r="AQ70">
        <v>3746.3999999999996</v>
      </c>
      <c r="AR70">
        <v>8</v>
      </c>
      <c r="AS70">
        <v>4281.5999999999995</v>
      </c>
      <c r="AT70">
        <v>7</v>
      </c>
      <c r="AU70">
        <v>3746.3999999999996</v>
      </c>
      <c r="AV70">
        <v>9</v>
      </c>
      <c r="AW70">
        <v>4816.7999999999993</v>
      </c>
      <c r="AX70">
        <v>10</v>
      </c>
      <c r="AY70">
        <v>5351.9999999999991</v>
      </c>
      <c r="AZ70">
        <v>9</v>
      </c>
      <c r="BA70">
        <v>4816.7999999999993</v>
      </c>
      <c r="BB70">
        <v>8</v>
      </c>
      <c r="BC70">
        <v>4281.5999999999995</v>
      </c>
      <c r="BD70">
        <v>12</v>
      </c>
      <c r="BE70">
        <v>6422.4</v>
      </c>
      <c r="BF70">
        <v>10</v>
      </c>
      <c r="BG70">
        <v>5351.9999999999991</v>
      </c>
      <c r="BH70">
        <v>9</v>
      </c>
      <c r="BI70">
        <v>4816.7999999999993</v>
      </c>
      <c r="BJ70">
        <v>9</v>
      </c>
      <c r="BK70">
        <v>4816.7999999999993</v>
      </c>
      <c r="BL70">
        <v>6</v>
      </c>
      <c r="BM70">
        <v>3211.2</v>
      </c>
      <c r="BN70">
        <v>12</v>
      </c>
      <c r="BO70">
        <v>6422.4</v>
      </c>
      <c r="BP70">
        <v>10</v>
      </c>
      <c r="BQ70">
        <v>5351.9999999999991</v>
      </c>
      <c r="BR70">
        <v>11</v>
      </c>
      <c r="BS70">
        <v>5887.1999999999989</v>
      </c>
      <c r="BT70">
        <v>6</v>
      </c>
      <c r="BU70">
        <v>3211.2</v>
      </c>
      <c r="BV70">
        <v>6</v>
      </c>
      <c r="BW70">
        <v>3211.2</v>
      </c>
      <c r="BX70">
        <v>9</v>
      </c>
      <c r="BY70">
        <v>4816.7999999999993</v>
      </c>
      <c r="BZ70">
        <v>9</v>
      </c>
      <c r="CA70">
        <v>4816.7999999999993</v>
      </c>
      <c r="CB70">
        <v>8</v>
      </c>
      <c r="CC70">
        <v>4281.5999999999995</v>
      </c>
      <c r="CD70">
        <v>8</v>
      </c>
      <c r="CE70">
        <v>4281.5999999999995</v>
      </c>
      <c r="CF70">
        <v>8</v>
      </c>
      <c r="CG70">
        <v>4281.5999999999995</v>
      </c>
      <c r="CH70">
        <v>12</v>
      </c>
      <c r="CI70">
        <v>6422.4</v>
      </c>
      <c r="CJ70">
        <v>6</v>
      </c>
      <c r="CK70">
        <v>3211.2</v>
      </c>
      <c r="CL70">
        <v>7</v>
      </c>
      <c r="CM70">
        <v>3746.3999999999996</v>
      </c>
      <c r="CN70">
        <v>11</v>
      </c>
      <c r="CO70">
        <v>5887.1999999999989</v>
      </c>
      <c r="CP70">
        <v>9</v>
      </c>
      <c r="CQ70">
        <v>4816.7999999999993</v>
      </c>
      <c r="CR70">
        <v>10</v>
      </c>
      <c r="CS70">
        <v>5351.9999999999991</v>
      </c>
      <c r="CT70">
        <v>10</v>
      </c>
      <c r="CU70">
        <v>5351.9999999999991</v>
      </c>
    </row>
    <row r="71" spans="2:99" x14ac:dyDescent="0.2">
      <c r="B71" s="105" t="s">
        <v>130</v>
      </c>
      <c r="C71" s="105" t="s">
        <v>237</v>
      </c>
      <c r="D71">
        <v>7</v>
      </c>
      <c r="E71">
        <v>3948</v>
      </c>
      <c r="F71">
        <v>9</v>
      </c>
      <c r="G71">
        <v>5076</v>
      </c>
      <c r="H71">
        <v>9</v>
      </c>
      <c r="I71">
        <v>5076</v>
      </c>
      <c r="J71">
        <v>10</v>
      </c>
      <c r="K71">
        <v>5640</v>
      </c>
      <c r="L71">
        <v>6</v>
      </c>
      <c r="M71">
        <v>3384</v>
      </c>
      <c r="N71">
        <v>6</v>
      </c>
      <c r="O71">
        <v>3384</v>
      </c>
      <c r="P71">
        <v>7</v>
      </c>
      <c r="Q71">
        <v>3948</v>
      </c>
      <c r="R71">
        <v>9</v>
      </c>
      <c r="S71">
        <v>5076</v>
      </c>
      <c r="T71">
        <v>7</v>
      </c>
      <c r="U71">
        <v>3948</v>
      </c>
      <c r="V71">
        <v>5</v>
      </c>
      <c r="W71">
        <v>2820</v>
      </c>
      <c r="X71">
        <v>9</v>
      </c>
      <c r="Y71">
        <v>5076</v>
      </c>
      <c r="Z71">
        <v>5</v>
      </c>
      <c r="AA71">
        <v>2820</v>
      </c>
      <c r="AB71">
        <v>10</v>
      </c>
      <c r="AC71">
        <v>5640</v>
      </c>
      <c r="AD71">
        <v>8</v>
      </c>
      <c r="AE71">
        <v>4512</v>
      </c>
      <c r="AF71">
        <v>6</v>
      </c>
      <c r="AG71">
        <v>3384</v>
      </c>
      <c r="AH71">
        <v>6.7361398586286692</v>
      </c>
      <c r="AI71">
        <v>3799.1828802665696</v>
      </c>
      <c r="AJ71">
        <v>9</v>
      </c>
      <c r="AK71">
        <v>5076</v>
      </c>
      <c r="AL71">
        <v>4.7203601140489271</v>
      </c>
      <c r="AM71">
        <v>2662.2831043235947</v>
      </c>
      <c r="AN71">
        <v>7</v>
      </c>
      <c r="AO71">
        <v>3948</v>
      </c>
      <c r="AP71">
        <v>8.0957515173459313</v>
      </c>
      <c r="AQ71">
        <v>4566.0038557831049</v>
      </c>
      <c r="AR71">
        <v>7.386582876987962</v>
      </c>
      <c r="AS71">
        <v>4166.0327426212107</v>
      </c>
      <c r="AT71">
        <v>6</v>
      </c>
      <c r="AU71">
        <v>3384</v>
      </c>
      <c r="AV71">
        <v>4.3616485832475602</v>
      </c>
      <c r="AW71">
        <v>2459.9698009516242</v>
      </c>
      <c r="AX71">
        <v>8</v>
      </c>
      <c r="AY71">
        <v>4512</v>
      </c>
      <c r="AZ71">
        <v>8</v>
      </c>
      <c r="BA71">
        <v>4512</v>
      </c>
      <c r="BB71">
        <v>6</v>
      </c>
      <c r="BC71">
        <v>3384</v>
      </c>
      <c r="BD71">
        <v>7</v>
      </c>
      <c r="BE71">
        <v>3948</v>
      </c>
      <c r="BF71">
        <v>8</v>
      </c>
      <c r="BG71">
        <v>4512</v>
      </c>
      <c r="BH71">
        <v>9</v>
      </c>
      <c r="BI71">
        <v>5076</v>
      </c>
      <c r="BJ71">
        <v>8</v>
      </c>
      <c r="BK71">
        <v>4512</v>
      </c>
      <c r="BL71">
        <v>9</v>
      </c>
      <c r="BM71">
        <v>5076</v>
      </c>
      <c r="BN71">
        <v>6.7587508434985839</v>
      </c>
      <c r="BO71">
        <v>3811.9354757332012</v>
      </c>
      <c r="BP71">
        <v>3.7953479920215183</v>
      </c>
      <c r="BQ71">
        <v>2140.5762675001365</v>
      </c>
      <c r="BR71">
        <v>6</v>
      </c>
      <c r="BS71">
        <v>3384</v>
      </c>
      <c r="BT71">
        <v>5.8460425198082504</v>
      </c>
      <c r="BU71">
        <v>3297.1679811718532</v>
      </c>
      <c r="BV71">
        <v>6</v>
      </c>
      <c r="BW71">
        <v>3384</v>
      </c>
      <c r="BX71">
        <v>6.5393593691227538</v>
      </c>
      <c r="BY71">
        <v>3688.1986841852331</v>
      </c>
      <c r="BZ71">
        <v>7</v>
      </c>
      <c r="CA71">
        <v>3948</v>
      </c>
      <c r="CB71">
        <v>5.8160725767253441</v>
      </c>
      <c r="CC71">
        <v>3280.2649332730939</v>
      </c>
      <c r="CD71">
        <v>10</v>
      </c>
      <c r="CE71">
        <v>5640</v>
      </c>
      <c r="CF71">
        <v>8</v>
      </c>
      <c r="CG71">
        <v>4512</v>
      </c>
      <c r="CH71">
        <v>10.311865154546171</v>
      </c>
      <c r="CI71">
        <v>5815.8919471640402</v>
      </c>
      <c r="CJ71">
        <v>8.9366157528618544</v>
      </c>
      <c r="CK71">
        <v>5040.2512846140862</v>
      </c>
      <c r="CL71">
        <v>5.9786108123466217</v>
      </c>
      <c r="CM71">
        <v>3371.9364981634944</v>
      </c>
      <c r="CN71">
        <v>5.6098917596448734</v>
      </c>
      <c r="CO71">
        <v>3163.9789524397088</v>
      </c>
      <c r="CP71">
        <v>4.5529419100407829</v>
      </c>
      <c r="CQ71">
        <v>2567.8592372630014</v>
      </c>
      <c r="CR71">
        <v>5.6512396860031178</v>
      </c>
      <c r="CS71">
        <v>3187.2991829057582</v>
      </c>
      <c r="CT71">
        <v>12</v>
      </c>
      <c r="CU71">
        <v>6768</v>
      </c>
    </row>
    <row r="72" spans="2:99" x14ac:dyDescent="0.2">
      <c r="C72" s="105" t="s">
        <v>238</v>
      </c>
      <c r="D72">
        <v>8</v>
      </c>
      <c r="E72">
        <v>595.19999999999993</v>
      </c>
      <c r="F72">
        <v>9</v>
      </c>
      <c r="G72">
        <v>669.59999999999991</v>
      </c>
      <c r="H72">
        <v>10</v>
      </c>
      <c r="I72">
        <v>743.99999999999989</v>
      </c>
      <c r="J72">
        <v>10</v>
      </c>
      <c r="K72">
        <v>743.99999999999989</v>
      </c>
      <c r="L72">
        <v>8</v>
      </c>
      <c r="M72">
        <v>595.19999999999993</v>
      </c>
      <c r="N72">
        <v>7</v>
      </c>
      <c r="O72">
        <v>520.79999999999995</v>
      </c>
      <c r="P72">
        <v>9</v>
      </c>
      <c r="Q72">
        <v>669.59999999999991</v>
      </c>
      <c r="R72">
        <v>10</v>
      </c>
      <c r="S72">
        <v>743.99999999999989</v>
      </c>
      <c r="T72">
        <v>8</v>
      </c>
      <c r="U72">
        <v>595.19999999999993</v>
      </c>
      <c r="V72">
        <v>6</v>
      </c>
      <c r="W72">
        <v>446.4</v>
      </c>
      <c r="X72">
        <v>10</v>
      </c>
      <c r="Y72">
        <v>743.99999999999989</v>
      </c>
      <c r="Z72">
        <v>6</v>
      </c>
      <c r="AA72">
        <v>446.4</v>
      </c>
      <c r="AB72">
        <v>11</v>
      </c>
      <c r="AC72">
        <v>818.39999999999986</v>
      </c>
      <c r="AD72">
        <v>10</v>
      </c>
      <c r="AE72">
        <v>743.99999999999989</v>
      </c>
      <c r="AF72">
        <v>6</v>
      </c>
      <c r="AG72">
        <v>446.4</v>
      </c>
      <c r="AH72">
        <v>6.7361398586286692</v>
      </c>
      <c r="AI72">
        <v>501.16880548197292</v>
      </c>
      <c r="AJ72">
        <v>9</v>
      </c>
      <c r="AK72">
        <v>669.59999999999991</v>
      </c>
      <c r="AL72">
        <v>4.7203601140489271</v>
      </c>
      <c r="AM72">
        <v>351.19479248524016</v>
      </c>
      <c r="AN72">
        <v>6</v>
      </c>
      <c r="AO72">
        <v>446.4</v>
      </c>
      <c r="AP72">
        <v>8.0957515173459313</v>
      </c>
      <c r="AQ72">
        <v>602.32391289053726</v>
      </c>
      <c r="AR72">
        <v>7.386582876987962</v>
      </c>
      <c r="AS72">
        <v>549.56176604790426</v>
      </c>
      <c r="AT72">
        <v>6</v>
      </c>
      <c r="AU72">
        <v>446.4</v>
      </c>
      <c r="AV72">
        <v>4.3616485832475602</v>
      </c>
      <c r="AW72">
        <v>324.50665459361846</v>
      </c>
      <c r="AX72">
        <v>10</v>
      </c>
      <c r="AY72">
        <v>743.99999999999989</v>
      </c>
      <c r="AZ72">
        <v>8</v>
      </c>
      <c r="BA72">
        <v>595.19999999999993</v>
      </c>
      <c r="BB72">
        <v>6</v>
      </c>
      <c r="BC72">
        <v>446.4</v>
      </c>
      <c r="BD72">
        <v>7</v>
      </c>
      <c r="BE72">
        <v>520.79999999999995</v>
      </c>
      <c r="BF72">
        <v>8</v>
      </c>
      <c r="BG72">
        <v>595.19999999999993</v>
      </c>
      <c r="BH72">
        <v>9</v>
      </c>
      <c r="BI72">
        <v>669.59999999999991</v>
      </c>
      <c r="BJ72">
        <v>9</v>
      </c>
      <c r="BK72">
        <v>669.59999999999991</v>
      </c>
      <c r="BL72">
        <v>11</v>
      </c>
      <c r="BM72">
        <v>818.39999999999986</v>
      </c>
      <c r="BN72">
        <v>6.7587508434985839</v>
      </c>
      <c r="BO72">
        <v>502.8510627562946</v>
      </c>
      <c r="BP72">
        <v>4.5544175904258219</v>
      </c>
      <c r="BQ72">
        <v>338.84866872768112</v>
      </c>
      <c r="BR72">
        <v>6</v>
      </c>
      <c r="BS72">
        <v>446.4</v>
      </c>
      <c r="BT72">
        <v>5.8460425198082504</v>
      </c>
      <c r="BU72">
        <v>434.94556347373378</v>
      </c>
      <c r="BV72">
        <v>5</v>
      </c>
      <c r="BW72">
        <v>371.99999999999994</v>
      </c>
      <c r="BX72">
        <v>6.5393593691227538</v>
      </c>
      <c r="BY72">
        <v>486.52833706273282</v>
      </c>
      <c r="BZ72">
        <v>6</v>
      </c>
      <c r="CA72">
        <v>446.4</v>
      </c>
      <c r="CB72">
        <v>6.4623028630281603</v>
      </c>
      <c r="CC72">
        <v>480.79533300929506</v>
      </c>
      <c r="CD72">
        <v>11</v>
      </c>
      <c r="CE72">
        <v>818.39999999999986</v>
      </c>
      <c r="CF72">
        <v>7</v>
      </c>
      <c r="CG72">
        <v>520.79999999999995</v>
      </c>
      <c r="CH72">
        <v>10.311865154546171</v>
      </c>
      <c r="CI72">
        <v>767.20276749823495</v>
      </c>
      <c r="CJ72">
        <v>10.56145498065492</v>
      </c>
      <c r="CK72">
        <v>785.77225056072598</v>
      </c>
      <c r="CL72">
        <v>5.4351007384969288</v>
      </c>
      <c r="CM72">
        <v>404.37149494417145</v>
      </c>
      <c r="CN72">
        <v>5.6098917596448734</v>
      </c>
      <c r="CO72">
        <v>417.37594691757852</v>
      </c>
      <c r="CP72">
        <v>6.0705892133877102</v>
      </c>
      <c r="CQ72">
        <v>451.65183747604561</v>
      </c>
      <c r="CR72">
        <v>5.6512396860031178</v>
      </c>
      <c r="CS72">
        <v>420.45223263863193</v>
      </c>
      <c r="CT72">
        <v>11</v>
      </c>
      <c r="CU72">
        <v>818.39999999999986</v>
      </c>
    </row>
    <row r="73" spans="2:99" x14ac:dyDescent="0.2">
      <c r="C73" s="105" t="s">
        <v>239</v>
      </c>
      <c r="D73">
        <v>7</v>
      </c>
      <c r="E73">
        <v>3914.3999999999996</v>
      </c>
      <c r="F73">
        <v>9</v>
      </c>
      <c r="G73">
        <v>5032.7999999999993</v>
      </c>
      <c r="H73">
        <v>10</v>
      </c>
      <c r="I73">
        <v>5591.9999999999991</v>
      </c>
      <c r="J73">
        <v>10</v>
      </c>
      <c r="K73">
        <v>5591.9999999999991</v>
      </c>
      <c r="L73">
        <v>6</v>
      </c>
      <c r="M73">
        <v>3355.2</v>
      </c>
      <c r="N73">
        <v>7</v>
      </c>
      <c r="O73">
        <v>3914.3999999999996</v>
      </c>
      <c r="P73">
        <v>7</v>
      </c>
      <c r="Q73">
        <v>3914.3999999999996</v>
      </c>
      <c r="R73">
        <v>9</v>
      </c>
      <c r="S73">
        <v>5032.7999999999993</v>
      </c>
      <c r="T73">
        <v>8</v>
      </c>
      <c r="U73">
        <v>4473.5999999999995</v>
      </c>
      <c r="V73">
        <v>5</v>
      </c>
      <c r="W73">
        <v>2795.9999999999995</v>
      </c>
      <c r="X73">
        <v>10</v>
      </c>
      <c r="Y73">
        <v>5591.9999999999991</v>
      </c>
      <c r="Z73">
        <v>5</v>
      </c>
      <c r="AA73">
        <v>2795.9999999999995</v>
      </c>
      <c r="AB73">
        <v>9</v>
      </c>
      <c r="AC73">
        <v>5032.7999999999993</v>
      </c>
      <c r="AD73">
        <v>10</v>
      </c>
      <c r="AE73">
        <v>5591.9999999999991</v>
      </c>
      <c r="AF73">
        <v>6</v>
      </c>
      <c r="AG73">
        <v>3355.2</v>
      </c>
      <c r="AH73">
        <v>6.7361398586286692</v>
      </c>
      <c r="AI73">
        <v>3766.8494089451515</v>
      </c>
      <c r="AJ73">
        <v>8</v>
      </c>
      <c r="AK73">
        <v>4473.5999999999995</v>
      </c>
      <c r="AL73">
        <v>4.2483241026440339</v>
      </c>
      <c r="AM73">
        <v>2375.6628381985433</v>
      </c>
      <c r="AN73">
        <v>7</v>
      </c>
      <c r="AO73">
        <v>3914.3999999999996</v>
      </c>
      <c r="AP73">
        <v>8.0957515173459313</v>
      </c>
      <c r="AQ73">
        <v>4527.1442484998443</v>
      </c>
      <c r="AR73">
        <v>6.6479245892891656</v>
      </c>
      <c r="AS73">
        <v>3717.5194303305011</v>
      </c>
      <c r="AT73">
        <v>6</v>
      </c>
      <c r="AU73">
        <v>3355.2</v>
      </c>
      <c r="AV73">
        <v>4.3616485832475602</v>
      </c>
      <c r="AW73">
        <v>2439.0338877520353</v>
      </c>
      <c r="AX73">
        <v>8</v>
      </c>
      <c r="AY73">
        <v>4473.5999999999995</v>
      </c>
      <c r="AZ73">
        <v>8</v>
      </c>
      <c r="BA73">
        <v>4473.5999999999995</v>
      </c>
      <c r="BB73">
        <v>6</v>
      </c>
      <c r="BC73">
        <v>3355.2</v>
      </c>
      <c r="BD73">
        <v>6</v>
      </c>
      <c r="BE73">
        <v>3355.2</v>
      </c>
      <c r="BF73">
        <v>8</v>
      </c>
      <c r="BG73">
        <v>4473.5999999999995</v>
      </c>
      <c r="BH73">
        <v>8</v>
      </c>
      <c r="BI73">
        <v>4473.5999999999995</v>
      </c>
      <c r="BJ73">
        <v>8</v>
      </c>
      <c r="BK73">
        <v>4473.5999999999995</v>
      </c>
      <c r="BL73">
        <v>9</v>
      </c>
      <c r="BM73">
        <v>5032.7999999999993</v>
      </c>
      <c r="BN73">
        <v>6.0077785275542972</v>
      </c>
      <c r="BO73">
        <v>3359.5497526083627</v>
      </c>
      <c r="BP73">
        <v>4.5544175904258219</v>
      </c>
      <c r="BQ73">
        <v>2546.8303165661191</v>
      </c>
      <c r="BR73">
        <v>6</v>
      </c>
      <c r="BS73">
        <v>3355.2</v>
      </c>
      <c r="BT73">
        <v>6.5767978347842808</v>
      </c>
      <c r="BU73">
        <v>3677.7453492113696</v>
      </c>
      <c r="BV73">
        <v>5</v>
      </c>
      <c r="BW73">
        <v>2795.9999999999995</v>
      </c>
      <c r="BX73">
        <v>6.5393593691227538</v>
      </c>
      <c r="BY73">
        <v>3656.8097592134436</v>
      </c>
      <c r="BZ73">
        <v>6</v>
      </c>
      <c r="CA73">
        <v>3355.2</v>
      </c>
      <c r="CB73">
        <v>5.1698422904225287</v>
      </c>
      <c r="CC73">
        <v>2890.9758088042777</v>
      </c>
      <c r="CD73">
        <v>9</v>
      </c>
      <c r="CE73">
        <v>5032.7999999999993</v>
      </c>
      <c r="CF73">
        <v>8</v>
      </c>
      <c r="CG73">
        <v>4473.5999999999995</v>
      </c>
      <c r="CH73">
        <v>9.4525430583339904</v>
      </c>
      <c r="CI73">
        <v>5285.862078220367</v>
      </c>
      <c r="CJ73">
        <v>8.9366157528618544</v>
      </c>
      <c r="CK73">
        <v>4997.3555290003487</v>
      </c>
      <c r="CL73">
        <v>5.4351007384969288</v>
      </c>
      <c r="CM73">
        <v>3039.3083329674823</v>
      </c>
      <c r="CN73">
        <v>5.6098917596448734</v>
      </c>
      <c r="CO73">
        <v>3137.0514719934126</v>
      </c>
      <c r="CP73">
        <v>6.0705892133877102</v>
      </c>
      <c r="CQ73">
        <v>3394.6734881264069</v>
      </c>
      <c r="CR73">
        <v>5.6512396860031178</v>
      </c>
      <c r="CS73">
        <v>3160.173232412943</v>
      </c>
      <c r="CT73">
        <v>11</v>
      </c>
      <c r="CU73">
        <v>6151.1999999999989</v>
      </c>
    </row>
    <row r="74" spans="2:99" x14ac:dyDescent="0.2">
      <c r="C74" s="105" t="s">
        <v>240</v>
      </c>
      <c r="D74">
        <v>6</v>
      </c>
      <c r="E74">
        <v>2419.1999999999998</v>
      </c>
      <c r="F74">
        <v>10</v>
      </c>
      <c r="G74">
        <v>4032</v>
      </c>
      <c r="H74">
        <v>9</v>
      </c>
      <c r="I74">
        <v>3628.7999999999997</v>
      </c>
      <c r="J74">
        <v>10</v>
      </c>
      <c r="K74">
        <v>4032</v>
      </c>
      <c r="L74">
        <v>6</v>
      </c>
      <c r="M74">
        <v>2419.1999999999998</v>
      </c>
      <c r="N74">
        <v>6</v>
      </c>
      <c r="O74">
        <v>2419.1999999999998</v>
      </c>
      <c r="P74">
        <v>8</v>
      </c>
      <c r="Q74">
        <v>3225.6</v>
      </c>
      <c r="R74">
        <v>8</v>
      </c>
      <c r="S74">
        <v>3225.6</v>
      </c>
      <c r="T74">
        <v>8</v>
      </c>
      <c r="U74">
        <v>3225.6</v>
      </c>
      <c r="V74">
        <v>6</v>
      </c>
      <c r="W74">
        <v>2419.1999999999998</v>
      </c>
      <c r="X74">
        <v>10</v>
      </c>
      <c r="Y74">
        <v>4032</v>
      </c>
      <c r="Z74">
        <v>5</v>
      </c>
      <c r="AA74">
        <v>2016</v>
      </c>
      <c r="AB74">
        <v>10</v>
      </c>
      <c r="AC74">
        <v>4032</v>
      </c>
      <c r="AD74">
        <v>9</v>
      </c>
      <c r="AE74">
        <v>3628.7999999999997</v>
      </c>
      <c r="AF74">
        <v>6</v>
      </c>
      <c r="AG74">
        <v>2419.1999999999998</v>
      </c>
      <c r="AH74">
        <v>6.0625258727658018</v>
      </c>
      <c r="AI74">
        <v>2444.4104318991713</v>
      </c>
      <c r="AJ74">
        <v>8</v>
      </c>
      <c r="AK74">
        <v>3225.6</v>
      </c>
      <c r="AL74">
        <v>3.7762880912391412</v>
      </c>
      <c r="AM74">
        <v>1522.5993583876218</v>
      </c>
      <c r="AN74">
        <v>6</v>
      </c>
      <c r="AO74">
        <v>2419.1999999999998</v>
      </c>
      <c r="AP74">
        <v>7.1962235709741602</v>
      </c>
      <c r="AQ74">
        <v>2901.5173438167812</v>
      </c>
      <c r="AR74">
        <v>7.386582876987962</v>
      </c>
      <c r="AS74">
        <v>2978.270216001546</v>
      </c>
      <c r="AT74">
        <v>6</v>
      </c>
      <c r="AU74">
        <v>2419.1999999999998</v>
      </c>
      <c r="AV74">
        <v>4.3616485832475602</v>
      </c>
      <c r="AW74">
        <v>1758.6167087654162</v>
      </c>
      <c r="AX74">
        <v>9</v>
      </c>
      <c r="AY74">
        <v>3628.7999999999997</v>
      </c>
      <c r="AZ74">
        <v>8</v>
      </c>
      <c r="BA74">
        <v>3225.6</v>
      </c>
      <c r="BB74">
        <v>6</v>
      </c>
      <c r="BC74">
        <v>2419.1999999999998</v>
      </c>
      <c r="BD74">
        <v>7</v>
      </c>
      <c r="BE74">
        <v>2822.4</v>
      </c>
      <c r="BF74">
        <v>8</v>
      </c>
      <c r="BG74">
        <v>3225.6</v>
      </c>
      <c r="BH74">
        <v>9</v>
      </c>
      <c r="BI74">
        <v>3628.7999999999997</v>
      </c>
      <c r="BJ74">
        <v>9</v>
      </c>
      <c r="BK74">
        <v>3628.7999999999997</v>
      </c>
      <c r="BL74">
        <v>10</v>
      </c>
      <c r="BM74">
        <v>4032</v>
      </c>
      <c r="BN74">
        <v>6.7587508434985839</v>
      </c>
      <c r="BO74">
        <v>2725.128340098629</v>
      </c>
      <c r="BP74">
        <v>4.5544175904258219</v>
      </c>
      <c r="BQ74">
        <v>1836.3411724596913</v>
      </c>
      <c r="BR74">
        <v>7</v>
      </c>
      <c r="BS74">
        <v>2822.4</v>
      </c>
      <c r="BT74">
        <v>5.8460425198082504</v>
      </c>
      <c r="BU74">
        <v>2357.1243439866867</v>
      </c>
      <c r="BV74">
        <v>6</v>
      </c>
      <c r="BW74">
        <v>2419.1999999999998</v>
      </c>
      <c r="BX74">
        <v>6.5393593691227538</v>
      </c>
      <c r="BY74">
        <v>2636.6696976302942</v>
      </c>
      <c r="BZ74">
        <v>6</v>
      </c>
      <c r="CA74">
        <v>2419.1999999999998</v>
      </c>
      <c r="CB74">
        <v>6.4623028630281603</v>
      </c>
      <c r="CC74">
        <v>2605.600514372954</v>
      </c>
      <c r="CD74">
        <v>10</v>
      </c>
      <c r="CE74">
        <v>4032</v>
      </c>
      <c r="CF74">
        <v>7</v>
      </c>
      <c r="CG74">
        <v>2822.4</v>
      </c>
      <c r="CH74">
        <v>10.311865154546171</v>
      </c>
      <c r="CI74">
        <v>4157.7440303130161</v>
      </c>
      <c r="CJ74">
        <v>9.7490353667583864</v>
      </c>
      <c r="CK74">
        <v>3930.8110598769813</v>
      </c>
      <c r="CL74">
        <v>5.4351007384969288</v>
      </c>
      <c r="CM74">
        <v>2191.4326177619614</v>
      </c>
      <c r="CN74">
        <v>5.6098917596448734</v>
      </c>
      <c r="CO74">
        <v>2261.9083574888127</v>
      </c>
      <c r="CP74">
        <v>5.311765561714247</v>
      </c>
      <c r="CQ74">
        <v>2141.7038744831843</v>
      </c>
      <c r="CR74">
        <v>4.9448347252527283</v>
      </c>
      <c r="CS74">
        <v>1993.7573612219001</v>
      </c>
      <c r="CT74">
        <v>10</v>
      </c>
      <c r="CU74">
        <v>4032</v>
      </c>
    </row>
    <row r="75" spans="2:99" x14ac:dyDescent="0.2">
      <c r="C75" s="105" t="s">
        <v>241</v>
      </c>
      <c r="D75">
        <v>6</v>
      </c>
      <c r="E75">
        <v>3859.2</v>
      </c>
      <c r="F75">
        <v>8</v>
      </c>
      <c r="G75">
        <v>5145.5999999999995</v>
      </c>
      <c r="H75">
        <v>10</v>
      </c>
      <c r="I75">
        <v>6431.9999999999991</v>
      </c>
      <c r="J75">
        <v>10</v>
      </c>
      <c r="K75">
        <v>6431.9999999999991</v>
      </c>
      <c r="L75">
        <v>7</v>
      </c>
      <c r="M75">
        <v>4502.3999999999996</v>
      </c>
      <c r="N75">
        <v>6</v>
      </c>
      <c r="O75">
        <v>3859.2</v>
      </c>
      <c r="P75">
        <v>7</v>
      </c>
      <c r="Q75">
        <v>4502.3999999999996</v>
      </c>
      <c r="R75">
        <v>8</v>
      </c>
      <c r="S75">
        <v>5145.5999999999995</v>
      </c>
      <c r="T75">
        <v>7</v>
      </c>
      <c r="U75">
        <v>4502.3999999999996</v>
      </c>
      <c r="V75">
        <v>6</v>
      </c>
      <c r="W75">
        <v>3859.2</v>
      </c>
      <c r="X75">
        <v>9</v>
      </c>
      <c r="Y75">
        <v>5788.7999999999993</v>
      </c>
      <c r="Z75">
        <v>5</v>
      </c>
      <c r="AA75">
        <v>3215.9999999999995</v>
      </c>
      <c r="AB75">
        <v>10</v>
      </c>
      <c r="AC75">
        <v>6431.9999999999991</v>
      </c>
      <c r="AD75">
        <v>9</v>
      </c>
      <c r="AE75">
        <v>5788.7999999999993</v>
      </c>
      <c r="AF75">
        <v>6</v>
      </c>
      <c r="AG75">
        <v>3859.2</v>
      </c>
      <c r="AH75">
        <v>6.7361398586286692</v>
      </c>
      <c r="AI75">
        <v>4332.6851570699591</v>
      </c>
      <c r="AJ75">
        <v>9</v>
      </c>
      <c r="AK75">
        <v>5788.7999999999993</v>
      </c>
      <c r="AL75">
        <v>3.7762880912391412</v>
      </c>
      <c r="AM75">
        <v>2428.9085002850152</v>
      </c>
      <c r="AN75">
        <v>7</v>
      </c>
      <c r="AO75">
        <v>4502.3999999999996</v>
      </c>
      <c r="AP75">
        <v>7.1962235709741602</v>
      </c>
      <c r="AQ75">
        <v>4628.6110008505793</v>
      </c>
      <c r="AR75">
        <v>6.6479245892891656</v>
      </c>
      <c r="AS75">
        <v>4275.9450958307907</v>
      </c>
      <c r="AT75">
        <v>6</v>
      </c>
      <c r="AU75">
        <v>3859.2</v>
      </c>
      <c r="AV75">
        <v>4.3616485832475602</v>
      </c>
      <c r="AW75">
        <v>2805.4123687448305</v>
      </c>
      <c r="AX75">
        <v>9</v>
      </c>
      <c r="AY75">
        <v>5788.7999999999993</v>
      </c>
      <c r="AZ75">
        <v>7</v>
      </c>
      <c r="BA75">
        <v>4502.3999999999996</v>
      </c>
      <c r="BB75">
        <v>6</v>
      </c>
      <c r="BC75">
        <v>3859.2</v>
      </c>
      <c r="BD75">
        <v>6</v>
      </c>
      <c r="BE75">
        <v>3859.2</v>
      </c>
      <c r="BF75">
        <v>8</v>
      </c>
      <c r="BG75">
        <v>5145.5999999999995</v>
      </c>
      <c r="BH75">
        <v>8</v>
      </c>
      <c r="BI75">
        <v>5145.5999999999995</v>
      </c>
      <c r="BJ75">
        <v>9</v>
      </c>
      <c r="BK75">
        <v>5788.7999999999993</v>
      </c>
      <c r="BL75">
        <v>8</v>
      </c>
      <c r="BM75">
        <v>5145.5999999999995</v>
      </c>
      <c r="BN75">
        <v>6.0077785275542972</v>
      </c>
      <c r="BO75">
        <v>3864.2031489229234</v>
      </c>
      <c r="BP75">
        <v>4.5544175904258219</v>
      </c>
      <c r="BQ75">
        <v>2929.4013941618882</v>
      </c>
      <c r="BR75">
        <v>6</v>
      </c>
      <c r="BS75">
        <v>3859.2</v>
      </c>
      <c r="BT75">
        <v>5.8460425198082504</v>
      </c>
      <c r="BU75">
        <v>3760.1745487406661</v>
      </c>
      <c r="BV75">
        <v>5</v>
      </c>
      <c r="BW75">
        <v>3215.9999999999995</v>
      </c>
      <c r="BX75">
        <v>5.8854234322104775</v>
      </c>
      <c r="BY75">
        <v>3785.5043515977786</v>
      </c>
      <c r="BZ75">
        <v>6</v>
      </c>
      <c r="CA75">
        <v>3859.2</v>
      </c>
      <c r="CB75">
        <v>6.4623028630281603</v>
      </c>
      <c r="CC75">
        <v>4156.5532014997125</v>
      </c>
      <c r="CD75">
        <v>9</v>
      </c>
      <c r="CE75">
        <v>5788.7999999999993</v>
      </c>
      <c r="CF75">
        <v>7</v>
      </c>
      <c r="CG75">
        <v>4502.3999999999996</v>
      </c>
      <c r="CH75">
        <v>9.4525430583339904</v>
      </c>
      <c r="CI75">
        <v>6079.8756951204223</v>
      </c>
      <c r="CJ75">
        <v>8.9366157528618544</v>
      </c>
      <c r="CK75">
        <v>5748.0312522407439</v>
      </c>
      <c r="CL75">
        <v>5.4351007384969288</v>
      </c>
      <c r="CM75">
        <v>3495.8567950012243</v>
      </c>
      <c r="CN75">
        <v>5.6098917596448734</v>
      </c>
      <c r="CO75">
        <v>3608.282379803582</v>
      </c>
      <c r="CP75">
        <v>5.311765561714247</v>
      </c>
      <c r="CQ75">
        <v>3416.5276092946033</v>
      </c>
      <c r="CR75">
        <v>5.6512396860031178</v>
      </c>
      <c r="CS75">
        <v>3634.8773660372049</v>
      </c>
      <c r="CT75">
        <v>11</v>
      </c>
      <c r="CU75">
        <v>7075.1999999999989</v>
      </c>
    </row>
    <row r="76" spans="2:99" x14ac:dyDescent="0.2">
      <c r="C76" s="105" t="s">
        <v>242</v>
      </c>
      <c r="D76">
        <v>7</v>
      </c>
      <c r="E76">
        <v>5451.5999999999995</v>
      </c>
      <c r="F76">
        <v>8</v>
      </c>
      <c r="G76">
        <v>6230.4</v>
      </c>
      <c r="H76">
        <v>10</v>
      </c>
      <c r="I76">
        <v>7788</v>
      </c>
      <c r="J76">
        <v>11</v>
      </c>
      <c r="K76">
        <v>8566.7999999999993</v>
      </c>
      <c r="L76">
        <v>6</v>
      </c>
      <c r="M76">
        <v>4672.7999999999993</v>
      </c>
      <c r="N76">
        <v>7</v>
      </c>
      <c r="O76">
        <v>5451.5999999999995</v>
      </c>
      <c r="P76">
        <v>8</v>
      </c>
      <c r="Q76">
        <v>6230.4</v>
      </c>
      <c r="R76">
        <v>8</v>
      </c>
      <c r="S76">
        <v>6230.4</v>
      </c>
      <c r="T76">
        <v>7</v>
      </c>
      <c r="U76">
        <v>5451.5999999999995</v>
      </c>
      <c r="V76">
        <v>5</v>
      </c>
      <c r="W76">
        <v>3894</v>
      </c>
      <c r="X76">
        <v>9</v>
      </c>
      <c r="Y76">
        <v>7009.2</v>
      </c>
      <c r="Z76">
        <v>6</v>
      </c>
      <c r="AA76">
        <v>4672.7999999999993</v>
      </c>
      <c r="AB76">
        <v>9</v>
      </c>
      <c r="AC76">
        <v>7009.2</v>
      </c>
      <c r="AD76">
        <v>10</v>
      </c>
      <c r="AE76">
        <v>7788</v>
      </c>
      <c r="AF76">
        <v>6</v>
      </c>
      <c r="AG76">
        <v>4672.7999999999993</v>
      </c>
      <c r="AH76">
        <v>6.0625258727658018</v>
      </c>
      <c r="AI76">
        <v>4721.4951497100064</v>
      </c>
      <c r="AJ76">
        <v>8</v>
      </c>
      <c r="AK76">
        <v>6230.4</v>
      </c>
      <c r="AL76">
        <v>4.2483241026440339</v>
      </c>
      <c r="AM76">
        <v>3308.5948111391735</v>
      </c>
      <c r="AN76">
        <v>6</v>
      </c>
      <c r="AO76">
        <v>4672.7999999999993</v>
      </c>
      <c r="AP76">
        <v>8.0957515173459313</v>
      </c>
      <c r="AQ76">
        <v>6304.9712817090112</v>
      </c>
      <c r="AR76">
        <v>6.6479245892891656</v>
      </c>
      <c r="AS76">
        <v>5177.403670138402</v>
      </c>
      <c r="AT76">
        <v>5</v>
      </c>
      <c r="AU76">
        <v>3894</v>
      </c>
      <c r="AV76">
        <v>3.6347071527063006</v>
      </c>
      <c r="AW76">
        <v>2830.709930527667</v>
      </c>
      <c r="AX76">
        <v>9</v>
      </c>
      <c r="AY76">
        <v>7009.2</v>
      </c>
      <c r="AZ76">
        <v>8</v>
      </c>
      <c r="BA76">
        <v>6230.4</v>
      </c>
      <c r="BB76">
        <v>6</v>
      </c>
      <c r="BC76">
        <v>4672.7999999999993</v>
      </c>
      <c r="BD76">
        <v>7</v>
      </c>
      <c r="BE76">
        <v>5451.5999999999995</v>
      </c>
      <c r="BF76">
        <v>7</v>
      </c>
      <c r="BG76">
        <v>5451.5999999999995</v>
      </c>
      <c r="BH76">
        <v>9</v>
      </c>
      <c r="BI76">
        <v>7009.2</v>
      </c>
      <c r="BJ76">
        <v>7</v>
      </c>
      <c r="BK76">
        <v>5451.5999999999995</v>
      </c>
      <c r="BL76">
        <v>9</v>
      </c>
      <c r="BM76">
        <v>7009.2</v>
      </c>
      <c r="BN76">
        <v>6.7587508434985839</v>
      </c>
      <c r="BO76">
        <v>5263.7151569166972</v>
      </c>
      <c r="BP76">
        <v>4.5544175904258219</v>
      </c>
      <c r="BQ76">
        <v>3546.9804194236299</v>
      </c>
      <c r="BR76">
        <v>6</v>
      </c>
      <c r="BS76">
        <v>4672.7999999999993</v>
      </c>
      <c r="BT76">
        <v>5.8460425198082504</v>
      </c>
      <c r="BU76">
        <v>4552.897914426665</v>
      </c>
      <c r="BV76">
        <v>6</v>
      </c>
      <c r="BW76">
        <v>4672.7999999999993</v>
      </c>
      <c r="BX76">
        <v>6.5393593691227538</v>
      </c>
      <c r="BY76">
        <v>5092.8530766727999</v>
      </c>
      <c r="BZ76">
        <v>6</v>
      </c>
      <c r="CA76">
        <v>4672.7999999999993</v>
      </c>
      <c r="CB76">
        <v>5.8160725767253441</v>
      </c>
      <c r="CC76">
        <v>4529.5573227536979</v>
      </c>
      <c r="CD76">
        <v>10</v>
      </c>
      <c r="CE76">
        <v>7788</v>
      </c>
      <c r="CF76">
        <v>8</v>
      </c>
      <c r="CG76">
        <v>6230.4</v>
      </c>
      <c r="CH76">
        <v>9.4525430583339904</v>
      </c>
      <c r="CI76">
        <v>7361.6405338305112</v>
      </c>
      <c r="CJ76">
        <v>9.7490353667583864</v>
      </c>
      <c r="CK76">
        <v>7592.5487436314306</v>
      </c>
      <c r="CL76">
        <v>5.4351007384969288</v>
      </c>
      <c r="CM76">
        <v>4232.8564551414074</v>
      </c>
      <c r="CN76">
        <v>5.6098917596448734</v>
      </c>
      <c r="CO76">
        <v>4368.9837024114267</v>
      </c>
      <c r="CP76">
        <v>5.311765561714247</v>
      </c>
      <c r="CQ76">
        <v>4136.8030194630555</v>
      </c>
      <c r="CR76">
        <v>5.6512396860031178</v>
      </c>
      <c r="CS76">
        <v>4401.1854674592278</v>
      </c>
      <c r="CT76">
        <v>10</v>
      </c>
      <c r="CU76">
        <v>7788</v>
      </c>
    </row>
    <row r="77" spans="2:99" x14ac:dyDescent="0.2">
      <c r="C77" s="105" t="s">
        <v>243</v>
      </c>
      <c r="D77">
        <v>8</v>
      </c>
      <c r="E77">
        <v>2227.1999999999998</v>
      </c>
      <c r="F77">
        <v>10</v>
      </c>
      <c r="G77">
        <v>2784</v>
      </c>
      <c r="H77">
        <v>10</v>
      </c>
      <c r="I77">
        <v>2784</v>
      </c>
      <c r="J77">
        <v>10</v>
      </c>
      <c r="K77">
        <v>2784</v>
      </c>
      <c r="L77">
        <v>8</v>
      </c>
      <c r="M77">
        <v>2227.1999999999998</v>
      </c>
      <c r="N77">
        <v>7</v>
      </c>
      <c r="O77">
        <v>1948.7999999999997</v>
      </c>
      <c r="P77">
        <v>8</v>
      </c>
      <c r="Q77">
        <v>2227.1999999999998</v>
      </c>
      <c r="R77">
        <v>10</v>
      </c>
      <c r="S77">
        <v>2784</v>
      </c>
      <c r="T77">
        <v>7</v>
      </c>
      <c r="U77">
        <v>1948.7999999999997</v>
      </c>
      <c r="V77">
        <v>5</v>
      </c>
      <c r="W77">
        <v>1392</v>
      </c>
      <c r="X77">
        <v>10</v>
      </c>
      <c r="Y77">
        <v>2784</v>
      </c>
      <c r="Z77">
        <v>6</v>
      </c>
      <c r="AA77">
        <v>1670.3999999999999</v>
      </c>
      <c r="AB77">
        <v>10</v>
      </c>
      <c r="AC77">
        <v>2784</v>
      </c>
      <c r="AD77">
        <v>9</v>
      </c>
      <c r="AE77">
        <v>2505.6</v>
      </c>
      <c r="AF77">
        <v>6</v>
      </c>
      <c r="AG77">
        <v>1670.3999999999999</v>
      </c>
      <c r="AH77">
        <v>6.7361398586286692</v>
      </c>
      <c r="AI77">
        <v>1875.3413366422214</v>
      </c>
      <c r="AJ77">
        <v>8</v>
      </c>
      <c r="AK77">
        <v>2227.1999999999998</v>
      </c>
      <c r="AL77">
        <v>4.2483241026440339</v>
      </c>
      <c r="AM77">
        <v>1182.7334301760989</v>
      </c>
      <c r="AN77">
        <v>7</v>
      </c>
      <c r="AO77">
        <v>1948.7999999999997</v>
      </c>
      <c r="AP77">
        <v>8.0957515173459313</v>
      </c>
      <c r="AQ77">
        <v>2253.857222429107</v>
      </c>
      <c r="AR77">
        <v>6.6479245892891656</v>
      </c>
      <c r="AS77">
        <v>1850.7822056581035</v>
      </c>
      <c r="AT77">
        <v>6</v>
      </c>
      <c r="AU77">
        <v>1670.3999999999999</v>
      </c>
      <c r="AV77">
        <v>4.3616485832475602</v>
      </c>
      <c r="AW77">
        <v>1214.2829655761207</v>
      </c>
      <c r="AX77">
        <v>8</v>
      </c>
      <c r="AY77">
        <v>2227.1999999999998</v>
      </c>
      <c r="AZ77">
        <v>8</v>
      </c>
      <c r="BA77">
        <v>2227.1999999999998</v>
      </c>
      <c r="BB77">
        <v>7</v>
      </c>
      <c r="BC77">
        <v>1948.7999999999997</v>
      </c>
      <c r="BD77">
        <v>7</v>
      </c>
      <c r="BE77">
        <v>1948.7999999999997</v>
      </c>
      <c r="BF77">
        <v>8</v>
      </c>
      <c r="BG77">
        <v>2227.1999999999998</v>
      </c>
      <c r="BH77">
        <v>8</v>
      </c>
      <c r="BI77">
        <v>2227.1999999999998</v>
      </c>
      <c r="BJ77">
        <v>9</v>
      </c>
      <c r="BK77">
        <v>2505.6</v>
      </c>
      <c r="BL77">
        <v>10</v>
      </c>
      <c r="BM77">
        <v>2784</v>
      </c>
      <c r="BN77">
        <v>7.5097231594428706</v>
      </c>
      <c r="BO77">
        <v>2090.7069275888948</v>
      </c>
      <c r="BP77">
        <v>4.5544175904258219</v>
      </c>
      <c r="BQ77">
        <v>1267.9498571745487</v>
      </c>
      <c r="BR77">
        <v>7</v>
      </c>
      <c r="BS77">
        <v>1948.7999999999997</v>
      </c>
      <c r="BT77">
        <v>6.5767978347842808</v>
      </c>
      <c r="BU77">
        <v>1830.9805172039437</v>
      </c>
      <c r="BV77">
        <v>6</v>
      </c>
      <c r="BW77">
        <v>1670.3999999999999</v>
      </c>
      <c r="BX77">
        <v>5.8854234322104775</v>
      </c>
      <c r="BY77">
        <v>1638.5018835273968</v>
      </c>
      <c r="BZ77">
        <v>6</v>
      </c>
      <c r="CA77">
        <v>1670.3999999999999</v>
      </c>
      <c r="CB77">
        <v>5.1698422904225287</v>
      </c>
      <c r="CC77">
        <v>1439.2840936536318</v>
      </c>
      <c r="CD77">
        <v>11</v>
      </c>
      <c r="CE77">
        <v>3062.3999999999996</v>
      </c>
      <c r="CF77">
        <v>8</v>
      </c>
      <c r="CG77">
        <v>2227.1999999999998</v>
      </c>
      <c r="CH77">
        <v>10.311865154546171</v>
      </c>
      <c r="CI77">
        <v>2870.8232590256534</v>
      </c>
      <c r="CJ77">
        <v>10.56145498065492</v>
      </c>
      <c r="CK77">
        <v>2940.3090666143294</v>
      </c>
      <c r="CL77">
        <v>4.8915906646472367</v>
      </c>
      <c r="CM77">
        <v>1361.8188410377907</v>
      </c>
      <c r="CN77">
        <v>5.6098917596448734</v>
      </c>
      <c r="CO77">
        <v>1561.7938658851326</v>
      </c>
      <c r="CP77">
        <v>5.311765561714247</v>
      </c>
      <c r="CQ77">
        <v>1478.7955323812462</v>
      </c>
      <c r="CR77">
        <v>5.6512396860031178</v>
      </c>
      <c r="CS77">
        <v>1573.3051285832678</v>
      </c>
      <c r="CT77">
        <v>11</v>
      </c>
      <c r="CU77">
        <v>3062.3999999999996</v>
      </c>
    </row>
    <row r="78" spans="2:99" x14ac:dyDescent="0.2">
      <c r="C78" s="105" t="s">
        <v>244</v>
      </c>
      <c r="D78">
        <v>6</v>
      </c>
      <c r="E78">
        <v>3312</v>
      </c>
      <c r="F78">
        <v>9</v>
      </c>
      <c r="G78">
        <v>4968</v>
      </c>
      <c r="H78">
        <v>9</v>
      </c>
      <c r="I78">
        <v>4968</v>
      </c>
      <c r="J78">
        <v>9</v>
      </c>
      <c r="K78">
        <v>4968</v>
      </c>
      <c r="L78">
        <v>7</v>
      </c>
      <c r="M78">
        <v>3864</v>
      </c>
      <c r="N78">
        <v>7</v>
      </c>
      <c r="O78">
        <v>3864</v>
      </c>
      <c r="P78">
        <v>7</v>
      </c>
      <c r="Q78">
        <v>3864</v>
      </c>
      <c r="R78">
        <v>9</v>
      </c>
      <c r="S78">
        <v>4968</v>
      </c>
      <c r="T78">
        <v>7</v>
      </c>
      <c r="U78">
        <v>3864</v>
      </c>
      <c r="V78">
        <v>6</v>
      </c>
      <c r="W78">
        <v>3312</v>
      </c>
      <c r="X78">
        <v>9</v>
      </c>
      <c r="Y78">
        <v>4968</v>
      </c>
      <c r="Z78">
        <v>6</v>
      </c>
      <c r="AA78">
        <v>3312</v>
      </c>
      <c r="AB78">
        <v>9</v>
      </c>
      <c r="AC78">
        <v>4968</v>
      </c>
      <c r="AD78">
        <v>9</v>
      </c>
      <c r="AE78">
        <v>4968</v>
      </c>
      <c r="AF78">
        <v>6</v>
      </c>
      <c r="AG78">
        <v>3312</v>
      </c>
      <c r="AH78">
        <v>6.7361398586286692</v>
      </c>
      <c r="AI78">
        <v>3718.3492019630253</v>
      </c>
      <c r="AJ78">
        <v>9</v>
      </c>
      <c r="AK78">
        <v>4968</v>
      </c>
      <c r="AL78">
        <v>4.2483241026440339</v>
      </c>
      <c r="AM78">
        <v>2345.0749046595065</v>
      </c>
      <c r="AN78">
        <v>6</v>
      </c>
      <c r="AO78">
        <v>3312</v>
      </c>
      <c r="AP78">
        <v>8.0957515173459313</v>
      </c>
      <c r="AQ78">
        <v>4468.8548375749542</v>
      </c>
      <c r="AR78">
        <v>7.386582876987962</v>
      </c>
      <c r="AS78">
        <v>4077.393748097355</v>
      </c>
      <c r="AT78">
        <v>5</v>
      </c>
      <c r="AU78">
        <v>2760</v>
      </c>
      <c r="AV78">
        <v>4.3616485832475602</v>
      </c>
      <c r="AW78">
        <v>2407.6300179526534</v>
      </c>
      <c r="AX78">
        <v>8</v>
      </c>
      <c r="AY78">
        <v>4416</v>
      </c>
      <c r="AZ78">
        <v>7</v>
      </c>
      <c r="BA78">
        <v>3864</v>
      </c>
      <c r="BB78">
        <v>6</v>
      </c>
      <c r="BC78">
        <v>3312</v>
      </c>
      <c r="BD78">
        <v>6</v>
      </c>
      <c r="BE78">
        <v>3312</v>
      </c>
      <c r="BF78">
        <v>8</v>
      </c>
      <c r="BG78">
        <v>4416</v>
      </c>
      <c r="BH78">
        <v>9</v>
      </c>
      <c r="BI78">
        <v>4968</v>
      </c>
      <c r="BJ78">
        <v>8</v>
      </c>
      <c r="BK78">
        <v>4416</v>
      </c>
      <c r="BL78">
        <v>9</v>
      </c>
      <c r="BM78">
        <v>4968</v>
      </c>
      <c r="BN78">
        <v>6.7587508434985839</v>
      </c>
      <c r="BO78">
        <v>3730.8304656112182</v>
      </c>
      <c r="BP78">
        <v>4.5544175904258219</v>
      </c>
      <c r="BQ78">
        <v>2514.0385099150535</v>
      </c>
      <c r="BR78">
        <v>6</v>
      </c>
      <c r="BS78">
        <v>3312</v>
      </c>
      <c r="BT78">
        <v>5.8460425198082504</v>
      </c>
      <c r="BU78">
        <v>3227.0154709341541</v>
      </c>
      <c r="BV78">
        <v>6</v>
      </c>
      <c r="BW78">
        <v>3312</v>
      </c>
      <c r="BX78">
        <v>6.5393593691227538</v>
      </c>
      <c r="BY78">
        <v>3609.7263717557603</v>
      </c>
      <c r="BZ78">
        <v>6</v>
      </c>
      <c r="CA78">
        <v>3312</v>
      </c>
      <c r="CB78">
        <v>5.8160725767253441</v>
      </c>
      <c r="CC78">
        <v>3210.4720623523899</v>
      </c>
      <c r="CD78">
        <v>9</v>
      </c>
      <c r="CE78">
        <v>4968</v>
      </c>
      <c r="CF78">
        <v>7</v>
      </c>
      <c r="CG78">
        <v>3864</v>
      </c>
      <c r="CH78">
        <v>10.311865154546171</v>
      </c>
      <c r="CI78">
        <v>5692.1495653094862</v>
      </c>
      <c r="CJ78">
        <v>9.7490353667583864</v>
      </c>
      <c r="CK78">
        <v>5381.4675224506291</v>
      </c>
      <c r="CL78">
        <v>5.9786108123466217</v>
      </c>
      <c r="CM78">
        <v>3300.1931684153351</v>
      </c>
      <c r="CN78">
        <v>5.6098917596448734</v>
      </c>
      <c r="CO78">
        <v>3096.66025132397</v>
      </c>
      <c r="CP78">
        <v>6.0705892133877102</v>
      </c>
      <c r="CQ78">
        <v>3350.9652457900161</v>
      </c>
      <c r="CR78">
        <v>5.6512396860031178</v>
      </c>
      <c r="CS78">
        <v>3119.4843066737212</v>
      </c>
      <c r="CT78">
        <v>10</v>
      </c>
      <c r="CU78">
        <v>5520</v>
      </c>
    </row>
    <row r="79" spans="2:99" x14ac:dyDescent="0.2">
      <c r="C79" s="105" t="s">
        <v>245</v>
      </c>
      <c r="D79">
        <v>7</v>
      </c>
      <c r="E79">
        <v>5300.4</v>
      </c>
      <c r="F79">
        <v>8</v>
      </c>
      <c r="G79">
        <v>6057.5999999999995</v>
      </c>
      <c r="H79">
        <v>9</v>
      </c>
      <c r="I79">
        <v>6814.7999999999993</v>
      </c>
      <c r="J79">
        <v>11</v>
      </c>
      <c r="K79">
        <v>8329.1999999999989</v>
      </c>
      <c r="L79">
        <v>6</v>
      </c>
      <c r="M79">
        <v>4543.2</v>
      </c>
      <c r="N79">
        <v>6</v>
      </c>
      <c r="O79">
        <v>4543.2</v>
      </c>
      <c r="P79">
        <v>7</v>
      </c>
      <c r="Q79">
        <v>5300.4</v>
      </c>
      <c r="R79">
        <v>8</v>
      </c>
      <c r="S79">
        <v>6057.5999999999995</v>
      </c>
      <c r="T79">
        <v>8</v>
      </c>
      <c r="U79">
        <v>6057.5999999999995</v>
      </c>
      <c r="V79">
        <v>6</v>
      </c>
      <c r="W79">
        <v>4543.2</v>
      </c>
      <c r="X79">
        <v>9</v>
      </c>
      <c r="Y79">
        <v>6814.7999999999993</v>
      </c>
      <c r="Z79">
        <v>5</v>
      </c>
      <c r="AA79">
        <v>3785.9999999999995</v>
      </c>
      <c r="AB79">
        <v>10</v>
      </c>
      <c r="AC79">
        <v>7571.9999999999991</v>
      </c>
      <c r="AD79">
        <v>10</v>
      </c>
      <c r="AE79">
        <v>7571.9999999999991</v>
      </c>
      <c r="AF79">
        <v>5</v>
      </c>
      <c r="AG79">
        <v>3785.9999999999995</v>
      </c>
      <c r="AH79">
        <v>6.0625258727658018</v>
      </c>
      <c r="AI79">
        <v>4590.5445908582651</v>
      </c>
      <c r="AJ79">
        <v>8</v>
      </c>
      <c r="AK79">
        <v>6057.5999999999995</v>
      </c>
      <c r="AL79">
        <v>4.2483241026440339</v>
      </c>
      <c r="AM79">
        <v>3216.8310105220621</v>
      </c>
      <c r="AN79">
        <v>6</v>
      </c>
      <c r="AO79">
        <v>4543.2</v>
      </c>
      <c r="AP79">
        <v>7.1962235709741602</v>
      </c>
      <c r="AQ79">
        <v>5448.9804879416333</v>
      </c>
      <c r="AR79">
        <v>7.386582876987962</v>
      </c>
      <c r="AS79">
        <v>5593.120554455284</v>
      </c>
      <c r="AT79">
        <v>6</v>
      </c>
      <c r="AU79">
        <v>4543.2</v>
      </c>
      <c r="AV79">
        <v>4.3616485832475602</v>
      </c>
      <c r="AW79">
        <v>3302.6403072350522</v>
      </c>
      <c r="AX79">
        <v>9</v>
      </c>
      <c r="AY79">
        <v>6814.7999999999993</v>
      </c>
      <c r="AZ79">
        <v>7</v>
      </c>
      <c r="BA79">
        <v>5300.4</v>
      </c>
      <c r="BB79">
        <v>6</v>
      </c>
      <c r="BC79">
        <v>4543.2</v>
      </c>
      <c r="BD79">
        <v>7</v>
      </c>
      <c r="BE79">
        <v>5300.4</v>
      </c>
      <c r="BF79">
        <v>8</v>
      </c>
      <c r="BG79">
        <v>6057.5999999999995</v>
      </c>
      <c r="BH79">
        <v>8</v>
      </c>
      <c r="BI79">
        <v>6057.5999999999995</v>
      </c>
      <c r="BJ79">
        <v>8</v>
      </c>
      <c r="BK79">
        <v>6057.5999999999995</v>
      </c>
      <c r="BL79">
        <v>9</v>
      </c>
      <c r="BM79">
        <v>6814.7999999999993</v>
      </c>
      <c r="BN79">
        <v>6.7587508434985839</v>
      </c>
      <c r="BO79">
        <v>5117.7261386971277</v>
      </c>
      <c r="BP79">
        <v>4.5544175904258219</v>
      </c>
      <c r="BQ79">
        <v>3448.6049994704322</v>
      </c>
      <c r="BR79">
        <v>6</v>
      </c>
      <c r="BS79">
        <v>4543.2</v>
      </c>
      <c r="BT79">
        <v>5.1152872048322182</v>
      </c>
      <c r="BU79">
        <v>3873.2954714989551</v>
      </c>
      <c r="BV79">
        <v>5</v>
      </c>
      <c r="BW79">
        <v>3785.9999999999995</v>
      </c>
      <c r="BX79">
        <v>5.8854234322104775</v>
      </c>
      <c r="BY79">
        <v>4456.442622869773</v>
      </c>
      <c r="BZ79">
        <v>6</v>
      </c>
      <c r="CA79">
        <v>4543.2</v>
      </c>
      <c r="CB79">
        <v>5.8160725767253441</v>
      </c>
      <c r="CC79">
        <v>4403.9301550964301</v>
      </c>
      <c r="CD79">
        <v>10</v>
      </c>
      <c r="CE79">
        <v>7571.9999999999991</v>
      </c>
      <c r="CF79">
        <v>8</v>
      </c>
      <c r="CG79">
        <v>6057.5999999999995</v>
      </c>
      <c r="CH79">
        <v>10.311865154546171</v>
      </c>
      <c r="CI79">
        <v>7808.14429502236</v>
      </c>
      <c r="CJ79">
        <v>8.9366157528618544</v>
      </c>
      <c r="CK79">
        <v>6766.8054480669953</v>
      </c>
      <c r="CL79">
        <v>4.8915906646472367</v>
      </c>
      <c r="CM79">
        <v>3703.9124512708872</v>
      </c>
      <c r="CN79">
        <v>5.6098917596448734</v>
      </c>
      <c r="CO79">
        <v>4247.8100404030974</v>
      </c>
      <c r="CP79">
        <v>5.311765561714247</v>
      </c>
      <c r="CQ79">
        <v>4022.0688833300273</v>
      </c>
      <c r="CR79">
        <v>4.9448347252527283</v>
      </c>
      <c r="CS79">
        <v>3744.2288539613655</v>
      </c>
      <c r="CT79">
        <v>11</v>
      </c>
      <c r="CU79">
        <v>8329.1999999999989</v>
      </c>
    </row>
    <row r="80" spans="2:99" x14ac:dyDescent="0.2">
      <c r="C80" s="105" t="s">
        <v>246</v>
      </c>
      <c r="D80">
        <v>7</v>
      </c>
      <c r="E80">
        <v>5636.4</v>
      </c>
      <c r="F80">
        <v>10</v>
      </c>
      <c r="G80">
        <v>8051.9999999999991</v>
      </c>
      <c r="H80">
        <v>10</v>
      </c>
      <c r="I80">
        <v>8051.9999999999991</v>
      </c>
      <c r="J80">
        <v>10</v>
      </c>
      <c r="K80">
        <v>8051.9999999999991</v>
      </c>
      <c r="L80">
        <v>7</v>
      </c>
      <c r="M80">
        <v>5636.4</v>
      </c>
      <c r="N80">
        <v>6</v>
      </c>
      <c r="O80">
        <v>4831.2</v>
      </c>
      <c r="P80">
        <v>7</v>
      </c>
      <c r="Q80">
        <v>5636.4</v>
      </c>
      <c r="R80">
        <v>9</v>
      </c>
      <c r="S80">
        <v>7246.7999999999993</v>
      </c>
      <c r="T80">
        <v>7</v>
      </c>
      <c r="U80">
        <v>5636.4</v>
      </c>
      <c r="V80">
        <v>5</v>
      </c>
      <c r="W80">
        <v>4025.9999999999995</v>
      </c>
      <c r="X80">
        <v>10</v>
      </c>
      <c r="Y80">
        <v>8051.9999999999991</v>
      </c>
      <c r="Z80">
        <v>6</v>
      </c>
      <c r="AA80">
        <v>4831.2</v>
      </c>
      <c r="AB80">
        <v>10</v>
      </c>
      <c r="AC80">
        <v>8051.9999999999991</v>
      </c>
      <c r="AD80">
        <v>8</v>
      </c>
      <c r="AE80">
        <v>6441.5999999999995</v>
      </c>
      <c r="AF80">
        <v>6</v>
      </c>
      <c r="AG80">
        <v>4831.2</v>
      </c>
      <c r="AH80">
        <v>6.7361398586286692</v>
      </c>
      <c r="AI80">
        <v>5423.9398141678039</v>
      </c>
      <c r="AJ80">
        <v>8</v>
      </c>
      <c r="AK80">
        <v>6441.5999999999995</v>
      </c>
      <c r="AL80">
        <v>4.2483241026440339</v>
      </c>
      <c r="AM80">
        <v>3420.7505674489757</v>
      </c>
      <c r="AN80">
        <v>7</v>
      </c>
      <c r="AO80">
        <v>5636.4</v>
      </c>
      <c r="AP80">
        <v>8.0957515173459313</v>
      </c>
      <c r="AQ80">
        <v>6518.6991217669438</v>
      </c>
      <c r="AR80">
        <v>6.6479245892891656</v>
      </c>
      <c r="AS80">
        <v>5352.9088792956354</v>
      </c>
      <c r="AT80">
        <v>5</v>
      </c>
      <c r="AU80">
        <v>4025.9999999999995</v>
      </c>
      <c r="AV80">
        <v>4.3616485832475602</v>
      </c>
      <c r="AW80">
        <v>3511.999439230935</v>
      </c>
      <c r="AX80">
        <v>8</v>
      </c>
      <c r="AY80">
        <v>6441.5999999999995</v>
      </c>
      <c r="AZ80">
        <v>7</v>
      </c>
      <c r="BA80">
        <v>5636.4</v>
      </c>
      <c r="BB80">
        <v>6</v>
      </c>
      <c r="BC80">
        <v>4831.2</v>
      </c>
      <c r="BD80">
        <v>7</v>
      </c>
      <c r="BE80">
        <v>5636.4</v>
      </c>
      <c r="BF80">
        <v>7</v>
      </c>
      <c r="BG80">
        <v>5636.4</v>
      </c>
      <c r="BH80">
        <v>8</v>
      </c>
      <c r="BI80">
        <v>6441.5999999999995</v>
      </c>
      <c r="BJ80">
        <v>8</v>
      </c>
      <c r="BK80">
        <v>6441.5999999999995</v>
      </c>
      <c r="BL80">
        <v>8</v>
      </c>
      <c r="BM80">
        <v>6441.5999999999995</v>
      </c>
      <c r="BN80">
        <v>6.7587508434985839</v>
      </c>
      <c r="BO80">
        <v>5442.1461791850597</v>
      </c>
      <c r="BP80">
        <v>4.5544175904258219</v>
      </c>
      <c r="BQ80">
        <v>3667.2170438108715</v>
      </c>
      <c r="BR80">
        <v>6</v>
      </c>
      <c r="BS80">
        <v>4831.2</v>
      </c>
      <c r="BT80">
        <v>5.8460425198082504</v>
      </c>
      <c r="BU80">
        <v>4707.2334369496029</v>
      </c>
      <c r="BV80">
        <v>6</v>
      </c>
      <c r="BW80">
        <v>4831.2</v>
      </c>
      <c r="BX80">
        <v>5.8854234322104775</v>
      </c>
      <c r="BY80">
        <v>4738.9429476158757</v>
      </c>
      <c r="BZ80">
        <v>6</v>
      </c>
      <c r="CA80">
        <v>4831.2</v>
      </c>
      <c r="CB80">
        <v>5.8160725767253441</v>
      </c>
      <c r="CC80">
        <v>4683.101638779247</v>
      </c>
      <c r="CD80">
        <v>10</v>
      </c>
      <c r="CE80">
        <v>8051.9999999999991</v>
      </c>
      <c r="CF80">
        <v>8</v>
      </c>
      <c r="CG80">
        <v>6441.5999999999995</v>
      </c>
      <c r="CH80">
        <v>8.5932209621218103</v>
      </c>
      <c r="CI80">
        <v>6919.2615187004812</v>
      </c>
      <c r="CJ80">
        <v>9.7490353667583864</v>
      </c>
      <c r="CK80">
        <v>7849.9232773138519</v>
      </c>
      <c r="CL80">
        <v>5.4351007384969288</v>
      </c>
      <c r="CM80">
        <v>4376.343114637727</v>
      </c>
      <c r="CN80">
        <v>5.6098917596448734</v>
      </c>
      <c r="CO80">
        <v>4517.0848448660518</v>
      </c>
      <c r="CP80">
        <v>5.311765561714247</v>
      </c>
      <c r="CQ80">
        <v>4277.0336302923115</v>
      </c>
      <c r="CR80">
        <v>4.9448347252527283</v>
      </c>
      <c r="CS80">
        <v>3981.5809207734965</v>
      </c>
      <c r="CT80">
        <v>11</v>
      </c>
      <c r="CU80">
        <v>8857.1999999999989</v>
      </c>
    </row>
    <row r="81" spans="2:99" x14ac:dyDescent="0.2">
      <c r="C81" s="105" t="s">
        <v>247</v>
      </c>
      <c r="D81">
        <v>6</v>
      </c>
      <c r="E81">
        <v>4521.6000000000004</v>
      </c>
      <c r="F81">
        <v>9</v>
      </c>
      <c r="G81">
        <v>6782.4000000000005</v>
      </c>
      <c r="H81">
        <v>8</v>
      </c>
      <c r="I81">
        <v>6028.8</v>
      </c>
      <c r="J81">
        <v>9</v>
      </c>
      <c r="K81">
        <v>6782.4000000000005</v>
      </c>
      <c r="L81">
        <v>6</v>
      </c>
      <c r="M81">
        <v>4521.6000000000004</v>
      </c>
      <c r="N81">
        <v>6</v>
      </c>
      <c r="O81">
        <v>4521.6000000000004</v>
      </c>
      <c r="P81">
        <v>8</v>
      </c>
      <c r="Q81">
        <v>6028.8</v>
      </c>
      <c r="R81">
        <v>8</v>
      </c>
      <c r="S81">
        <v>6028.8</v>
      </c>
      <c r="T81">
        <v>8</v>
      </c>
      <c r="U81">
        <v>6028.8</v>
      </c>
      <c r="V81">
        <v>6</v>
      </c>
      <c r="W81">
        <v>4521.6000000000004</v>
      </c>
      <c r="X81">
        <v>9</v>
      </c>
      <c r="Y81">
        <v>6782.4000000000005</v>
      </c>
      <c r="Z81">
        <v>5</v>
      </c>
      <c r="AA81">
        <v>3768</v>
      </c>
      <c r="AB81">
        <v>9</v>
      </c>
      <c r="AC81">
        <v>6782.4000000000005</v>
      </c>
      <c r="AD81">
        <v>9</v>
      </c>
      <c r="AE81">
        <v>6782.4000000000005</v>
      </c>
      <c r="AF81">
        <v>6</v>
      </c>
      <c r="AG81">
        <v>4521.6000000000004</v>
      </c>
      <c r="AH81">
        <v>6.0625258727658018</v>
      </c>
      <c r="AI81">
        <v>4568.7194977163081</v>
      </c>
      <c r="AJ81">
        <v>8</v>
      </c>
      <c r="AK81">
        <v>6028.8</v>
      </c>
      <c r="AL81">
        <v>4.2483241026440339</v>
      </c>
      <c r="AM81">
        <v>3201.5370437525439</v>
      </c>
      <c r="AN81">
        <v>7</v>
      </c>
      <c r="AO81">
        <v>5275.2</v>
      </c>
      <c r="AP81">
        <v>7.1962235709741602</v>
      </c>
      <c r="AQ81">
        <v>5423.0740830861268</v>
      </c>
      <c r="AR81">
        <v>8.1252411646867575</v>
      </c>
      <c r="AS81">
        <v>6123.181741707941</v>
      </c>
      <c r="AT81">
        <v>6</v>
      </c>
      <c r="AU81">
        <v>4521.6000000000004</v>
      </c>
      <c r="AV81">
        <v>4.3616485832475602</v>
      </c>
      <c r="AW81">
        <v>3286.9383723353617</v>
      </c>
      <c r="AX81">
        <v>8</v>
      </c>
      <c r="AY81">
        <v>6028.8</v>
      </c>
      <c r="AZ81">
        <v>7</v>
      </c>
      <c r="BA81">
        <v>5275.2</v>
      </c>
      <c r="BB81">
        <v>6</v>
      </c>
      <c r="BC81">
        <v>4521.6000000000004</v>
      </c>
      <c r="BD81">
        <v>6</v>
      </c>
      <c r="BE81">
        <v>4521.6000000000004</v>
      </c>
      <c r="BF81">
        <v>8</v>
      </c>
      <c r="BG81">
        <v>6028.8</v>
      </c>
      <c r="BH81">
        <v>8</v>
      </c>
      <c r="BI81">
        <v>6028.8</v>
      </c>
      <c r="BJ81">
        <v>8</v>
      </c>
      <c r="BK81">
        <v>6028.8</v>
      </c>
      <c r="BL81">
        <v>8</v>
      </c>
      <c r="BM81">
        <v>6028.8</v>
      </c>
      <c r="BN81">
        <v>6.0077785275542972</v>
      </c>
      <c r="BO81">
        <v>4527.4618983649189</v>
      </c>
      <c r="BP81">
        <v>4.5544175904258219</v>
      </c>
      <c r="BQ81">
        <v>3432.2090961448994</v>
      </c>
      <c r="BR81">
        <v>6</v>
      </c>
      <c r="BS81">
        <v>4521.6000000000004</v>
      </c>
      <c r="BT81">
        <v>5.8460425198082504</v>
      </c>
      <c r="BU81">
        <v>4405.5776429274974</v>
      </c>
      <c r="BV81">
        <v>6</v>
      </c>
      <c r="BW81">
        <v>4521.6000000000004</v>
      </c>
      <c r="BX81">
        <v>5.8854234322104775</v>
      </c>
      <c r="BY81">
        <v>4435.2550985138159</v>
      </c>
      <c r="BZ81">
        <v>6</v>
      </c>
      <c r="CA81">
        <v>4521.6000000000004</v>
      </c>
      <c r="CB81">
        <v>5.1698422904225287</v>
      </c>
      <c r="CC81">
        <v>3895.993150062418</v>
      </c>
      <c r="CD81">
        <v>10</v>
      </c>
      <c r="CE81">
        <v>7536</v>
      </c>
      <c r="CF81">
        <v>7</v>
      </c>
      <c r="CG81">
        <v>5275.2</v>
      </c>
      <c r="CH81">
        <v>9.4525430583339904</v>
      </c>
      <c r="CI81">
        <v>7123.4364487604953</v>
      </c>
      <c r="CJ81">
        <v>9.7490353667583864</v>
      </c>
      <c r="CK81">
        <v>7346.8730523891199</v>
      </c>
      <c r="CL81">
        <v>5.4351007384969288</v>
      </c>
      <c r="CM81">
        <v>4095.8919165312855</v>
      </c>
      <c r="CN81">
        <v>5.6098917596448734</v>
      </c>
      <c r="CO81">
        <v>4227.6144300683764</v>
      </c>
      <c r="CP81">
        <v>5.311765561714247</v>
      </c>
      <c r="CQ81">
        <v>4002.9465273078567</v>
      </c>
      <c r="CR81">
        <v>5.6512396860031178</v>
      </c>
      <c r="CS81">
        <v>4258.7742273719496</v>
      </c>
      <c r="CT81">
        <v>11</v>
      </c>
      <c r="CU81">
        <v>8289.6</v>
      </c>
    </row>
    <row r="82" spans="2:99" x14ac:dyDescent="0.2">
      <c r="C82" s="105" t="s">
        <v>248</v>
      </c>
      <c r="D82">
        <v>7</v>
      </c>
      <c r="E82">
        <v>3561.5999999999995</v>
      </c>
      <c r="F82">
        <v>9</v>
      </c>
      <c r="G82">
        <v>4579.1999999999989</v>
      </c>
      <c r="H82">
        <v>9</v>
      </c>
      <c r="I82">
        <v>4579.1999999999989</v>
      </c>
      <c r="J82">
        <v>10</v>
      </c>
      <c r="K82">
        <v>5087.9999999999991</v>
      </c>
      <c r="L82">
        <v>7</v>
      </c>
      <c r="M82">
        <v>3561.5999999999995</v>
      </c>
      <c r="N82">
        <v>7</v>
      </c>
      <c r="O82">
        <v>3561.5999999999995</v>
      </c>
      <c r="P82">
        <v>7</v>
      </c>
      <c r="Q82">
        <v>3561.5999999999995</v>
      </c>
      <c r="R82">
        <v>9</v>
      </c>
      <c r="S82">
        <v>4579.1999999999989</v>
      </c>
      <c r="T82">
        <v>8</v>
      </c>
      <c r="U82">
        <v>4070.3999999999992</v>
      </c>
      <c r="V82">
        <v>5</v>
      </c>
      <c r="W82">
        <v>2543.9999999999995</v>
      </c>
      <c r="X82">
        <v>9</v>
      </c>
      <c r="Y82">
        <v>4579.1999999999989</v>
      </c>
      <c r="Z82">
        <v>5</v>
      </c>
      <c r="AA82">
        <v>2543.9999999999995</v>
      </c>
      <c r="AB82">
        <v>9</v>
      </c>
      <c r="AC82">
        <v>4579.1999999999989</v>
      </c>
      <c r="AD82">
        <v>9</v>
      </c>
      <c r="AE82">
        <v>4579.1999999999989</v>
      </c>
      <c r="AF82">
        <v>5</v>
      </c>
      <c r="AG82">
        <v>2543.9999999999995</v>
      </c>
      <c r="AH82">
        <v>6.7361398586286692</v>
      </c>
      <c r="AI82">
        <v>3427.3479600702663</v>
      </c>
      <c r="AJ82">
        <v>8</v>
      </c>
      <c r="AK82">
        <v>4070.3999999999992</v>
      </c>
      <c r="AL82">
        <v>4.7203601140489271</v>
      </c>
      <c r="AM82">
        <v>2401.7192260280935</v>
      </c>
      <c r="AN82">
        <v>7</v>
      </c>
      <c r="AO82">
        <v>3561.5999999999995</v>
      </c>
      <c r="AP82">
        <v>7.1962235709741602</v>
      </c>
      <c r="AQ82">
        <v>3661.4385529116521</v>
      </c>
      <c r="AR82">
        <v>7.386582876987962</v>
      </c>
      <c r="AS82">
        <v>3758.2933678114741</v>
      </c>
      <c r="AT82">
        <v>6</v>
      </c>
      <c r="AU82">
        <v>3052.7999999999993</v>
      </c>
      <c r="AV82">
        <v>4.3616485832475602</v>
      </c>
      <c r="AW82">
        <v>2219.2067991563581</v>
      </c>
      <c r="AX82">
        <v>9</v>
      </c>
      <c r="AY82">
        <v>4579.1999999999989</v>
      </c>
      <c r="AZ82">
        <v>7</v>
      </c>
      <c r="BA82">
        <v>3561.5999999999995</v>
      </c>
      <c r="BB82">
        <v>6</v>
      </c>
      <c r="BC82">
        <v>3052.7999999999993</v>
      </c>
      <c r="BD82">
        <v>6</v>
      </c>
      <c r="BE82">
        <v>3052.7999999999993</v>
      </c>
      <c r="BF82">
        <v>8</v>
      </c>
      <c r="BG82">
        <v>4070.3999999999992</v>
      </c>
      <c r="BH82">
        <v>8</v>
      </c>
      <c r="BI82">
        <v>4070.3999999999992</v>
      </c>
      <c r="BJ82">
        <v>8</v>
      </c>
      <c r="BK82">
        <v>4070.3999999999992</v>
      </c>
      <c r="BL82">
        <v>10</v>
      </c>
      <c r="BM82">
        <v>5087.9999999999991</v>
      </c>
      <c r="BN82">
        <v>6.0077785275542972</v>
      </c>
      <c r="BO82">
        <v>3056.757714819626</v>
      </c>
      <c r="BP82">
        <v>4.5544175904258219</v>
      </c>
      <c r="BQ82">
        <v>2317.2876700086576</v>
      </c>
      <c r="BR82">
        <v>6</v>
      </c>
      <c r="BS82">
        <v>3052.7999999999993</v>
      </c>
      <c r="BT82">
        <v>6.5767978347842808</v>
      </c>
      <c r="BU82">
        <v>3346.2747383382416</v>
      </c>
      <c r="BV82">
        <v>6</v>
      </c>
      <c r="BW82">
        <v>3052.7999999999993</v>
      </c>
      <c r="BX82">
        <v>6.5393593691227538</v>
      </c>
      <c r="BY82">
        <v>3327.2260470096567</v>
      </c>
      <c r="BZ82">
        <v>6</v>
      </c>
      <c r="CA82">
        <v>3052.7999999999993</v>
      </c>
      <c r="CB82">
        <v>6.4623028630281603</v>
      </c>
      <c r="CC82">
        <v>3288.0196967087272</v>
      </c>
      <c r="CD82">
        <v>10</v>
      </c>
      <c r="CE82">
        <v>5087.9999999999991</v>
      </c>
      <c r="CF82">
        <v>8</v>
      </c>
      <c r="CG82">
        <v>4070.3999999999992</v>
      </c>
      <c r="CH82">
        <v>9.4525430583339904</v>
      </c>
      <c r="CI82">
        <v>4809.4539080803333</v>
      </c>
      <c r="CJ82">
        <v>9.7490353667583864</v>
      </c>
      <c r="CK82">
        <v>4960.3091946066661</v>
      </c>
      <c r="CL82">
        <v>5.9786108123466217</v>
      </c>
      <c r="CM82">
        <v>3041.9171813219605</v>
      </c>
      <c r="CN82">
        <v>5.6098917596448734</v>
      </c>
      <c r="CO82">
        <v>2854.3129273073109</v>
      </c>
      <c r="CP82">
        <v>5.311765561714247</v>
      </c>
      <c r="CQ82">
        <v>2702.6263178002082</v>
      </c>
      <c r="CR82">
        <v>4.9448347252527283</v>
      </c>
      <c r="CS82">
        <v>2515.9319082085876</v>
      </c>
      <c r="CT82">
        <v>11</v>
      </c>
      <c r="CU82">
        <v>5596.7999999999993</v>
      </c>
    </row>
    <row r="83" spans="2:99" x14ac:dyDescent="0.2">
      <c r="C83" s="105" t="s">
        <v>249</v>
      </c>
      <c r="D83">
        <v>7</v>
      </c>
      <c r="E83">
        <v>6022.8</v>
      </c>
      <c r="F83">
        <v>9</v>
      </c>
      <c r="G83">
        <v>7743.5999999999995</v>
      </c>
      <c r="H83">
        <v>8</v>
      </c>
      <c r="I83">
        <v>6883.2</v>
      </c>
      <c r="J83">
        <v>11</v>
      </c>
      <c r="K83">
        <v>9464.4</v>
      </c>
      <c r="L83">
        <v>6</v>
      </c>
      <c r="M83">
        <v>5162.3999999999996</v>
      </c>
      <c r="N83">
        <v>6</v>
      </c>
      <c r="O83">
        <v>5162.3999999999996</v>
      </c>
      <c r="P83">
        <v>7</v>
      </c>
      <c r="Q83">
        <v>6022.8</v>
      </c>
      <c r="R83">
        <v>9</v>
      </c>
      <c r="S83">
        <v>7743.5999999999995</v>
      </c>
      <c r="T83">
        <v>7</v>
      </c>
      <c r="U83">
        <v>6022.8</v>
      </c>
      <c r="V83">
        <v>6</v>
      </c>
      <c r="W83">
        <v>5162.3999999999996</v>
      </c>
      <c r="X83">
        <v>9</v>
      </c>
      <c r="Y83">
        <v>7743.5999999999995</v>
      </c>
      <c r="Z83">
        <v>5</v>
      </c>
      <c r="AA83">
        <v>4302</v>
      </c>
      <c r="AB83">
        <v>10</v>
      </c>
      <c r="AC83">
        <v>8604</v>
      </c>
      <c r="AD83">
        <v>9</v>
      </c>
      <c r="AE83">
        <v>7743.5999999999995</v>
      </c>
      <c r="AF83">
        <v>6</v>
      </c>
      <c r="AG83">
        <v>5162.3999999999996</v>
      </c>
      <c r="AH83">
        <v>6.7361398586286692</v>
      </c>
      <c r="AI83">
        <v>5795.7747343641067</v>
      </c>
      <c r="AJ83">
        <v>9</v>
      </c>
      <c r="AK83">
        <v>7743.5999999999995</v>
      </c>
      <c r="AL83">
        <v>4.2483241026440339</v>
      </c>
      <c r="AM83">
        <v>3655.2580579149267</v>
      </c>
      <c r="AN83">
        <v>6</v>
      </c>
      <c r="AO83">
        <v>5162.3999999999996</v>
      </c>
      <c r="AP83">
        <v>7.1962235709741602</v>
      </c>
      <c r="AQ83">
        <v>6191.630760466167</v>
      </c>
      <c r="AR83">
        <v>6.6479245892891656</v>
      </c>
      <c r="AS83">
        <v>5719.8743166243976</v>
      </c>
      <c r="AT83">
        <v>6</v>
      </c>
      <c r="AU83">
        <v>5162.3999999999996</v>
      </c>
      <c r="AV83">
        <v>4.3616485832475602</v>
      </c>
      <c r="AW83">
        <v>3752.7624410262006</v>
      </c>
      <c r="AX83">
        <v>8</v>
      </c>
      <c r="AY83">
        <v>6883.2</v>
      </c>
      <c r="AZ83">
        <v>7</v>
      </c>
      <c r="BA83">
        <v>6022.8</v>
      </c>
      <c r="BB83">
        <v>6</v>
      </c>
      <c r="BC83">
        <v>5162.3999999999996</v>
      </c>
      <c r="BD83">
        <v>6</v>
      </c>
      <c r="BE83">
        <v>5162.3999999999996</v>
      </c>
      <c r="BF83">
        <v>7</v>
      </c>
      <c r="BG83">
        <v>6022.8</v>
      </c>
      <c r="BH83">
        <v>8</v>
      </c>
      <c r="BI83">
        <v>6883.2</v>
      </c>
      <c r="BJ83">
        <v>8</v>
      </c>
      <c r="BK83">
        <v>6883.2</v>
      </c>
      <c r="BL83">
        <v>10</v>
      </c>
      <c r="BM83">
        <v>8604</v>
      </c>
      <c r="BN83">
        <v>6.0077785275542972</v>
      </c>
      <c r="BO83">
        <v>5169.0926451077175</v>
      </c>
      <c r="BP83">
        <v>3.7953479920215183</v>
      </c>
      <c r="BQ83">
        <v>3265.5174123353145</v>
      </c>
      <c r="BR83">
        <v>6</v>
      </c>
      <c r="BS83">
        <v>5162.3999999999996</v>
      </c>
      <c r="BT83">
        <v>5.8460425198082504</v>
      </c>
      <c r="BU83">
        <v>5029.9349840430186</v>
      </c>
      <c r="BV83">
        <v>6</v>
      </c>
      <c r="BW83">
        <v>5162.3999999999996</v>
      </c>
      <c r="BX83">
        <v>5.231487495298202</v>
      </c>
      <c r="BY83">
        <v>4501.1718409545729</v>
      </c>
      <c r="BZ83">
        <v>5</v>
      </c>
      <c r="CA83">
        <v>4302</v>
      </c>
      <c r="CB83">
        <v>5.1698422904225287</v>
      </c>
      <c r="CC83">
        <v>4448.1323066795439</v>
      </c>
      <c r="CD83">
        <v>10</v>
      </c>
      <c r="CE83">
        <v>8604</v>
      </c>
      <c r="CF83">
        <v>8</v>
      </c>
      <c r="CG83">
        <v>6883.2</v>
      </c>
      <c r="CH83">
        <v>10.311865154546171</v>
      </c>
      <c r="CI83">
        <v>8872.328778971525</v>
      </c>
      <c r="CJ83">
        <v>8.1241961389653241</v>
      </c>
      <c r="CK83">
        <v>6990.058357965765</v>
      </c>
      <c r="CL83">
        <v>4.8915906646472367</v>
      </c>
      <c r="CM83">
        <v>4208.7246078624821</v>
      </c>
      <c r="CN83">
        <v>5.6098917596448734</v>
      </c>
      <c r="CO83">
        <v>4826.7508699984492</v>
      </c>
      <c r="CP83">
        <v>5.311765561714247</v>
      </c>
      <c r="CQ83">
        <v>4570.2430892989378</v>
      </c>
      <c r="CR83">
        <v>4.9448347252527283</v>
      </c>
      <c r="CS83">
        <v>4254.5357976074474</v>
      </c>
      <c r="CT83">
        <v>10</v>
      </c>
      <c r="CU83">
        <v>8604</v>
      </c>
    </row>
    <row r="84" spans="2:99" x14ac:dyDescent="0.2">
      <c r="C84" s="105" t="s">
        <v>250</v>
      </c>
      <c r="D84">
        <v>7</v>
      </c>
      <c r="E84">
        <v>5468.4</v>
      </c>
      <c r="F84">
        <v>9</v>
      </c>
      <c r="G84">
        <v>7030.7999999999993</v>
      </c>
      <c r="H84">
        <v>10</v>
      </c>
      <c r="I84">
        <v>7811.9999999999991</v>
      </c>
      <c r="J84">
        <v>10</v>
      </c>
      <c r="K84">
        <v>7811.9999999999991</v>
      </c>
      <c r="L84">
        <v>6</v>
      </c>
      <c r="M84">
        <v>4687.2</v>
      </c>
      <c r="N84">
        <v>6</v>
      </c>
      <c r="O84">
        <v>4687.2</v>
      </c>
      <c r="P84">
        <v>8</v>
      </c>
      <c r="Q84">
        <v>6249.5999999999995</v>
      </c>
      <c r="R84">
        <v>9</v>
      </c>
      <c r="S84">
        <v>7030.7999999999993</v>
      </c>
      <c r="T84">
        <v>7</v>
      </c>
      <c r="U84">
        <v>5468.4</v>
      </c>
      <c r="V84">
        <v>6</v>
      </c>
      <c r="W84">
        <v>4687.2</v>
      </c>
      <c r="X84">
        <v>10</v>
      </c>
      <c r="Y84">
        <v>7811.9999999999991</v>
      </c>
      <c r="Z84">
        <v>5</v>
      </c>
      <c r="AA84">
        <v>3905.9999999999995</v>
      </c>
      <c r="AB84">
        <v>9</v>
      </c>
      <c r="AC84">
        <v>7030.7999999999993</v>
      </c>
      <c r="AD84">
        <v>8</v>
      </c>
      <c r="AE84">
        <v>6249.5999999999995</v>
      </c>
      <c r="AF84">
        <v>6</v>
      </c>
      <c r="AG84">
        <v>4687.2</v>
      </c>
      <c r="AH84">
        <v>7.4097538444915356</v>
      </c>
      <c r="AI84">
        <v>5788.4997033167874</v>
      </c>
      <c r="AJ84">
        <v>8</v>
      </c>
      <c r="AK84">
        <v>6249.5999999999995</v>
      </c>
      <c r="AL84">
        <v>4.2483241026440339</v>
      </c>
      <c r="AM84">
        <v>3318.7907889855192</v>
      </c>
      <c r="AN84">
        <v>7</v>
      </c>
      <c r="AO84">
        <v>5468.4</v>
      </c>
      <c r="AP84">
        <v>8.0957515173459313</v>
      </c>
      <c r="AQ84">
        <v>6324.4010853506406</v>
      </c>
      <c r="AR84">
        <v>6.6479245892891656</v>
      </c>
      <c r="AS84">
        <v>5193.3586891526957</v>
      </c>
      <c r="AT84">
        <v>6</v>
      </c>
      <c r="AU84">
        <v>4687.2</v>
      </c>
      <c r="AV84">
        <v>4.3616485832475602</v>
      </c>
      <c r="AW84">
        <v>3407.3198732329938</v>
      </c>
      <c r="AX84">
        <v>8</v>
      </c>
      <c r="AY84">
        <v>6249.5999999999995</v>
      </c>
      <c r="AZ84">
        <v>7</v>
      </c>
      <c r="BA84">
        <v>5468.4</v>
      </c>
      <c r="BB84">
        <v>6</v>
      </c>
      <c r="BC84">
        <v>4687.2</v>
      </c>
      <c r="BD84">
        <v>6</v>
      </c>
      <c r="BE84">
        <v>4687.2</v>
      </c>
      <c r="BF84">
        <v>8</v>
      </c>
      <c r="BG84">
        <v>6249.5999999999995</v>
      </c>
      <c r="BH84">
        <v>7</v>
      </c>
      <c r="BI84">
        <v>5468.4</v>
      </c>
      <c r="BJ84">
        <v>9</v>
      </c>
      <c r="BK84">
        <v>7030.7999999999993</v>
      </c>
      <c r="BL84">
        <v>9</v>
      </c>
      <c r="BM84">
        <v>7030.7999999999993</v>
      </c>
      <c r="BN84">
        <v>6.0077785275542972</v>
      </c>
      <c r="BO84">
        <v>4693.2765857254162</v>
      </c>
      <c r="BP84">
        <v>4.5544175904258219</v>
      </c>
      <c r="BQ84">
        <v>3557.9110216406516</v>
      </c>
      <c r="BR84">
        <v>6</v>
      </c>
      <c r="BS84">
        <v>4687.2</v>
      </c>
      <c r="BT84">
        <v>5.8460425198082504</v>
      </c>
      <c r="BU84">
        <v>4566.9284164742048</v>
      </c>
      <c r="BV84">
        <v>6</v>
      </c>
      <c r="BW84">
        <v>4687.2</v>
      </c>
      <c r="BX84">
        <v>5.8854234322104775</v>
      </c>
      <c r="BY84">
        <v>4597.6927852428244</v>
      </c>
      <c r="BZ84">
        <v>6</v>
      </c>
      <c r="CA84">
        <v>4687.2</v>
      </c>
      <c r="CB84">
        <v>5.8160725767253441</v>
      </c>
      <c r="CC84">
        <v>4543.5158969378381</v>
      </c>
      <c r="CD84">
        <v>9</v>
      </c>
      <c r="CE84">
        <v>7030.7999999999993</v>
      </c>
      <c r="CF84">
        <v>8</v>
      </c>
      <c r="CG84">
        <v>6249.5999999999995</v>
      </c>
      <c r="CH84">
        <v>9.4525430583339904</v>
      </c>
      <c r="CI84">
        <v>7384.3266371705131</v>
      </c>
      <c r="CJ84">
        <v>8.9366157528618544</v>
      </c>
      <c r="CK84">
        <v>6981.28422613568</v>
      </c>
      <c r="CL84">
        <v>5.4351007384969288</v>
      </c>
      <c r="CM84">
        <v>4245.9006969137999</v>
      </c>
      <c r="CN84">
        <v>5.6098917596448734</v>
      </c>
      <c r="CO84">
        <v>4382.4474426345751</v>
      </c>
      <c r="CP84">
        <v>5.311765561714247</v>
      </c>
      <c r="CQ84">
        <v>4149.551256811169</v>
      </c>
      <c r="CR84">
        <v>4.9448347252527283</v>
      </c>
      <c r="CS84">
        <v>3862.904887367431</v>
      </c>
      <c r="CT84">
        <v>11</v>
      </c>
      <c r="CU84">
        <v>8593.1999999999989</v>
      </c>
    </row>
    <row r="85" spans="2:99" x14ac:dyDescent="0.2">
      <c r="C85" s="105" t="s">
        <v>251</v>
      </c>
      <c r="D85">
        <v>7</v>
      </c>
      <c r="E85">
        <v>1050</v>
      </c>
      <c r="F85">
        <v>10</v>
      </c>
      <c r="G85">
        <v>1500</v>
      </c>
      <c r="H85">
        <v>10</v>
      </c>
      <c r="I85">
        <v>1500</v>
      </c>
      <c r="J85">
        <v>10</v>
      </c>
      <c r="K85">
        <v>1500</v>
      </c>
      <c r="L85">
        <v>8</v>
      </c>
      <c r="M85">
        <v>1200</v>
      </c>
      <c r="N85">
        <v>7</v>
      </c>
      <c r="O85">
        <v>1050</v>
      </c>
      <c r="P85">
        <v>7</v>
      </c>
      <c r="Q85">
        <v>1050</v>
      </c>
      <c r="R85">
        <v>10</v>
      </c>
      <c r="S85">
        <v>1500</v>
      </c>
      <c r="T85">
        <v>8</v>
      </c>
      <c r="U85">
        <v>1200</v>
      </c>
      <c r="V85">
        <v>6</v>
      </c>
      <c r="W85">
        <v>900</v>
      </c>
      <c r="X85">
        <v>10</v>
      </c>
      <c r="Y85">
        <v>1500</v>
      </c>
      <c r="Z85">
        <v>6</v>
      </c>
      <c r="AA85">
        <v>900</v>
      </c>
      <c r="AB85">
        <v>11</v>
      </c>
      <c r="AC85">
        <v>1650</v>
      </c>
      <c r="AD85">
        <v>9</v>
      </c>
      <c r="AE85">
        <v>1350</v>
      </c>
      <c r="AF85">
        <v>6</v>
      </c>
      <c r="AG85">
        <v>900</v>
      </c>
      <c r="AH85">
        <v>6.7361398586286692</v>
      </c>
      <c r="AI85">
        <v>1010.4209787943004</v>
      </c>
      <c r="AJ85">
        <v>9</v>
      </c>
      <c r="AK85">
        <v>1350</v>
      </c>
      <c r="AL85">
        <v>4.7203601140489271</v>
      </c>
      <c r="AM85">
        <v>708.05401710733906</v>
      </c>
      <c r="AN85">
        <v>7</v>
      </c>
      <c r="AO85">
        <v>1050</v>
      </c>
      <c r="AP85">
        <v>7.1962235709741602</v>
      </c>
      <c r="AQ85">
        <v>1079.433535646124</v>
      </c>
      <c r="AR85">
        <v>7.386582876987962</v>
      </c>
      <c r="AS85">
        <v>1107.9874315481943</v>
      </c>
      <c r="AT85">
        <v>6</v>
      </c>
      <c r="AU85">
        <v>900</v>
      </c>
      <c r="AV85">
        <v>4.3616485832475602</v>
      </c>
      <c r="AW85">
        <v>654.24728748713403</v>
      </c>
      <c r="AX85">
        <v>9</v>
      </c>
      <c r="AY85">
        <v>1350</v>
      </c>
      <c r="AZ85">
        <v>8</v>
      </c>
      <c r="BA85">
        <v>1200</v>
      </c>
      <c r="BB85">
        <v>6</v>
      </c>
      <c r="BC85">
        <v>900</v>
      </c>
      <c r="BD85">
        <v>7</v>
      </c>
      <c r="BE85">
        <v>1050</v>
      </c>
      <c r="BF85">
        <v>9</v>
      </c>
      <c r="BG85">
        <v>1350</v>
      </c>
      <c r="BH85">
        <v>8</v>
      </c>
      <c r="BI85">
        <v>1200</v>
      </c>
      <c r="BJ85">
        <v>9</v>
      </c>
      <c r="BK85">
        <v>1350</v>
      </c>
      <c r="BL85">
        <v>9</v>
      </c>
      <c r="BM85">
        <v>1350</v>
      </c>
      <c r="BN85">
        <v>6.7587508434985839</v>
      </c>
      <c r="BO85">
        <v>1013.8126265247876</v>
      </c>
      <c r="BP85">
        <v>5.3134871888301252</v>
      </c>
      <c r="BQ85">
        <v>797.02307832451879</v>
      </c>
      <c r="BR85">
        <v>6</v>
      </c>
      <c r="BS85">
        <v>900</v>
      </c>
      <c r="BT85">
        <v>5.8460425198082504</v>
      </c>
      <c r="BU85">
        <v>876.90637797123759</v>
      </c>
      <c r="BV85">
        <v>6</v>
      </c>
      <c r="BW85">
        <v>900</v>
      </c>
      <c r="BX85">
        <v>6.5393593691227538</v>
      </c>
      <c r="BY85">
        <v>980.90390536841312</v>
      </c>
      <c r="BZ85">
        <v>6</v>
      </c>
      <c r="CA85">
        <v>900</v>
      </c>
      <c r="CB85">
        <v>5.8160725767253441</v>
      </c>
      <c r="CC85">
        <v>872.41088650880158</v>
      </c>
      <c r="CD85">
        <v>11</v>
      </c>
      <c r="CE85">
        <v>1650</v>
      </c>
      <c r="CF85">
        <v>8</v>
      </c>
      <c r="CG85">
        <v>1200</v>
      </c>
      <c r="CH85">
        <v>9.4525430583339904</v>
      </c>
      <c r="CI85">
        <v>1417.8814587500985</v>
      </c>
      <c r="CJ85">
        <v>9.7490353667583864</v>
      </c>
      <c r="CK85">
        <v>1462.355305013758</v>
      </c>
      <c r="CL85">
        <v>5.4351007384969288</v>
      </c>
      <c r="CM85">
        <v>815.26511077453927</v>
      </c>
      <c r="CN85">
        <v>5.6098917596448734</v>
      </c>
      <c r="CO85">
        <v>841.48376394673096</v>
      </c>
      <c r="CP85">
        <v>6.0705892133877102</v>
      </c>
      <c r="CQ85">
        <v>910.58838200815649</v>
      </c>
      <c r="CR85">
        <v>5.6512396860031178</v>
      </c>
      <c r="CS85">
        <v>847.68595290046767</v>
      </c>
      <c r="CT85">
        <v>12</v>
      </c>
      <c r="CU85">
        <v>1800</v>
      </c>
    </row>
    <row r="86" spans="2:99" x14ac:dyDescent="0.2">
      <c r="C86" s="105" t="s">
        <v>252</v>
      </c>
      <c r="D86">
        <v>7</v>
      </c>
      <c r="E86">
        <v>3780</v>
      </c>
      <c r="F86">
        <v>10</v>
      </c>
      <c r="G86">
        <v>5400</v>
      </c>
      <c r="H86">
        <v>10</v>
      </c>
      <c r="I86">
        <v>5400</v>
      </c>
      <c r="J86">
        <v>11</v>
      </c>
      <c r="K86">
        <v>5940</v>
      </c>
      <c r="L86">
        <v>7</v>
      </c>
      <c r="M86">
        <v>3780</v>
      </c>
      <c r="N86">
        <v>7</v>
      </c>
      <c r="O86">
        <v>3780</v>
      </c>
      <c r="P86">
        <v>8</v>
      </c>
      <c r="Q86">
        <v>4320</v>
      </c>
      <c r="R86">
        <v>8</v>
      </c>
      <c r="S86">
        <v>4320</v>
      </c>
      <c r="T86">
        <v>7</v>
      </c>
      <c r="U86">
        <v>3780</v>
      </c>
      <c r="V86">
        <v>6</v>
      </c>
      <c r="W86">
        <v>3240</v>
      </c>
      <c r="X86">
        <v>10</v>
      </c>
      <c r="Y86">
        <v>5400</v>
      </c>
      <c r="Z86">
        <v>5</v>
      </c>
      <c r="AA86">
        <v>2700</v>
      </c>
      <c r="AB86">
        <v>10</v>
      </c>
      <c r="AC86">
        <v>5400</v>
      </c>
      <c r="AD86">
        <v>9</v>
      </c>
      <c r="AE86">
        <v>4860</v>
      </c>
      <c r="AF86">
        <v>6</v>
      </c>
      <c r="AG86">
        <v>3240</v>
      </c>
      <c r="AH86">
        <v>6.7361398586286692</v>
      </c>
      <c r="AI86">
        <v>3637.5155236594815</v>
      </c>
      <c r="AJ86">
        <v>9</v>
      </c>
      <c r="AK86">
        <v>4860</v>
      </c>
      <c r="AL86">
        <v>4.7203601140489271</v>
      </c>
      <c r="AM86">
        <v>2548.9944615864206</v>
      </c>
      <c r="AN86">
        <v>7</v>
      </c>
      <c r="AO86">
        <v>3780</v>
      </c>
      <c r="AP86">
        <v>7.1962235709741602</v>
      </c>
      <c r="AQ86">
        <v>3885.9607283260466</v>
      </c>
      <c r="AR86">
        <v>6.6479245892891656</v>
      </c>
      <c r="AS86">
        <v>3589.8792782161495</v>
      </c>
      <c r="AT86">
        <v>6</v>
      </c>
      <c r="AU86">
        <v>3240</v>
      </c>
      <c r="AV86">
        <v>4.3616485832475602</v>
      </c>
      <c r="AW86">
        <v>2355.2902349536826</v>
      </c>
      <c r="AX86">
        <v>8</v>
      </c>
      <c r="AY86">
        <v>4320</v>
      </c>
      <c r="AZ86">
        <v>7</v>
      </c>
      <c r="BA86">
        <v>3780</v>
      </c>
      <c r="BB86">
        <v>7</v>
      </c>
      <c r="BC86">
        <v>3780</v>
      </c>
      <c r="BD86">
        <v>7</v>
      </c>
      <c r="BE86">
        <v>3780</v>
      </c>
      <c r="BF86">
        <v>7</v>
      </c>
      <c r="BG86">
        <v>3780</v>
      </c>
      <c r="BH86">
        <v>9</v>
      </c>
      <c r="BI86">
        <v>4860</v>
      </c>
      <c r="BJ86">
        <v>8</v>
      </c>
      <c r="BK86">
        <v>4320</v>
      </c>
      <c r="BL86">
        <v>9</v>
      </c>
      <c r="BM86">
        <v>4860</v>
      </c>
      <c r="BN86">
        <v>6.0077785275542972</v>
      </c>
      <c r="BO86">
        <v>3244.2004048793206</v>
      </c>
      <c r="BP86">
        <v>4.5544175904258219</v>
      </c>
      <c r="BQ86">
        <v>2459.385498829944</v>
      </c>
      <c r="BR86">
        <v>6</v>
      </c>
      <c r="BS86">
        <v>3240</v>
      </c>
      <c r="BT86">
        <v>6.5767978347842808</v>
      </c>
      <c r="BU86">
        <v>3551.4708307835117</v>
      </c>
      <c r="BV86">
        <v>6</v>
      </c>
      <c r="BW86">
        <v>3240</v>
      </c>
      <c r="BX86">
        <v>6.5393593691227538</v>
      </c>
      <c r="BY86">
        <v>3531.254059326287</v>
      </c>
      <c r="BZ86">
        <v>6</v>
      </c>
      <c r="CA86">
        <v>3240</v>
      </c>
      <c r="CB86">
        <v>5.1698422904225287</v>
      </c>
      <c r="CC86">
        <v>2791.7148368281655</v>
      </c>
      <c r="CD86">
        <v>10</v>
      </c>
      <c r="CE86">
        <v>5400</v>
      </c>
      <c r="CF86">
        <v>7</v>
      </c>
      <c r="CG86">
        <v>3780</v>
      </c>
      <c r="CH86">
        <v>8.5932209621218103</v>
      </c>
      <c r="CI86">
        <v>4640.3393195457775</v>
      </c>
      <c r="CJ86">
        <v>9.7490353667583864</v>
      </c>
      <c r="CK86">
        <v>5264.4790980495291</v>
      </c>
      <c r="CL86">
        <v>5.4351007384969288</v>
      </c>
      <c r="CM86">
        <v>2934.9543987883417</v>
      </c>
      <c r="CN86">
        <v>6.4113048681655691</v>
      </c>
      <c r="CO86">
        <v>3462.1046288094071</v>
      </c>
      <c r="CP86">
        <v>5.311765561714247</v>
      </c>
      <c r="CQ86">
        <v>2868.3534033256933</v>
      </c>
      <c r="CR86">
        <v>4.9448347252527283</v>
      </c>
      <c r="CS86">
        <v>2670.2107516364731</v>
      </c>
      <c r="CT86">
        <v>10</v>
      </c>
      <c r="CU86">
        <v>5400</v>
      </c>
    </row>
    <row r="87" spans="2:99" x14ac:dyDescent="0.2">
      <c r="B87" s="105" t="s">
        <v>131</v>
      </c>
      <c r="C87" s="105" t="s">
        <v>253</v>
      </c>
      <c r="D87">
        <v>8</v>
      </c>
      <c r="E87">
        <v>15638.4</v>
      </c>
      <c r="F87">
        <v>9</v>
      </c>
      <c r="G87">
        <v>17593.2</v>
      </c>
      <c r="H87">
        <v>5</v>
      </c>
      <c r="I87">
        <v>9774</v>
      </c>
      <c r="J87">
        <v>6</v>
      </c>
      <c r="K87">
        <v>11728.8</v>
      </c>
      <c r="L87">
        <v>5</v>
      </c>
      <c r="M87">
        <v>9774</v>
      </c>
      <c r="N87">
        <v>5</v>
      </c>
      <c r="O87">
        <v>9774</v>
      </c>
      <c r="P87">
        <v>5</v>
      </c>
      <c r="Q87">
        <v>9774</v>
      </c>
      <c r="R87">
        <v>6</v>
      </c>
      <c r="S87">
        <v>11728.8</v>
      </c>
      <c r="T87">
        <v>7</v>
      </c>
      <c r="U87">
        <v>13683.6</v>
      </c>
      <c r="V87">
        <v>6</v>
      </c>
      <c r="W87">
        <v>11728.8</v>
      </c>
      <c r="X87">
        <v>8</v>
      </c>
      <c r="Y87">
        <v>15638.4</v>
      </c>
      <c r="Z87">
        <v>8</v>
      </c>
      <c r="AA87">
        <v>15638.4</v>
      </c>
      <c r="AB87">
        <v>10</v>
      </c>
      <c r="AC87">
        <v>19548</v>
      </c>
      <c r="AD87">
        <v>10</v>
      </c>
      <c r="AE87">
        <v>19548</v>
      </c>
      <c r="AF87">
        <v>6</v>
      </c>
      <c r="AG87">
        <v>11728.8</v>
      </c>
      <c r="AH87">
        <v>4.715297901040068</v>
      </c>
      <c r="AI87">
        <v>9217.4643369531241</v>
      </c>
      <c r="AJ87">
        <v>10</v>
      </c>
      <c r="AK87">
        <v>19548</v>
      </c>
      <c r="AL87">
        <v>2.8322160684293558</v>
      </c>
      <c r="AM87">
        <v>5536.4159705657048</v>
      </c>
      <c r="AN87">
        <v>8</v>
      </c>
      <c r="AO87">
        <v>15638.4</v>
      </c>
      <c r="AP87">
        <v>6.29669562460239</v>
      </c>
      <c r="AQ87">
        <v>12308.780606972752</v>
      </c>
      <c r="AR87">
        <v>5.9092663015903693</v>
      </c>
      <c r="AS87">
        <v>11551.433766348853</v>
      </c>
      <c r="AT87">
        <v>6</v>
      </c>
      <c r="AU87">
        <v>11728.8</v>
      </c>
      <c r="AV87">
        <v>5.0885900137888207</v>
      </c>
      <c r="AW87">
        <v>9947.1757589543868</v>
      </c>
      <c r="AX87">
        <v>8</v>
      </c>
      <c r="AY87">
        <v>15638.4</v>
      </c>
      <c r="AZ87">
        <v>6</v>
      </c>
      <c r="BA87">
        <v>11728.8</v>
      </c>
      <c r="BB87">
        <v>8</v>
      </c>
      <c r="BC87">
        <v>15638.4</v>
      </c>
      <c r="BD87">
        <v>9</v>
      </c>
      <c r="BE87">
        <v>17593.2</v>
      </c>
      <c r="BF87">
        <v>10</v>
      </c>
      <c r="BG87">
        <v>19548</v>
      </c>
      <c r="BH87">
        <v>10</v>
      </c>
      <c r="BI87">
        <v>19548</v>
      </c>
      <c r="BJ87">
        <v>10</v>
      </c>
      <c r="BK87">
        <v>19548</v>
      </c>
      <c r="BL87">
        <v>5</v>
      </c>
      <c r="BM87">
        <v>9774</v>
      </c>
      <c r="BN87">
        <v>6.0077785275542972</v>
      </c>
      <c r="BO87">
        <v>11744.00546566314</v>
      </c>
      <c r="BP87">
        <v>7.5906959840430366</v>
      </c>
      <c r="BQ87">
        <v>14838.292509607327</v>
      </c>
      <c r="BR87">
        <v>8</v>
      </c>
      <c r="BS87">
        <v>15638.4</v>
      </c>
      <c r="BT87">
        <v>6.5767978347842808</v>
      </c>
      <c r="BU87">
        <v>12856.324407436312</v>
      </c>
      <c r="BV87">
        <v>6</v>
      </c>
      <c r="BW87">
        <v>11728.8</v>
      </c>
      <c r="BX87">
        <v>3.9236156214736515</v>
      </c>
      <c r="BY87">
        <v>7669.8838168566936</v>
      </c>
      <c r="BZ87">
        <v>6</v>
      </c>
      <c r="CA87">
        <v>11728.8</v>
      </c>
      <c r="CB87">
        <v>5.8160725767253441</v>
      </c>
      <c r="CC87">
        <v>11369.258672982702</v>
      </c>
      <c r="CD87">
        <v>6</v>
      </c>
      <c r="CE87">
        <v>11728.8</v>
      </c>
      <c r="CF87">
        <v>8</v>
      </c>
      <c r="CG87">
        <v>15638.4</v>
      </c>
      <c r="CH87">
        <v>6.8745767696974482</v>
      </c>
      <c r="CI87">
        <v>13438.422669404572</v>
      </c>
      <c r="CJ87">
        <v>5.6869372972757262</v>
      </c>
      <c r="CK87">
        <v>11116.825028714589</v>
      </c>
      <c r="CL87">
        <v>4.8915906646472367</v>
      </c>
      <c r="CM87">
        <v>9562.081431252418</v>
      </c>
      <c r="CN87">
        <v>4.8084786511241768</v>
      </c>
      <c r="CO87">
        <v>9399.6140672175407</v>
      </c>
      <c r="CP87">
        <v>6.8294128650611752</v>
      </c>
      <c r="CQ87">
        <v>13350.136268621585</v>
      </c>
      <c r="CR87">
        <v>4.2384297645023388</v>
      </c>
      <c r="CS87">
        <v>8285.2825036491722</v>
      </c>
      <c r="CT87">
        <v>6</v>
      </c>
      <c r="CU87">
        <v>11728.8</v>
      </c>
    </row>
    <row r="88" spans="2:99" x14ac:dyDescent="0.2">
      <c r="C88" s="105" t="s">
        <v>254</v>
      </c>
      <c r="D88">
        <v>9</v>
      </c>
      <c r="E88">
        <v>17031.599999999999</v>
      </c>
      <c r="F88">
        <v>8</v>
      </c>
      <c r="G88">
        <v>15139.199999999999</v>
      </c>
      <c r="H88">
        <v>5</v>
      </c>
      <c r="I88">
        <v>9462</v>
      </c>
      <c r="J88">
        <v>6</v>
      </c>
      <c r="K88">
        <v>11354.4</v>
      </c>
      <c r="L88">
        <v>6</v>
      </c>
      <c r="M88">
        <v>11354.4</v>
      </c>
      <c r="N88">
        <v>5</v>
      </c>
      <c r="O88">
        <v>9462</v>
      </c>
      <c r="P88">
        <v>6</v>
      </c>
      <c r="Q88">
        <v>11354.4</v>
      </c>
      <c r="R88">
        <v>5</v>
      </c>
      <c r="S88">
        <v>9462</v>
      </c>
      <c r="T88">
        <v>7</v>
      </c>
      <c r="U88">
        <v>13246.8</v>
      </c>
      <c r="V88">
        <v>6</v>
      </c>
      <c r="W88">
        <v>11354.4</v>
      </c>
      <c r="X88">
        <v>8</v>
      </c>
      <c r="Y88">
        <v>15139.199999999999</v>
      </c>
      <c r="Z88">
        <v>8</v>
      </c>
      <c r="AA88">
        <v>15139.199999999999</v>
      </c>
      <c r="AB88">
        <v>10</v>
      </c>
      <c r="AC88">
        <v>18924</v>
      </c>
      <c r="AD88">
        <v>9</v>
      </c>
      <c r="AE88">
        <v>17031.599999999999</v>
      </c>
      <c r="AF88">
        <v>7</v>
      </c>
      <c r="AG88">
        <v>13246.8</v>
      </c>
      <c r="AH88">
        <v>4.0416839151772006</v>
      </c>
      <c r="AI88">
        <v>7648.4826410813339</v>
      </c>
      <c r="AJ88">
        <v>10</v>
      </c>
      <c r="AK88">
        <v>18924</v>
      </c>
      <c r="AL88">
        <v>3.3042520798342485</v>
      </c>
      <c r="AM88">
        <v>6252.9666358783315</v>
      </c>
      <c r="AN88">
        <v>9</v>
      </c>
      <c r="AO88">
        <v>17031.599999999999</v>
      </c>
      <c r="AP88">
        <v>5.3971676782306206</v>
      </c>
      <c r="AQ88">
        <v>10213.600114283625</v>
      </c>
      <c r="AR88">
        <v>5.9092663015903693</v>
      </c>
      <c r="AS88">
        <v>11182.695549129614</v>
      </c>
      <c r="AT88">
        <v>6</v>
      </c>
      <c r="AU88">
        <v>11354.4</v>
      </c>
      <c r="AV88">
        <v>6.5424728748713408</v>
      </c>
      <c r="AW88">
        <v>12380.975668406525</v>
      </c>
      <c r="AX88">
        <v>7</v>
      </c>
      <c r="AY88">
        <v>13246.8</v>
      </c>
      <c r="AZ88">
        <v>6</v>
      </c>
      <c r="BA88">
        <v>11354.4</v>
      </c>
      <c r="BB88">
        <v>8</v>
      </c>
      <c r="BC88">
        <v>15139.199999999999</v>
      </c>
      <c r="BD88">
        <v>9</v>
      </c>
      <c r="BE88">
        <v>17031.599999999999</v>
      </c>
      <c r="BF88">
        <v>9</v>
      </c>
      <c r="BG88">
        <v>17031.599999999999</v>
      </c>
      <c r="BH88">
        <v>10</v>
      </c>
      <c r="BI88">
        <v>18924</v>
      </c>
      <c r="BJ88">
        <v>11</v>
      </c>
      <c r="BK88">
        <v>20816.399999999998</v>
      </c>
      <c r="BL88">
        <v>6</v>
      </c>
      <c r="BM88">
        <v>11354.4</v>
      </c>
      <c r="BN88">
        <v>6.0077785275542972</v>
      </c>
      <c r="BO88">
        <v>11369.120085543751</v>
      </c>
      <c r="BP88">
        <v>8.3497655824473398</v>
      </c>
      <c r="BQ88">
        <v>15801.096388223345</v>
      </c>
      <c r="BR88">
        <v>9</v>
      </c>
      <c r="BS88">
        <v>17031.599999999999</v>
      </c>
      <c r="BT88">
        <v>7.307553149760313</v>
      </c>
      <c r="BU88">
        <v>13828.813580606415</v>
      </c>
      <c r="BV88">
        <v>6</v>
      </c>
      <c r="BW88">
        <v>11354.4</v>
      </c>
      <c r="BX88">
        <v>3.2696796845613769</v>
      </c>
      <c r="BY88">
        <v>6187.5418350639493</v>
      </c>
      <c r="BZ88">
        <v>7</v>
      </c>
      <c r="CA88">
        <v>13246.8</v>
      </c>
      <c r="CB88">
        <v>5.1698422904225287</v>
      </c>
      <c r="CC88">
        <v>9783.4095503955923</v>
      </c>
      <c r="CD88">
        <v>7</v>
      </c>
      <c r="CE88">
        <v>13246.8</v>
      </c>
      <c r="CF88">
        <v>9</v>
      </c>
      <c r="CG88">
        <v>17031.599999999999</v>
      </c>
      <c r="CH88">
        <v>7.7338988659096293</v>
      </c>
      <c r="CI88">
        <v>14635.630213847382</v>
      </c>
      <c r="CJ88">
        <v>6.4993569111722582</v>
      </c>
      <c r="CK88">
        <v>12299.383018702381</v>
      </c>
      <c r="CL88">
        <v>4.8915906646472367</v>
      </c>
      <c r="CM88">
        <v>9256.8461737784291</v>
      </c>
      <c r="CN88">
        <v>4.8084786511241768</v>
      </c>
      <c r="CO88">
        <v>9099.5649993873922</v>
      </c>
      <c r="CP88">
        <v>6.8294128650611752</v>
      </c>
      <c r="CQ88">
        <v>12923.980905841767</v>
      </c>
      <c r="CR88">
        <v>4.2384297645023388</v>
      </c>
      <c r="CS88">
        <v>8020.8044863442256</v>
      </c>
      <c r="CT88">
        <v>7</v>
      </c>
      <c r="CU88">
        <v>13246.8</v>
      </c>
    </row>
    <row r="89" spans="2:99" x14ac:dyDescent="0.2">
      <c r="C89" s="105" t="s">
        <v>255</v>
      </c>
      <c r="D89">
        <v>8</v>
      </c>
      <c r="E89">
        <v>19180.8</v>
      </c>
      <c r="F89">
        <v>9</v>
      </c>
      <c r="G89">
        <v>21578.399999999998</v>
      </c>
      <c r="H89">
        <v>5</v>
      </c>
      <c r="I89">
        <v>11988</v>
      </c>
      <c r="J89">
        <v>5</v>
      </c>
      <c r="K89">
        <v>11988</v>
      </c>
      <c r="L89">
        <v>5</v>
      </c>
      <c r="M89">
        <v>11988</v>
      </c>
      <c r="N89">
        <v>5</v>
      </c>
      <c r="O89">
        <v>11988</v>
      </c>
      <c r="P89">
        <v>5</v>
      </c>
      <c r="Q89">
        <v>11988</v>
      </c>
      <c r="R89">
        <v>6</v>
      </c>
      <c r="S89">
        <v>14385.599999999999</v>
      </c>
      <c r="T89">
        <v>7</v>
      </c>
      <c r="U89">
        <v>16783.2</v>
      </c>
      <c r="V89">
        <v>6</v>
      </c>
      <c r="W89">
        <v>14385.599999999999</v>
      </c>
      <c r="X89">
        <v>8</v>
      </c>
      <c r="Y89">
        <v>19180.8</v>
      </c>
      <c r="Z89">
        <v>8</v>
      </c>
      <c r="AA89">
        <v>19180.8</v>
      </c>
      <c r="AB89">
        <v>9</v>
      </c>
      <c r="AC89">
        <v>21578.399999999998</v>
      </c>
      <c r="AD89">
        <v>10</v>
      </c>
      <c r="AE89">
        <v>23976</v>
      </c>
      <c r="AF89">
        <v>6</v>
      </c>
      <c r="AG89">
        <v>14385.599999999999</v>
      </c>
      <c r="AH89">
        <v>4.0416839151772006</v>
      </c>
      <c r="AI89">
        <v>9690.3413550288551</v>
      </c>
      <c r="AJ89">
        <v>9</v>
      </c>
      <c r="AK89">
        <v>21578.399999999998</v>
      </c>
      <c r="AL89">
        <v>2.8322160684293558</v>
      </c>
      <c r="AM89">
        <v>6790.521245666223</v>
      </c>
      <c r="AN89">
        <v>8</v>
      </c>
      <c r="AO89">
        <v>19180.8</v>
      </c>
      <c r="AP89">
        <v>5.3971676782306206</v>
      </c>
      <c r="AQ89">
        <v>12940.249225325735</v>
      </c>
      <c r="AR89">
        <v>5.9092663015903693</v>
      </c>
      <c r="AS89">
        <v>14168.056884693069</v>
      </c>
      <c r="AT89">
        <v>5</v>
      </c>
      <c r="AU89">
        <v>11988</v>
      </c>
      <c r="AV89">
        <v>5.8155314443300803</v>
      </c>
      <c r="AW89">
        <v>13943.3181909258</v>
      </c>
      <c r="AX89">
        <v>6</v>
      </c>
      <c r="AY89">
        <v>14385.599999999999</v>
      </c>
      <c r="AZ89">
        <v>5</v>
      </c>
      <c r="BA89">
        <v>11988</v>
      </c>
      <c r="BB89">
        <v>7</v>
      </c>
      <c r="BC89">
        <v>16783.2</v>
      </c>
      <c r="BD89">
        <v>10</v>
      </c>
      <c r="BE89">
        <v>23976</v>
      </c>
      <c r="BF89">
        <v>9</v>
      </c>
      <c r="BG89">
        <v>21578.399999999998</v>
      </c>
      <c r="BH89">
        <v>9</v>
      </c>
      <c r="BI89">
        <v>21578.399999999998</v>
      </c>
      <c r="BJ89">
        <v>11</v>
      </c>
      <c r="BK89">
        <v>26373.599999999999</v>
      </c>
      <c r="BL89">
        <v>6</v>
      </c>
      <c r="BM89">
        <v>14385.599999999999</v>
      </c>
      <c r="BN89">
        <v>6.0077785275542972</v>
      </c>
      <c r="BO89">
        <v>14404.249797664183</v>
      </c>
      <c r="BP89">
        <v>7.5906959840430366</v>
      </c>
      <c r="BQ89">
        <v>18199.452691341583</v>
      </c>
      <c r="BR89">
        <v>8</v>
      </c>
      <c r="BS89">
        <v>19180.8</v>
      </c>
      <c r="BT89">
        <v>6.5767978347842808</v>
      </c>
      <c r="BU89">
        <v>15768.530488678791</v>
      </c>
      <c r="BV89">
        <v>6</v>
      </c>
      <c r="BW89">
        <v>14385.599999999999</v>
      </c>
      <c r="BX89">
        <v>3.2696796845613769</v>
      </c>
      <c r="BY89">
        <v>7839.3840117043574</v>
      </c>
      <c r="BZ89">
        <v>7</v>
      </c>
      <c r="CA89">
        <v>16783.2</v>
      </c>
      <c r="CB89">
        <v>5.8160725767253441</v>
      </c>
      <c r="CC89">
        <v>13944.615609956685</v>
      </c>
      <c r="CD89">
        <v>6</v>
      </c>
      <c r="CE89">
        <v>14385.599999999999</v>
      </c>
      <c r="CF89">
        <v>9</v>
      </c>
      <c r="CG89">
        <v>21578.399999999998</v>
      </c>
      <c r="CH89">
        <v>6.8745767696974482</v>
      </c>
      <c r="CI89">
        <v>16482.4852630266</v>
      </c>
      <c r="CJ89">
        <v>4.8745176833791932</v>
      </c>
      <c r="CK89">
        <v>11687.143597669954</v>
      </c>
      <c r="CL89">
        <v>4.3480805907975437</v>
      </c>
      <c r="CM89">
        <v>10424.958024496191</v>
      </c>
      <c r="CN89">
        <v>4.8084786511241768</v>
      </c>
      <c r="CO89">
        <v>11528.808413935327</v>
      </c>
      <c r="CP89">
        <v>6.0705892133877102</v>
      </c>
      <c r="CQ89">
        <v>14554.844698018373</v>
      </c>
      <c r="CR89">
        <v>3.5320248037519488</v>
      </c>
      <c r="CS89">
        <v>8468.3826694756717</v>
      </c>
      <c r="CT89">
        <v>6</v>
      </c>
      <c r="CU89">
        <v>14385.599999999999</v>
      </c>
    </row>
    <row r="90" spans="2:99" x14ac:dyDescent="0.2">
      <c r="C90" s="105" t="s">
        <v>256</v>
      </c>
      <c r="D90">
        <v>9</v>
      </c>
      <c r="E90">
        <v>19774.8</v>
      </c>
      <c r="F90">
        <v>9</v>
      </c>
      <c r="G90">
        <v>19774.8</v>
      </c>
      <c r="H90">
        <v>6</v>
      </c>
      <c r="I90">
        <v>13183.199999999999</v>
      </c>
      <c r="J90">
        <v>6</v>
      </c>
      <c r="K90">
        <v>13183.199999999999</v>
      </c>
      <c r="L90">
        <v>5</v>
      </c>
      <c r="M90">
        <v>10986</v>
      </c>
      <c r="N90">
        <v>5</v>
      </c>
      <c r="O90">
        <v>10986</v>
      </c>
      <c r="P90">
        <v>5</v>
      </c>
      <c r="Q90">
        <v>10986</v>
      </c>
      <c r="R90">
        <v>5</v>
      </c>
      <c r="S90">
        <v>10986</v>
      </c>
      <c r="T90">
        <v>7</v>
      </c>
      <c r="U90">
        <v>15380.399999999998</v>
      </c>
      <c r="V90">
        <v>7</v>
      </c>
      <c r="W90">
        <v>15380.399999999998</v>
      </c>
      <c r="X90">
        <v>8</v>
      </c>
      <c r="Y90">
        <v>17577.599999999999</v>
      </c>
      <c r="Z90">
        <v>8</v>
      </c>
      <c r="AA90">
        <v>17577.599999999999</v>
      </c>
      <c r="AB90">
        <v>9</v>
      </c>
      <c r="AC90">
        <v>19774.8</v>
      </c>
      <c r="AD90">
        <v>9</v>
      </c>
      <c r="AE90">
        <v>19774.8</v>
      </c>
      <c r="AF90">
        <v>6</v>
      </c>
      <c r="AG90">
        <v>13183.199999999999</v>
      </c>
      <c r="AH90">
        <v>4.0416839151772006</v>
      </c>
      <c r="AI90">
        <v>8880.3878984273451</v>
      </c>
      <c r="AJ90">
        <v>9</v>
      </c>
      <c r="AK90">
        <v>19774.8</v>
      </c>
      <c r="AL90">
        <v>2.8322160684293558</v>
      </c>
      <c r="AM90">
        <v>6222.9451455529797</v>
      </c>
      <c r="AN90">
        <v>9</v>
      </c>
      <c r="AO90">
        <v>19774.8</v>
      </c>
      <c r="AP90">
        <v>6.29669562460239</v>
      </c>
      <c r="AQ90">
        <v>13835.09962637637</v>
      </c>
      <c r="AR90">
        <v>5.1706080138915729</v>
      </c>
      <c r="AS90">
        <v>11360.859928122563</v>
      </c>
      <c r="AT90">
        <v>6</v>
      </c>
      <c r="AU90">
        <v>13183.199999999999</v>
      </c>
      <c r="AV90">
        <v>5.8155314443300803</v>
      </c>
      <c r="AW90">
        <v>12777.885689482051</v>
      </c>
      <c r="AX90">
        <v>8</v>
      </c>
      <c r="AY90">
        <v>17577.599999999999</v>
      </c>
      <c r="AZ90">
        <v>5</v>
      </c>
      <c r="BA90">
        <v>10986</v>
      </c>
      <c r="BB90">
        <v>7</v>
      </c>
      <c r="BC90">
        <v>15380.399999999998</v>
      </c>
      <c r="BD90">
        <v>9</v>
      </c>
      <c r="BE90">
        <v>19774.8</v>
      </c>
      <c r="BF90">
        <v>9</v>
      </c>
      <c r="BG90">
        <v>19774.8</v>
      </c>
      <c r="BH90">
        <v>10</v>
      </c>
      <c r="BI90">
        <v>21972</v>
      </c>
      <c r="BJ90">
        <v>10</v>
      </c>
      <c r="BK90">
        <v>21972</v>
      </c>
      <c r="BL90">
        <v>6</v>
      </c>
      <c r="BM90">
        <v>13183.199999999999</v>
      </c>
      <c r="BN90">
        <v>6.0077785275542972</v>
      </c>
      <c r="BO90">
        <v>13200.2909807423</v>
      </c>
      <c r="BP90">
        <v>6.8316263856387325</v>
      </c>
      <c r="BQ90">
        <v>15010.449494525421</v>
      </c>
      <c r="BR90">
        <v>8</v>
      </c>
      <c r="BS90">
        <v>17577.599999999999</v>
      </c>
      <c r="BT90">
        <v>6.5767978347842808</v>
      </c>
      <c r="BU90">
        <v>14450.540202588021</v>
      </c>
      <c r="BV90">
        <v>6</v>
      </c>
      <c r="BW90">
        <v>13183.199999999999</v>
      </c>
      <c r="BX90">
        <v>3.9236156214736515</v>
      </c>
      <c r="BY90">
        <v>8620.9682435019058</v>
      </c>
      <c r="BZ90">
        <v>6</v>
      </c>
      <c r="CA90">
        <v>13183.199999999999</v>
      </c>
      <c r="CB90">
        <v>5.1698422904225287</v>
      </c>
      <c r="CC90">
        <v>11359.177480516379</v>
      </c>
      <c r="CD90">
        <v>6</v>
      </c>
      <c r="CE90">
        <v>13183.199999999999</v>
      </c>
      <c r="CF90">
        <v>8</v>
      </c>
      <c r="CG90">
        <v>17577.599999999999</v>
      </c>
      <c r="CH90">
        <v>6.8745767696974482</v>
      </c>
      <c r="CI90">
        <v>15104.820078379233</v>
      </c>
      <c r="CJ90">
        <v>4.8745176833791932</v>
      </c>
      <c r="CK90">
        <v>10710.290253920763</v>
      </c>
      <c r="CL90">
        <v>4.8915906646472367</v>
      </c>
      <c r="CM90">
        <v>10747.803008362907</v>
      </c>
      <c r="CN90">
        <v>4.8084786511241768</v>
      </c>
      <c r="CO90">
        <v>10565.189292250041</v>
      </c>
      <c r="CP90">
        <v>6.8294128650611752</v>
      </c>
      <c r="CQ90">
        <v>15005.585947112413</v>
      </c>
      <c r="CR90">
        <v>4.2384297645023388</v>
      </c>
      <c r="CS90">
        <v>9312.6778785645383</v>
      </c>
      <c r="CT90">
        <v>6</v>
      </c>
      <c r="CU90">
        <v>13183.199999999999</v>
      </c>
    </row>
    <row r="91" spans="2:99" x14ac:dyDescent="0.2">
      <c r="C91" s="105" t="s">
        <v>257</v>
      </c>
      <c r="D91">
        <v>9</v>
      </c>
      <c r="E91">
        <v>20671.199999999997</v>
      </c>
      <c r="F91">
        <v>8</v>
      </c>
      <c r="G91">
        <v>18374.399999999998</v>
      </c>
      <c r="H91">
        <v>6</v>
      </c>
      <c r="I91">
        <v>13780.8</v>
      </c>
      <c r="J91">
        <v>6</v>
      </c>
      <c r="K91">
        <v>13780.8</v>
      </c>
      <c r="L91">
        <v>5</v>
      </c>
      <c r="M91">
        <v>11483.999999999998</v>
      </c>
      <c r="N91">
        <v>5</v>
      </c>
      <c r="O91">
        <v>11483.999999999998</v>
      </c>
      <c r="P91">
        <v>5</v>
      </c>
      <c r="Q91">
        <v>11483.999999999998</v>
      </c>
      <c r="R91">
        <v>6</v>
      </c>
      <c r="S91">
        <v>13780.8</v>
      </c>
      <c r="T91">
        <v>6</v>
      </c>
      <c r="U91">
        <v>13780.8</v>
      </c>
      <c r="V91">
        <v>6</v>
      </c>
      <c r="W91">
        <v>13780.8</v>
      </c>
      <c r="X91">
        <v>7</v>
      </c>
      <c r="Y91">
        <v>16077.599999999999</v>
      </c>
      <c r="Z91">
        <v>9</v>
      </c>
      <c r="AA91">
        <v>20671.199999999997</v>
      </c>
      <c r="AB91">
        <v>8</v>
      </c>
      <c r="AC91">
        <v>18374.399999999998</v>
      </c>
      <c r="AD91">
        <v>9</v>
      </c>
      <c r="AE91">
        <v>20671.199999999997</v>
      </c>
      <c r="AF91">
        <v>6</v>
      </c>
      <c r="AG91">
        <v>13780.8</v>
      </c>
      <c r="AH91">
        <v>4.715297901040068</v>
      </c>
      <c r="AI91">
        <v>10830.096219108827</v>
      </c>
      <c r="AJ91">
        <v>10</v>
      </c>
      <c r="AK91">
        <v>22967.999999999996</v>
      </c>
      <c r="AL91">
        <v>3.3042520798342485</v>
      </c>
      <c r="AM91">
        <v>7589.206176963301</v>
      </c>
      <c r="AN91">
        <v>8</v>
      </c>
      <c r="AO91">
        <v>18374.399999999998</v>
      </c>
      <c r="AP91">
        <v>5.3971676782306206</v>
      </c>
      <c r="AQ91">
        <v>12396.214723360088</v>
      </c>
      <c r="AR91">
        <v>5.9092663015903693</v>
      </c>
      <c r="AS91">
        <v>13572.402841492758</v>
      </c>
      <c r="AT91">
        <v>6</v>
      </c>
      <c r="AU91">
        <v>13780.8</v>
      </c>
      <c r="AV91">
        <v>5.8155314443300803</v>
      </c>
      <c r="AW91">
        <v>13357.112621337326</v>
      </c>
      <c r="AX91">
        <v>7</v>
      </c>
      <c r="AY91">
        <v>16077.599999999999</v>
      </c>
      <c r="AZ91">
        <v>6</v>
      </c>
      <c r="BA91">
        <v>13780.8</v>
      </c>
      <c r="BB91">
        <v>8</v>
      </c>
      <c r="BC91">
        <v>18374.399999999998</v>
      </c>
      <c r="BD91">
        <v>9</v>
      </c>
      <c r="BE91">
        <v>20671.199999999997</v>
      </c>
      <c r="BF91">
        <v>10</v>
      </c>
      <c r="BG91">
        <v>22967.999999999996</v>
      </c>
      <c r="BH91">
        <v>9</v>
      </c>
      <c r="BI91">
        <v>20671.199999999997</v>
      </c>
      <c r="BJ91">
        <v>11</v>
      </c>
      <c r="BK91">
        <v>25264.799999999996</v>
      </c>
      <c r="BL91">
        <v>5</v>
      </c>
      <c r="BM91">
        <v>11483.999999999998</v>
      </c>
      <c r="BN91">
        <v>6.7587508434985839</v>
      </c>
      <c r="BO91">
        <v>15523.498937347546</v>
      </c>
      <c r="BP91">
        <v>7.5906959840430366</v>
      </c>
      <c r="BQ91">
        <v>17434.310536150046</v>
      </c>
      <c r="BR91">
        <v>7</v>
      </c>
      <c r="BS91">
        <v>16077.599999999999</v>
      </c>
      <c r="BT91">
        <v>6.5767978347842808</v>
      </c>
      <c r="BU91">
        <v>15105.589266932535</v>
      </c>
      <c r="BV91">
        <v>6</v>
      </c>
      <c r="BW91">
        <v>13780.8</v>
      </c>
      <c r="BX91">
        <v>3.2696796845613769</v>
      </c>
      <c r="BY91">
        <v>7509.80029950057</v>
      </c>
      <c r="BZ91">
        <v>7</v>
      </c>
      <c r="CA91">
        <v>16077.599999999999</v>
      </c>
      <c r="CB91">
        <v>5.1698422904225287</v>
      </c>
      <c r="CC91">
        <v>11874.093772642462</v>
      </c>
      <c r="CD91">
        <v>6</v>
      </c>
      <c r="CE91">
        <v>13780.8</v>
      </c>
      <c r="CF91">
        <v>8</v>
      </c>
      <c r="CG91">
        <v>18374.399999999998</v>
      </c>
      <c r="CH91">
        <v>7.7338988659096293</v>
      </c>
      <c r="CI91">
        <v>17763.218915221234</v>
      </c>
      <c r="CJ91">
        <v>5.6869372972757262</v>
      </c>
      <c r="CK91">
        <v>13061.757584382885</v>
      </c>
      <c r="CL91">
        <v>4.3480805907975437</v>
      </c>
      <c r="CM91">
        <v>9986.6715009437976</v>
      </c>
      <c r="CN91">
        <v>4.8084786511241768</v>
      </c>
      <c r="CO91">
        <v>11044.113765902008</v>
      </c>
      <c r="CP91">
        <v>6.8294128650611752</v>
      </c>
      <c r="CQ91">
        <v>15685.795468472505</v>
      </c>
      <c r="CR91">
        <v>4.2384297645023388</v>
      </c>
      <c r="CS91">
        <v>9734.8254831089707</v>
      </c>
      <c r="CT91">
        <v>7</v>
      </c>
      <c r="CU91">
        <v>16077.599999999999</v>
      </c>
    </row>
    <row r="92" spans="2:99" x14ac:dyDescent="0.2">
      <c r="C92" s="105" t="s">
        <v>258</v>
      </c>
      <c r="D92">
        <v>8</v>
      </c>
      <c r="E92">
        <v>11366.4</v>
      </c>
      <c r="F92">
        <v>8</v>
      </c>
      <c r="G92">
        <v>11366.4</v>
      </c>
      <c r="H92">
        <v>6</v>
      </c>
      <c r="I92">
        <v>8524.7999999999993</v>
      </c>
      <c r="J92">
        <v>5</v>
      </c>
      <c r="K92">
        <v>7104</v>
      </c>
      <c r="L92">
        <v>5</v>
      </c>
      <c r="M92">
        <v>7104</v>
      </c>
      <c r="N92">
        <v>5</v>
      </c>
      <c r="O92">
        <v>7104</v>
      </c>
      <c r="P92">
        <v>5</v>
      </c>
      <c r="Q92">
        <v>7104</v>
      </c>
      <c r="R92">
        <v>6</v>
      </c>
      <c r="S92">
        <v>8524.7999999999993</v>
      </c>
      <c r="T92">
        <v>6</v>
      </c>
      <c r="U92">
        <v>8524.7999999999993</v>
      </c>
      <c r="V92">
        <v>7</v>
      </c>
      <c r="W92">
        <v>9945.6</v>
      </c>
      <c r="X92">
        <v>9</v>
      </c>
      <c r="Y92">
        <v>12787.199999999999</v>
      </c>
      <c r="Z92">
        <v>9</v>
      </c>
      <c r="AA92">
        <v>12787.199999999999</v>
      </c>
      <c r="AB92">
        <v>10</v>
      </c>
      <c r="AC92">
        <v>14208</v>
      </c>
      <c r="AD92">
        <v>10</v>
      </c>
      <c r="AE92">
        <v>14208</v>
      </c>
      <c r="AF92">
        <v>6</v>
      </c>
      <c r="AG92">
        <v>8524.7999999999993</v>
      </c>
      <c r="AH92">
        <v>4.0416839151772006</v>
      </c>
      <c r="AI92">
        <v>5742.4245066837666</v>
      </c>
      <c r="AJ92">
        <v>10</v>
      </c>
      <c r="AK92">
        <v>14208</v>
      </c>
      <c r="AL92">
        <v>3.3042520798342485</v>
      </c>
      <c r="AM92">
        <v>4694.6813550285005</v>
      </c>
      <c r="AN92">
        <v>9</v>
      </c>
      <c r="AO92">
        <v>12787.199999999999</v>
      </c>
      <c r="AP92">
        <v>5.3971676782306206</v>
      </c>
      <c r="AQ92">
        <v>7668.2958372300654</v>
      </c>
      <c r="AR92">
        <v>5.9092663015903693</v>
      </c>
      <c r="AS92">
        <v>8395.8855612995958</v>
      </c>
      <c r="AT92">
        <v>6</v>
      </c>
      <c r="AU92">
        <v>8524.7999999999993</v>
      </c>
      <c r="AV92">
        <v>6.5424728748713408</v>
      </c>
      <c r="AW92">
        <v>9295.5454606172007</v>
      </c>
      <c r="AX92">
        <v>7</v>
      </c>
      <c r="AY92">
        <v>9945.6</v>
      </c>
      <c r="AZ92">
        <v>6</v>
      </c>
      <c r="BA92">
        <v>8524.7999999999993</v>
      </c>
      <c r="BB92">
        <v>8</v>
      </c>
      <c r="BC92">
        <v>11366.4</v>
      </c>
      <c r="BD92">
        <v>9</v>
      </c>
      <c r="BE92">
        <v>12787.199999999999</v>
      </c>
      <c r="BF92">
        <v>10</v>
      </c>
      <c r="BG92">
        <v>14208</v>
      </c>
      <c r="BH92">
        <v>9</v>
      </c>
      <c r="BI92">
        <v>12787.199999999999</v>
      </c>
      <c r="BJ92">
        <v>12</v>
      </c>
      <c r="BK92">
        <v>17049.599999999999</v>
      </c>
      <c r="BL92">
        <v>5</v>
      </c>
      <c r="BM92">
        <v>7104</v>
      </c>
      <c r="BN92">
        <v>6.0077785275542972</v>
      </c>
      <c r="BO92">
        <v>8535.8517319491457</v>
      </c>
      <c r="BP92">
        <v>7.5906959840430366</v>
      </c>
      <c r="BQ92">
        <v>10784.860854128347</v>
      </c>
      <c r="BR92">
        <v>8</v>
      </c>
      <c r="BS92">
        <v>11366.4</v>
      </c>
      <c r="BT92">
        <v>7.307553149760313</v>
      </c>
      <c r="BU92">
        <v>10382.571515179452</v>
      </c>
      <c r="BV92">
        <v>6</v>
      </c>
      <c r="BW92">
        <v>8524.7999999999993</v>
      </c>
      <c r="BX92">
        <v>3.9236156214736515</v>
      </c>
      <c r="BY92">
        <v>5574.6730749897642</v>
      </c>
      <c r="BZ92">
        <v>7</v>
      </c>
      <c r="CA92">
        <v>9945.6</v>
      </c>
      <c r="CB92">
        <v>5.8160725767253441</v>
      </c>
      <c r="CC92">
        <v>8263.4759170113684</v>
      </c>
      <c r="CD92">
        <v>6</v>
      </c>
      <c r="CE92">
        <v>8524.7999999999993</v>
      </c>
      <c r="CF92">
        <v>8</v>
      </c>
      <c r="CG92">
        <v>11366.4</v>
      </c>
      <c r="CH92">
        <v>7.7338988659096293</v>
      </c>
      <c r="CI92">
        <v>10988.323508684402</v>
      </c>
      <c r="CJ92">
        <v>5.6869372972757262</v>
      </c>
      <c r="CK92">
        <v>8080.0005119693515</v>
      </c>
      <c r="CL92">
        <v>4.8915906646472367</v>
      </c>
      <c r="CM92">
        <v>6949.9720163307938</v>
      </c>
      <c r="CN92">
        <v>4.8084786511241768</v>
      </c>
      <c r="CO92">
        <v>6831.8864675172299</v>
      </c>
      <c r="CP92">
        <v>6.8294128650611752</v>
      </c>
      <c r="CQ92">
        <v>9703.2297986789181</v>
      </c>
      <c r="CR92">
        <v>4.2384297645023388</v>
      </c>
      <c r="CS92">
        <v>6021.9610094049231</v>
      </c>
      <c r="CT92">
        <v>7</v>
      </c>
      <c r="CU92">
        <v>9945.6</v>
      </c>
    </row>
    <row r="93" spans="2:99" x14ac:dyDescent="0.2">
      <c r="C93" s="105" t="s">
        <v>259</v>
      </c>
      <c r="D93">
        <v>9</v>
      </c>
      <c r="E93">
        <v>15951.599999999999</v>
      </c>
      <c r="F93">
        <v>9</v>
      </c>
      <c r="G93">
        <v>15951.599999999999</v>
      </c>
      <c r="H93">
        <v>5</v>
      </c>
      <c r="I93">
        <v>8862</v>
      </c>
      <c r="J93">
        <v>6</v>
      </c>
      <c r="K93">
        <v>10634.4</v>
      </c>
      <c r="L93">
        <v>5</v>
      </c>
      <c r="M93">
        <v>8862</v>
      </c>
      <c r="N93">
        <v>5</v>
      </c>
      <c r="O93">
        <v>8862</v>
      </c>
      <c r="P93">
        <v>5</v>
      </c>
      <c r="Q93">
        <v>8862</v>
      </c>
      <c r="R93">
        <v>6</v>
      </c>
      <c r="S93">
        <v>10634.4</v>
      </c>
      <c r="T93">
        <v>7</v>
      </c>
      <c r="U93">
        <v>12406.8</v>
      </c>
      <c r="V93">
        <v>6</v>
      </c>
      <c r="W93">
        <v>10634.4</v>
      </c>
      <c r="X93">
        <v>8</v>
      </c>
      <c r="Y93">
        <v>14179.199999999999</v>
      </c>
      <c r="Z93">
        <v>8</v>
      </c>
      <c r="AA93">
        <v>14179.199999999999</v>
      </c>
      <c r="AB93">
        <v>10</v>
      </c>
      <c r="AC93">
        <v>17724</v>
      </c>
      <c r="AD93">
        <v>9</v>
      </c>
      <c r="AE93">
        <v>15951.599999999999</v>
      </c>
      <c r="AF93">
        <v>6</v>
      </c>
      <c r="AG93">
        <v>10634.4</v>
      </c>
      <c r="AH93">
        <v>4.715297901040068</v>
      </c>
      <c r="AI93">
        <v>8357.3939998034166</v>
      </c>
      <c r="AJ93">
        <v>11</v>
      </c>
      <c r="AK93">
        <v>19496.399999999998</v>
      </c>
      <c r="AL93">
        <v>3.3042520798342485</v>
      </c>
      <c r="AM93">
        <v>5856.4563862982213</v>
      </c>
      <c r="AN93">
        <v>9</v>
      </c>
      <c r="AO93">
        <v>15951.599999999999</v>
      </c>
      <c r="AP93">
        <v>5.3971676782306206</v>
      </c>
      <c r="AQ93">
        <v>9565.9399928959519</v>
      </c>
      <c r="AR93">
        <v>5.1706080138915729</v>
      </c>
      <c r="AS93">
        <v>9164.3856438214225</v>
      </c>
      <c r="AT93">
        <v>6</v>
      </c>
      <c r="AU93">
        <v>10634.4</v>
      </c>
      <c r="AV93">
        <v>5.8155314443300803</v>
      </c>
      <c r="AW93">
        <v>10307.447931930634</v>
      </c>
      <c r="AX93">
        <v>7</v>
      </c>
      <c r="AY93">
        <v>12406.8</v>
      </c>
      <c r="AZ93">
        <v>6</v>
      </c>
      <c r="BA93">
        <v>10634.4</v>
      </c>
      <c r="BB93">
        <v>7</v>
      </c>
      <c r="BC93">
        <v>12406.8</v>
      </c>
      <c r="BD93">
        <v>10</v>
      </c>
      <c r="BE93">
        <v>17724</v>
      </c>
      <c r="BF93">
        <v>11</v>
      </c>
      <c r="BG93">
        <v>19496.399999999998</v>
      </c>
      <c r="BH93">
        <v>10</v>
      </c>
      <c r="BI93">
        <v>17724</v>
      </c>
      <c r="BJ93">
        <v>10</v>
      </c>
      <c r="BK93">
        <v>17724</v>
      </c>
      <c r="BL93">
        <v>6</v>
      </c>
      <c r="BM93">
        <v>10634.4</v>
      </c>
      <c r="BN93">
        <v>6.0077785275542972</v>
      </c>
      <c r="BO93">
        <v>10648.186662237236</v>
      </c>
      <c r="BP93">
        <v>7.5906959840430366</v>
      </c>
      <c r="BQ93">
        <v>13453.749562117877</v>
      </c>
      <c r="BR93">
        <v>8</v>
      </c>
      <c r="BS93">
        <v>14179.199999999999</v>
      </c>
      <c r="BT93">
        <v>6.5767978347842808</v>
      </c>
      <c r="BU93">
        <v>11656.716482371658</v>
      </c>
      <c r="BV93">
        <v>6</v>
      </c>
      <c r="BW93">
        <v>10634.4</v>
      </c>
      <c r="BX93">
        <v>3.2696796845613769</v>
      </c>
      <c r="BY93">
        <v>5795.1802729165838</v>
      </c>
      <c r="BZ93">
        <v>7</v>
      </c>
      <c r="CA93">
        <v>12406.8</v>
      </c>
      <c r="CB93">
        <v>5.1698422904225287</v>
      </c>
      <c r="CC93">
        <v>9163.0284755448884</v>
      </c>
      <c r="CD93">
        <v>6</v>
      </c>
      <c r="CE93">
        <v>10634.4</v>
      </c>
      <c r="CF93">
        <v>9</v>
      </c>
      <c r="CG93">
        <v>15951.599999999999</v>
      </c>
      <c r="CH93">
        <v>7.7338988659096293</v>
      </c>
      <c r="CI93">
        <v>13707.562349938225</v>
      </c>
      <c r="CJ93">
        <v>5.6869372972757262</v>
      </c>
      <c r="CK93">
        <v>10079.527665691496</v>
      </c>
      <c r="CL93">
        <v>4.8915906646472367</v>
      </c>
      <c r="CM93">
        <v>8669.855294020761</v>
      </c>
      <c r="CN93">
        <v>4.8084786511241768</v>
      </c>
      <c r="CO93">
        <v>8522.5475612524897</v>
      </c>
      <c r="CP93">
        <v>6.8294128650611752</v>
      </c>
      <c r="CQ93">
        <v>12104.451362034426</v>
      </c>
      <c r="CR93">
        <v>3.5320248037519488</v>
      </c>
      <c r="CS93">
        <v>6260.1607621699541</v>
      </c>
      <c r="CT93">
        <v>7</v>
      </c>
      <c r="CU93">
        <v>12406.8</v>
      </c>
    </row>
    <row r="94" spans="2:99" x14ac:dyDescent="0.2">
      <c r="C94" s="105" t="s">
        <v>260</v>
      </c>
      <c r="D94">
        <v>8</v>
      </c>
      <c r="E94">
        <v>19161.599999999999</v>
      </c>
      <c r="F94">
        <v>9</v>
      </c>
      <c r="G94">
        <v>21556.799999999999</v>
      </c>
      <c r="H94">
        <v>5</v>
      </c>
      <c r="I94">
        <v>11976</v>
      </c>
      <c r="J94">
        <v>6</v>
      </c>
      <c r="K94">
        <v>14371.199999999999</v>
      </c>
      <c r="L94">
        <v>5</v>
      </c>
      <c r="M94">
        <v>11976</v>
      </c>
      <c r="N94">
        <v>5</v>
      </c>
      <c r="O94">
        <v>11976</v>
      </c>
      <c r="P94">
        <v>5</v>
      </c>
      <c r="Q94">
        <v>11976</v>
      </c>
      <c r="R94">
        <v>6</v>
      </c>
      <c r="S94">
        <v>14371.199999999999</v>
      </c>
      <c r="T94">
        <v>7</v>
      </c>
      <c r="U94">
        <v>16766.399999999998</v>
      </c>
      <c r="V94">
        <v>7</v>
      </c>
      <c r="W94">
        <v>16766.399999999998</v>
      </c>
      <c r="X94">
        <v>8</v>
      </c>
      <c r="Y94">
        <v>19161.599999999999</v>
      </c>
      <c r="Z94">
        <v>8</v>
      </c>
      <c r="AA94">
        <v>19161.599999999999</v>
      </c>
      <c r="AB94">
        <v>9</v>
      </c>
      <c r="AC94">
        <v>21556.799999999999</v>
      </c>
      <c r="AD94">
        <v>10</v>
      </c>
      <c r="AE94">
        <v>23952</v>
      </c>
      <c r="AF94">
        <v>6</v>
      </c>
      <c r="AG94">
        <v>14371.199999999999</v>
      </c>
      <c r="AH94">
        <v>4.715297901040068</v>
      </c>
      <c r="AI94">
        <v>11294.08153257117</v>
      </c>
      <c r="AJ94">
        <v>10</v>
      </c>
      <c r="AK94">
        <v>23952</v>
      </c>
      <c r="AL94">
        <v>2.8322160684293558</v>
      </c>
      <c r="AM94">
        <v>6783.7239271019926</v>
      </c>
      <c r="AN94">
        <v>8</v>
      </c>
      <c r="AO94">
        <v>19161.599999999999</v>
      </c>
      <c r="AP94">
        <v>5.3971676782306206</v>
      </c>
      <c r="AQ94">
        <v>12927.296022897981</v>
      </c>
      <c r="AR94">
        <v>5.1706080138915729</v>
      </c>
      <c r="AS94">
        <v>12384.640314873095</v>
      </c>
      <c r="AT94">
        <v>6</v>
      </c>
      <c r="AU94">
        <v>14371.199999999999</v>
      </c>
      <c r="AV94">
        <v>5.8155314443300803</v>
      </c>
      <c r="AW94">
        <v>13929.360915459407</v>
      </c>
      <c r="AX94">
        <v>7</v>
      </c>
      <c r="AY94">
        <v>16766.399999999998</v>
      </c>
      <c r="AZ94">
        <v>5</v>
      </c>
      <c r="BA94">
        <v>11976</v>
      </c>
      <c r="BB94">
        <v>7</v>
      </c>
      <c r="BC94">
        <v>16766.399999999998</v>
      </c>
      <c r="BD94">
        <v>9</v>
      </c>
      <c r="BE94">
        <v>21556.799999999999</v>
      </c>
      <c r="BF94">
        <v>9</v>
      </c>
      <c r="BG94">
        <v>21556.799999999999</v>
      </c>
      <c r="BH94">
        <v>10</v>
      </c>
      <c r="BI94">
        <v>23952</v>
      </c>
      <c r="BJ94">
        <v>11</v>
      </c>
      <c r="BK94">
        <v>26347.199999999997</v>
      </c>
      <c r="BL94">
        <v>5</v>
      </c>
      <c r="BM94">
        <v>11976</v>
      </c>
      <c r="BN94">
        <v>6.0077785275542972</v>
      </c>
      <c r="BO94">
        <v>14389.831129198052</v>
      </c>
      <c r="BP94">
        <v>6.8316263856387325</v>
      </c>
      <c r="BQ94">
        <v>16363.111518881891</v>
      </c>
      <c r="BR94">
        <v>7</v>
      </c>
      <c r="BS94">
        <v>16766.399999999998</v>
      </c>
      <c r="BT94">
        <v>6.5767978347842808</v>
      </c>
      <c r="BU94">
        <v>15752.746173875308</v>
      </c>
      <c r="BV94">
        <v>5</v>
      </c>
      <c r="BW94">
        <v>11976</v>
      </c>
      <c r="BX94">
        <v>3.9236156214736515</v>
      </c>
      <c r="BY94">
        <v>9397.8441365536892</v>
      </c>
      <c r="BZ94">
        <v>6</v>
      </c>
      <c r="CA94">
        <v>14371.199999999999</v>
      </c>
      <c r="CB94">
        <v>5.1698422904225287</v>
      </c>
      <c r="CC94">
        <v>12382.806254020041</v>
      </c>
      <c r="CD94">
        <v>7</v>
      </c>
      <c r="CE94">
        <v>16766.399999999998</v>
      </c>
      <c r="CF94">
        <v>8</v>
      </c>
      <c r="CG94">
        <v>19161.599999999999</v>
      </c>
      <c r="CH94">
        <v>6.8745767696974482</v>
      </c>
      <c r="CI94">
        <v>16465.986278779328</v>
      </c>
      <c r="CJ94">
        <v>5.6869372972757262</v>
      </c>
      <c r="CK94">
        <v>13621.352214434819</v>
      </c>
      <c r="CL94">
        <v>4.8915906646472367</v>
      </c>
      <c r="CM94">
        <v>11716.337959963061</v>
      </c>
      <c r="CN94">
        <v>4.8084786511241768</v>
      </c>
      <c r="CO94">
        <v>11517.268065172628</v>
      </c>
      <c r="CP94">
        <v>6.0705892133877102</v>
      </c>
      <c r="CQ94">
        <v>14540.275283906243</v>
      </c>
      <c r="CR94">
        <v>4.2384297645023388</v>
      </c>
      <c r="CS94">
        <v>10151.886971936001</v>
      </c>
      <c r="CT94">
        <v>6</v>
      </c>
      <c r="CU94">
        <v>14371.199999999999</v>
      </c>
    </row>
    <row r="95" spans="2:99" x14ac:dyDescent="0.2">
      <c r="B95" s="105" t="s">
        <v>132</v>
      </c>
      <c r="C95" s="105" t="s">
        <v>261</v>
      </c>
      <c r="D95">
        <v>8</v>
      </c>
      <c r="E95">
        <v>13862.4</v>
      </c>
      <c r="F95">
        <v>6</v>
      </c>
      <c r="G95">
        <v>10396.799999999999</v>
      </c>
      <c r="H95">
        <v>6</v>
      </c>
      <c r="I95">
        <v>10396.799999999999</v>
      </c>
      <c r="J95">
        <v>7</v>
      </c>
      <c r="K95">
        <v>12129.6</v>
      </c>
      <c r="L95">
        <v>6</v>
      </c>
      <c r="M95">
        <v>10396.799999999999</v>
      </c>
      <c r="N95">
        <v>7</v>
      </c>
      <c r="O95">
        <v>12129.6</v>
      </c>
      <c r="P95">
        <v>5</v>
      </c>
      <c r="Q95">
        <v>8664</v>
      </c>
      <c r="R95">
        <v>7</v>
      </c>
      <c r="S95">
        <v>12129.6</v>
      </c>
      <c r="T95">
        <v>5</v>
      </c>
      <c r="U95">
        <v>8664</v>
      </c>
      <c r="V95">
        <v>5</v>
      </c>
      <c r="W95">
        <v>8664</v>
      </c>
      <c r="X95">
        <v>5</v>
      </c>
      <c r="Y95">
        <v>8664</v>
      </c>
      <c r="Z95">
        <v>7</v>
      </c>
      <c r="AA95">
        <v>12129.6</v>
      </c>
      <c r="AB95">
        <v>7</v>
      </c>
      <c r="AC95">
        <v>12129.6</v>
      </c>
      <c r="AD95">
        <v>6</v>
      </c>
      <c r="AE95">
        <v>10396.799999999999</v>
      </c>
      <c r="AF95">
        <v>4</v>
      </c>
      <c r="AG95">
        <v>6931.2</v>
      </c>
      <c r="AH95">
        <v>3.3680699293143346</v>
      </c>
      <c r="AI95">
        <v>5836.1915735158791</v>
      </c>
      <c r="AJ95">
        <v>4</v>
      </c>
      <c r="AK95">
        <v>6931.2</v>
      </c>
      <c r="AL95">
        <v>2.8322160684293558</v>
      </c>
      <c r="AM95">
        <v>4907.6640033743879</v>
      </c>
      <c r="AN95">
        <v>7</v>
      </c>
      <c r="AO95">
        <v>12129.6</v>
      </c>
      <c r="AP95">
        <v>6.29669562460239</v>
      </c>
      <c r="AQ95">
        <v>10910.914178311021</v>
      </c>
      <c r="AR95">
        <v>5.1706080138915729</v>
      </c>
      <c r="AS95">
        <v>8959.629566471318</v>
      </c>
      <c r="AT95">
        <v>5</v>
      </c>
      <c r="AU95">
        <v>8664</v>
      </c>
      <c r="AV95">
        <v>2.9077657221650401</v>
      </c>
      <c r="AW95">
        <v>5038.5764433675813</v>
      </c>
      <c r="AX95">
        <v>8</v>
      </c>
      <c r="AY95">
        <v>13862.4</v>
      </c>
      <c r="AZ95">
        <v>8</v>
      </c>
      <c r="BA95">
        <v>13862.4</v>
      </c>
      <c r="BB95">
        <v>6</v>
      </c>
      <c r="BC95">
        <v>10396.799999999999</v>
      </c>
      <c r="BD95">
        <v>6</v>
      </c>
      <c r="BE95">
        <v>10396.799999999999</v>
      </c>
      <c r="BF95">
        <v>4</v>
      </c>
      <c r="BG95">
        <v>6931.2</v>
      </c>
      <c r="BH95">
        <v>6</v>
      </c>
      <c r="BI95">
        <v>10396.799999999999</v>
      </c>
      <c r="BJ95">
        <v>4</v>
      </c>
      <c r="BK95">
        <v>6931.2</v>
      </c>
      <c r="BL95">
        <v>4</v>
      </c>
      <c r="BM95">
        <v>6931.2</v>
      </c>
      <c r="BN95">
        <v>6.0077785275542972</v>
      </c>
      <c r="BO95">
        <v>10410.278632546086</v>
      </c>
      <c r="BP95">
        <v>5.3134871888301252</v>
      </c>
      <c r="BQ95">
        <v>9207.2106008048413</v>
      </c>
      <c r="BR95">
        <v>5</v>
      </c>
      <c r="BS95">
        <v>8664</v>
      </c>
      <c r="BT95">
        <v>3.6537765748801565</v>
      </c>
      <c r="BU95">
        <v>6331.2640489523346</v>
      </c>
      <c r="BV95">
        <v>6</v>
      </c>
      <c r="BW95">
        <v>10396.799999999999</v>
      </c>
      <c r="BX95">
        <v>4.5775515583859265</v>
      </c>
      <c r="BY95">
        <v>7931.9813403711332</v>
      </c>
      <c r="BZ95">
        <v>7</v>
      </c>
      <c r="CA95">
        <v>12129.6</v>
      </c>
      <c r="CB95">
        <v>4.5236120041197125</v>
      </c>
      <c r="CC95">
        <v>7838.5148807386377</v>
      </c>
      <c r="CD95">
        <v>6</v>
      </c>
      <c r="CE95">
        <v>10396.799999999999</v>
      </c>
      <c r="CF95">
        <v>7</v>
      </c>
      <c r="CG95">
        <v>12129.6</v>
      </c>
      <c r="CH95">
        <v>6.8745767696974482</v>
      </c>
      <c r="CI95">
        <v>11912.266626531738</v>
      </c>
      <c r="CJ95">
        <v>4.8745176833791932</v>
      </c>
      <c r="CK95">
        <v>8446.5642417594663</v>
      </c>
      <c r="CL95">
        <v>3.2610604430981578</v>
      </c>
      <c r="CM95">
        <v>5650.7655358004877</v>
      </c>
      <c r="CN95">
        <v>4.0070655426034802</v>
      </c>
      <c r="CO95">
        <v>6943.4431722233103</v>
      </c>
      <c r="CP95">
        <v>5.311765561714247</v>
      </c>
      <c r="CQ95">
        <v>9204.2273653384473</v>
      </c>
      <c r="CR95">
        <v>3.5320248037519488</v>
      </c>
      <c r="CS95">
        <v>6120.292579941377</v>
      </c>
      <c r="CT95">
        <v>7</v>
      </c>
      <c r="CU95">
        <v>12129.6</v>
      </c>
    </row>
    <row r="96" spans="2:99" x14ac:dyDescent="0.2">
      <c r="C96" s="105" t="s">
        <v>262</v>
      </c>
      <c r="D96">
        <v>8</v>
      </c>
      <c r="E96">
        <v>6585.5999999999995</v>
      </c>
      <c r="F96">
        <v>6</v>
      </c>
      <c r="G96">
        <v>4939.2</v>
      </c>
      <c r="H96">
        <v>7</v>
      </c>
      <c r="I96">
        <v>5762.4</v>
      </c>
      <c r="J96">
        <v>7</v>
      </c>
      <c r="K96">
        <v>5762.4</v>
      </c>
      <c r="L96">
        <v>7</v>
      </c>
      <c r="M96">
        <v>5762.4</v>
      </c>
      <c r="N96">
        <v>7</v>
      </c>
      <c r="O96">
        <v>5762.4</v>
      </c>
      <c r="P96">
        <v>5</v>
      </c>
      <c r="Q96">
        <v>4116</v>
      </c>
      <c r="R96">
        <v>8</v>
      </c>
      <c r="S96">
        <v>6585.5999999999995</v>
      </c>
      <c r="T96">
        <v>6</v>
      </c>
      <c r="U96">
        <v>4939.2</v>
      </c>
      <c r="V96">
        <v>6</v>
      </c>
      <c r="W96">
        <v>4939.2</v>
      </c>
      <c r="X96">
        <v>5</v>
      </c>
      <c r="Y96">
        <v>4116</v>
      </c>
      <c r="Z96">
        <v>8</v>
      </c>
      <c r="AA96">
        <v>6585.5999999999995</v>
      </c>
      <c r="AB96">
        <v>7</v>
      </c>
      <c r="AC96">
        <v>5762.4</v>
      </c>
      <c r="AD96">
        <v>6</v>
      </c>
      <c r="AE96">
        <v>4939.2</v>
      </c>
      <c r="AF96">
        <v>4</v>
      </c>
      <c r="AG96">
        <v>3292.7999999999997</v>
      </c>
      <c r="AH96">
        <v>4.0416839151772006</v>
      </c>
      <c r="AI96">
        <v>3327.1141989738712</v>
      </c>
      <c r="AJ96">
        <v>4</v>
      </c>
      <c r="AK96">
        <v>3292.7999999999997</v>
      </c>
      <c r="AL96">
        <v>3.3042520798342485</v>
      </c>
      <c r="AM96">
        <v>2720.0603121195531</v>
      </c>
      <c r="AN96">
        <v>8</v>
      </c>
      <c r="AO96">
        <v>6585.5999999999995</v>
      </c>
      <c r="AP96">
        <v>7.1962235709741602</v>
      </c>
      <c r="AQ96">
        <v>5923.9312436259279</v>
      </c>
      <c r="AR96">
        <v>4.4319497261927765</v>
      </c>
      <c r="AS96">
        <v>3648.3810146018932</v>
      </c>
      <c r="AT96">
        <v>6</v>
      </c>
      <c r="AU96">
        <v>4939.2</v>
      </c>
      <c r="AV96">
        <v>3.6347071527063006</v>
      </c>
      <c r="AW96">
        <v>2992.0909281078266</v>
      </c>
      <c r="AX96">
        <v>7</v>
      </c>
      <c r="AY96">
        <v>5762.4</v>
      </c>
      <c r="AZ96">
        <v>8</v>
      </c>
      <c r="BA96">
        <v>6585.5999999999995</v>
      </c>
      <c r="BB96">
        <v>7</v>
      </c>
      <c r="BC96">
        <v>5762.4</v>
      </c>
      <c r="BD96">
        <v>7</v>
      </c>
      <c r="BE96">
        <v>5762.4</v>
      </c>
      <c r="BF96">
        <v>5</v>
      </c>
      <c r="BG96">
        <v>4116</v>
      </c>
      <c r="BH96">
        <v>6</v>
      </c>
      <c r="BI96">
        <v>4939.2</v>
      </c>
      <c r="BJ96">
        <v>4</v>
      </c>
      <c r="BK96">
        <v>3292.7999999999997</v>
      </c>
      <c r="BL96">
        <v>5</v>
      </c>
      <c r="BM96">
        <v>4116</v>
      </c>
      <c r="BN96">
        <v>6.7587508434985839</v>
      </c>
      <c r="BO96">
        <v>5563.8036943680336</v>
      </c>
      <c r="BP96">
        <v>5.3134871888301252</v>
      </c>
      <c r="BQ96">
        <v>4374.0626538449587</v>
      </c>
      <c r="BR96">
        <v>5</v>
      </c>
      <c r="BS96">
        <v>4116</v>
      </c>
      <c r="BT96">
        <v>4.3845318898561878</v>
      </c>
      <c r="BU96">
        <v>3609.3466517296133</v>
      </c>
      <c r="BV96">
        <v>5</v>
      </c>
      <c r="BW96">
        <v>4116</v>
      </c>
      <c r="BX96">
        <v>4.5775515583859265</v>
      </c>
      <c r="BY96">
        <v>3768.2404428632944</v>
      </c>
      <c r="BZ96">
        <v>8</v>
      </c>
      <c r="CA96">
        <v>6585.5999999999995</v>
      </c>
      <c r="CB96">
        <v>5.1698422904225287</v>
      </c>
      <c r="CC96">
        <v>4255.8141734758256</v>
      </c>
      <c r="CD96">
        <v>7</v>
      </c>
      <c r="CE96">
        <v>5762.4</v>
      </c>
      <c r="CF96">
        <v>8</v>
      </c>
      <c r="CG96">
        <v>6585.5999999999995</v>
      </c>
      <c r="CH96">
        <v>6.8745767696974482</v>
      </c>
      <c r="CI96">
        <v>5659.1515968149388</v>
      </c>
      <c r="CJ96">
        <v>4.8745176833791932</v>
      </c>
      <c r="CK96">
        <v>4012.7029569577517</v>
      </c>
      <c r="CL96">
        <v>3.2610604430981578</v>
      </c>
      <c r="CM96">
        <v>2684.5049567584033</v>
      </c>
      <c r="CN96">
        <v>4.0070655426034802</v>
      </c>
      <c r="CO96">
        <v>3298.6163546711846</v>
      </c>
      <c r="CP96">
        <v>6.8294128650611752</v>
      </c>
      <c r="CQ96">
        <v>5621.9726705183593</v>
      </c>
      <c r="CR96">
        <v>3.5320248037519488</v>
      </c>
      <c r="CS96">
        <v>2907.562818448604</v>
      </c>
      <c r="CT96">
        <v>7</v>
      </c>
      <c r="CU96">
        <v>5762.4</v>
      </c>
    </row>
    <row r="97" spans="2:99" x14ac:dyDescent="0.2">
      <c r="C97" s="105" t="s">
        <v>263</v>
      </c>
      <c r="D97">
        <v>7</v>
      </c>
      <c r="E97">
        <v>12801.6</v>
      </c>
      <c r="F97">
        <v>5</v>
      </c>
      <c r="G97">
        <v>9144</v>
      </c>
      <c r="H97">
        <v>6</v>
      </c>
      <c r="I97">
        <v>10972.8</v>
      </c>
      <c r="J97">
        <v>6</v>
      </c>
      <c r="K97">
        <v>10972.8</v>
      </c>
      <c r="L97">
        <v>7</v>
      </c>
      <c r="M97">
        <v>12801.6</v>
      </c>
      <c r="N97">
        <v>6</v>
      </c>
      <c r="O97">
        <v>10972.8</v>
      </c>
      <c r="P97">
        <v>5</v>
      </c>
      <c r="Q97">
        <v>9144</v>
      </c>
      <c r="R97">
        <v>8</v>
      </c>
      <c r="S97">
        <v>14630.4</v>
      </c>
      <c r="T97">
        <v>5</v>
      </c>
      <c r="U97">
        <v>9144</v>
      </c>
      <c r="V97">
        <v>5</v>
      </c>
      <c r="W97">
        <v>9144</v>
      </c>
      <c r="X97">
        <v>5</v>
      </c>
      <c r="Y97">
        <v>9144</v>
      </c>
      <c r="Z97">
        <v>7</v>
      </c>
      <c r="AA97">
        <v>12801.6</v>
      </c>
      <c r="AB97">
        <v>6</v>
      </c>
      <c r="AC97">
        <v>10972.8</v>
      </c>
      <c r="AD97">
        <v>6</v>
      </c>
      <c r="AE97">
        <v>10972.8</v>
      </c>
      <c r="AF97">
        <v>4</v>
      </c>
      <c r="AG97">
        <v>7315.2</v>
      </c>
      <c r="AH97">
        <v>3.3680699293143346</v>
      </c>
      <c r="AI97">
        <v>6159.5262867300553</v>
      </c>
      <c r="AJ97">
        <v>4</v>
      </c>
      <c r="AK97">
        <v>7315.2</v>
      </c>
      <c r="AL97">
        <v>2.8322160684293558</v>
      </c>
      <c r="AM97">
        <v>5179.5567459436061</v>
      </c>
      <c r="AN97">
        <v>8</v>
      </c>
      <c r="AO97">
        <v>14630.4</v>
      </c>
      <c r="AP97">
        <v>7.1962235709741602</v>
      </c>
      <c r="AQ97">
        <v>13160.453666597545</v>
      </c>
      <c r="AR97">
        <v>4.4319497261927765</v>
      </c>
      <c r="AS97">
        <v>8105.1496592613494</v>
      </c>
      <c r="AT97">
        <v>5</v>
      </c>
      <c r="AU97">
        <v>9144</v>
      </c>
      <c r="AV97">
        <v>2.9077657221650401</v>
      </c>
      <c r="AW97">
        <v>5317.721952695425</v>
      </c>
      <c r="AX97">
        <v>8</v>
      </c>
      <c r="AY97">
        <v>14630.4</v>
      </c>
      <c r="AZ97">
        <v>7</v>
      </c>
      <c r="BA97">
        <v>12801.6</v>
      </c>
      <c r="BB97">
        <v>5</v>
      </c>
      <c r="BC97">
        <v>9144</v>
      </c>
      <c r="BD97">
        <v>7</v>
      </c>
      <c r="BE97">
        <v>12801.6</v>
      </c>
      <c r="BF97">
        <v>4</v>
      </c>
      <c r="BG97">
        <v>7315.2</v>
      </c>
      <c r="BH97">
        <v>5</v>
      </c>
      <c r="BI97">
        <v>9144</v>
      </c>
      <c r="BJ97">
        <v>4</v>
      </c>
      <c r="BK97">
        <v>7315.2</v>
      </c>
      <c r="BL97">
        <v>4</v>
      </c>
      <c r="BM97">
        <v>7315.2</v>
      </c>
      <c r="BN97">
        <v>6.0077785275542972</v>
      </c>
      <c r="BO97">
        <v>10987.025371191299</v>
      </c>
      <c r="BP97">
        <v>5.3134871888301252</v>
      </c>
      <c r="BQ97">
        <v>9717.3053709325322</v>
      </c>
      <c r="BR97">
        <v>4</v>
      </c>
      <c r="BS97">
        <v>7315.2</v>
      </c>
      <c r="BT97">
        <v>4.3845318898561878</v>
      </c>
      <c r="BU97">
        <v>8018.4319201689959</v>
      </c>
      <c r="BV97">
        <v>5</v>
      </c>
      <c r="BW97">
        <v>9144</v>
      </c>
      <c r="BX97">
        <v>4.5775515583859265</v>
      </c>
      <c r="BY97">
        <v>8371.4262899761816</v>
      </c>
      <c r="BZ97">
        <v>6</v>
      </c>
      <c r="CA97">
        <v>10972.8</v>
      </c>
      <c r="CB97">
        <v>4.5236120041197125</v>
      </c>
      <c r="CC97">
        <v>8272.781633134131</v>
      </c>
      <c r="CD97">
        <v>6</v>
      </c>
      <c r="CE97">
        <v>10972.8</v>
      </c>
      <c r="CF97">
        <v>6</v>
      </c>
      <c r="CG97">
        <v>10972.8</v>
      </c>
      <c r="CH97">
        <v>6.8745767696974482</v>
      </c>
      <c r="CI97">
        <v>12572.225996422692</v>
      </c>
      <c r="CJ97">
        <v>4.8745176833791932</v>
      </c>
      <c r="CK97">
        <v>8914.5179393638682</v>
      </c>
      <c r="CL97">
        <v>2.7175503692484644</v>
      </c>
      <c r="CM97">
        <v>4969.8561152815919</v>
      </c>
      <c r="CN97">
        <v>4.0070655426034802</v>
      </c>
      <c r="CO97">
        <v>7328.1214643132444</v>
      </c>
      <c r="CP97">
        <v>6.0705892133877102</v>
      </c>
      <c r="CQ97">
        <v>11101.893553443444</v>
      </c>
      <c r="CR97">
        <v>3.5320248037519488</v>
      </c>
      <c r="CS97">
        <v>6459.3669611015639</v>
      </c>
      <c r="CT97">
        <v>7</v>
      </c>
      <c r="CU97">
        <v>12801.6</v>
      </c>
    </row>
    <row r="98" spans="2:99" x14ac:dyDescent="0.2">
      <c r="C98" s="105" t="s">
        <v>264</v>
      </c>
      <c r="D98">
        <v>7</v>
      </c>
      <c r="E98">
        <v>8845.1999999999989</v>
      </c>
      <c r="F98">
        <v>7</v>
      </c>
      <c r="G98">
        <v>8845.1999999999989</v>
      </c>
      <c r="H98">
        <v>6</v>
      </c>
      <c r="I98">
        <v>7581.5999999999995</v>
      </c>
      <c r="J98">
        <v>7</v>
      </c>
      <c r="K98">
        <v>8845.1999999999989</v>
      </c>
      <c r="L98">
        <v>6</v>
      </c>
      <c r="M98">
        <v>7581.5999999999995</v>
      </c>
      <c r="N98">
        <v>7</v>
      </c>
      <c r="O98">
        <v>8845.1999999999989</v>
      </c>
      <c r="P98">
        <v>6</v>
      </c>
      <c r="Q98">
        <v>7581.5999999999995</v>
      </c>
      <c r="R98">
        <v>7</v>
      </c>
      <c r="S98">
        <v>8845.1999999999989</v>
      </c>
      <c r="T98">
        <v>6</v>
      </c>
      <c r="U98">
        <v>7581.5999999999995</v>
      </c>
      <c r="V98">
        <v>6</v>
      </c>
      <c r="W98">
        <v>7581.5999999999995</v>
      </c>
      <c r="X98">
        <v>6</v>
      </c>
      <c r="Y98">
        <v>7581.5999999999995</v>
      </c>
      <c r="Z98">
        <v>8</v>
      </c>
      <c r="AA98">
        <v>10108.799999999999</v>
      </c>
      <c r="AB98">
        <v>7</v>
      </c>
      <c r="AC98">
        <v>8845.1999999999989</v>
      </c>
      <c r="AD98">
        <v>6</v>
      </c>
      <c r="AE98">
        <v>7581.5999999999995</v>
      </c>
      <c r="AF98">
        <v>4</v>
      </c>
      <c r="AG98">
        <v>5054.3999999999996</v>
      </c>
      <c r="AH98">
        <v>4.0416839151772006</v>
      </c>
      <c r="AI98">
        <v>5107.0717952179102</v>
      </c>
      <c r="AJ98">
        <v>4</v>
      </c>
      <c r="AK98">
        <v>5054.3999999999996</v>
      </c>
      <c r="AL98">
        <v>3.3042520798342485</v>
      </c>
      <c r="AM98">
        <v>4175.2529280785557</v>
      </c>
      <c r="AN98">
        <v>7</v>
      </c>
      <c r="AO98">
        <v>8845.1999999999989</v>
      </c>
      <c r="AP98">
        <v>6.29669562460239</v>
      </c>
      <c r="AQ98">
        <v>7956.5045912475798</v>
      </c>
      <c r="AR98">
        <v>5.1706080138915729</v>
      </c>
      <c r="AS98">
        <v>6533.5802863533909</v>
      </c>
      <c r="AT98">
        <v>6</v>
      </c>
      <c r="AU98">
        <v>7581.5999999999995</v>
      </c>
      <c r="AV98">
        <v>2.9077657221650401</v>
      </c>
      <c r="AW98">
        <v>3674.2527665277444</v>
      </c>
      <c r="AX98">
        <v>7</v>
      </c>
      <c r="AY98">
        <v>8845.1999999999989</v>
      </c>
      <c r="AZ98">
        <v>8</v>
      </c>
      <c r="BA98">
        <v>10108.799999999999</v>
      </c>
      <c r="BB98">
        <v>6</v>
      </c>
      <c r="BC98">
        <v>7581.5999999999995</v>
      </c>
      <c r="BD98">
        <v>7</v>
      </c>
      <c r="BE98">
        <v>8845.1999999999989</v>
      </c>
      <c r="BF98">
        <v>4</v>
      </c>
      <c r="BG98">
        <v>5054.3999999999996</v>
      </c>
      <c r="BH98">
        <v>6</v>
      </c>
      <c r="BI98">
        <v>7581.5999999999995</v>
      </c>
      <c r="BJ98">
        <v>5</v>
      </c>
      <c r="BK98">
        <v>6318</v>
      </c>
      <c r="BL98">
        <v>5</v>
      </c>
      <c r="BM98">
        <v>6318</v>
      </c>
      <c r="BN98">
        <v>5.2568062116100087</v>
      </c>
      <c r="BO98">
        <v>6642.5003289904062</v>
      </c>
      <c r="BP98">
        <v>5.3134871888301252</v>
      </c>
      <c r="BQ98">
        <v>6714.1224118057453</v>
      </c>
      <c r="BR98">
        <v>4</v>
      </c>
      <c r="BS98">
        <v>5054.3999999999996</v>
      </c>
      <c r="BT98">
        <v>4.3845318898561878</v>
      </c>
      <c r="BU98">
        <v>5540.2944960222785</v>
      </c>
      <c r="BV98">
        <v>6</v>
      </c>
      <c r="BW98">
        <v>7581.5999999999995</v>
      </c>
      <c r="BX98">
        <v>4.5775515583859265</v>
      </c>
      <c r="BY98">
        <v>5784.1941491764564</v>
      </c>
      <c r="BZ98">
        <v>8</v>
      </c>
      <c r="CA98">
        <v>10108.799999999999</v>
      </c>
      <c r="CB98">
        <v>5.1698422904225287</v>
      </c>
      <c r="CC98">
        <v>6532.6127181779066</v>
      </c>
      <c r="CD98">
        <v>7</v>
      </c>
      <c r="CE98">
        <v>8845.1999999999989</v>
      </c>
      <c r="CF98">
        <v>7</v>
      </c>
      <c r="CG98">
        <v>8845.1999999999989</v>
      </c>
      <c r="CH98">
        <v>6.8745767696974482</v>
      </c>
      <c r="CI98">
        <v>8686.7152061896941</v>
      </c>
      <c r="CJ98">
        <v>4.0620980694826621</v>
      </c>
      <c r="CK98">
        <v>5132.867120598291</v>
      </c>
      <c r="CL98">
        <v>2.7175503692484644</v>
      </c>
      <c r="CM98">
        <v>3433.8966465823592</v>
      </c>
      <c r="CN98">
        <v>4.0070655426034802</v>
      </c>
      <c r="CO98">
        <v>5063.3280196337573</v>
      </c>
      <c r="CP98">
        <v>6.0705892133877102</v>
      </c>
      <c r="CQ98">
        <v>7670.7965300367105</v>
      </c>
      <c r="CR98">
        <v>3.5320248037519488</v>
      </c>
      <c r="CS98">
        <v>4463.0665420209625</v>
      </c>
      <c r="CT98">
        <v>8</v>
      </c>
      <c r="CU98">
        <v>10108.799999999999</v>
      </c>
    </row>
    <row r="99" spans="2:99" x14ac:dyDescent="0.2">
      <c r="C99" s="105" t="s">
        <v>265</v>
      </c>
      <c r="D99">
        <v>6</v>
      </c>
      <c r="E99">
        <v>32889.599999999999</v>
      </c>
      <c r="F99">
        <v>5</v>
      </c>
      <c r="G99">
        <v>27407.999999999996</v>
      </c>
      <c r="H99">
        <v>5</v>
      </c>
      <c r="I99">
        <v>27407.999999999996</v>
      </c>
      <c r="J99">
        <v>5</v>
      </c>
      <c r="K99">
        <v>27407.999999999996</v>
      </c>
      <c r="L99">
        <v>5</v>
      </c>
      <c r="M99">
        <v>27407.999999999996</v>
      </c>
      <c r="N99">
        <v>5</v>
      </c>
      <c r="O99">
        <v>27407.999999999996</v>
      </c>
      <c r="P99">
        <v>4</v>
      </c>
      <c r="Q99">
        <v>21926.399999999998</v>
      </c>
      <c r="R99">
        <v>6</v>
      </c>
      <c r="S99">
        <v>32889.599999999999</v>
      </c>
      <c r="T99">
        <v>5</v>
      </c>
      <c r="U99">
        <v>27407.999999999996</v>
      </c>
      <c r="V99">
        <v>4</v>
      </c>
      <c r="W99">
        <v>21926.399999999998</v>
      </c>
      <c r="X99">
        <v>4</v>
      </c>
      <c r="Y99">
        <v>21926.399999999998</v>
      </c>
      <c r="Z99">
        <v>6</v>
      </c>
      <c r="AA99">
        <v>32889.599999999999</v>
      </c>
      <c r="AB99">
        <v>5</v>
      </c>
      <c r="AC99">
        <v>27407.999999999996</v>
      </c>
      <c r="AD99">
        <v>5</v>
      </c>
      <c r="AE99">
        <v>27407.999999999996</v>
      </c>
      <c r="AF99">
        <v>3</v>
      </c>
      <c r="AG99">
        <v>16444.8</v>
      </c>
      <c r="AH99">
        <v>2.6944559434514672</v>
      </c>
      <c r="AI99">
        <v>14769.929699623561</v>
      </c>
      <c r="AJ99">
        <v>3</v>
      </c>
      <c r="AK99">
        <v>16444.8</v>
      </c>
      <c r="AL99">
        <v>1.8881440456195706</v>
      </c>
      <c r="AM99">
        <v>10350.050400468237</v>
      </c>
      <c r="AN99">
        <v>6</v>
      </c>
      <c r="AO99">
        <v>32889.599999999999</v>
      </c>
      <c r="AP99">
        <v>5.3971676782306206</v>
      </c>
      <c r="AQ99">
        <v>29585.114344988968</v>
      </c>
      <c r="AR99">
        <v>3.693291438493981</v>
      </c>
      <c r="AS99">
        <v>20245.146349248604</v>
      </c>
      <c r="AT99">
        <v>4</v>
      </c>
      <c r="AU99">
        <v>21926.399999999998</v>
      </c>
      <c r="AV99">
        <v>2.1808242916237801</v>
      </c>
      <c r="AW99">
        <v>11954.406436964911</v>
      </c>
      <c r="AX99">
        <v>6</v>
      </c>
      <c r="AY99">
        <v>32889.599999999999</v>
      </c>
      <c r="AZ99">
        <v>6</v>
      </c>
      <c r="BA99">
        <v>32889.599999999999</v>
      </c>
      <c r="BB99">
        <v>5</v>
      </c>
      <c r="BC99">
        <v>27407.999999999996</v>
      </c>
      <c r="BD99">
        <v>5</v>
      </c>
      <c r="BE99">
        <v>27407.999999999996</v>
      </c>
      <c r="BF99">
        <v>3</v>
      </c>
      <c r="BG99">
        <v>16444.8</v>
      </c>
      <c r="BH99">
        <v>4</v>
      </c>
      <c r="BI99">
        <v>21926.399999999998</v>
      </c>
      <c r="BJ99">
        <v>3</v>
      </c>
      <c r="BK99">
        <v>16444.8</v>
      </c>
      <c r="BL99">
        <v>4</v>
      </c>
      <c r="BM99">
        <v>21926.399999999998</v>
      </c>
      <c r="BN99">
        <v>4.505833895665722</v>
      </c>
      <c r="BO99">
        <v>24699.17908248122</v>
      </c>
      <c r="BP99">
        <v>4.5544175904258219</v>
      </c>
      <c r="BQ99">
        <v>24965.495463678184</v>
      </c>
      <c r="BR99">
        <v>3</v>
      </c>
      <c r="BS99">
        <v>16444.8</v>
      </c>
      <c r="BT99">
        <v>2.9230212599041252</v>
      </c>
      <c r="BU99">
        <v>16022.833338290451</v>
      </c>
      <c r="BV99">
        <v>5</v>
      </c>
      <c r="BW99">
        <v>27407.999999999996</v>
      </c>
      <c r="BX99">
        <v>3.9236156214736515</v>
      </c>
      <c r="BY99">
        <v>21507.691390669966</v>
      </c>
      <c r="BZ99">
        <v>5</v>
      </c>
      <c r="CA99">
        <v>27407.999999999996</v>
      </c>
      <c r="CB99">
        <v>3.2311514315140801</v>
      </c>
      <c r="CC99">
        <v>17711.87968698758</v>
      </c>
      <c r="CD99">
        <v>5</v>
      </c>
      <c r="CE99">
        <v>27407.999999999996</v>
      </c>
      <c r="CF99">
        <v>5</v>
      </c>
      <c r="CG99">
        <v>27407.999999999996</v>
      </c>
      <c r="CH99">
        <v>5.1559325772730853</v>
      </c>
      <c r="CI99">
        <v>28262.760015580141</v>
      </c>
      <c r="CJ99">
        <v>3.2496784555861291</v>
      </c>
      <c r="CK99">
        <v>17813.437422140923</v>
      </c>
      <c r="CL99">
        <v>2.1740402953987719</v>
      </c>
      <c r="CM99">
        <v>11917.219283257906</v>
      </c>
      <c r="CN99">
        <v>3.2056524340827846</v>
      </c>
      <c r="CO99">
        <v>17572.104382668189</v>
      </c>
      <c r="CP99">
        <v>3.7941182583673192</v>
      </c>
      <c r="CQ99">
        <v>20797.838645066295</v>
      </c>
      <c r="CR99">
        <v>2.8256198430015589</v>
      </c>
      <c r="CS99">
        <v>15488.917731397343</v>
      </c>
      <c r="CT99">
        <v>5</v>
      </c>
      <c r="CU99">
        <v>27407.999999999996</v>
      </c>
    </row>
    <row r="100" spans="2:99" x14ac:dyDescent="0.2">
      <c r="C100" s="105" t="s">
        <v>266</v>
      </c>
      <c r="D100">
        <v>8</v>
      </c>
      <c r="E100">
        <v>12979.199999999999</v>
      </c>
      <c r="F100">
        <v>5</v>
      </c>
      <c r="G100">
        <v>8111.9999999999991</v>
      </c>
      <c r="H100">
        <v>6</v>
      </c>
      <c r="I100">
        <v>9734.4</v>
      </c>
      <c r="J100">
        <v>6</v>
      </c>
      <c r="K100">
        <v>9734.4</v>
      </c>
      <c r="L100">
        <v>7</v>
      </c>
      <c r="M100">
        <v>11356.8</v>
      </c>
      <c r="N100">
        <v>7</v>
      </c>
      <c r="O100">
        <v>11356.8</v>
      </c>
      <c r="P100">
        <v>5</v>
      </c>
      <c r="Q100">
        <v>8111.9999999999991</v>
      </c>
      <c r="R100">
        <v>8</v>
      </c>
      <c r="S100">
        <v>12979.199999999999</v>
      </c>
      <c r="T100">
        <v>6</v>
      </c>
      <c r="U100">
        <v>9734.4</v>
      </c>
      <c r="V100">
        <v>6</v>
      </c>
      <c r="W100">
        <v>9734.4</v>
      </c>
      <c r="X100">
        <v>5</v>
      </c>
      <c r="Y100">
        <v>8111.9999999999991</v>
      </c>
      <c r="Z100">
        <v>8</v>
      </c>
      <c r="AA100">
        <v>12979.199999999999</v>
      </c>
      <c r="AB100">
        <v>6</v>
      </c>
      <c r="AC100">
        <v>9734.4</v>
      </c>
      <c r="AD100">
        <v>6</v>
      </c>
      <c r="AE100">
        <v>9734.4</v>
      </c>
      <c r="AF100">
        <v>4</v>
      </c>
      <c r="AG100">
        <v>6489.5999999999995</v>
      </c>
      <c r="AH100">
        <v>3.3680699293143346</v>
      </c>
      <c r="AI100">
        <v>5464.3566533195763</v>
      </c>
      <c r="AJ100">
        <v>4</v>
      </c>
      <c r="AK100">
        <v>6489.5999999999995</v>
      </c>
      <c r="AL100">
        <v>2.8322160684293558</v>
      </c>
      <c r="AM100">
        <v>4594.9873494197864</v>
      </c>
      <c r="AN100">
        <v>7</v>
      </c>
      <c r="AO100">
        <v>11356.8</v>
      </c>
      <c r="AP100">
        <v>6.29669562460239</v>
      </c>
      <c r="AQ100">
        <v>10215.758981354917</v>
      </c>
      <c r="AR100">
        <v>5.1706080138915729</v>
      </c>
      <c r="AS100">
        <v>8388.7944417376875</v>
      </c>
      <c r="AT100">
        <v>6</v>
      </c>
      <c r="AU100">
        <v>9734.4</v>
      </c>
      <c r="AV100">
        <v>2.9077657221650401</v>
      </c>
      <c r="AW100">
        <v>4717.5591076405608</v>
      </c>
      <c r="AX100">
        <v>7</v>
      </c>
      <c r="AY100">
        <v>11356.8</v>
      </c>
      <c r="AZ100">
        <v>7</v>
      </c>
      <c r="BA100">
        <v>11356.8</v>
      </c>
      <c r="BB100">
        <v>6</v>
      </c>
      <c r="BC100">
        <v>9734.4</v>
      </c>
      <c r="BD100">
        <v>7</v>
      </c>
      <c r="BE100">
        <v>11356.8</v>
      </c>
      <c r="BF100">
        <v>4</v>
      </c>
      <c r="BG100">
        <v>6489.5999999999995</v>
      </c>
      <c r="BH100">
        <v>6</v>
      </c>
      <c r="BI100">
        <v>9734.4</v>
      </c>
      <c r="BJ100">
        <v>4</v>
      </c>
      <c r="BK100">
        <v>6489.5999999999995</v>
      </c>
      <c r="BL100">
        <v>5</v>
      </c>
      <c r="BM100">
        <v>8111.9999999999991</v>
      </c>
      <c r="BN100">
        <v>6.0077785275542972</v>
      </c>
      <c r="BO100">
        <v>9747.0198831040907</v>
      </c>
      <c r="BP100">
        <v>6.0725567872344293</v>
      </c>
      <c r="BQ100">
        <v>9852.1161316091366</v>
      </c>
      <c r="BR100">
        <v>4</v>
      </c>
      <c r="BS100">
        <v>6489.5999999999995</v>
      </c>
      <c r="BT100">
        <v>4.3845318898561878</v>
      </c>
      <c r="BU100">
        <v>7113.4645381026785</v>
      </c>
      <c r="BV100">
        <v>5</v>
      </c>
      <c r="BW100">
        <v>8111.9999999999991</v>
      </c>
      <c r="BX100">
        <v>4.5775515583859265</v>
      </c>
      <c r="BY100">
        <v>7426.619648325327</v>
      </c>
      <c r="BZ100">
        <v>8</v>
      </c>
      <c r="CA100">
        <v>12979.199999999999</v>
      </c>
      <c r="CB100">
        <v>4.5236120041197125</v>
      </c>
      <c r="CC100">
        <v>7339.1081154838212</v>
      </c>
      <c r="CD100">
        <v>6</v>
      </c>
      <c r="CE100">
        <v>9734.4</v>
      </c>
      <c r="CF100">
        <v>7</v>
      </c>
      <c r="CG100">
        <v>11356.8</v>
      </c>
      <c r="CH100">
        <v>6.8745767696974482</v>
      </c>
      <c r="CI100">
        <v>11153.31335115714</v>
      </c>
      <c r="CJ100">
        <v>4.8745176833791932</v>
      </c>
      <c r="CK100">
        <v>7908.4174895144024</v>
      </c>
      <c r="CL100">
        <v>2.7175503692484644</v>
      </c>
      <c r="CM100">
        <v>4408.9537190687079</v>
      </c>
      <c r="CN100">
        <v>3.2056524340827846</v>
      </c>
      <c r="CO100">
        <v>5200.8505090559092</v>
      </c>
      <c r="CP100">
        <v>6.0705892133877102</v>
      </c>
      <c r="CQ100">
        <v>9848.923939800221</v>
      </c>
      <c r="CR100">
        <v>3.5320248037519488</v>
      </c>
      <c r="CS100">
        <v>5730.3570416071616</v>
      </c>
      <c r="CT100">
        <v>7</v>
      </c>
      <c r="CU100">
        <v>11356.8</v>
      </c>
    </row>
    <row r="101" spans="2:99" x14ac:dyDescent="0.2">
      <c r="C101" s="105" t="s">
        <v>267</v>
      </c>
      <c r="D101">
        <v>8</v>
      </c>
      <c r="E101">
        <v>9523.1999999999989</v>
      </c>
      <c r="F101">
        <v>6</v>
      </c>
      <c r="G101">
        <v>7142.4</v>
      </c>
      <c r="H101">
        <v>6</v>
      </c>
      <c r="I101">
        <v>7142.4</v>
      </c>
      <c r="J101">
        <v>7</v>
      </c>
      <c r="K101">
        <v>8332.7999999999993</v>
      </c>
      <c r="L101">
        <v>7</v>
      </c>
      <c r="M101">
        <v>8332.7999999999993</v>
      </c>
      <c r="N101">
        <v>6</v>
      </c>
      <c r="O101">
        <v>7142.4</v>
      </c>
      <c r="P101">
        <v>5</v>
      </c>
      <c r="Q101">
        <v>5951.9999999999991</v>
      </c>
      <c r="R101">
        <v>7</v>
      </c>
      <c r="S101">
        <v>8332.7999999999993</v>
      </c>
      <c r="T101">
        <v>7</v>
      </c>
      <c r="U101">
        <v>8332.7999999999993</v>
      </c>
      <c r="V101">
        <v>6</v>
      </c>
      <c r="W101">
        <v>7142.4</v>
      </c>
      <c r="X101">
        <v>5</v>
      </c>
      <c r="Y101">
        <v>5951.9999999999991</v>
      </c>
      <c r="Z101">
        <v>9</v>
      </c>
      <c r="AA101">
        <v>10713.599999999999</v>
      </c>
      <c r="AB101">
        <v>7</v>
      </c>
      <c r="AC101">
        <v>8332.7999999999993</v>
      </c>
      <c r="AD101">
        <v>6</v>
      </c>
      <c r="AE101">
        <v>7142.4</v>
      </c>
      <c r="AF101">
        <v>4</v>
      </c>
      <c r="AG101">
        <v>4761.5999999999995</v>
      </c>
      <c r="AH101">
        <v>4.0416839151772006</v>
      </c>
      <c r="AI101">
        <v>4811.2205326269386</v>
      </c>
      <c r="AJ101">
        <v>4</v>
      </c>
      <c r="AK101">
        <v>4761.5999999999995</v>
      </c>
      <c r="AL101">
        <v>2.8322160684293558</v>
      </c>
      <c r="AM101">
        <v>3371.4700078583046</v>
      </c>
      <c r="AN101">
        <v>8</v>
      </c>
      <c r="AO101">
        <v>9523.1999999999989</v>
      </c>
      <c r="AP101">
        <v>7.1962235709741602</v>
      </c>
      <c r="AQ101">
        <v>8566.3845388876398</v>
      </c>
      <c r="AR101">
        <v>4.4319497261927765</v>
      </c>
      <c r="AS101">
        <v>5275.7929540598807</v>
      </c>
      <c r="AT101">
        <v>6</v>
      </c>
      <c r="AU101">
        <v>7142.4</v>
      </c>
      <c r="AV101">
        <v>3.6347071527063006</v>
      </c>
      <c r="AW101">
        <v>4326.7553945815798</v>
      </c>
      <c r="AX101">
        <v>8</v>
      </c>
      <c r="AY101">
        <v>9523.1999999999989</v>
      </c>
      <c r="AZ101">
        <v>9</v>
      </c>
      <c r="BA101">
        <v>10713.599999999999</v>
      </c>
      <c r="BB101">
        <v>6</v>
      </c>
      <c r="BC101">
        <v>7142.4</v>
      </c>
      <c r="BD101">
        <v>7</v>
      </c>
      <c r="BE101">
        <v>8332.7999999999993</v>
      </c>
      <c r="BF101">
        <v>4</v>
      </c>
      <c r="BG101">
        <v>4761.5999999999995</v>
      </c>
      <c r="BH101">
        <v>7</v>
      </c>
      <c r="BI101">
        <v>8332.7999999999993</v>
      </c>
      <c r="BJ101">
        <v>4</v>
      </c>
      <c r="BK101">
        <v>4761.5999999999995</v>
      </c>
      <c r="BL101">
        <v>5</v>
      </c>
      <c r="BM101">
        <v>5951.9999999999991</v>
      </c>
      <c r="BN101">
        <v>6.7587508434985839</v>
      </c>
      <c r="BO101">
        <v>8045.6170041007135</v>
      </c>
      <c r="BP101">
        <v>6.0725567872344293</v>
      </c>
      <c r="BQ101">
        <v>7228.7715995238641</v>
      </c>
      <c r="BR101">
        <v>5</v>
      </c>
      <c r="BS101">
        <v>5951.9999999999991</v>
      </c>
      <c r="BT101">
        <v>4.3845318898561878</v>
      </c>
      <c r="BU101">
        <v>5219.3467616848056</v>
      </c>
      <c r="BV101">
        <v>5</v>
      </c>
      <c r="BW101">
        <v>5951.9999999999991</v>
      </c>
      <c r="BX101">
        <v>4.5775515583859265</v>
      </c>
      <c r="BY101">
        <v>5449.1173751026063</v>
      </c>
      <c r="BZ101">
        <v>8</v>
      </c>
      <c r="CA101">
        <v>9523.1999999999989</v>
      </c>
      <c r="CB101">
        <v>4.5236120041197125</v>
      </c>
      <c r="CC101">
        <v>5384.9077297041049</v>
      </c>
      <c r="CD101">
        <v>7</v>
      </c>
      <c r="CE101">
        <v>8332.7999999999993</v>
      </c>
      <c r="CF101">
        <v>7</v>
      </c>
      <c r="CG101">
        <v>8332.7999999999993</v>
      </c>
      <c r="CH101">
        <v>6.8745767696974482</v>
      </c>
      <c r="CI101">
        <v>8183.4961866478416</v>
      </c>
      <c r="CJ101">
        <v>4.8745176833791932</v>
      </c>
      <c r="CK101">
        <v>5802.6258502945911</v>
      </c>
      <c r="CL101">
        <v>2.7175503692484644</v>
      </c>
      <c r="CM101">
        <v>3234.9719595533716</v>
      </c>
      <c r="CN101">
        <v>4.0070655426034802</v>
      </c>
      <c r="CO101">
        <v>4770.0108219151825</v>
      </c>
      <c r="CP101">
        <v>6.0705892133877102</v>
      </c>
      <c r="CQ101">
        <v>7226.4293996167298</v>
      </c>
      <c r="CR101">
        <v>3.5320248037519488</v>
      </c>
      <c r="CS101">
        <v>4204.522326386319</v>
      </c>
      <c r="CT101">
        <v>7</v>
      </c>
      <c r="CU101">
        <v>8332.7999999999993</v>
      </c>
    </row>
    <row r="102" spans="2:99" x14ac:dyDescent="0.2">
      <c r="C102" s="105" t="s">
        <v>268</v>
      </c>
      <c r="D102">
        <v>7</v>
      </c>
      <c r="E102">
        <v>13574.399999999998</v>
      </c>
      <c r="F102">
        <v>6</v>
      </c>
      <c r="G102">
        <v>11635.199999999999</v>
      </c>
      <c r="H102">
        <v>6</v>
      </c>
      <c r="I102">
        <v>11635.199999999999</v>
      </c>
      <c r="J102">
        <v>6</v>
      </c>
      <c r="K102">
        <v>11635.199999999999</v>
      </c>
      <c r="L102">
        <v>6</v>
      </c>
      <c r="M102">
        <v>11635.199999999999</v>
      </c>
      <c r="N102">
        <v>6</v>
      </c>
      <c r="O102">
        <v>11635.199999999999</v>
      </c>
      <c r="P102">
        <v>5</v>
      </c>
      <c r="Q102">
        <v>9696</v>
      </c>
      <c r="R102">
        <v>8</v>
      </c>
      <c r="S102">
        <v>15513.599999999999</v>
      </c>
      <c r="T102">
        <v>6</v>
      </c>
      <c r="U102">
        <v>11635.199999999999</v>
      </c>
      <c r="V102">
        <v>5</v>
      </c>
      <c r="W102">
        <v>9696</v>
      </c>
      <c r="X102">
        <v>5</v>
      </c>
      <c r="Y102">
        <v>9696</v>
      </c>
      <c r="Z102">
        <v>7</v>
      </c>
      <c r="AA102">
        <v>13574.399999999998</v>
      </c>
      <c r="AB102">
        <v>6</v>
      </c>
      <c r="AC102">
        <v>11635.199999999999</v>
      </c>
      <c r="AD102">
        <v>5</v>
      </c>
      <c r="AE102">
        <v>9696</v>
      </c>
      <c r="AF102">
        <v>4</v>
      </c>
      <c r="AG102">
        <v>7756.7999999999993</v>
      </c>
      <c r="AH102">
        <v>3.3680699293143346</v>
      </c>
      <c r="AI102">
        <v>6531.3612069263572</v>
      </c>
      <c r="AJ102">
        <v>4</v>
      </c>
      <c r="AK102">
        <v>7756.7999999999993</v>
      </c>
      <c r="AL102">
        <v>3.3042520798342485</v>
      </c>
      <c r="AM102">
        <v>6407.6056332145745</v>
      </c>
      <c r="AN102">
        <v>7</v>
      </c>
      <c r="AO102">
        <v>13574.399999999998</v>
      </c>
      <c r="AP102">
        <v>7.1962235709741602</v>
      </c>
      <c r="AQ102">
        <v>13954.91674883309</v>
      </c>
      <c r="AR102">
        <v>5.1706080138915729</v>
      </c>
      <c r="AS102">
        <v>10026.843060538537</v>
      </c>
      <c r="AT102">
        <v>6</v>
      </c>
      <c r="AU102">
        <v>11635.199999999999</v>
      </c>
      <c r="AV102">
        <v>2.9077657221650401</v>
      </c>
      <c r="AW102">
        <v>5638.7392884224455</v>
      </c>
      <c r="AX102">
        <v>7</v>
      </c>
      <c r="AY102">
        <v>13574.399999999998</v>
      </c>
      <c r="AZ102">
        <v>8</v>
      </c>
      <c r="BA102">
        <v>15513.599999999999</v>
      </c>
      <c r="BB102">
        <v>6</v>
      </c>
      <c r="BC102">
        <v>11635.199999999999</v>
      </c>
      <c r="BD102">
        <v>7</v>
      </c>
      <c r="BE102">
        <v>13574.399999999998</v>
      </c>
      <c r="BF102">
        <v>4</v>
      </c>
      <c r="BG102">
        <v>7756.7999999999993</v>
      </c>
      <c r="BH102">
        <v>5</v>
      </c>
      <c r="BI102">
        <v>9696</v>
      </c>
      <c r="BJ102">
        <v>4</v>
      </c>
      <c r="BK102">
        <v>7756.7999999999993</v>
      </c>
      <c r="BL102">
        <v>5</v>
      </c>
      <c r="BM102">
        <v>9696</v>
      </c>
      <c r="BN102">
        <v>6.0077785275542972</v>
      </c>
      <c r="BO102">
        <v>11650.284120633292</v>
      </c>
      <c r="BP102">
        <v>6.0725567872344293</v>
      </c>
      <c r="BQ102">
        <v>11775.902121805004</v>
      </c>
      <c r="BR102">
        <v>4</v>
      </c>
      <c r="BS102">
        <v>7756.7999999999993</v>
      </c>
      <c r="BT102">
        <v>3.6537765748801565</v>
      </c>
      <c r="BU102">
        <v>7085.4035340075989</v>
      </c>
      <c r="BV102">
        <v>5</v>
      </c>
      <c r="BW102">
        <v>9696</v>
      </c>
      <c r="BX102">
        <v>4.5775515583859265</v>
      </c>
      <c r="BY102">
        <v>8876.7879820219878</v>
      </c>
      <c r="BZ102">
        <v>7</v>
      </c>
      <c r="CA102">
        <v>13574.399999999998</v>
      </c>
      <c r="CB102">
        <v>5.1698422904225287</v>
      </c>
      <c r="CC102">
        <v>10025.358169587367</v>
      </c>
      <c r="CD102">
        <v>6</v>
      </c>
      <c r="CE102">
        <v>11635.199999999999</v>
      </c>
      <c r="CF102">
        <v>7</v>
      </c>
      <c r="CG102">
        <v>13574.399999999998</v>
      </c>
      <c r="CH102">
        <v>6.0152546734852672</v>
      </c>
      <c r="CI102">
        <v>11664.781862822629</v>
      </c>
      <c r="CJ102">
        <v>4.0620980694826621</v>
      </c>
      <c r="CK102">
        <v>7877.2205763407774</v>
      </c>
      <c r="CL102">
        <v>2.7175503692484644</v>
      </c>
      <c r="CM102">
        <v>5269.8736760466218</v>
      </c>
      <c r="CN102">
        <v>4.0070655426034802</v>
      </c>
      <c r="CO102">
        <v>7770.5015002166683</v>
      </c>
      <c r="CP102">
        <v>5.311765561714247</v>
      </c>
      <c r="CQ102">
        <v>10300.575777276266</v>
      </c>
      <c r="CR102">
        <v>3.5320248037519488</v>
      </c>
      <c r="CS102">
        <v>6849.3024994357784</v>
      </c>
      <c r="CT102">
        <v>7</v>
      </c>
      <c r="CU102">
        <v>13574.399999999998</v>
      </c>
    </row>
    <row r="103" spans="2:99" x14ac:dyDescent="0.2">
      <c r="C103" s="105" t="s">
        <v>269</v>
      </c>
      <c r="D103">
        <v>7</v>
      </c>
      <c r="E103">
        <v>14196</v>
      </c>
      <c r="F103">
        <v>6</v>
      </c>
      <c r="G103">
        <v>12168</v>
      </c>
      <c r="H103">
        <v>6</v>
      </c>
      <c r="I103">
        <v>12168</v>
      </c>
      <c r="J103">
        <v>6</v>
      </c>
      <c r="K103">
        <v>12168</v>
      </c>
      <c r="L103">
        <v>7</v>
      </c>
      <c r="M103">
        <v>14196</v>
      </c>
      <c r="N103">
        <v>7</v>
      </c>
      <c r="O103">
        <v>14196</v>
      </c>
      <c r="P103">
        <v>5</v>
      </c>
      <c r="Q103">
        <v>10140</v>
      </c>
      <c r="R103">
        <v>8</v>
      </c>
      <c r="S103">
        <v>16224</v>
      </c>
      <c r="T103">
        <v>6</v>
      </c>
      <c r="U103">
        <v>12168</v>
      </c>
      <c r="V103">
        <v>6</v>
      </c>
      <c r="W103">
        <v>12168</v>
      </c>
      <c r="X103">
        <v>5</v>
      </c>
      <c r="Y103">
        <v>10140</v>
      </c>
      <c r="Z103">
        <v>7</v>
      </c>
      <c r="AA103">
        <v>14196</v>
      </c>
      <c r="AB103">
        <v>7</v>
      </c>
      <c r="AC103">
        <v>14196</v>
      </c>
      <c r="AD103">
        <v>6</v>
      </c>
      <c r="AE103">
        <v>12168</v>
      </c>
      <c r="AF103">
        <v>4</v>
      </c>
      <c r="AG103">
        <v>8112</v>
      </c>
      <c r="AH103">
        <v>4.0416839151772006</v>
      </c>
      <c r="AI103">
        <v>8196.5349799793621</v>
      </c>
      <c r="AJ103">
        <v>4</v>
      </c>
      <c r="AK103">
        <v>8112</v>
      </c>
      <c r="AL103">
        <v>2.8322160684293558</v>
      </c>
      <c r="AM103">
        <v>5743.7341867747336</v>
      </c>
      <c r="AN103">
        <v>7</v>
      </c>
      <c r="AO103">
        <v>14196</v>
      </c>
      <c r="AP103">
        <v>6.29669562460239</v>
      </c>
      <c r="AQ103">
        <v>12769.698726693647</v>
      </c>
      <c r="AR103">
        <v>4.4319497261927765</v>
      </c>
      <c r="AS103">
        <v>8987.994044718951</v>
      </c>
      <c r="AT103">
        <v>5</v>
      </c>
      <c r="AU103">
        <v>10140</v>
      </c>
      <c r="AV103">
        <v>2.9077657221650401</v>
      </c>
      <c r="AW103">
        <v>5896.9488845507012</v>
      </c>
      <c r="AX103">
        <v>7</v>
      </c>
      <c r="AY103">
        <v>14196</v>
      </c>
      <c r="AZ103">
        <v>7</v>
      </c>
      <c r="BA103">
        <v>14196</v>
      </c>
      <c r="BB103">
        <v>6</v>
      </c>
      <c r="BC103">
        <v>12168</v>
      </c>
      <c r="BD103">
        <v>7</v>
      </c>
      <c r="BE103">
        <v>14196</v>
      </c>
      <c r="BF103">
        <v>4</v>
      </c>
      <c r="BG103">
        <v>8112</v>
      </c>
      <c r="BH103">
        <v>6</v>
      </c>
      <c r="BI103">
        <v>12168</v>
      </c>
      <c r="BJ103">
        <v>4</v>
      </c>
      <c r="BK103">
        <v>8112</v>
      </c>
      <c r="BL103">
        <v>5</v>
      </c>
      <c r="BM103">
        <v>10140</v>
      </c>
      <c r="BN103">
        <v>6.0077785275542972</v>
      </c>
      <c r="BO103">
        <v>12183.774853880115</v>
      </c>
      <c r="BP103">
        <v>6.0725567872344293</v>
      </c>
      <c r="BQ103">
        <v>12315.145164511423</v>
      </c>
      <c r="BR103">
        <v>4</v>
      </c>
      <c r="BS103">
        <v>8112</v>
      </c>
      <c r="BT103">
        <v>3.6537765748801565</v>
      </c>
      <c r="BU103">
        <v>7409.8588938569574</v>
      </c>
      <c r="BV103">
        <v>6</v>
      </c>
      <c r="BW103">
        <v>12168</v>
      </c>
      <c r="BX103">
        <v>5.231487495298202</v>
      </c>
      <c r="BY103">
        <v>10609.456640464754</v>
      </c>
      <c r="BZ103">
        <v>6</v>
      </c>
      <c r="CA103">
        <v>12168</v>
      </c>
      <c r="CB103">
        <v>4.5236120041197125</v>
      </c>
      <c r="CC103">
        <v>9173.8851443547774</v>
      </c>
      <c r="CD103">
        <v>6</v>
      </c>
      <c r="CE103">
        <v>12168</v>
      </c>
      <c r="CF103">
        <v>6</v>
      </c>
      <c r="CG103">
        <v>12168</v>
      </c>
      <c r="CH103">
        <v>6.0152546734852672</v>
      </c>
      <c r="CI103">
        <v>12198.936477828121</v>
      </c>
      <c r="CJ103">
        <v>4.8745176833791932</v>
      </c>
      <c r="CK103">
        <v>9885.521861893003</v>
      </c>
      <c r="CL103">
        <v>2.7175503692484644</v>
      </c>
      <c r="CM103">
        <v>5511.1921488358857</v>
      </c>
      <c r="CN103">
        <v>4.0070655426034802</v>
      </c>
      <c r="CO103">
        <v>8126.3289203998584</v>
      </c>
      <c r="CP103">
        <v>5.311765561714247</v>
      </c>
      <c r="CQ103">
        <v>10772.260559156493</v>
      </c>
      <c r="CR103">
        <v>3.5320248037519488</v>
      </c>
      <c r="CS103">
        <v>7162.9463020089524</v>
      </c>
      <c r="CT103">
        <v>7</v>
      </c>
      <c r="CU103">
        <v>14196</v>
      </c>
    </row>
    <row r="104" spans="2:99" x14ac:dyDescent="0.2">
      <c r="C104" s="105" t="s">
        <v>270</v>
      </c>
      <c r="D104">
        <v>8</v>
      </c>
      <c r="E104">
        <v>16579.2</v>
      </c>
      <c r="F104">
        <v>6</v>
      </c>
      <c r="G104">
        <v>12434.400000000001</v>
      </c>
      <c r="H104">
        <v>6</v>
      </c>
      <c r="I104">
        <v>12434.400000000001</v>
      </c>
      <c r="J104">
        <v>6</v>
      </c>
      <c r="K104">
        <v>12434.400000000001</v>
      </c>
      <c r="L104">
        <v>7</v>
      </c>
      <c r="M104">
        <v>14506.800000000001</v>
      </c>
      <c r="N104">
        <v>6</v>
      </c>
      <c r="O104">
        <v>12434.400000000001</v>
      </c>
      <c r="P104">
        <v>5</v>
      </c>
      <c r="Q104">
        <v>10362</v>
      </c>
      <c r="R104">
        <v>7</v>
      </c>
      <c r="S104">
        <v>14506.800000000001</v>
      </c>
      <c r="T104">
        <v>6</v>
      </c>
      <c r="U104">
        <v>12434.400000000001</v>
      </c>
      <c r="V104">
        <v>6</v>
      </c>
      <c r="W104">
        <v>12434.400000000001</v>
      </c>
      <c r="X104">
        <v>5</v>
      </c>
      <c r="Y104">
        <v>10362</v>
      </c>
      <c r="Z104">
        <v>8</v>
      </c>
      <c r="AA104">
        <v>16579.2</v>
      </c>
      <c r="AB104">
        <v>6</v>
      </c>
      <c r="AC104">
        <v>12434.400000000001</v>
      </c>
      <c r="AD104">
        <v>6</v>
      </c>
      <c r="AE104">
        <v>12434.400000000001</v>
      </c>
      <c r="AF104">
        <v>4</v>
      </c>
      <c r="AG104">
        <v>8289.6</v>
      </c>
      <c r="AH104">
        <v>3.3680699293143346</v>
      </c>
      <c r="AI104">
        <v>6979.9881215110272</v>
      </c>
      <c r="AJ104">
        <v>4</v>
      </c>
      <c r="AK104">
        <v>8289.6</v>
      </c>
      <c r="AL104">
        <v>2.8322160684293558</v>
      </c>
      <c r="AM104">
        <v>5869.4845802129976</v>
      </c>
      <c r="AN104">
        <v>7</v>
      </c>
      <c r="AO104">
        <v>14506.800000000001</v>
      </c>
      <c r="AP104">
        <v>6.29669562460239</v>
      </c>
      <c r="AQ104">
        <v>13049.272012425994</v>
      </c>
      <c r="AR104">
        <v>4.4319497261927765</v>
      </c>
      <c r="AS104">
        <v>9184.7726125619101</v>
      </c>
      <c r="AT104">
        <v>5</v>
      </c>
      <c r="AU104">
        <v>10362</v>
      </c>
      <c r="AV104">
        <v>2.9077657221650401</v>
      </c>
      <c r="AW104">
        <v>6026.0536826148291</v>
      </c>
      <c r="AX104">
        <v>7</v>
      </c>
      <c r="AY104">
        <v>14506.800000000001</v>
      </c>
      <c r="AZ104">
        <v>7</v>
      </c>
      <c r="BA104">
        <v>14506.800000000001</v>
      </c>
      <c r="BB104">
        <v>6</v>
      </c>
      <c r="BC104">
        <v>12434.400000000001</v>
      </c>
      <c r="BD104">
        <v>6</v>
      </c>
      <c r="BE104">
        <v>12434.400000000001</v>
      </c>
      <c r="BF104">
        <v>4</v>
      </c>
      <c r="BG104">
        <v>8289.6</v>
      </c>
      <c r="BH104">
        <v>6</v>
      </c>
      <c r="BI104">
        <v>12434.400000000001</v>
      </c>
      <c r="BJ104">
        <v>4</v>
      </c>
      <c r="BK104">
        <v>8289.6</v>
      </c>
      <c r="BL104">
        <v>5</v>
      </c>
      <c r="BM104">
        <v>10362</v>
      </c>
      <c r="BN104">
        <v>5.2568062116100087</v>
      </c>
      <c r="BO104">
        <v>10894.205192940582</v>
      </c>
      <c r="BP104">
        <v>6.0725567872344293</v>
      </c>
      <c r="BQ104">
        <v>12584.766685864632</v>
      </c>
      <c r="BR104">
        <v>4</v>
      </c>
      <c r="BS104">
        <v>8289.6</v>
      </c>
      <c r="BT104">
        <v>4.3845318898561878</v>
      </c>
      <c r="BU104">
        <v>9086.5038885379636</v>
      </c>
      <c r="BV104">
        <v>5</v>
      </c>
      <c r="BW104">
        <v>10362</v>
      </c>
      <c r="BX104">
        <v>4.5775515583859265</v>
      </c>
      <c r="BY104">
        <v>9486.5178495989949</v>
      </c>
      <c r="BZ104">
        <v>7</v>
      </c>
      <c r="CA104">
        <v>14506.800000000001</v>
      </c>
      <c r="CB104">
        <v>4.5236120041197125</v>
      </c>
      <c r="CC104">
        <v>9374.7335173376923</v>
      </c>
      <c r="CD104">
        <v>6</v>
      </c>
      <c r="CE104">
        <v>12434.400000000001</v>
      </c>
      <c r="CF104">
        <v>6</v>
      </c>
      <c r="CG104">
        <v>12434.400000000001</v>
      </c>
      <c r="CH104">
        <v>6.0152546734852672</v>
      </c>
      <c r="CI104">
        <v>12466.013785330868</v>
      </c>
      <c r="CJ104">
        <v>4.0620980694826621</v>
      </c>
      <c r="CK104">
        <v>8418.2920391958687</v>
      </c>
      <c r="CL104">
        <v>3.2610604430981578</v>
      </c>
      <c r="CM104">
        <v>6758.2216622766227</v>
      </c>
      <c r="CN104">
        <v>3.2056524340827846</v>
      </c>
      <c r="CO104">
        <v>6643.3941043931627</v>
      </c>
      <c r="CP104">
        <v>6.0705892133877102</v>
      </c>
      <c r="CQ104">
        <v>12580.689085824692</v>
      </c>
      <c r="CR104">
        <v>2.8256198430015589</v>
      </c>
      <c r="CS104">
        <v>5855.8145626364312</v>
      </c>
      <c r="CT104">
        <v>7</v>
      </c>
      <c r="CU104">
        <v>14506.800000000001</v>
      </c>
    </row>
    <row r="105" spans="2:99" x14ac:dyDescent="0.2">
      <c r="C105" s="105" t="s">
        <v>271</v>
      </c>
      <c r="D105">
        <v>7</v>
      </c>
      <c r="E105">
        <v>13986</v>
      </c>
      <c r="F105">
        <v>6</v>
      </c>
      <c r="G105">
        <v>11988</v>
      </c>
      <c r="H105">
        <v>6</v>
      </c>
      <c r="I105">
        <v>11988</v>
      </c>
      <c r="J105">
        <v>6</v>
      </c>
      <c r="K105">
        <v>11988</v>
      </c>
      <c r="L105">
        <v>6</v>
      </c>
      <c r="M105">
        <v>11988</v>
      </c>
      <c r="N105">
        <v>6</v>
      </c>
      <c r="O105">
        <v>11988</v>
      </c>
      <c r="P105">
        <v>5</v>
      </c>
      <c r="Q105">
        <v>9990</v>
      </c>
      <c r="R105">
        <v>7</v>
      </c>
      <c r="S105">
        <v>13986</v>
      </c>
      <c r="T105">
        <v>6</v>
      </c>
      <c r="U105">
        <v>11988</v>
      </c>
      <c r="V105">
        <v>5</v>
      </c>
      <c r="W105">
        <v>9990</v>
      </c>
      <c r="X105">
        <v>5</v>
      </c>
      <c r="Y105">
        <v>9990</v>
      </c>
      <c r="Z105">
        <v>8</v>
      </c>
      <c r="AA105">
        <v>15984</v>
      </c>
      <c r="AB105">
        <v>6</v>
      </c>
      <c r="AC105">
        <v>11988</v>
      </c>
      <c r="AD105">
        <v>6</v>
      </c>
      <c r="AE105">
        <v>11988</v>
      </c>
      <c r="AF105">
        <v>4</v>
      </c>
      <c r="AG105">
        <v>7992</v>
      </c>
      <c r="AH105">
        <v>4.0416839151772006</v>
      </c>
      <c r="AI105">
        <v>8075.2844625240468</v>
      </c>
      <c r="AJ105">
        <v>4</v>
      </c>
      <c r="AK105">
        <v>7992</v>
      </c>
      <c r="AL105">
        <v>2.8322160684293558</v>
      </c>
      <c r="AM105">
        <v>5658.7677047218531</v>
      </c>
      <c r="AN105">
        <v>7</v>
      </c>
      <c r="AO105">
        <v>13986</v>
      </c>
      <c r="AP105">
        <v>6.29669562460239</v>
      </c>
      <c r="AQ105">
        <v>12580.797857955575</v>
      </c>
      <c r="AR105">
        <v>4.4319497261927765</v>
      </c>
      <c r="AS105">
        <v>8855.0355529331682</v>
      </c>
      <c r="AT105">
        <v>5</v>
      </c>
      <c r="AU105">
        <v>9990</v>
      </c>
      <c r="AV105">
        <v>2.9077657221650401</v>
      </c>
      <c r="AW105">
        <v>5809.7159128857502</v>
      </c>
      <c r="AX105">
        <v>7</v>
      </c>
      <c r="AY105">
        <v>13986</v>
      </c>
      <c r="AZ105">
        <v>8</v>
      </c>
      <c r="BA105">
        <v>15984</v>
      </c>
      <c r="BB105">
        <v>6</v>
      </c>
      <c r="BC105">
        <v>11988</v>
      </c>
      <c r="BD105">
        <v>7</v>
      </c>
      <c r="BE105">
        <v>13986</v>
      </c>
      <c r="BF105">
        <v>4</v>
      </c>
      <c r="BG105">
        <v>7992</v>
      </c>
      <c r="BH105">
        <v>6</v>
      </c>
      <c r="BI105">
        <v>11988</v>
      </c>
      <c r="BJ105">
        <v>4</v>
      </c>
      <c r="BK105">
        <v>7992</v>
      </c>
      <c r="BL105">
        <v>4</v>
      </c>
      <c r="BM105">
        <v>7992</v>
      </c>
      <c r="BN105">
        <v>6.0077785275542972</v>
      </c>
      <c r="BO105">
        <v>12003.541498053486</v>
      </c>
      <c r="BP105">
        <v>6.0725567872344293</v>
      </c>
      <c r="BQ105">
        <v>12132.96846089439</v>
      </c>
      <c r="BR105">
        <v>5</v>
      </c>
      <c r="BS105">
        <v>9990</v>
      </c>
      <c r="BT105">
        <v>3.6537765748801565</v>
      </c>
      <c r="BU105">
        <v>7300.2455966105526</v>
      </c>
      <c r="BV105">
        <v>6</v>
      </c>
      <c r="BW105">
        <v>11988</v>
      </c>
      <c r="BX105">
        <v>4.5775515583859265</v>
      </c>
      <c r="BY105">
        <v>9145.948013655081</v>
      </c>
      <c r="BZ105">
        <v>6</v>
      </c>
      <c r="CA105">
        <v>11988</v>
      </c>
      <c r="CB105">
        <v>5.1698422904225287</v>
      </c>
      <c r="CC105">
        <v>10329.344896264212</v>
      </c>
      <c r="CD105">
        <v>6</v>
      </c>
      <c r="CE105">
        <v>11988</v>
      </c>
      <c r="CF105">
        <v>7</v>
      </c>
      <c r="CG105">
        <v>13986</v>
      </c>
      <c r="CH105">
        <v>6.0152546734852672</v>
      </c>
      <c r="CI105">
        <v>12018.478837623565</v>
      </c>
      <c r="CJ105">
        <v>4.8745176833791932</v>
      </c>
      <c r="CK105">
        <v>9739.2863313916278</v>
      </c>
      <c r="CL105">
        <v>2.7175503692484644</v>
      </c>
      <c r="CM105">
        <v>5429.6656377584322</v>
      </c>
      <c r="CN105">
        <v>4.0070655426034802</v>
      </c>
      <c r="CO105">
        <v>8006.1169541217532</v>
      </c>
      <c r="CP105">
        <v>5.311765561714247</v>
      </c>
      <c r="CQ105">
        <v>10612.907592305066</v>
      </c>
      <c r="CR105">
        <v>3.5320248037519488</v>
      </c>
      <c r="CS105">
        <v>7056.9855578963934</v>
      </c>
      <c r="CT105">
        <v>7</v>
      </c>
      <c r="CU105">
        <v>13986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225</v>
      </c>
      <c r="E109">
        <f>SUM(L$6:L$19)+SUM(N$6:N$19)+SUM(P$6:P$19)+SUM(R$6:R$19)</f>
        <v>217</v>
      </c>
      <c r="F109">
        <f>SUM(T$6:T$19)+SUM(V$6:V$19)+SUM(X$6:X$19)+SUM(Z$6:Z$19)</f>
        <v>174</v>
      </c>
      <c r="G109">
        <f>SUM(AB$6:AB$19)+SUM(AD$6:AD$19)+SUM(AF$6:AF$19)+SUM(AH$6:AH$19)</f>
        <v>285</v>
      </c>
      <c r="H109">
        <f>SUM(AJ$6:AJ$19)+SUM(AL$6:AL$19)+SUM(AN$6:AN$19)+SUM(AP$6:AP$19)</f>
        <v>242</v>
      </c>
      <c r="I109">
        <f>SUM(AR$6:AR$19)+SUM(AT$6:AT$19)+SUM(AV$6:AV$19)+SUM(AX$6:AX$19)</f>
        <v>234</v>
      </c>
      <c r="J109">
        <f>SUM(AZ$6:AZ$19)+SUM(BB$6:BB$19)+SUM(BD$6:BD$19)+SUM(BF$6:BF$19)</f>
        <v>198</v>
      </c>
      <c r="K109">
        <f>SUM(BH$6:BH$19)+SUM(BJ$6:BJ$19)+SUM(BL$6:BL$19)+SUM(BN$6:BN$19)</f>
        <v>238</v>
      </c>
      <c r="L109">
        <f>SUM(BP$6:BP$19)+SUM(BR$6:BR$19)+SUM(BT$6:BT$19)+SUM(BV$6:BV$19)</f>
        <v>259</v>
      </c>
      <c r="M109">
        <f>SUM(BX$6:BX$19)+SUM(BZ$6:BZ$19)+SUM(CB$6:CB$19)+SUM(CD$6:CD$19)</f>
        <v>233</v>
      </c>
      <c r="N109">
        <f>SUM(CF$6:CF$19)+SUM(CH$6:CH$19)+SUM(CJ$6:CJ$19)+SUM(CL$6:CL$19)</f>
        <v>225</v>
      </c>
      <c r="O109">
        <f>SUM(CN$6:CN$19)+SUM(CP$6:CP$19)+SUM(CR$6:CR$19)+SUM(CT$6:CT$19)</f>
        <v>275</v>
      </c>
    </row>
    <row r="110" spans="2:99" x14ac:dyDescent="0.2">
      <c r="C110" s="105" t="s">
        <v>127</v>
      </c>
      <c r="D110">
        <f>SUM(D$20:D$36)+SUM(F$20:F$36)+SUM(H$20:H$36)+SUM(J$20:J$36)</f>
        <v>697</v>
      </c>
      <c r="E110">
        <f>SUM(L$20:L$36)+SUM(N$20:N$36)+SUM(P$20:P$36)+SUM(R$20:R$36)</f>
        <v>543</v>
      </c>
      <c r="F110">
        <f>SUM(T$20:T$36)+SUM(V$20:V$36)+SUM(X$20:X$36)+SUM(Z$20:Z$36)</f>
        <v>538</v>
      </c>
      <c r="G110">
        <f>SUM(AB$20:AB$36)+SUM(AD$20:AD$36)+SUM(AF$20:AF$36)+SUM(AH$20:AH$36)</f>
        <v>569</v>
      </c>
      <c r="H110">
        <f>SUM(AJ$20:AJ$36)+SUM(AL$20:AL$36)+SUM(AN$20:AN$36)+SUM(AP$20:AP$36)</f>
        <v>690</v>
      </c>
      <c r="I110">
        <f>SUM(AR$20:AR$36)+SUM(AT$20:AT$36)+SUM(AV$20:AV$36)+SUM(AX$20:AX$36)</f>
        <v>693</v>
      </c>
      <c r="J110">
        <f>SUM(AZ$20:AZ$36)+SUM(BB$20:BB$36)+SUM(BD$20:BD$36)+SUM(BF$20:BF$36)</f>
        <v>697</v>
      </c>
      <c r="K110">
        <f>SUM(BH$20:BH$36)+SUM(BJ$20:BJ$36)+SUM(BL$20:BL$36)+SUM(BN$20:BN$36)</f>
        <v>747</v>
      </c>
      <c r="L110">
        <f>SUM(BP$20:BP$36)+SUM(BR$20:BR$36)+SUM(BT$20:BT$36)+SUM(BV$20:BV$36)</f>
        <v>675</v>
      </c>
      <c r="M110">
        <f>SUM(BX$20:BX$36)+SUM(BZ$20:BZ$36)+SUM(CB$20:CB$36)+SUM(CD$20:CD$36)</f>
        <v>689</v>
      </c>
      <c r="N110">
        <f>SUM(CF$20:CF$36)+SUM(CH$20:CH$36)+SUM(CJ$20:CJ$36)+SUM(CL$20:CL$36)</f>
        <v>607</v>
      </c>
      <c r="O110">
        <f>SUM(CN$20:CN$36)+SUM(CP$20:CP$36)+SUM(CR$20:CR$36)+SUM(CT$20:CT$36)</f>
        <v>791</v>
      </c>
    </row>
    <row r="111" spans="2:99" x14ac:dyDescent="0.2">
      <c r="C111" s="105" t="s">
        <v>128</v>
      </c>
      <c r="D111">
        <f>SUM(D$37:D$48)+SUM(F$37:F$48)+SUM(H$37:H$48)+SUM(J$37:J$48)</f>
        <v>476</v>
      </c>
      <c r="E111">
        <f>SUM(L$37:L$48)+SUM(N$37:N$48)+SUM(P$37:P$48)+SUM(R$37:R$48)</f>
        <v>444</v>
      </c>
      <c r="F111">
        <f>SUM(T$37:T$48)+SUM(V$37:V$48)+SUM(X$37:X$48)+SUM(Z$37:Z$48)</f>
        <v>432</v>
      </c>
      <c r="G111">
        <f>SUM(AB$37:AB$48)+SUM(AD$37:AD$48)+SUM(AF$37:AF$48)+SUM(AH$37:AH$48)</f>
        <v>421</v>
      </c>
      <c r="H111">
        <f>SUM(AJ$37:AJ$48)+SUM(AL$37:AL$48)+SUM(AN$37:AN$48)+SUM(AP$37:AP$48)</f>
        <v>453</v>
      </c>
      <c r="I111">
        <f>SUM(AR$37:AR$48)+SUM(AT$37:AT$48)+SUM(AV$37:AV$48)+SUM(AX$37:AX$48)</f>
        <v>407</v>
      </c>
      <c r="J111">
        <f>SUM(AZ$37:AZ$48)+SUM(BB$37:BB$48)+SUM(BD$37:BD$48)+SUM(BF$37:BF$48)</f>
        <v>448</v>
      </c>
      <c r="K111">
        <f>SUM(BH$37:BH$48)+SUM(BJ$37:BJ$48)+SUM(BL$37:BL$48)+SUM(BN$37:BN$48)</f>
        <v>446</v>
      </c>
      <c r="L111">
        <f>SUM(BP$37:BP$48)+SUM(BR$37:BR$48)+SUM(BT$37:BT$48)+SUM(BV$37:BV$48)</f>
        <v>555</v>
      </c>
      <c r="M111">
        <f>SUM(BX$37:BX$48)+SUM(BZ$37:BZ$48)+SUM(CB$37:CB$48)+SUM(CD$37:CD$48)</f>
        <v>440</v>
      </c>
      <c r="N111">
        <f>SUM(CF$37:CF$48)+SUM(CH$37:CH$48)+SUM(CJ$37:CJ$48)+SUM(CL$37:CL$48)</f>
        <v>472</v>
      </c>
      <c r="O111">
        <f>SUM(CN$37:CN$48)+SUM(CP$37:CP$48)+SUM(CR$37:CR$48)+SUM(CT$37:CT$48)</f>
        <v>456</v>
      </c>
    </row>
    <row r="112" spans="2:99" x14ac:dyDescent="0.2">
      <c r="C112" s="105" t="s">
        <v>129</v>
      </c>
      <c r="D112">
        <f>SUM(D$49:D$70)+SUM(F$49:F$70)+SUM(H$49:H$70)+SUM(J$49:J$70)</f>
        <v>874</v>
      </c>
      <c r="E112">
        <f>SUM(L$49:L$70)+SUM(N$49:N$70)+SUM(P$49:P$70)+SUM(R$49:R$70)</f>
        <v>724</v>
      </c>
      <c r="F112">
        <f>SUM(T$49:T$70)+SUM(V$49:V$70)+SUM(X$49:X$70)+SUM(Z$49:Z$70)</f>
        <v>755</v>
      </c>
      <c r="G112">
        <f>SUM(AB$49:AB$70)+SUM(AD$49:AD$70)+SUM(AF$49:AF$70)+SUM(AH$49:AH$70)</f>
        <v>669.51396363243452</v>
      </c>
      <c r="H112">
        <f>SUM(AJ$49:AJ$70)+SUM(AL$49:AL$70)+SUM(AN$49:AN$70)+SUM(AP$49:AP$70)</f>
        <v>665.37535117834295</v>
      </c>
      <c r="I112">
        <f>SUM(AR$49:AR$70)+SUM(AT$49:AT$70)+SUM(AV$49:AV$70)+SUM(AX$49:AX$70)</f>
        <v>714.61655924168622</v>
      </c>
      <c r="J112">
        <f>SUM(AZ$49:AZ$70)+SUM(BB$49:BB$70)+SUM(BD$49:BD$70)+SUM(BF$49:BF$70)</f>
        <v>830</v>
      </c>
      <c r="K112">
        <f>SUM(BH$49:BH$70)+SUM(BJ$49:BJ$70)+SUM(BL$49:BL$70)+SUM(BN$49:BN$70)</f>
        <v>760.28014179427294</v>
      </c>
      <c r="L112">
        <f>SUM(BP$49:BP$70)+SUM(BR$49:BR$70)+SUM(BT$49:BT$70)+SUM(BV$49:BV$70)</f>
        <v>691.40754442488901</v>
      </c>
      <c r="M112">
        <f>SUM(BX$49:BX$70)+SUM(BZ$49:BZ$70)+SUM(CB$49:CB$70)+SUM(CD$49:CD$70)</f>
        <v>706.94972097381969</v>
      </c>
      <c r="N112">
        <f>SUM(CF$49:CF$70)+SUM(CH$49:CH$70)+SUM(CJ$49:CJ$70)+SUM(CL$49:CL$70)</f>
        <v>706.97286006461968</v>
      </c>
      <c r="O112">
        <f>SUM(CN$49:CN$70)+SUM(CP$49:CP$70)+SUM(CR$49:CR$70)+SUM(CT$49:CT$70)</f>
        <v>816.1638025512591</v>
      </c>
    </row>
    <row r="113" spans="2:15" x14ac:dyDescent="0.2">
      <c r="C113" s="105" t="s">
        <v>130</v>
      </c>
      <c r="D113">
        <f>SUM(D$71:D$86)+SUM(F$71:F$86)+SUM(H$71:H$86)+SUM(J$71:J$86)</f>
        <v>569</v>
      </c>
      <c r="E113">
        <f>SUM(L$71:L$86)+SUM(N$71:N$86)+SUM(P$71:P$86)+SUM(R$71:R$86)</f>
        <v>472</v>
      </c>
      <c r="F113">
        <f>SUM(T$71:T$86)+SUM(V$71:V$86)+SUM(X$71:X$86)+SUM(Z$71:Z$86)</f>
        <v>447</v>
      </c>
      <c r="G113">
        <f>SUM(AB$71:AB$86)+SUM(AD$71:AD$86)+SUM(AF$71:AF$86)+SUM(AH$71:AH$86)</f>
        <v>500.75739578047012</v>
      </c>
      <c r="H113">
        <f>SUM(AJ$71:AJ$86)+SUM(AL$71:AL$86)+SUM(AN$71:AN$86)+SUM(AP$71:AP$86)</f>
        <v>432.72509438307992</v>
      </c>
      <c r="I113">
        <f>SUM(AR$71:AR$86)+SUM(AT$71:AT$86)+SUM(AV$71:AV$86)+SUM(AX$71:AX$86)</f>
        <v>411.07415391933552</v>
      </c>
      <c r="J113">
        <f>SUM(AZ$71:AZ$86)+SUM(BB$71:BB$86)+SUM(BD$71:BD$86)+SUM(BF$71:BF$86)</f>
        <v>447</v>
      </c>
      <c r="K113">
        <f>SUM(BH$71:BH$86)+SUM(BJ$71:BJ$86)+SUM(BL$71:BL$86)+SUM(BN$71:BN$86)</f>
        <v>516.63417960031165</v>
      </c>
      <c r="L113">
        <f>SUM(BP$71:BP$86)+SUM(BR$71:BR$86)+SUM(BT$71:BT$86)+SUM(BV$71:BV$86)</f>
        <v>357.84055811026894</v>
      </c>
      <c r="M113">
        <f>SUM(BX$71:BX$86)+SUM(BZ$71:BZ$86)+SUM(CB$71:CB$86)+SUM(CD$71:CD$86)</f>
        <v>446.80919335196853</v>
      </c>
      <c r="N113">
        <f>SUM(CF$71:CF$86)+SUM(CH$71:CH$86)+SUM(CJ$71:CJ$86)+SUM(CL$71:CL$86)</f>
        <v>516.4213790290072</v>
      </c>
      <c r="O113">
        <f>SUM(CN$71:CN$86)+SUM(CP$71:CP$86)+SUM(CR$71:CR$86)+SUM(CT$71:CT$86)</f>
        <v>436.29940145608418</v>
      </c>
    </row>
    <row r="114" spans="2:15" x14ac:dyDescent="0.2">
      <c r="C114" s="105" t="s">
        <v>131</v>
      </c>
      <c r="D114">
        <f>SUM(D$87:D$94)+SUM(F$87:F$94)+SUM(H$87:H$94)+SUM(J$87:J$94)</f>
        <v>226</v>
      </c>
      <c r="E114">
        <f>SUM(L$87:L$94)+SUM(N$87:N$94)+SUM(P$87:P$94)+SUM(R$87:R$94)</f>
        <v>168</v>
      </c>
      <c r="F114">
        <f>SUM(T$87:T$94)+SUM(V$87:V$94)+SUM(X$87:X$94)+SUM(Z$87:Z$94)</f>
        <v>235</v>
      </c>
      <c r="G114">
        <f>SUM(AB$87:AB$94)+SUM(AD$87:AD$94)+SUM(AF$87:AF$94)+SUM(AH$87:AH$94)</f>
        <v>235.02792726486908</v>
      </c>
      <c r="H114">
        <f>SUM(AJ$87:AJ$94)+SUM(AL$87:AL$94)+SUM(AN$87:AN$94)+SUM(AP$87:AP$94)</f>
        <v>216.52226991164292</v>
      </c>
      <c r="I114">
        <f>SUM(AR$87:AR$94)+SUM(AT$87:AT$94)+SUM(AV$87:AV$94)+SUM(AX$87:AX$94)</f>
        <v>196.30934853480846</v>
      </c>
      <c r="J114">
        <f>SUM(AZ$87:AZ$94)+SUM(BB$87:BB$94)+SUM(BD$87:BD$94)+SUM(BF$87:BF$94)</f>
        <v>256</v>
      </c>
      <c r="K114">
        <f>SUM(BH$87:BH$94)+SUM(BJ$87:BJ$94)+SUM(BL$87:BL$94)+SUM(BN$87:BN$94)</f>
        <v>255.81320053637864</v>
      </c>
      <c r="L114">
        <f>SUM(BP$87:BP$94)+SUM(BR$87:BR$94)+SUM(BT$87:BT$94)+SUM(BV$87:BV$94)</f>
        <v>224.04239158216632</v>
      </c>
      <c r="M114">
        <f>SUM(BX$87:BX$94)+SUM(BZ$87:BZ$94)+SUM(CB$87:CB$94)+SUM(CD$87:CD$94)</f>
        <v>175.07061040642878</v>
      </c>
      <c r="N114">
        <f>SUM(CF$87:CF$94)+SUM(CH$87:CH$94)+SUM(CJ$87:CJ$94)+SUM(CL$87:CL$94)</f>
        <v>208.16268647621609</v>
      </c>
      <c r="O114">
        <f>SUM(CN$87:CN$94)+SUM(CP$87:CP$94)+SUM(CR$87:CR$94)+SUM(CT$87:CT$94)</f>
        <v>176.08011302065381</v>
      </c>
    </row>
    <row r="115" spans="2:15" x14ac:dyDescent="0.2">
      <c r="C115" s="105" t="s">
        <v>132</v>
      </c>
      <c r="D115">
        <f>SUM(D$95:D$105)+SUM(F$95:F$105)+SUM(H$95:H$105)+SUM(J$95:J$105)</f>
        <v>280</v>
      </c>
      <c r="E115">
        <f>SUM(L$95:L$105)+SUM(N$95:N$105)+SUM(P$95:P$105)+SUM(R$95:R$105)</f>
        <v>277</v>
      </c>
      <c r="F115">
        <f>SUM(T$95:T$105)+SUM(V$95:V$105)+SUM(X$95:X$105)+SUM(Z$95:Z$105)</f>
        <v>262</v>
      </c>
      <c r="G115">
        <f>SUM(AB$95:AB$105)+SUM(AD$95:AD$105)+SUM(AF$95:AF$105)+SUM(AH$95:AH$105)</f>
        <v>216.74322516590914</v>
      </c>
      <c r="H115">
        <f>SUM(AJ$95:AJ$105)+SUM(AL$95:AL$105)+SUM(AN$95:AN$105)+SUM(AP$95:AP$105)</f>
        <v>225.58864847386943</v>
      </c>
      <c r="I115">
        <f>SUM(AR$95:AR$105)+SUM(AT$95:AT$105)+SUM(AV$95:AV$105)+SUM(AX$95:AX$105)</f>
        <v>221.67978622557362</v>
      </c>
      <c r="J115">
        <f>SUM(AZ$95:AZ$105)+SUM(BB$95:BB$105)+SUM(BD$95:BD$105)+SUM(BF$95:BF$105)</f>
        <v>265</v>
      </c>
      <c r="K115">
        <f>SUM(BH$95:BH$105)+SUM(BJ$95:BJ$105)+SUM(BL$95:BL$105)+SUM(BN$95:BN$105)</f>
        <v>222.58361917120868</v>
      </c>
      <c r="L115">
        <f>SUM(BP$95:BP$105)+SUM(BR$95:BR$105)+SUM(BT$95:BT$105)+SUM(BV$95:BV$105)</f>
        <v>212.08902596771478</v>
      </c>
      <c r="M115">
        <f>SUM(BX$95:BX$105)+SUM(BZ$95:BZ$105)+SUM(CB$95:CB$105)+SUM(CD$95:CD$105)</f>
        <v>245.40525976016767</v>
      </c>
      <c r="N115">
        <f>SUM(CF$95:CF$105)+SUM(CH$95:CH$105)+SUM(CJ$95:CJ$105)+SUM(CL$95:CL$105)</f>
        <v>224.0020825465198</v>
      </c>
      <c r="O115">
        <f>SUM(CN$95:CN$105)+SUM(CP$95:CP$105)+SUM(CR$95:CR$105)+SUM(CT$95:CT$105)</f>
        <v>217.33648400007087</v>
      </c>
    </row>
    <row r="116" spans="2:15" x14ac:dyDescent="0.2">
      <c r="C116" s="105" t="s">
        <v>278</v>
      </c>
      <c r="D116">
        <f t="shared" ref="D116:O116" si="0">SUM(D$109:D$115)</f>
        <v>3347</v>
      </c>
      <c r="E116">
        <f t="shared" si="0"/>
        <v>2845</v>
      </c>
      <c r="F116">
        <f t="shared" si="0"/>
        <v>2843</v>
      </c>
      <c r="G116">
        <f t="shared" si="0"/>
        <v>2897.0425118436829</v>
      </c>
      <c r="H116">
        <f t="shared" si="0"/>
        <v>2925.2113639469353</v>
      </c>
      <c r="I116">
        <f t="shared" si="0"/>
        <v>2877.679847921404</v>
      </c>
      <c r="J116">
        <f t="shared" si="0"/>
        <v>3141</v>
      </c>
      <c r="K116">
        <f t="shared" si="0"/>
        <v>3186.3111411021719</v>
      </c>
      <c r="L116">
        <f t="shared" si="0"/>
        <v>2974.3795200850391</v>
      </c>
      <c r="M116">
        <f t="shared" si="0"/>
        <v>2936.2347844923847</v>
      </c>
      <c r="N116">
        <f t="shared" si="0"/>
        <v>2959.5590081163627</v>
      </c>
      <c r="O116">
        <f t="shared" si="0"/>
        <v>3167.879801028068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D109*pricing!D6*2000</f>
        <v>1568421.0402400326</v>
      </c>
      <c r="E120">
        <f>E109*pricing!E6*2000</f>
        <v>1512654.9588092759</v>
      </c>
      <c r="F120">
        <f>F109*pricing!F6*2000</f>
        <v>1212912.2711189585</v>
      </c>
      <c r="G120">
        <f>G109*pricing!G6*2000</f>
        <v>1986666.6509707079</v>
      </c>
      <c r="H120">
        <f>H109*pricing!H6*2000</f>
        <v>1686923.9632803905</v>
      </c>
      <c r="I120">
        <f>I109*pricing!I6*2000</f>
        <v>1631157.881849634</v>
      </c>
      <c r="J120">
        <f>J109*pricing!J6*2000</f>
        <v>1380210.5154112286</v>
      </c>
      <c r="K120">
        <f>K109*pricing!K6*2000</f>
        <v>1659040.9225650122</v>
      </c>
      <c r="L120">
        <f>L109*pricing!L6*2000</f>
        <v>1805426.8863207486</v>
      </c>
      <c r="M120">
        <f>M109*pricing!M6*2000</f>
        <v>1624187.1216707893</v>
      </c>
      <c r="N120">
        <f>N109*pricing!N6*2000</f>
        <v>1568421.0402400326</v>
      </c>
      <c r="O120">
        <f>O109*pricing!O6*2000</f>
        <v>1916959.049182262</v>
      </c>
    </row>
    <row r="121" spans="2:15" x14ac:dyDescent="0.2">
      <c r="C121" s="105" t="s">
        <v>127</v>
      </c>
      <c r="D121">
        <f>D110*pricing!D7*2000</f>
        <v>4044253.4464321183</v>
      </c>
      <c r="E121">
        <f>E110*pricing!E7*2000</f>
        <v>3150688.1225432428</v>
      </c>
      <c r="F121">
        <f>F110*pricing!F7*2000</f>
        <v>3121676.2613780191</v>
      </c>
      <c r="G121">
        <f>G110*pricing!G7*2000</f>
        <v>3301549.8006024035</v>
      </c>
      <c r="H121">
        <f>H110*pricing!H7*2000</f>
        <v>4003636.8408008055</v>
      </c>
      <c r="I121">
        <f>I110*pricing!I7*2000</f>
        <v>4021043.9574999395</v>
      </c>
      <c r="J121">
        <f>J110*pricing!J7*2000</f>
        <v>4044253.4464321183</v>
      </c>
      <c r="K121">
        <f>K110*pricing!K7*2000</f>
        <v>4334372.0580843501</v>
      </c>
      <c r="L121">
        <f>L110*pricing!L7*2000</f>
        <v>3916601.2573051364</v>
      </c>
      <c r="M121">
        <f>M110*pricing!M7*2000</f>
        <v>3997834.4685677611</v>
      </c>
      <c r="N121">
        <f>N110*pricing!N7*2000</f>
        <v>3522039.9454581002</v>
      </c>
      <c r="O121">
        <f>O110*pricing!O7*2000</f>
        <v>4589676.4363383148</v>
      </c>
    </row>
    <row r="122" spans="2:15" x14ac:dyDescent="0.2">
      <c r="C122" s="105" t="s">
        <v>128</v>
      </c>
      <c r="D122">
        <f>D111*pricing!D8*2000</f>
        <v>2533045.2587855463</v>
      </c>
      <c r="E122">
        <f>E111*pricing!E8*2000</f>
        <v>2362756.5018924004</v>
      </c>
      <c r="F122">
        <f>F111*pricing!F8*2000</f>
        <v>2298898.2180574709</v>
      </c>
      <c r="G122">
        <f>G111*pricing!G8*2000</f>
        <v>2240361.457875452</v>
      </c>
      <c r="H122">
        <f>H111*pricing!H8*2000</f>
        <v>2410650.2147685979</v>
      </c>
      <c r="I122">
        <f>I111*pricing!I8*2000</f>
        <v>2165860.1267347005</v>
      </c>
      <c r="J122">
        <f>J111*pricing!J8*2000</f>
        <v>2384042.5965040438</v>
      </c>
      <c r="K122">
        <f>K111*pricing!K8*2000</f>
        <v>2373399.5491982219</v>
      </c>
      <c r="L122">
        <f>L111*pricing!L8*2000</f>
        <v>2953445.6273655007</v>
      </c>
      <c r="M122">
        <f>M111*pricing!M8*2000</f>
        <v>2341470.4072807571</v>
      </c>
      <c r="N122">
        <f>N111*pricing!N8*2000</f>
        <v>2511759.1641739029</v>
      </c>
      <c r="O122">
        <f>O111*pricing!O8*2000</f>
        <v>2426614.78572733</v>
      </c>
    </row>
    <row r="123" spans="2:15" x14ac:dyDescent="0.2">
      <c r="C123" s="105" t="s">
        <v>129</v>
      </c>
      <c r="D123">
        <f>D112*pricing!D9*2000</f>
        <v>4586239.7271232912</v>
      </c>
      <c r="E123">
        <f>E112*pricing!E9*2000</f>
        <v>3799127.6458092253</v>
      </c>
      <c r="F123">
        <f>F112*pricing!F9*2000</f>
        <v>3961797.4759474653</v>
      </c>
      <c r="G123">
        <f>G112*pricing!G9*2000</f>
        <v>3513216.8625570363</v>
      </c>
      <c r="H123">
        <f>H112*pricing!H9*2000</f>
        <v>3491499.8501404207</v>
      </c>
      <c r="I123">
        <f>I112*pricing!I9*2000</f>
        <v>3749888.8485748013</v>
      </c>
      <c r="J123">
        <f>J112*pricing!J9*2000</f>
        <v>4355353.516604499</v>
      </c>
      <c r="K123">
        <f>K112*pricing!K9*2000</f>
        <v>3989504.5652629561</v>
      </c>
      <c r="L123">
        <f>L112*pricing!L9*2000</f>
        <v>3628101.5421901462</v>
      </c>
      <c r="M123">
        <f>M112*pricing!M9*2000</f>
        <v>3709657.7750673429</v>
      </c>
      <c r="N123">
        <f>N112*pricing!N9*2000</f>
        <v>3709779.1954534715</v>
      </c>
      <c r="O123">
        <f>O112*pricing!O9*2000</f>
        <v>4282749.2621288262</v>
      </c>
    </row>
    <row r="124" spans="2:15" x14ac:dyDescent="0.2">
      <c r="C124" s="105" t="s">
        <v>130</v>
      </c>
      <c r="D124">
        <f>D113*pricing!D10*2000</f>
        <v>2742617.9846246135</v>
      </c>
      <c r="E124">
        <f>E113*pricing!E10*2000</f>
        <v>2275071.5092140906</v>
      </c>
      <c r="F124">
        <f>F113*pricing!F10*2000</f>
        <v>2154569.8402938531</v>
      </c>
      <c r="G124">
        <f>G113*pricing!G10*2000</f>
        <v>2413684.0766279488</v>
      </c>
      <c r="H124">
        <f>H113*pricing!H10*2000</f>
        <v>2085763.8422731429</v>
      </c>
      <c r="I124">
        <f>I113*pricing!I10*2000</f>
        <v>1981404.8638901867</v>
      </c>
      <c r="J124">
        <f>J113*pricing!J10*2000</f>
        <v>2154569.8402938531</v>
      </c>
      <c r="K124">
        <f>K113*pricing!K10*2000</f>
        <v>2490211.2345230184</v>
      </c>
      <c r="L124">
        <f>L113*pricing!L10*2000</f>
        <v>1724815.3783854707</v>
      </c>
      <c r="M124">
        <f>M113*pricing!M10*2000</f>
        <v>2153650.1395126982</v>
      </c>
      <c r="N124">
        <f>N113*pricing!N10*2000</f>
        <v>2489185.5215634438</v>
      </c>
      <c r="O124">
        <f>O113*pricing!O10*2000</f>
        <v>2102992.2409743597</v>
      </c>
    </row>
    <row r="125" spans="2:15" x14ac:dyDescent="0.2">
      <c r="C125" s="105" t="s">
        <v>131</v>
      </c>
      <c r="D125">
        <f>D114*pricing!D11*2000</f>
        <v>1220400</v>
      </c>
      <c r="E125">
        <f>E114*pricing!E11*2000</f>
        <v>907200</v>
      </c>
      <c r="F125">
        <f>F114*pricing!F11*2000</f>
        <v>1269000</v>
      </c>
      <c r="G125">
        <f>G114*pricing!G11*2000</f>
        <v>1269150.8072302931</v>
      </c>
      <c r="H125">
        <f>H114*pricing!H11*2000</f>
        <v>1169220.257522872</v>
      </c>
      <c r="I125">
        <f>I114*pricing!I11*2000</f>
        <v>1060070.4820879658</v>
      </c>
      <c r="J125">
        <f>J114*pricing!J11*2000</f>
        <v>1382400</v>
      </c>
      <c r="K125">
        <f>K114*pricing!K11*2000</f>
        <v>1381391.2828964449</v>
      </c>
      <c r="L125">
        <f>L114*pricing!L11*2000</f>
        <v>1209828.9145436981</v>
      </c>
      <c r="M125">
        <f>M114*pricing!M11*2000</f>
        <v>945381.29619471543</v>
      </c>
      <c r="N125">
        <f>N114*pricing!N11*2000</f>
        <v>1124078.5069715672</v>
      </c>
      <c r="O125">
        <f>O114*pricing!O11*2000</f>
        <v>950832.61031153065</v>
      </c>
    </row>
    <row r="126" spans="2:15" x14ac:dyDescent="0.2">
      <c r="C126" s="105" t="s">
        <v>132</v>
      </c>
      <c r="D126">
        <f>D115*pricing!D12*2000</f>
        <v>1715003.1646223583</v>
      </c>
      <c r="E126">
        <f>E115*pricing!E12*2000</f>
        <v>1696628.1307156901</v>
      </c>
      <c r="F126">
        <f>F115*pricing!F12*2000</f>
        <v>1604752.9611823496</v>
      </c>
      <c r="G126">
        <f>G115*pricing!G12*2000</f>
        <v>1327554.7038213946</v>
      </c>
      <c r="H126">
        <f>H115*pricing!H12*2000</f>
        <v>1381733.0215555958</v>
      </c>
      <c r="I126">
        <f>I115*pricing!I12*2000</f>
        <v>1357791.1961059521</v>
      </c>
      <c r="J126">
        <f>J115*pricing!J12*2000</f>
        <v>1623127.9950890176</v>
      </c>
      <c r="K126">
        <f>K115*pricing!K12*2000</f>
        <v>1363327.1831132881</v>
      </c>
      <c r="L126">
        <f>L115*pricing!L12*2000</f>
        <v>1299047.6811296586</v>
      </c>
      <c r="M126">
        <f>M115*pricing!M12*2000</f>
        <v>1503109.9896559266</v>
      </c>
      <c r="N126">
        <f>N115*pricing!N12*2000</f>
        <v>1372015.2873188579</v>
      </c>
      <c r="O126">
        <f>O115*pricing!O12*2000</f>
        <v>1331188.420885779</v>
      </c>
    </row>
    <row r="127" spans="2:15" x14ac:dyDescent="0.2">
      <c r="C127" s="105" t="s">
        <v>278</v>
      </c>
      <c r="D127">
        <f t="shared" ref="D127:O127" si="1">SUM(D$120:D$126)</f>
        <v>18409980.62182796</v>
      </c>
      <c r="E127">
        <f t="shared" si="1"/>
        <v>15704126.868983926</v>
      </c>
      <c r="F127">
        <f t="shared" si="1"/>
        <v>15623607.027978117</v>
      </c>
      <c r="G127">
        <f t="shared" si="1"/>
        <v>16052184.359685237</v>
      </c>
      <c r="H127">
        <f t="shared" si="1"/>
        <v>16229427.990341824</v>
      </c>
      <c r="I127">
        <f t="shared" si="1"/>
        <v>15967217.356743177</v>
      </c>
      <c r="J127">
        <f t="shared" si="1"/>
        <v>17323957.910334762</v>
      </c>
      <c r="K127">
        <f t="shared" si="1"/>
        <v>17591246.795643292</v>
      </c>
      <c r="L127">
        <f t="shared" si="1"/>
        <v>16537267.287240358</v>
      </c>
      <c r="M127">
        <f t="shared" si="1"/>
        <v>16275291.197949992</v>
      </c>
      <c r="N127">
        <f t="shared" si="1"/>
        <v>16297278.661179377</v>
      </c>
      <c r="O127">
        <f t="shared" si="1"/>
        <v>17601012.8055484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113356.8</v>
      </c>
      <c r="E131" s="110">
        <f>SUM(M$6:M$19)+SUM(O$6:O$19)+SUM(Q$6:Q$19)+SUM(S$6:S$19)</f>
        <v>109629.59999999999</v>
      </c>
      <c r="F131" s="110">
        <f>SUM(U$6:U$19)+SUM(W$6:W$19)+SUM(Y$6:Y$19)+SUM(AA$6:AA$19)</f>
        <v>88020</v>
      </c>
      <c r="G131" s="110">
        <f>SUM(AC$6:AC$19)+SUM(AE$6:AE$19)+SUM(AG$6:AG$19)+SUM(AI$6:AI$19)</f>
        <v>142976.4</v>
      </c>
      <c r="H131" s="110">
        <f>SUM(AK$6:AK$19)+SUM(AM$6:AM$19)+SUM(AO$6:AO$19)+SUM(AQ$6:AQ$19)</f>
        <v>122139.59999999999</v>
      </c>
      <c r="I131" s="110">
        <f>SUM(AS$6:AS$19)+SUM(AU$6:AU$19)+SUM(AW$6:AW$19)+SUM(AY$6:AY$19)</f>
        <v>117996</v>
      </c>
      <c r="J131" s="110">
        <f>SUM(BA$6:BA$19)+SUM(BC$6:BC$19)+SUM(BE$6:BE$19)+SUM(BG$6:BG$19)</f>
        <v>100308.00000000001</v>
      </c>
      <c r="K131" s="110">
        <f>SUM(BI$6:BI$19)+SUM(BK$6:BK$19)+SUM(BM$6:BM$19)+SUM(BO$6:BO$19)</f>
        <v>120774</v>
      </c>
      <c r="L131" s="110">
        <f>SUM(BQ$6:BQ$19)+SUM(BS$6:BS$19)+SUM(BU$6:BU$19)+SUM(BW$6:BW$19)</f>
        <v>130614</v>
      </c>
      <c r="M131" s="110">
        <f>SUM(BY$6:BY$19)+SUM(CA$6:CA$19)+SUM(CC$6:CC$19)+SUM(CE$6:CE$19)</f>
        <v>117679.20000000001</v>
      </c>
      <c r="N131" s="110">
        <f>SUM(CG$6:CG$19)+SUM(CI$6:CI$19)+SUM(CK$6:CK$19)+SUM(CM$6:CM$19)</f>
        <v>113670</v>
      </c>
      <c r="O131" s="110">
        <f>SUM(CO$6:CO$19)+SUM(CQ$6:CQ$19)+SUM(CS$6:CS$19)+SUM(CU$6:CU$19)</f>
        <v>138812.4</v>
      </c>
    </row>
    <row r="132" spans="2:15" x14ac:dyDescent="0.2">
      <c r="C132" s="109" t="s">
        <v>127</v>
      </c>
      <c r="D132" s="110">
        <f>SUM(E$20:E$36)+SUM(G$20:G$36)+SUM(I$20:I$36)+SUM(K$20:K$36)</f>
        <v>297013.19999999995</v>
      </c>
      <c r="E132" s="110">
        <f>SUM(M$20:M$36)+SUM(O$20:O$36)+SUM(Q$20:Q$36)+SUM(S$20:S$36)</f>
        <v>231872.4</v>
      </c>
      <c r="F132" s="110">
        <f>SUM(U$20:U$36)+SUM(W$20:W$36)+SUM(Y$20:Y$36)+SUM(AA$20:AA$36)</f>
        <v>231422.40000000002</v>
      </c>
      <c r="G132" s="110">
        <f>SUM(AC$20:AC$36)+SUM(AE$20:AE$36)+SUM(AG$20:AG$36)+SUM(AI$20:AI$36)</f>
        <v>242064</v>
      </c>
      <c r="H132" s="110">
        <f>SUM(AK$20:AK$36)+SUM(AM$20:AM$36)+SUM(AO$20:AO$36)+SUM(AQ$20:AQ$36)</f>
        <v>294010.8</v>
      </c>
      <c r="I132" s="110">
        <f>SUM(AS$20:AS$36)+SUM(AU$20:AU$36)+SUM(AW$20:AW$36)+SUM(AY$20:AY$36)</f>
        <v>297072</v>
      </c>
      <c r="J132" s="110">
        <f>SUM(BA$20:BA$36)+SUM(BC$20:BC$36)+SUM(BE$20:BE$36)+SUM(BG$20:BG$36)</f>
        <v>299031.59999999998</v>
      </c>
      <c r="K132" s="110">
        <f>SUM(BI$20:BI$36)+SUM(BK$20:BK$36)+SUM(BM$20:BM$36)+SUM(BO$20:BO$36)</f>
        <v>318555.59999999998</v>
      </c>
      <c r="L132" s="110">
        <f>SUM(BQ$20:BQ$36)+SUM(BS$20:BS$36)+SUM(BU$20:BU$36)+SUM(BW$20:BW$36)</f>
        <v>288921.59999999998</v>
      </c>
      <c r="M132" s="110">
        <f>SUM(BY$20:BY$36)+SUM(CA$20:CA$36)+SUM(CC$20:CC$36)+SUM(CE$20:CE$36)</f>
        <v>293089.19999999995</v>
      </c>
      <c r="N132" s="110">
        <f>SUM(CG$20:CG$36)+SUM(CI$20:CI$36)+SUM(CK$20:CK$36)+SUM(CM$20:CM$36)</f>
        <v>258835.19999999995</v>
      </c>
      <c r="O132" s="110">
        <f>SUM(CO$20:CO$36)+SUM(CQ$20:CQ$36)+SUM(CS$20:CS$36)+SUM(CU$20:CU$36)</f>
        <v>338392.80000000005</v>
      </c>
    </row>
    <row r="133" spans="2:15" x14ac:dyDescent="0.2">
      <c r="C133" s="109" t="s">
        <v>128</v>
      </c>
      <c r="D133" s="110">
        <f>SUM(E$37:E$48)+SUM(G$37:G$48)+SUM(I$37:I$48)+SUM(K$37:K$48)</f>
        <v>499126.8</v>
      </c>
      <c r="E133" s="110">
        <f>SUM(M$37:M$48)+SUM(O$37:O$48)+SUM(Q$37:Q$48)+SUM(S$37:S$48)</f>
        <v>465933.59999999992</v>
      </c>
      <c r="F133" s="110">
        <f>SUM(U$37:U$48)+SUM(W$37:W$48)+SUM(Y$37:Y$48)+SUM(AA$37:AA$48)</f>
        <v>452164.80000000005</v>
      </c>
      <c r="G133" s="110">
        <f>SUM(AC$37:AC$48)+SUM(AE$37:AE$48)+SUM(AG$37:AG$48)+SUM(AI$37:AI$48)</f>
        <v>440684.39999999997</v>
      </c>
      <c r="H133" s="110">
        <f>SUM(AK$37:AK$48)+SUM(AM$37:AM$48)+SUM(AO$37:AO$48)+SUM(AQ$37:AQ$48)</f>
        <v>475654.80000000005</v>
      </c>
      <c r="I133" s="110">
        <f>SUM(AS$37:AS$48)+SUM(AU$37:AU$48)+SUM(AW$37:AW$48)+SUM(AY$37:AY$48)</f>
        <v>427471.19999999995</v>
      </c>
      <c r="J133" s="110">
        <f>SUM(BA$37:BA$48)+SUM(BC$37:BC$48)+SUM(BE$37:BE$48)+SUM(BG$37:BG$48)</f>
        <v>469603.19999999995</v>
      </c>
      <c r="K133" s="110">
        <f>SUM(BI$37:BI$48)+SUM(BK$37:BK$48)+SUM(BM$37:BM$48)+SUM(BO$37:BO$48)</f>
        <v>469014</v>
      </c>
      <c r="L133" s="110">
        <f>SUM(BQ$37:BQ$48)+SUM(BS$37:BS$48)+SUM(BU$37:BU$48)+SUM(BW$37:BW$48)</f>
        <v>582958.79999999993</v>
      </c>
      <c r="M133" s="110">
        <f>SUM(BY$37:BY$48)+SUM(CA$37:CA$48)+SUM(CC$37:CC$48)+SUM(CE$37:CE$48)</f>
        <v>459933.6</v>
      </c>
      <c r="N133" s="110">
        <f>SUM(CG$37:CG$48)+SUM(CI$37:CI$48)+SUM(CK$37:CK$48)+SUM(CM$37:CM$48)</f>
        <v>496324.8</v>
      </c>
      <c r="O133" s="110">
        <f>SUM(CO$37:CO$48)+SUM(CQ$37:CQ$48)+SUM(CS$37:CS$48)+SUM(CU$37:CU$48)</f>
        <v>480097.2</v>
      </c>
    </row>
    <row r="134" spans="2:15" x14ac:dyDescent="0.2">
      <c r="C134" s="109" t="s">
        <v>129</v>
      </c>
      <c r="D134" s="110">
        <f>SUM(E$49:E$70)+SUM(G$49:G$70)+SUM(I$49:I$70)+SUM(K$49:K$70)</f>
        <v>743600.39999999991</v>
      </c>
      <c r="E134" s="110">
        <f>SUM(M$49:M$70)+SUM(O$49:O$70)+SUM(Q$49:Q$70)+SUM(S$49:S$70)</f>
        <v>610434</v>
      </c>
      <c r="F134" s="110">
        <f>SUM(U$49:U$70)+SUM(W$49:W$70)+SUM(Y$49:Y$70)+SUM(AA$49:AA$70)</f>
        <v>640409.99999999988</v>
      </c>
      <c r="G134" s="110">
        <f>SUM(AC$49:AC$70)+SUM(AE$49:AE$70)+SUM(AG$49:AG$70)+SUM(AI$49:AI$70)</f>
        <v>561856.58233748982</v>
      </c>
      <c r="H134" s="110">
        <f>SUM(AK$49:AK$70)+SUM(AM$49:AM$70)+SUM(AO$49:AO$70)+SUM(AQ$49:AQ$70)</f>
        <v>558436.36396628059</v>
      </c>
      <c r="I134" s="110">
        <f>SUM(AS$49:AS$70)+SUM(AU$49:AU$70)+SUM(AW$49:AW$70)+SUM(AY$49:AY$70)</f>
        <v>603174.60333974822</v>
      </c>
      <c r="J134" s="110">
        <f>SUM(BA$49:BA$70)+SUM(BC$49:BC$70)+SUM(BE$49:BE$70)+SUM(BG$49:BG$70)</f>
        <v>700965.60000000009</v>
      </c>
      <c r="K134" s="110">
        <f>SUM(BI$49:BI$70)+SUM(BK$49:BK$70)+SUM(BM$49:BM$70)+SUM(BO$49:BO$70)</f>
        <v>643187.87269753439</v>
      </c>
      <c r="L134" s="110">
        <f>SUM(BQ$49:BQ$70)+SUM(BS$49:BS$70)+SUM(BU$49:BU$70)+SUM(BW$49:BW$70)</f>
        <v>584423.35232961131</v>
      </c>
      <c r="M134" s="110">
        <f>SUM(BY$49:BY$70)+SUM(CA$49:CA$70)+SUM(CC$49:CC$70)+SUM(CE$49:CE$70)</f>
        <v>594393.65692877094</v>
      </c>
      <c r="N134" s="110">
        <f>SUM(CG$49:CG$70)+SUM(CI$49:CI$70)+SUM(CK$49:CK$70)+SUM(CM$49:CM$70)</f>
        <v>595269.03681289311</v>
      </c>
      <c r="O134" s="110">
        <f>SUM(CO$49:CO$70)+SUM(CQ$49:CQ$70)+SUM(CS$49:CS$70)+SUM(CU$49:CU$70)</f>
        <v>689858.09852328349</v>
      </c>
    </row>
    <row r="135" spans="2:15" x14ac:dyDescent="0.2">
      <c r="C135" s="109" t="s">
        <v>130</v>
      </c>
      <c r="D135" s="110">
        <f>SUM(E$71:E$86)+SUM(G$71:G$86)+SUM(I$71:I$86)+SUM(K$71:K$86)</f>
        <v>317961.59999999998</v>
      </c>
      <c r="E135" s="110">
        <f>SUM(M$71:M$86)+SUM(O$71:O$86)+SUM(Q$71:Q$86)+SUM(S$71:S$86)</f>
        <v>260076</v>
      </c>
      <c r="F135" s="110">
        <f>SUM(U$71:U$86)+SUM(W$71:W$86)+SUM(Y$71:Y$86)+SUM(AA$71:AA$86)</f>
        <v>249201.59999999998</v>
      </c>
      <c r="G135" s="110">
        <f>SUM(AC$71:AC$86)+SUM(AE$71:AE$86)+SUM(AG$71:AG$86)+SUM(AI$71:AI$86)</f>
        <v>279686.24517492543</v>
      </c>
      <c r="H135" s="110">
        <f>SUM(AK$71:AK$86)+SUM(AM$71:AM$86)+SUM(AO$71:AO$86)+SUM(AQ$71:AQ$86)</f>
        <v>242537.88897204996</v>
      </c>
      <c r="I135" s="110">
        <f>SUM(AS$71:AS$86)+SUM(AU$71:AU$86)+SUM(AW$71:AW$86)+SUM(AY$71:AY$86)</f>
        <v>229350.48022305925</v>
      </c>
      <c r="J135" s="110">
        <f>SUM(BA$71:BA$86)+SUM(BC$71:BC$86)+SUM(BE$71:BE$86)+SUM(BG$71:BG$86)</f>
        <v>248402.39999999997</v>
      </c>
      <c r="K135" s="110">
        <f>SUM(BI$71:BI$86)+SUM(BK$71:BK$86)+SUM(BM$71:BM$86)+SUM(BO$71:BO$86)</f>
        <v>286533.79452354019</v>
      </c>
      <c r="L135" s="110">
        <f>SUM(BQ$71:BQ$86)+SUM(BS$71:BS$86)+SUM(BU$71:BU$86)+SUM(BW$71:BW$86)</f>
        <v>200324.59601462938</v>
      </c>
      <c r="M135" s="110">
        <f>SUM(BY$71:BY$86)+SUM(CA$71:CA$86)+SUM(CC$71:CC$86)+SUM(CE$71:CE$86)</f>
        <v>248508.40330586687</v>
      </c>
      <c r="N135" s="110">
        <f>SUM(CG$71:CG$86)+SUM(CI$71:CI$86)+SUM(CK$71:CK$86)+SUM(CM$71:CM$86)</f>
        <v>288976.08059154788</v>
      </c>
      <c r="O135" s="110">
        <f>SUM(CO$71:CO$86)+SUM(CQ$71:CQ$86)+SUM(CS$71:CS$86)+SUM(CU$71:CU$86)</f>
        <v>243729.62278850941</v>
      </c>
    </row>
    <row r="136" spans="2:15" x14ac:dyDescent="0.2">
      <c r="C136" s="109" t="s">
        <v>131</v>
      </c>
      <c r="D136" s="110">
        <f>SUM(E$87:E$94)+SUM(G$87:G$94)+SUM(I$87:I$94)+SUM(K$87:K$94)</f>
        <v>461806.79999999993</v>
      </c>
      <c r="E136" s="110">
        <f>SUM(M$87:M$94)+SUM(O$87:O$94)+SUM(Q$87:Q$94)+SUM(S$87:S$94)</f>
        <v>342566.39999999997</v>
      </c>
      <c r="F136" s="110">
        <f>SUM(U$87:U$94)+SUM(W$87:W$94)+SUM(Y$87:Y$94)+SUM(AA$87:AA$94)</f>
        <v>478626</v>
      </c>
      <c r="G136" s="110">
        <f>SUM(AC$87:AC$94)+SUM(AE$87:AE$94)+SUM(AG$87:AG$94)+SUM(AI$87:AI$94)</f>
        <v>478317.87248965778</v>
      </c>
      <c r="H136" s="110">
        <f>SUM(AK$87:AK$94)+SUM(AM$87:AM$94)+SUM(AO$87:AO$94)+SUM(AQ$87:AQ$94)</f>
        <v>439932.39299239783</v>
      </c>
      <c r="I136" s="110">
        <f>SUM(AS$87:AS$94)+SUM(AU$87:AU$94)+SUM(AW$87:AW$94)+SUM(AY$87:AY$94)</f>
        <v>399329.58272689424</v>
      </c>
      <c r="J136" s="110">
        <f>SUM(BA$87:BA$94)+SUM(BC$87:BC$94)+SUM(BE$87:BE$94)+SUM(BG$87:BG$94)</f>
        <v>520105.19999999995</v>
      </c>
      <c r="K136" s="110">
        <f>SUM(BI$87:BI$94)+SUM(BK$87:BK$94)+SUM(BM$87:BM$94)+SUM(BO$87:BO$94)</f>
        <v>521963.03479034529</v>
      </c>
      <c r="L136" s="110">
        <f>SUM(BQ$87:BQ$94)+SUM(BS$87:BS$94)+SUM(BU$87:BU$94)+SUM(BW$87:BW$94)</f>
        <v>455073.15567264432</v>
      </c>
      <c r="M136" s="110">
        <f>SUM(BY$87:BY$94)+SUM(CA$87:CA$94)+SUM(CC$87:CC$94)+SUM(CE$87:CE$94)</f>
        <v>356729.14142415766</v>
      </c>
      <c r="N136" s="110">
        <f>SUM(CG$87:CG$94)+SUM(CI$87:CI$94)+SUM(CK$87:CK$94)+SUM(CM$87:CM$94)</f>
        <v>423237.25456191559</v>
      </c>
      <c r="O136" s="110">
        <f>SUM(CO$87:CO$94)+SUM(CQ$87:CQ$94)+SUM(CS$87:CS$94)+SUM(CU$87:CU$94)</f>
        <v>357978.8741299744</v>
      </c>
    </row>
    <row r="137" spans="2:15" x14ac:dyDescent="0.2">
      <c r="C137" s="109" t="s">
        <v>132</v>
      </c>
      <c r="D137" s="110">
        <f>SUM(E$95:E$105)+SUM(G$95:G$105)+SUM(I$95:I$105)+SUM(K$95:K$105)</f>
        <v>538670.39999999991</v>
      </c>
      <c r="E137" s="110">
        <f>SUM(M$95:M$105)+SUM(O$95:O$105)+SUM(Q$95:Q$105)+SUM(S$95:S$105)</f>
        <v>532143.6</v>
      </c>
      <c r="F137" s="110">
        <f>SUM(U$95:U$105)+SUM(W$95:W$105)+SUM(Y$95:Y$105)+SUM(AA$95:AA$105)</f>
        <v>501675.6</v>
      </c>
      <c r="G137" s="110">
        <f>SUM(AC$95:AC$105)+SUM(AE$95:AE$105)+SUM(AG$95:AG$105)+SUM(AI$95:AI$105)</f>
        <v>415598.97951094853</v>
      </c>
      <c r="H137" s="110">
        <f>SUM(AK$95:AK$105)+SUM(AM$95:AM$105)+SUM(AO$95:AO$105)+SUM(AQ$95:AQ$105)</f>
        <v>432315.98074310843</v>
      </c>
      <c r="I137" s="110">
        <f>SUM(AS$95:AS$105)+SUM(AU$95:AU$105)+SUM(AW$95:AW$105)+SUM(AY$95:AY$105)</f>
        <v>423996.34034084599</v>
      </c>
      <c r="J137" s="110">
        <f>SUM(BA$95:BA$105)+SUM(BC$95:BC$105)+SUM(BE$95:BE$105)+SUM(BG$95:BG$105)</f>
        <v>506271.60000000003</v>
      </c>
      <c r="K137" s="110">
        <f>SUM(BI$95:BI$105)+SUM(BK$95:BK$105)+SUM(BM$95:BM$105)+SUM(BO$95:BO$105)</f>
        <v>423733.22966228932</v>
      </c>
      <c r="L137" s="110">
        <f>SUM(BQ$95:BQ$105)+SUM(BS$95:BS$105)+SUM(BU$95:BU$105)+SUM(BW$95:BW$105)</f>
        <v>408713.66033323889</v>
      </c>
      <c r="M137" s="110">
        <f>SUM(BY$95:BY$105)+SUM(CA$95:CA$105)+SUM(CC$95:CC$105)+SUM(CE$95:CE$105)</f>
        <v>466219.32178747182</v>
      </c>
      <c r="N137" s="110">
        <f>SUM(CG$95:CG$105)+SUM(CI$95:CI$105)+SUM(CK$95:CK$105)+SUM(CM$95:CM$105)</f>
        <v>425792.31511362037</v>
      </c>
      <c r="O137" s="110">
        <f>SUM(CO$95:CO$105)+SUM(CQ$95:CQ$105)+SUM(CS$95:CS$105)+SUM(CU$95:CU$105)</f>
        <v>412923.66624487581</v>
      </c>
    </row>
    <row r="138" spans="2:15" x14ac:dyDescent="0.2">
      <c r="C138" s="109" t="s">
        <v>278</v>
      </c>
      <c r="D138">
        <f t="shared" ref="D138:O138" si="2">SUM(D$131:D$137)</f>
        <v>2971535.9999999995</v>
      </c>
      <c r="E138">
        <f t="shared" si="2"/>
        <v>2552655.5999999996</v>
      </c>
      <c r="F138">
        <f t="shared" si="2"/>
        <v>2641520.4</v>
      </c>
      <c r="G138">
        <f t="shared" si="2"/>
        <v>2561184.4795130217</v>
      </c>
      <c r="H138">
        <f t="shared" si="2"/>
        <v>2565027.8266738369</v>
      </c>
      <c r="I138">
        <f t="shared" si="2"/>
        <v>2498390.2066305475</v>
      </c>
      <c r="J138">
        <f t="shared" si="2"/>
        <v>2844687.6</v>
      </c>
      <c r="K138">
        <f t="shared" si="2"/>
        <v>2783761.5316737094</v>
      </c>
      <c r="L138">
        <f t="shared" si="2"/>
        <v>2651029.1643501241</v>
      </c>
      <c r="M138">
        <f t="shared" si="2"/>
        <v>2536552.5234462675</v>
      </c>
      <c r="N138">
        <f t="shared" si="2"/>
        <v>2602104.6870799768</v>
      </c>
      <c r="O138">
        <f t="shared" si="2"/>
        <v>2661792.661686643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282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5</v>
      </c>
      <c r="E6">
        <v>2892</v>
      </c>
      <c r="F6">
        <v>5</v>
      </c>
      <c r="G6">
        <v>2892</v>
      </c>
      <c r="H6">
        <v>6</v>
      </c>
      <c r="I6">
        <v>3470.3999999999996</v>
      </c>
      <c r="J6">
        <v>3</v>
      </c>
      <c r="K6">
        <v>1735.1999999999998</v>
      </c>
      <c r="L6">
        <v>1.0702130942616639</v>
      </c>
      <c r="M6">
        <v>619.01125372094634</v>
      </c>
      <c r="N6">
        <v>2.4543925876923973</v>
      </c>
      <c r="O6">
        <v>1419.6206727212825</v>
      </c>
      <c r="P6">
        <v>0</v>
      </c>
      <c r="Q6">
        <v>0</v>
      </c>
      <c r="R6">
        <v>2.361257154677284</v>
      </c>
      <c r="S6">
        <v>1365.7511382653411</v>
      </c>
      <c r="T6">
        <v>0</v>
      </c>
      <c r="U6">
        <v>0</v>
      </c>
      <c r="V6">
        <v>2.5634326461116883</v>
      </c>
      <c r="W6">
        <v>1482.6894425110004</v>
      </c>
      <c r="X6">
        <v>0</v>
      </c>
      <c r="Y6">
        <v>0</v>
      </c>
      <c r="Z6">
        <v>2.2526473707313102</v>
      </c>
      <c r="AA6">
        <v>1302.9312392309898</v>
      </c>
      <c r="AB6">
        <v>0</v>
      </c>
      <c r="AC6">
        <v>0</v>
      </c>
      <c r="AD6">
        <v>1.1374658121456165</v>
      </c>
      <c r="AE6">
        <v>657.9102257450246</v>
      </c>
      <c r="AF6">
        <v>1.5648568125671942</v>
      </c>
      <c r="AG6">
        <v>905.11318038886509</v>
      </c>
      <c r="AH6">
        <v>0.99234822260358657</v>
      </c>
      <c r="AI6">
        <v>573.97421195391451</v>
      </c>
      <c r="AJ6">
        <v>0</v>
      </c>
      <c r="AK6">
        <v>0</v>
      </c>
      <c r="AL6">
        <v>2.7376894546983004</v>
      </c>
      <c r="AM6">
        <v>1583.4795805974968</v>
      </c>
      <c r="AN6">
        <v>1.5804430357999353</v>
      </c>
      <c r="AO6">
        <v>914.12825190668252</v>
      </c>
      <c r="AP6">
        <v>2.3868303368579045</v>
      </c>
      <c r="AQ6">
        <v>1380.5426668386119</v>
      </c>
      <c r="AR6">
        <v>0</v>
      </c>
      <c r="AS6">
        <v>0</v>
      </c>
      <c r="AT6">
        <v>2.1588636842763744</v>
      </c>
      <c r="AU6">
        <v>1248.6867549854549</v>
      </c>
      <c r="AV6">
        <v>0</v>
      </c>
      <c r="AW6">
        <v>0</v>
      </c>
      <c r="AX6">
        <v>2.1030680025753941</v>
      </c>
      <c r="AY6">
        <v>1216.4145326896078</v>
      </c>
      <c r="AZ6">
        <v>0</v>
      </c>
      <c r="BA6">
        <v>0</v>
      </c>
      <c r="BB6">
        <v>2.1632785384364488</v>
      </c>
      <c r="BC6">
        <v>1251.2403066316419</v>
      </c>
      <c r="BD6">
        <v>0</v>
      </c>
      <c r="BE6">
        <v>0</v>
      </c>
      <c r="BF6">
        <v>2.9548692885347023</v>
      </c>
      <c r="BG6">
        <v>1709.0963964884718</v>
      </c>
      <c r="BH6">
        <v>0</v>
      </c>
      <c r="BI6">
        <v>0</v>
      </c>
      <c r="BJ6">
        <v>1.5075127111294713</v>
      </c>
      <c r="BK6">
        <v>871.94535211728612</v>
      </c>
      <c r="BL6">
        <v>1.5587080628125098</v>
      </c>
      <c r="BM6">
        <v>901.55674353075563</v>
      </c>
      <c r="BN6">
        <v>1.0883160548306825</v>
      </c>
      <c r="BO6">
        <v>629.48200611406673</v>
      </c>
      <c r="BP6">
        <v>1.4857348388980665</v>
      </c>
      <c r="BQ6">
        <v>859.34903081864161</v>
      </c>
      <c r="BR6">
        <v>2.6236190607525378</v>
      </c>
      <c r="BS6">
        <v>1517.5012647392678</v>
      </c>
      <c r="BT6">
        <v>0</v>
      </c>
      <c r="BU6">
        <v>0</v>
      </c>
      <c r="BV6">
        <v>3.4218587971663417</v>
      </c>
      <c r="BW6">
        <v>1979.2031282810119</v>
      </c>
      <c r="BX6">
        <v>0</v>
      </c>
      <c r="BY6">
        <v>0</v>
      </c>
      <c r="BZ6">
        <v>1.7749047068715156</v>
      </c>
      <c r="CA6">
        <v>1026.6048824544846</v>
      </c>
      <c r="CB6">
        <v>1.739873692920104</v>
      </c>
      <c r="CC6">
        <v>1006.3429439849881</v>
      </c>
      <c r="CD6">
        <v>2.4262458837050995</v>
      </c>
      <c r="CE6">
        <v>1403.3406191350296</v>
      </c>
      <c r="CF6">
        <v>0</v>
      </c>
      <c r="CG6">
        <v>0</v>
      </c>
      <c r="CH6">
        <v>1.1743374836760916</v>
      </c>
      <c r="CI6">
        <v>679.23680055825139</v>
      </c>
      <c r="CJ6">
        <v>1.3196646772647496</v>
      </c>
      <c r="CK6">
        <v>763.29404932993111</v>
      </c>
      <c r="CL6">
        <v>0.97049835348203983</v>
      </c>
      <c r="CM6">
        <v>561.3362476540118</v>
      </c>
      <c r="CN6">
        <v>1.6353583120733133</v>
      </c>
      <c r="CO6">
        <v>945.89124770320439</v>
      </c>
      <c r="CP6">
        <v>2.8880274715553682</v>
      </c>
      <c r="CQ6">
        <v>1670.435089547625</v>
      </c>
      <c r="CR6">
        <v>0</v>
      </c>
      <c r="CS6">
        <v>0</v>
      </c>
      <c r="CT6">
        <v>3.3967442371871392</v>
      </c>
      <c r="CU6">
        <v>1964.6768667890412</v>
      </c>
    </row>
    <row r="7" spans="1:99" x14ac:dyDescent="0.2">
      <c r="C7" s="105" t="s">
        <v>173</v>
      </c>
      <c r="D7">
        <v>5</v>
      </c>
      <c r="E7">
        <v>3942</v>
      </c>
      <c r="F7">
        <v>6</v>
      </c>
      <c r="G7">
        <v>4730.3999999999996</v>
      </c>
      <c r="H7">
        <v>5</v>
      </c>
      <c r="I7">
        <v>3942</v>
      </c>
      <c r="J7">
        <v>3</v>
      </c>
      <c r="K7">
        <v>2365.1999999999998</v>
      </c>
      <c r="L7">
        <v>1.0702130942616639</v>
      </c>
      <c r="M7">
        <v>843.75600351589583</v>
      </c>
      <c r="N7">
        <v>2.4543925876923973</v>
      </c>
      <c r="O7">
        <v>1935.043116136686</v>
      </c>
      <c r="P7">
        <v>0</v>
      </c>
      <c r="Q7">
        <v>0</v>
      </c>
      <c r="R7">
        <v>2.361257154677284</v>
      </c>
      <c r="S7">
        <v>1861.6151407475706</v>
      </c>
      <c r="T7">
        <v>0</v>
      </c>
      <c r="U7">
        <v>0</v>
      </c>
      <c r="V7">
        <v>2.9906714204636362</v>
      </c>
      <c r="W7">
        <v>2357.8453478935307</v>
      </c>
      <c r="X7">
        <v>0</v>
      </c>
      <c r="Y7">
        <v>0</v>
      </c>
      <c r="Z7">
        <v>2.2526473707313102</v>
      </c>
      <c r="AA7">
        <v>1775.9871870845648</v>
      </c>
      <c r="AB7">
        <v>0</v>
      </c>
      <c r="AC7">
        <v>0</v>
      </c>
      <c r="AD7">
        <v>1.1374658121456165</v>
      </c>
      <c r="AE7">
        <v>896.77804629560399</v>
      </c>
      <c r="AF7">
        <v>1.5648568125671942</v>
      </c>
      <c r="AG7">
        <v>1233.7331110279758</v>
      </c>
      <c r="AH7">
        <v>0.99234822260358657</v>
      </c>
      <c r="AI7">
        <v>782.36733870066757</v>
      </c>
      <c r="AJ7">
        <v>0</v>
      </c>
      <c r="AK7">
        <v>0</v>
      </c>
      <c r="AL7">
        <v>2.1901515637586404</v>
      </c>
      <c r="AM7">
        <v>1726.7154928673122</v>
      </c>
      <c r="AN7">
        <v>1.3170358631666126</v>
      </c>
      <c r="AO7">
        <v>1038.3510745205574</v>
      </c>
      <c r="AP7">
        <v>2.8641964042294856</v>
      </c>
      <c r="AQ7">
        <v>2258.1324450945262</v>
      </c>
      <c r="AR7">
        <v>0</v>
      </c>
      <c r="AS7">
        <v>0</v>
      </c>
      <c r="AT7">
        <v>2.1588636842763744</v>
      </c>
      <c r="AU7">
        <v>1702.0481286834936</v>
      </c>
      <c r="AV7">
        <v>0</v>
      </c>
      <c r="AW7">
        <v>0</v>
      </c>
      <c r="AX7">
        <v>2.6288350032192431</v>
      </c>
      <c r="AY7">
        <v>2072.5735165380511</v>
      </c>
      <c r="AZ7">
        <v>0</v>
      </c>
      <c r="BA7">
        <v>0</v>
      </c>
      <c r="BB7">
        <v>1.6224589038273365</v>
      </c>
      <c r="BC7">
        <v>1279.1465997774721</v>
      </c>
      <c r="BD7">
        <v>0</v>
      </c>
      <c r="BE7">
        <v>0</v>
      </c>
      <c r="BF7">
        <v>2.4623910737789183</v>
      </c>
      <c r="BG7">
        <v>1941.3491225672992</v>
      </c>
      <c r="BH7">
        <v>0</v>
      </c>
      <c r="BI7">
        <v>0</v>
      </c>
      <c r="BJ7">
        <v>1.5075127111294713</v>
      </c>
      <c r="BK7">
        <v>1188.5230214544752</v>
      </c>
      <c r="BL7">
        <v>1.2989233856770914</v>
      </c>
      <c r="BM7">
        <v>1024.0711972678189</v>
      </c>
      <c r="BN7">
        <v>0.81623704112301176</v>
      </c>
      <c r="BO7">
        <v>643.52128322138242</v>
      </c>
      <c r="BP7">
        <v>1.2734870047697713</v>
      </c>
      <c r="BQ7">
        <v>1004.0171545604876</v>
      </c>
      <c r="BR7">
        <v>2.6236190607525378</v>
      </c>
      <c r="BS7">
        <v>2068.4612674973009</v>
      </c>
      <c r="BT7">
        <v>0</v>
      </c>
      <c r="BU7">
        <v>0</v>
      </c>
      <c r="BV7">
        <v>3.4218587971663417</v>
      </c>
      <c r="BW7">
        <v>2697.7934756859436</v>
      </c>
      <c r="BX7">
        <v>0</v>
      </c>
      <c r="BY7">
        <v>0</v>
      </c>
      <c r="BZ7">
        <v>1.7749047068715156</v>
      </c>
      <c r="CA7">
        <v>1399.3348708975029</v>
      </c>
      <c r="CB7">
        <v>2.0298526417401215</v>
      </c>
      <c r="CC7">
        <v>1600.3358227479118</v>
      </c>
      <c r="CD7">
        <v>2.4262458837050995</v>
      </c>
      <c r="CE7">
        <v>1912.8522547131004</v>
      </c>
      <c r="CF7">
        <v>0</v>
      </c>
      <c r="CG7">
        <v>0</v>
      </c>
      <c r="CH7">
        <v>1.1743374836760916</v>
      </c>
      <c r="CI7">
        <v>925.84767213023054</v>
      </c>
      <c r="CJ7">
        <v>1.3196646772647496</v>
      </c>
      <c r="CK7">
        <v>1040.4236315555286</v>
      </c>
      <c r="CL7">
        <v>1.2131229418525498</v>
      </c>
      <c r="CM7">
        <v>956.42612735655018</v>
      </c>
      <c r="CN7">
        <v>1.4017356960628402</v>
      </c>
      <c r="CO7">
        <v>1105.1284227759431</v>
      </c>
      <c r="CP7">
        <v>2.4754521184760296</v>
      </c>
      <c r="CQ7">
        <v>1951.6464502065016</v>
      </c>
      <c r="CR7">
        <v>0</v>
      </c>
      <c r="CS7">
        <v>0</v>
      </c>
      <c r="CT7">
        <v>3.8819934139281593</v>
      </c>
      <c r="CU7">
        <v>3060.5636075409607</v>
      </c>
    </row>
    <row r="8" spans="1:99" x14ac:dyDescent="0.2">
      <c r="C8" s="105" t="s">
        <v>174</v>
      </c>
      <c r="D8">
        <v>6</v>
      </c>
      <c r="E8">
        <v>1857.6</v>
      </c>
      <c r="F8">
        <v>6</v>
      </c>
      <c r="G8">
        <v>1857.6</v>
      </c>
      <c r="H8">
        <v>6</v>
      </c>
      <c r="I8">
        <v>1857.6</v>
      </c>
      <c r="J8">
        <v>3</v>
      </c>
      <c r="K8">
        <v>928.8</v>
      </c>
      <c r="L8">
        <v>1.0702130942616639</v>
      </c>
      <c r="M8">
        <v>331.33797398341108</v>
      </c>
      <c r="N8">
        <v>2.4543925876923973</v>
      </c>
      <c r="O8">
        <v>759.87994514956608</v>
      </c>
      <c r="P8">
        <v>0</v>
      </c>
      <c r="Q8">
        <v>0</v>
      </c>
      <c r="R8">
        <v>2.361257154677284</v>
      </c>
      <c r="S8">
        <v>731.04521508808705</v>
      </c>
      <c r="T8">
        <v>0</v>
      </c>
      <c r="U8">
        <v>0</v>
      </c>
      <c r="V8">
        <v>2.5634326461116883</v>
      </c>
      <c r="W8">
        <v>793.63874723617857</v>
      </c>
      <c r="X8">
        <v>0</v>
      </c>
      <c r="Y8">
        <v>0</v>
      </c>
      <c r="Z8">
        <v>2.2526473707313102</v>
      </c>
      <c r="AA8">
        <v>697.41962597841359</v>
      </c>
      <c r="AB8">
        <v>0</v>
      </c>
      <c r="AC8">
        <v>0</v>
      </c>
      <c r="AD8">
        <v>1.1374658121456165</v>
      </c>
      <c r="AE8">
        <v>352.15941544028283</v>
      </c>
      <c r="AF8">
        <v>1.8256662813283933</v>
      </c>
      <c r="AG8">
        <v>565.22628069927055</v>
      </c>
      <c r="AH8">
        <v>0.99234822260358657</v>
      </c>
      <c r="AI8">
        <v>307.23100971807037</v>
      </c>
      <c r="AJ8">
        <v>0</v>
      </c>
      <c r="AK8">
        <v>0</v>
      </c>
      <c r="AL8">
        <v>2.7376894546983004</v>
      </c>
      <c r="AM8">
        <v>847.58865517459367</v>
      </c>
      <c r="AN8">
        <v>1.5804430357999353</v>
      </c>
      <c r="AO8">
        <v>489.30516388365993</v>
      </c>
      <c r="AP8">
        <v>2.8641964042294856</v>
      </c>
      <c r="AQ8">
        <v>886.75520674944869</v>
      </c>
      <c r="AR8">
        <v>0</v>
      </c>
      <c r="AS8">
        <v>0</v>
      </c>
      <c r="AT8">
        <v>2.1588636842763744</v>
      </c>
      <c r="AU8">
        <v>668.38419665196545</v>
      </c>
      <c r="AV8">
        <v>0</v>
      </c>
      <c r="AW8">
        <v>0</v>
      </c>
      <c r="AX8">
        <v>2.6288350032192431</v>
      </c>
      <c r="AY8">
        <v>813.88731699667755</v>
      </c>
      <c r="AZ8">
        <v>0</v>
      </c>
      <c r="BA8">
        <v>0</v>
      </c>
      <c r="BB8">
        <v>1.6224589038273365</v>
      </c>
      <c r="BC8">
        <v>502.31327662494334</v>
      </c>
      <c r="BD8">
        <v>0</v>
      </c>
      <c r="BE8">
        <v>0</v>
      </c>
      <c r="BF8">
        <v>2.9548692885347023</v>
      </c>
      <c r="BG8">
        <v>914.82753173034371</v>
      </c>
      <c r="BH8">
        <v>0</v>
      </c>
      <c r="BI8">
        <v>0</v>
      </c>
      <c r="BJ8">
        <v>1.2921537523966897</v>
      </c>
      <c r="BK8">
        <v>400.0508017420151</v>
      </c>
      <c r="BL8">
        <v>1.5587080628125098</v>
      </c>
      <c r="BM8">
        <v>482.576016246753</v>
      </c>
      <c r="BN8">
        <v>1.0883160548306825</v>
      </c>
      <c r="BO8">
        <v>336.94265057557925</v>
      </c>
      <c r="BP8">
        <v>1.4857348388980665</v>
      </c>
      <c r="BQ8">
        <v>459.98350612284133</v>
      </c>
      <c r="BR8">
        <v>2.6236190607525378</v>
      </c>
      <c r="BS8">
        <v>812.27246120898565</v>
      </c>
      <c r="BT8">
        <v>0</v>
      </c>
      <c r="BU8">
        <v>0</v>
      </c>
      <c r="BV8">
        <v>2.9330218261425784</v>
      </c>
      <c r="BW8">
        <v>908.06355737374224</v>
      </c>
      <c r="BX8">
        <v>0</v>
      </c>
      <c r="BY8">
        <v>0</v>
      </c>
      <c r="BZ8">
        <v>1.5530416185125762</v>
      </c>
      <c r="CA8">
        <v>480.82168509149352</v>
      </c>
      <c r="CB8">
        <v>2.0298526417401215</v>
      </c>
      <c r="CC8">
        <v>628.44237788274154</v>
      </c>
      <c r="CD8">
        <v>2.4262458837050995</v>
      </c>
      <c r="CE8">
        <v>751.16572559509871</v>
      </c>
      <c r="CF8">
        <v>0</v>
      </c>
      <c r="CG8">
        <v>0</v>
      </c>
      <c r="CH8">
        <v>1.1743374836760916</v>
      </c>
      <c r="CI8">
        <v>363.57488494611789</v>
      </c>
      <c r="CJ8">
        <v>1.3196646772647496</v>
      </c>
      <c r="CK8">
        <v>408.56818408116641</v>
      </c>
      <c r="CL8">
        <v>1.2131229418525498</v>
      </c>
      <c r="CM8">
        <v>375.58286279754935</v>
      </c>
      <c r="CN8">
        <v>1.6353583120733133</v>
      </c>
      <c r="CO8">
        <v>506.30693341789771</v>
      </c>
      <c r="CP8">
        <v>2.8880274715553682</v>
      </c>
      <c r="CQ8">
        <v>894.1333051935419</v>
      </c>
      <c r="CR8">
        <v>0</v>
      </c>
      <c r="CS8">
        <v>0</v>
      </c>
      <c r="CT8">
        <v>3.3967442371871392</v>
      </c>
      <c r="CU8">
        <v>1051.6320158331382</v>
      </c>
    </row>
    <row r="9" spans="1:99" x14ac:dyDescent="0.2">
      <c r="C9" s="105" t="s">
        <v>175</v>
      </c>
      <c r="D9">
        <v>5</v>
      </c>
      <c r="E9">
        <v>3510</v>
      </c>
      <c r="F9">
        <v>5</v>
      </c>
      <c r="G9">
        <v>3510</v>
      </c>
      <c r="H9">
        <v>6</v>
      </c>
      <c r="I9">
        <v>4212</v>
      </c>
      <c r="J9">
        <v>3</v>
      </c>
      <c r="K9">
        <v>2106</v>
      </c>
      <c r="L9">
        <v>1.0702130942616639</v>
      </c>
      <c r="M9">
        <v>751.28959217168801</v>
      </c>
      <c r="N9">
        <v>2.4543925876923973</v>
      </c>
      <c r="O9">
        <v>1722.983596560063</v>
      </c>
      <c r="P9">
        <v>0</v>
      </c>
      <c r="Q9">
        <v>0</v>
      </c>
      <c r="R9">
        <v>2.361257154677284</v>
      </c>
      <c r="S9">
        <v>1657.6025225834535</v>
      </c>
      <c r="T9">
        <v>0</v>
      </c>
      <c r="U9">
        <v>0</v>
      </c>
      <c r="V9">
        <v>2.5634326461116883</v>
      </c>
      <c r="W9">
        <v>1799.5297175704052</v>
      </c>
      <c r="X9">
        <v>0</v>
      </c>
      <c r="Y9">
        <v>0</v>
      </c>
      <c r="Z9">
        <v>2.2526473707313102</v>
      </c>
      <c r="AA9">
        <v>1581.3584542533797</v>
      </c>
      <c r="AB9">
        <v>0</v>
      </c>
      <c r="AC9">
        <v>0</v>
      </c>
      <c r="AD9">
        <v>1.1374658121456165</v>
      </c>
      <c r="AE9">
        <v>798.50100012622272</v>
      </c>
      <c r="AF9">
        <v>1.8256662813283933</v>
      </c>
      <c r="AG9">
        <v>1281.6177294925321</v>
      </c>
      <c r="AH9">
        <v>0.99234822260358657</v>
      </c>
      <c r="AI9">
        <v>696.62845226771776</v>
      </c>
      <c r="AJ9">
        <v>0</v>
      </c>
      <c r="AK9">
        <v>0</v>
      </c>
      <c r="AL9">
        <v>2.7376894546983004</v>
      </c>
      <c r="AM9">
        <v>1921.8579971982069</v>
      </c>
      <c r="AN9">
        <v>1.3170358631666126</v>
      </c>
      <c r="AO9">
        <v>924.55917594296204</v>
      </c>
      <c r="AP9">
        <v>2.8641964042294856</v>
      </c>
      <c r="AQ9">
        <v>2010.6658757690989</v>
      </c>
      <c r="AR9">
        <v>0</v>
      </c>
      <c r="AS9">
        <v>0</v>
      </c>
      <c r="AT9">
        <v>1.6191477632072806</v>
      </c>
      <c r="AU9">
        <v>1136.6417297715109</v>
      </c>
      <c r="AV9">
        <v>0</v>
      </c>
      <c r="AW9">
        <v>0</v>
      </c>
      <c r="AX9">
        <v>2.1030680025753941</v>
      </c>
      <c r="AY9">
        <v>1476.3537378079266</v>
      </c>
      <c r="AZ9">
        <v>0</v>
      </c>
      <c r="BA9">
        <v>0</v>
      </c>
      <c r="BB9">
        <v>1.6224589038273365</v>
      </c>
      <c r="BC9">
        <v>1138.9661504867902</v>
      </c>
      <c r="BD9">
        <v>0</v>
      </c>
      <c r="BE9">
        <v>0</v>
      </c>
      <c r="BF9">
        <v>2.9548692885347023</v>
      </c>
      <c r="BG9">
        <v>2074.3182405513612</v>
      </c>
      <c r="BH9">
        <v>0</v>
      </c>
      <c r="BI9">
        <v>0</v>
      </c>
      <c r="BJ9">
        <v>1.5075127111294713</v>
      </c>
      <c r="BK9">
        <v>1058.2739232128888</v>
      </c>
      <c r="BL9">
        <v>1.2989233856770914</v>
      </c>
      <c r="BM9">
        <v>911.84421674531814</v>
      </c>
      <c r="BN9">
        <v>1.0883160548306825</v>
      </c>
      <c r="BO9">
        <v>763.99787049113911</v>
      </c>
      <c r="BP9">
        <v>1.4857348388980665</v>
      </c>
      <c r="BQ9">
        <v>1042.9858569064427</v>
      </c>
      <c r="BR9">
        <v>2.6236190607525378</v>
      </c>
      <c r="BS9">
        <v>1841.7805806482816</v>
      </c>
      <c r="BT9">
        <v>0</v>
      </c>
      <c r="BU9">
        <v>0</v>
      </c>
      <c r="BV9">
        <v>3.4218587971663417</v>
      </c>
      <c r="BW9">
        <v>2402.144875610772</v>
      </c>
      <c r="BX9">
        <v>0</v>
      </c>
      <c r="BY9">
        <v>0</v>
      </c>
      <c r="BZ9">
        <v>1.5530416185125762</v>
      </c>
      <c r="CA9">
        <v>1090.2352161958286</v>
      </c>
      <c r="CB9">
        <v>2.0298526417401215</v>
      </c>
      <c r="CC9">
        <v>1424.9565545015653</v>
      </c>
      <c r="CD9">
        <v>2.4262458837050995</v>
      </c>
      <c r="CE9">
        <v>1703.2246103609798</v>
      </c>
      <c r="CF9">
        <v>0</v>
      </c>
      <c r="CG9">
        <v>0</v>
      </c>
      <c r="CH9">
        <v>1.1743374836760916</v>
      </c>
      <c r="CI9">
        <v>824.38491354061625</v>
      </c>
      <c r="CJ9">
        <v>1.3196646772647496</v>
      </c>
      <c r="CK9">
        <v>926.40460343985421</v>
      </c>
      <c r="CL9">
        <v>1.2131229418525498</v>
      </c>
      <c r="CM9">
        <v>851.6123051804899</v>
      </c>
      <c r="CN9">
        <v>1.6353583120733133</v>
      </c>
      <c r="CO9">
        <v>1148.0215350754659</v>
      </c>
      <c r="CP9">
        <v>2.4754521184760296</v>
      </c>
      <c r="CQ9">
        <v>1737.7673871701727</v>
      </c>
      <c r="CR9">
        <v>0</v>
      </c>
      <c r="CS9">
        <v>0</v>
      </c>
      <c r="CT9">
        <v>3.3967442371871392</v>
      </c>
      <c r="CU9">
        <v>2384.5144545053718</v>
      </c>
    </row>
    <row r="10" spans="1:99" x14ac:dyDescent="0.2">
      <c r="C10" s="105" t="s">
        <v>176</v>
      </c>
      <c r="D10">
        <v>5</v>
      </c>
      <c r="E10">
        <v>2724</v>
      </c>
      <c r="F10">
        <v>6</v>
      </c>
      <c r="G10">
        <v>3268.7999999999997</v>
      </c>
      <c r="H10">
        <v>5</v>
      </c>
      <c r="I10">
        <v>2724</v>
      </c>
      <c r="J10">
        <v>3</v>
      </c>
      <c r="K10">
        <v>1634.3999999999999</v>
      </c>
      <c r="L10">
        <v>1.0702130942616639</v>
      </c>
      <c r="M10">
        <v>583.05209375375443</v>
      </c>
      <c r="N10">
        <v>2.4543925876923973</v>
      </c>
      <c r="O10">
        <v>1337.153081774818</v>
      </c>
      <c r="P10">
        <v>0</v>
      </c>
      <c r="Q10">
        <v>0</v>
      </c>
      <c r="R10">
        <v>2.361257154677284</v>
      </c>
      <c r="S10">
        <v>1286.4128978681842</v>
      </c>
      <c r="T10">
        <v>0</v>
      </c>
      <c r="U10">
        <v>0</v>
      </c>
      <c r="V10">
        <v>2.5634326461116883</v>
      </c>
      <c r="W10">
        <v>1396.5581056016476</v>
      </c>
      <c r="X10">
        <v>0</v>
      </c>
      <c r="Y10">
        <v>0</v>
      </c>
      <c r="Z10">
        <v>2.2526473707313102</v>
      </c>
      <c r="AA10">
        <v>1227.2422875744176</v>
      </c>
      <c r="AB10">
        <v>0</v>
      </c>
      <c r="AC10">
        <v>0</v>
      </c>
      <c r="AD10">
        <v>1.1374658121456165</v>
      </c>
      <c r="AE10">
        <v>619.69137445693184</v>
      </c>
      <c r="AF10">
        <v>1.8256662813283933</v>
      </c>
      <c r="AG10">
        <v>994.62299006770854</v>
      </c>
      <c r="AH10">
        <v>0.99234822260358657</v>
      </c>
      <c r="AI10">
        <v>540.63131167443396</v>
      </c>
      <c r="AJ10">
        <v>0</v>
      </c>
      <c r="AK10">
        <v>0</v>
      </c>
      <c r="AL10">
        <v>2.7376894546983004</v>
      </c>
      <c r="AM10">
        <v>1491.4932149196338</v>
      </c>
      <c r="AN10">
        <v>1.3170358631666126</v>
      </c>
      <c r="AO10">
        <v>717.52113825317042</v>
      </c>
      <c r="AP10">
        <v>2.3868303368579045</v>
      </c>
      <c r="AQ10">
        <v>1300.3451675201864</v>
      </c>
      <c r="AR10">
        <v>0</v>
      </c>
      <c r="AS10">
        <v>0</v>
      </c>
      <c r="AT10">
        <v>2.1588636842763744</v>
      </c>
      <c r="AU10">
        <v>1176.1489351937687</v>
      </c>
      <c r="AV10">
        <v>0</v>
      </c>
      <c r="AW10">
        <v>0</v>
      </c>
      <c r="AX10">
        <v>2.6288350032192431</v>
      </c>
      <c r="AY10">
        <v>1432.1893097538436</v>
      </c>
      <c r="AZ10">
        <v>0</v>
      </c>
      <c r="BA10">
        <v>0</v>
      </c>
      <c r="BB10">
        <v>2.1632785384364488</v>
      </c>
      <c r="BC10">
        <v>1178.5541477401773</v>
      </c>
      <c r="BD10">
        <v>0</v>
      </c>
      <c r="BE10">
        <v>0</v>
      </c>
      <c r="BF10">
        <v>2.4623910737789183</v>
      </c>
      <c r="BG10">
        <v>1341.5106569947545</v>
      </c>
      <c r="BH10">
        <v>0</v>
      </c>
      <c r="BI10">
        <v>0</v>
      </c>
      <c r="BJ10">
        <v>1.2921537523966897</v>
      </c>
      <c r="BK10">
        <v>703.96536430571655</v>
      </c>
      <c r="BL10">
        <v>1.5587080628125098</v>
      </c>
      <c r="BM10">
        <v>849.1841526202553</v>
      </c>
      <c r="BN10">
        <v>1.0883160548306825</v>
      </c>
      <c r="BO10">
        <v>592.91458667175573</v>
      </c>
      <c r="BP10">
        <v>1.2734870047697713</v>
      </c>
      <c r="BQ10">
        <v>693.7957201985713</v>
      </c>
      <c r="BR10">
        <v>2.6236190607525378</v>
      </c>
      <c r="BS10">
        <v>1429.3476642979824</v>
      </c>
      <c r="BT10">
        <v>0</v>
      </c>
      <c r="BU10">
        <v>0</v>
      </c>
      <c r="BV10">
        <v>3.4218587971663417</v>
      </c>
      <c r="BW10">
        <v>1864.2286726962227</v>
      </c>
      <c r="BX10">
        <v>0</v>
      </c>
      <c r="BY10">
        <v>0</v>
      </c>
      <c r="BZ10">
        <v>1.5530416185125762</v>
      </c>
      <c r="CA10">
        <v>846.09707376565143</v>
      </c>
      <c r="CB10">
        <v>2.0298526417401215</v>
      </c>
      <c r="CC10">
        <v>1105.8637192200181</v>
      </c>
      <c r="CD10">
        <v>2.4262458837050995</v>
      </c>
      <c r="CE10">
        <v>1321.8187574425381</v>
      </c>
      <c r="CF10">
        <v>0</v>
      </c>
      <c r="CG10">
        <v>0</v>
      </c>
      <c r="CH10">
        <v>0.93946998694087336</v>
      </c>
      <c r="CI10">
        <v>511.82324888538778</v>
      </c>
      <c r="CJ10">
        <v>1.3196646772647496</v>
      </c>
      <c r="CK10">
        <v>718.95331617383545</v>
      </c>
      <c r="CL10">
        <v>0.97049835348203983</v>
      </c>
      <c r="CM10">
        <v>528.72750297701521</v>
      </c>
      <c r="CN10">
        <v>1.4017356960628402</v>
      </c>
      <c r="CO10">
        <v>763.66560721503527</v>
      </c>
      <c r="CP10">
        <v>2.8880274715553682</v>
      </c>
      <c r="CQ10">
        <v>1573.3973665033645</v>
      </c>
      <c r="CR10">
        <v>0</v>
      </c>
      <c r="CS10">
        <v>0</v>
      </c>
      <c r="CT10">
        <v>3.3967442371871392</v>
      </c>
      <c r="CU10">
        <v>1850.5462604195534</v>
      </c>
    </row>
    <row r="11" spans="1:99" x14ac:dyDescent="0.2">
      <c r="C11" s="105" t="s">
        <v>177</v>
      </c>
      <c r="D11">
        <v>5</v>
      </c>
      <c r="E11">
        <v>2664</v>
      </c>
      <c r="F11">
        <v>5</v>
      </c>
      <c r="G11">
        <v>2664</v>
      </c>
      <c r="H11">
        <v>5</v>
      </c>
      <c r="I11">
        <v>2664</v>
      </c>
      <c r="J11">
        <v>3</v>
      </c>
      <c r="K11">
        <v>1598.3999999999999</v>
      </c>
      <c r="L11">
        <v>1.4269507923488853</v>
      </c>
      <c r="M11">
        <v>760.27938216348605</v>
      </c>
      <c r="N11">
        <v>2.4543925876923973</v>
      </c>
      <c r="O11">
        <v>1307.7003707225092</v>
      </c>
      <c r="P11">
        <v>0</v>
      </c>
      <c r="Q11">
        <v>0</v>
      </c>
      <c r="R11">
        <v>2.361257154677284</v>
      </c>
      <c r="S11">
        <v>1258.0778120120567</v>
      </c>
      <c r="T11">
        <v>0</v>
      </c>
      <c r="U11">
        <v>0</v>
      </c>
      <c r="V11">
        <v>2.5634326461116883</v>
      </c>
      <c r="W11">
        <v>1365.7969138483074</v>
      </c>
      <c r="X11">
        <v>0</v>
      </c>
      <c r="Y11">
        <v>0</v>
      </c>
      <c r="Z11">
        <v>2.2526473707313102</v>
      </c>
      <c r="AA11">
        <v>1200.2105191256419</v>
      </c>
      <c r="AB11">
        <v>0</v>
      </c>
      <c r="AC11">
        <v>0</v>
      </c>
      <c r="AD11">
        <v>1.1374658121456165</v>
      </c>
      <c r="AE11">
        <v>606.04178471118439</v>
      </c>
      <c r="AF11">
        <v>1.8256662813283933</v>
      </c>
      <c r="AG11">
        <v>972.71499469176786</v>
      </c>
      <c r="AH11">
        <v>0.99234822260358657</v>
      </c>
      <c r="AI11">
        <v>528.72313300319092</v>
      </c>
      <c r="AJ11">
        <v>0</v>
      </c>
      <c r="AK11">
        <v>0</v>
      </c>
      <c r="AL11">
        <v>2.1901515637586404</v>
      </c>
      <c r="AM11">
        <v>1166.9127531706035</v>
      </c>
      <c r="AN11">
        <v>1.5804430357999353</v>
      </c>
      <c r="AO11">
        <v>842.06004947420547</v>
      </c>
      <c r="AP11">
        <v>2.8641964042294856</v>
      </c>
      <c r="AQ11">
        <v>1526.0438441734698</v>
      </c>
      <c r="AR11">
        <v>0</v>
      </c>
      <c r="AS11">
        <v>0</v>
      </c>
      <c r="AT11">
        <v>2.1588636842763744</v>
      </c>
      <c r="AU11">
        <v>1150.2425709824522</v>
      </c>
      <c r="AV11">
        <v>0</v>
      </c>
      <c r="AW11">
        <v>0</v>
      </c>
      <c r="AX11">
        <v>2.6288350032192431</v>
      </c>
      <c r="AY11">
        <v>1400.6432897152126</v>
      </c>
      <c r="AZ11">
        <v>0</v>
      </c>
      <c r="BA11">
        <v>0</v>
      </c>
      <c r="BB11">
        <v>2.1632785384364488</v>
      </c>
      <c r="BC11">
        <v>1152.5948052789399</v>
      </c>
      <c r="BD11">
        <v>0</v>
      </c>
      <c r="BE11">
        <v>0</v>
      </c>
      <c r="BF11">
        <v>3.4473475032904859</v>
      </c>
      <c r="BG11">
        <v>1836.7467497531707</v>
      </c>
      <c r="BH11">
        <v>0</v>
      </c>
      <c r="BI11">
        <v>0</v>
      </c>
      <c r="BJ11">
        <v>1.2921537523966897</v>
      </c>
      <c r="BK11">
        <v>688.45951927695626</v>
      </c>
      <c r="BL11">
        <v>1.5587080628125098</v>
      </c>
      <c r="BM11">
        <v>830.47965586650514</v>
      </c>
      <c r="BN11">
        <v>1.0883160548306825</v>
      </c>
      <c r="BO11">
        <v>579.85479401378757</v>
      </c>
      <c r="BP11">
        <v>1.2734870047697713</v>
      </c>
      <c r="BQ11">
        <v>678.51387614133409</v>
      </c>
      <c r="BR11">
        <v>2.6236190607525378</v>
      </c>
      <c r="BS11">
        <v>1397.8642355689519</v>
      </c>
      <c r="BT11">
        <v>0</v>
      </c>
      <c r="BU11">
        <v>0</v>
      </c>
      <c r="BV11">
        <v>3.4218587971663417</v>
      </c>
      <c r="BW11">
        <v>1823.1663671302267</v>
      </c>
      <c r="BX11">
        <v>0</v>
      </c>
      <c r="BY11">
        <v>0</v>
      </c>
      <c r="BZ11">
        <v>1.5530416185125762</v>
      </c>
      <c r="CA11">
        <v>827.46057434350053</v>
      </c>
      <c r="CB11">
        <v>2.0298526417401215</v>
      </c>
      <c r="CC11">
        <v>1081.5054875191365</v>
      </c>
      <c r="CD11">
        <v>2.4262458837050995</v>
      </c>
      <c r="CE11">
        <v>1292.7038068380768</v>
      </c>
      <c r="CF11">
        <v>0</v>
      </c>
      <c r="CG11">
        <v>0</v>
      </c>
      <c r="CH11">
        <v>0.93946998694087336</v>
      </c>
      <c r="CI11">
        <v>500.5496090420973</v>
      </c>
      <c r="CJ11">
        <v>1.3196646772647496</v>
      </c>
      <c r="CK11">
        <v>703.11734004665846</v>
      </c>
      <c r="CL11">
        <v>0.97049835348203983</v>
      </c>
      <c r="CM11">
        <v>517.08152273523081</v>
      </c>
      <c r="CN11">
        <v>1.6353583120733133</v>
      </c>
      <c r="CO11">
        <v>871.31890867266122</v>
      </c>
      <c r="CP11">
        <v>2.8880274715553682</v>
      </c>
      <c r="CQ11">
        <v>1538.7410368447001</v>
      </c>
      <c r="CR11">
        <v>0</v>
      </c>
      <c r="CS11">
        <v>0</v>
      </c>
      <c r="CT11">
        <v>3.3967442371871392</v>
      </c>
      <c r="CU11">
        <v>1809.7853295733075</v>
      </c>
    </row>
    <row r="12" spans="1:99" x14ac:dyDescent="0.2">
      <c r="C12" s="105" t="s">
        <v>178</v>
      </c>
      <c r="D12">
        <v>5</v>
      </c>
      <c r="E12">
        <v>2814</v>
      </c>
      <c r="F12">
        <v>5</v>
      </c>
      <c r="G12">
        <v>2814</v>
      </c>
      <c r="H12">
        <v>6</v>
      </c>
      <c r="I12">
        <v>3376.7999999999997</v>
      </c>
      <c r="J12">
        <v>3</v>
      </c>
      <c r="K12">
        <v>1688.3999999999999</v>
      </c>
      <c r="L12">
        <v>1.0702130942616639</v>
      </c>
      <c r="M12">
        <v>602.31592945046441</v>
      </c>
      <c r="N12">
        <v>1.840794440769298</v>
      </c>
      <c r="O12">
        <v>1035.9991112649609</v>
      </c>
      <c r="P12">
        <v>0</v>
      </c>
      <c r="Q12">
        <v>0</v>
      </c>
      <c r="R12">
        <v>2.361257154677284</v>
      </c>
      <c r="S12">
        <v>1328.9155266523753</v>
      </c>
      <c r="T12">
        <v>0</v>
      </c>
      <c r="U12">
        <v>0</v>
      </c>
      <c r="V12">
        <v>2.5634326461116883</v>
      </c>
      <c r="W12">
        <v>1442.6998932316581</v>
      </c>
      <c r="X12">
        <v>0</v>
      </c>
      <c r="Y12">
        <v>0</v>
      </c>
      <c r="Z12">
        <v>2.2526473707313102</v>
      </c>
      <c r="AA12">
        <v>1267.7899402475812</v>
      </c>
      <c r="AB12">
        <v>0</v>
      </c>
      <c r="AC12">
        <v>0</v>
      </c>
      <c r="AD12">
        <v>1.1374658121456165</v>
      </c>
      <c r="AE12">
        <v>640.16575907555296</v>
      </c>
      <c r="AF12">
        <v>1.5648568125671942</v>
      </c>
      <c r="AG12">
        <v>880.70141411281679</v>
      </c>
      <c r="AH12">
        <v>1.2404352782544834</v>
      </c>
      <c r="AI12">
        <v>698.11697460162316</v>
      </c>
      <c r="AJ12">
        <v>0</v>
      </c>
      <c r="AK12">
        <v>0</v>
      </c>
      <c r="AL12">
        <v>2.7376894546983004</v>
      </c>
      <c r="AM12">
        <v>1540.7716251042034</v>
      </c>
      <c r="AN12">
        <v>1.5804430357999353</v>
      </c>
      <c r="AO12">
        <v>889.47334054820351</v>
      </c>
      <c r="AP12">
        <v>2.3868303368579045</v>
      </c>
      <c r="AQ12">
        <v>1343.3081135836285</v>
      </c>
      <c r="AR12">
        <v>0</v>
      </c>
      <c r="AS12">
        <v>0</v>
      </c>
      <c r="AT12">
        <v>2.1588636842763744</v>
      </c>
      <c r="AU12">
        <v>1215.0084815107434</v>
      </c>
      <c r="AV12">
        <v>0</v>
      </c>
      <c r="AW12">
        <v>0</v>
      </c>
      <c r="AX12">
        <v>2.6288350032192431</v>
      </c>
      <c r="AY12">
        <v>1479.5083398117899</v>
      </c>
      <c r="AZ12">
        <v>0</v>
      </c>
      <c r="BA12">
        <v>0</v>
      </c>
      <c r="BB12">
        <v>2.1632785384364488</v>
      </c>
      <c r="BC12">
        <v>1217.4931614320333</v>
      </c>
      <c r="BD12">
        <v>0</v>
      </c>
      <c r="BE12">
        <v>0</v>
      </c>
      <c r="BF12">
        <v>2.9548692885347023</v>
      </c>
      <c r="BG12">
        <v>1663.0004355873302</v>
      </c>
      <c r="BH12">
        <v>0</v>
      </c>
      <c r="BI12">
        <v>0</v>
      </c>
      <c r="BJ12">
        <v>1.5075127111294713</v>
      </c>
      <c r="BK12">
        <v>848.42815382366632</v>
      </c>
      <c r="BL12">
        <v>1.5587080628125098</v>
      </c>
      <c r="BM12">
        <v>877.24089775088044</v>
      </c>
      <c r="BN12">
        <v>0.81623704112301176</v>
      </c>
      <c r="BO12">
        <v>459.37820674403099</v>
      </c>
      <c r="BP12">
        <v>1.4857348388980665</v>
      </c>
      <c r="BQ12">
        <v>836.17156733183174</v>
      </c>
      <c r="BR12">
        <v>2.6236190607525378</v>
      </c>
      <c r="BS12">
        <v>1476.5728073915282</v>
      </c>
      <c r="BT12">
        <v>0</v>
      </c>
      <c r="BU12">
        <v>0</v>
      </c>
      <c r="BV12">
        <v>2.9330218261425784</v>
      </c>
      <c r="BW12">
        <v>1650.7046837530431</v>
      </c>
      <c r="BX12">
        <v>0</v>
      </c>
      <c r="BY12">
        <v>0</v>
      </c>
      <c r="BZ12">
        <v>1.5530416185125762</v>
      </c>
      <c r="CA12">
        <v>874.05182289887784</v>
      </c>
      <c r="CB12">
        <v>2.0298526417401215</v>
      </c>
      <c r="CC12">
        <v>1142.4010667713403</v>
      </c>
      <c r="CD12">
        <v>2.4262458837050995</v>
      </c>
      <c r="CE12">
        <v>1365.4911833492299</v>
      </c>
      <c r="CF12">
        <v>0</v>
      </c>
      <c r="CG12">
        <v>0</v>
      </c>
      <c r="CH12">
        <v>0.93946998694087336</v>
      </c>
      <c r="CI12">
        <v>528.73370865032348</v>
      </c>
      <c r="CJ12">
        <v>1.5835976127176996</v>
      </c>
      <c r="CK12">
        <v>891.2487364375213</v>
      </c>
      <c r="CL12">
        <v>1.2131229418525498</v>
      </c>
      <c r="CM12">
        <v>682.74559167461496</v>
      </c>
      <c r="CN12">
        <v>1.6353583120733133</v>
      </c>
      <c r="CO12">
        <v>920.37965803486065</v>
      </c>
      <c r="CP12">
        <v>2.8880274715553682</v>
      </c>
      <c r="CQ12">
        <v>1625.381860991361</v>
      </c>
      <c r="CR12">
        <v>0</v>
      </c>
      <c r="CS12">
        <v>0</v>
      </c>
      <c r="CT12">
        <v>3.8819934139281593</v>
      </c>
      <c r="CU12">
        <v>2184.7858933587677</v>
      </c>
    </row>
    <row r="13" spans="1:99" x14ac:dyDescent="0.2">
      <c r="C13" s="105" t="s">
        <v>179</v>
      </c>
      <c r="D13">
        <v>5</v>
      </c>
      <c r="E13">
        <v>426</v>
      </c>
      <c r="F13">
        <v>6</v>
      </c>
      <c r="G13">
        <v>511.20000000000005</v>
      </c>
      <c r="H13">
        <v>5</v>
      </c>
      <c r="I13">
        <v>426</v>
      </c>
      <c r="J13">
        <v>4</v>
      </c>
      <c r="K13">
        <v>340.8</v>
      </c>
      <c r="L13">
        <v>1.0702130942616639</v>
      </c>
      <c r="M13">
        <v>91.182155631093764</v>
      </c>
      <c r="N13">
        <v>2.4543925876923973</v>
      </c>
      <c r="O13">
        <v>209.11424847139227</v>
      </c>
      <c r="P13">
        <v>0</v>
      </c>
      <c r="Q13">
        <v>0</v>
      </c>
      <c r="R13">
        <v>2.361257154677284</v>
      </c>
      <c r="S13">
        <v>201.17910957850461</v>
      </c>
      <c r="T13">
        <v>0</v>
      </c>
      <c r="U13">
        <v>0</v>
      </c>
      <c r="V13">
        <v>2.5634326461116883</v>
      </c>
      <c r="W13">
        <v>218.40446144871586</v>
      </c>
      <c r="X13">
        <v>0</v>
      </c>
      <c r="Y13">
        <v>0</v>
      </c>
      <c r="Z13">
        <v>2.7031768448775724</v>
      </c>
      <c r="AA13">
        <v>230.31066718356917</v>
      </c>
      <c r="AB13">
        <v>0</v>
      </c>
      <c r="AC13">
        <v>0</v>
      </c>
      <c r="AD13">
        <v>1.1374658121456165</v>
      </c>
      <c r="AE13">
        <v>96.912087194806531</v>
      </c>
      <c r="AF13">
        <v>1.5648568125671942</v>
      </c>
      <c r="AG13">
        <v>133.32580043072494</v>
      </c>
      <c r="AH13">
        <v>0.99234822260358657</v>
      </c>
      <c r="AI13">
        <v>84.548068565825574</v>
      </c>
      <c r="AJ13">
        <v>0</v>
      </c>
      <c r="AK13">
        <v>0</v>
      </c>
      <c r="AL13">
        <v>2.7376894546983004</v>
      </c>
      <c r="AM13">
        <v>233.25114154029521</v>
      </c>
      <c r="AN13">
        <v>1.5804430357999353</v>
      </c>
      <c r="AO13">
        <v>134.65374665015449</v>
      </c>
      <c r="AP13">
        <v>2.8641964042294856</v>
      </c>
      <c r="AQ13">
        <v>244.02953364035218</v>
      </c>
      <c r="AR13">
        <v>0</v>
      </c>
      <c r="AS13">
        <v>0</v>
      </c>
      <c r="AT13">
        <v>2.1588636842763744</v>
      </c>
      <c r="AU13">
        <v>183.93518590034711</v>
      </c>
      <c r="AV13">
        <v>0</v>
      </c>
      <c r="AW13">
        <v>0</v>
      </c>
      <c r="AX13">
        <v>2.6288350032192431</v>
      </c>
      <c r="AY13">
        <v>223.97674227427953</v>
      </c>
      <c r="AZ13">
        <v>0</v>
      </c>
      <c r="BA13">
        <v>0</v>
      </c>
      <c r="BB13">
        <v>2.1632785384364488</v>
      </c>
      <c r="BC13">
        <v>184.31133147478545</v>
      </c>
      <c r="BD13">
        <v>0</v>
      </c>
      <c r="BE13">
        <v>0</v>
      </c>
      <c r="BF13">
        <v>2.9548692885347023</v>
      </c>
      <c r="BG13">
        <v>251.75486338315665</v>
      </c>
      <c r="BH13">
        <v>0</v>
      </c>
      <c r="BI13">
        <v>0</v>
      </c>
      <c r="BJ13">
        <v>1.2921537523966897</v>
      </c>
      <c r="BK13">
        <v>110.09149970419797</v>
      </c>
      <c r="BL13">
        <v>1.5587080628125098</v>
      </c>
      <c r="BM13">
        <v>132.80192695162583</v>
      </c>
      <c r="BN13">
        <v>1.0883160548306825</v>
      </c>
      <c r="BO13">
        <v>92.724527871574153</v>
      </c>
      <c r="BP13">
        <v>1.4857348388980665</v>
      </c>
      <c r="BQ13">
        <v>126.58460827411527</v>
      </c>
      <c r="BR13">
        <v>2.6236190607525378</v>
      </c>
      <c r="BS13">
        <v>223.53234397611624</v>
      </c>
      <c r="BT13">
        <v>0</v>
      </c>
      <c r="BU13">
        <v>0</v>
      </c>
      <c r="BV13">
        <v>3.4218587971663417</v>
      </c>
      <c r="BW13">
        <v>291.54236951857234</v>
      </c>
      <c r="BX13">
        <v>0</v>
      </c>
      <c r="BY13">
        <v>0</v>
      </c>
      <c r="BZ13">
        <v>1.7749047068715156</v>
      </c>
      <c r="CA13">
        <v>151.22188102545314</v>
      </c>
      <c r="CB13">
        <v>2.0298526417401215</v>
      </c>
      <c r="CC13">
        <v>172.94344507625834</v>
      </c>
      <c r="CD13">
        <v>2.4262458837050995</v>
      </c>
      <c r="CE13">
        <v>206.7161492916745</v>
      </c>
      <c r="CF13">
        <v>0</v>
      </c>
      <c r="CG13">
        <v>0</v>
      </c>
      <c r="CH13">
        <v>1.1743374836760916</v>
      </c>
      <c r="CI13">
        <v>100.05355360920301</v>
      </c>
      <c r="CJ13">
        <v>1.3196646772647496</v>
      </c>
      <c r="CK13">
        <v>112.43543050295666</v>
      </c>
      <c r="CL13">
        <v>1.2131229418525498</v>
      </c>
      <c r="CM13">
        <v>103.35807464583725</v>
      </c>
      <c r="CN13">
        <v>1.6353583120733133</v>
      </c>
      <c r="CO13">
        <v>139.33252818864631</v>
      </c>
      <c r="CP13">
        <v>2.8880274715553682</v>
      </c>
      <c r="CQ13">
        <v>246.05994057651739</v>
      </c>
      <c r="CR13">
        <v>0</v>
      </c>
      <c r="CS13">
        <v>0</v>
      </c>
      <c r="CT13">
        <v>3.8819934139281593</v>
      </c>
      <c r="CU13">
        <v>330.74583886667921</v>
      </c>
    </row>
    <row r="14" spans="1:99" x14ac:dyDescent="0.2">
      <c r="C14" s="105" t="s">
        <v>180</v>
      </c>
      <c r="D14">
        <v>5</v>
      </c>
      <c r="E14">
        <v>2442</v>
      </c>
      <c r="F14">
        <v>6</v>
      </c>
      <c r="G14">
        <v>2930.3999999999996</v>
      </c>
      <c r="H14">
        <v>5</v>
      </c>
      <c r="I14">
        <v>2442</v>
      </c>
      <c r="J14">
        <v>3</v>
      </c>
      <c r="K14">
        <v>1465.1999999999998</v>
      </c>
      <c r="L14">
        <v>1.0702130942616639</v>
      </c>
      <c r="M14">
        <v>522.69207523739658</v>
      </c>
      <c r="N14">
        <v>2.4543925876923973</v>
      </c>
      <c r="O14">
        <v>1198.7253398289668</v>
      </c>
      <c r="P14">
        <v>0</v>
      </c>
      <c r="Q14">
        <v>0</v>
      </c>
      <c r="R14">
        <v>2.361257154677284</v>
      </c>
      <c r="S14">
        <v>1153.2379943443855</v>
      </c>
      <c r="T14">
        <v>0</v>
      </c>
      <c r="U14">
        <v>0</v>
      </c>
      <c r="V14">
        <v>2.5634326461116883</v>
      </c>
      <c r="W14">
        <v>1251.9805043609485</v>
      </c>
      <c r="X14">
        <v>0</v>
      </c>
      <c r="Y14">
        <v>0</v>
      </c>
      <c r="Z14">
        <v>2.7031768448775724</v>
      </c>
      <c r="AA14">
        <v>1320.2315710382063</v>
      </c>
      <c r="AB14">
        <v>0</v>
      </c>
      <c r="AC14">
        <v>0</v>
      </c>
      <c r="AD14">
        <v>1.1374658121456165</v>
      </c>
      <c r="AE14">
        <v>555.53830265191903</v>
      </c>
      <c r="AF14">
        <v>1.5648568125671942</v>
      </c>
      <c r="AG14">
        <v>764.27606725781766</v>
      </c>
      <c r="AH14">
        <v>1.2404352782544834</v>
      </c>
      <c r="AI14">
        <v>605.82858989948966</v>
      </c>
      <c r="AJ14">
        <v>0</v>
      </c>
      <c r="AK14">
        <v>0</v>
      </c>
      <c r="AL14">
        <v>2.7376894546983004</v>
      </c>
      <c r="AM14">
        <v>1337.0875296746499</v>
      </c>
      <c r="AN14">
        <v>1.5804430357999353</v>
      </c>
      <c r="AO14">
        <v>771.8883786846884</v>
      </c>
      <c r="AP14">
        <v>2.8641964042294856</v>
      </c>
      <c r="AQ14">
        <v>1398.8735238256806</v>
      </c>
      <c r="AR14">
        <v>0</v>
      </c>
      <c r="AS14">
        <v>0</v>
      </c>
      <c r="AT14">
        <v>2.1588636842763744</v>
      </c>
      <c r="AU14">
        <v>1054.3890234005812</v>
      </c>
      <c r="AV14">
        <v>0</v>
      </c>
      <c r="AW14">
        <v>0</v>
      </c>
      <c r="AX14">
        <v>2.6288350032192431</v>
      </c>
      <c r="AY14">
        <v>1283.9230155722782</v>
      </c>
      <c r="AZ14">
        <v>0</v>
      </c>
      <c r="BA14">
        <v>0</v>
      </c>
      <c r="BB14">
        <v>2.1632785384364488</v>
      </c>
      <c r="BC14">
        <v>1056.5452381723615</v>
      </c>
      <c r="BD14">
        <v>0</v>
      </c>
      <c r="BE14">
        <v>0</v>
      </c>
      <c r="BF14">
        <v>2.9548692885347023</v>
      </c>
      <c r="BG14">
        <v>1443.1581605203485</v>
      </c>
      <c r="BH14">
        <v>0</v>
      </c>
      <c r="BI14">
        <v>0</v>
      </c>
      <c r="BJ14">
        <v>1.2921537523966897</v>
      </c>
      <c r="BK14">
        <v>631.08789267054328</v>
      </c>
      <c r="BL14">
        <v>1.2989233856770914</v>
      </c>
      <c r="BM14">
        <v>634.39418156469139</v>
      </c>
      <c r="BN14">
        <v>1.0883160548306825</v>
      </c>
      <c r="BO14">
        <v>531.53356117930525</v>
      </c>
      <c r="BP14">
        <v>1.2734870047697713</v>
      </c>
      <c r="BQ14">
        <v>621.97105312955625</v>
      </c>
      <c r="BR14">
        <v>2.6236190607525378</v>
      </c>
      <c r="BS14">
        <v>1281.3755492715395</v>
      </c>
      <c r="BT14">
        <v>0</v>
      </c>
      <c r="BU14">
        <v>0</v>
      </c>
      <c r="BV14">
        <v>3.4218587971663417</v>
      </c>
      <c r="BW14">
        <v>1671.2358365360412</v>
      </c>
      <c r="BX14">
        <v>0</v>
      </c>
      <c r="BY14">
        <v>0</v>
      </c>
      <c r="BZ14">
        <v>1.5530416185125762</v>
      </c>
      <c r="CA14">
        <v>758.50552648154212</v>
      </c>
      <c r="CB14">
        <v>1.739873692920104</v>
      </c>
      <c r="CC14">
        <v>849.75431162217876</v>
      </c>
      <c r="CD14">
        <v>2.4262458837050995</v>
      </c>
      <c r="CE14">
        <v>1184.9784896015706</v>
      </c>
      <c r="CF14">
        <v>0</v>
      </c>
      <c r="CG14">
        <v>0</v>
      </c>
      <c r="CH14">
        <v>0.93946998694087336</v>
      </c>
      <c r="CI14">
        <v>458.83714162192251</v>
      </c>
      <c r="CJ14">
        <v>1.3196646772647496</v>
      </c>
      <c r="CK14">
        <v>644.52422837610368</v>
      </c>
      <c r="CL14">
        <v>0.97049835348203983</v>
      </c>
      <c r="CM14">
        <v>473.99139584062823</v>
      </c>
      <c r="CN14">
        <v>1.6353583120733133</v>
      </c>
      <c r="CO14">
        <v>798.70899961660621</v>
      </c>
      <c r="CP14">
        <v>3.3006028246347063</v>
      </c>
      <c r="CQ14">
        <v>1612.0144195515904</v>
      </c>
      <c r="CR14">
        <v>0</v>
      </c>
      <c r="CS14">
        <v>0</v>
      </c>
      <c r="CT14">
        <v>3.8819934139281593</v>
      </c>
      <c r="CU14">
        <v>1895.9655833625129</v>
      </c>
    </row>
    <row r="15" spans="1:99" x14ac:dyDescent="0.2">
      <c r="C15" s="105" t="s">
        <v>181</v>
      </c>
      <c r="D15">
        <v>5</v>
      </c>
      <c r="E15">
        <v>3815.9999999999995</v>
      </c>
      <c r="F15">
        <v>6</v>
      </c>
      <c r="G15">
        <v>4579.2</v>
      </c>
      <c r="H15">
        <v>5</v>
      </c>
      <c r="I15">
        <v>3815.9999999999995</v>
      </c>
      <c r="J15">
        <v>3</v>
      </c>
      <c r="K15">
        <v>2289.6</v>
      </c>
      <c r="L15">
        <v>1.4269507923488853</v>
      </c>
      <c r="M15">
        <v>1089.0488447206692</v>
      </c>
      <c r="N15">
        <v>2.4543925876923973</v>
      </c>
      <c r="O15">
        <v>1873.1924229268375</v>
      </c>
      <c r="P15">
        <v>0</v>
      </c>
      <c r="Q15">
        <v>0</v>
      </c>
      <c r="R15">
        <v>2.361257154677284</v>
      </c>
      <c r="S15">
        <v>1802.1114604497029</v>
      </c>
      <c r="T15">
        <v>0</v>
      </c>
      <c r="U15">
        <v>0</v>
      </c>
      <c r="V15">
        <v>2.9906714204636362</v>
      </c>
      <c r="W15">
        <v>2282.4804280978469</v>
      </c>
      <c r="X15">
        <v>0</v>
      </c>
      <c r="Y15">
        <v>0</v>
      </c>
      <c r="Z15">
        <v>2.7031768448775724</v>
      </c>
      <c r="AA15">
        <v>2063.0645680105631</v>
      </c>
      <c r="AB15">
        <v>0</v>
      </c>
      <c r="AC15">
        <v>0</v>
      </c>
      <c r="AD15">
        <v>1.1374658121456165</v>
      </c>
      <c r="AE15">
        <v>868.11390782953447</v>
      </c>
      <c r="AF15">
        <v>1.5648568125671942</v>
      </c>
      <c r="AG15">
        <v>1194.2987193512824</v>
      </c>
      <c r="AH15">
        <v>0.99234822260358657</v>
      </c>
      <c r="AI15">
        <v>757.36016349105716</v>
      </c>
      <c r="AJ15">
        <v>0</v>
      </c>
      <c r="AK15">
        <v>0</v>
      </c>
      <c r="AL15">
        <v>2.7376894546983004</v>
      </c>
      <c r="AM15">
        <v>2089.4045918257425</v>
      </c>
      <c r="AN15">
        <v>1.5804430357999353</v>
      </c>
      <c r="AO15">
        <v>1206.1941249225106</v>
      </c>
      <c r="AP15">
        <v>2.8641964042294856</v>
      </c>
      <c r="AQ15">
        <v>2185.9546957079433</v>
      </c>
      <c r="AR15">
        <v>0</v>
      </c>
      <c r="AS15">
        <v>0</v>
      </c>
      <c r="AT15">
        <v>1.6191477632072806</v>
      </c>
      <c r="AU15">
        <v>1235.7335728797964</v>
      </c>
      <c r="AV15">
        <v>0</v>
      </c>
      <c r="AW15">
        <v>0</v>
      </c>
      <c r="AX15">
        <v>2.6288350032192431</v>
      </c>
      <c r="AY15">
        <v>2006.3268744569261</v>
      </c>
      <c r="AZ15">
        <v>0</v>
      </c>
      <c r="BA15">
        <v>0</v>
      </c>
      <c r="BB15">
        <v>1.6224589038273365</v>
      </c>
      <c r="BC15">
        <v>1238.2606354010231</v>
      </c>
      <c r="BD15">
        <v>0</v>
      </c>
      <c r="BE15">
        <v>0</v>
      </c>
      <c r="BF15">
        <v>2.9548692885347023</v>
      </c>
      <c r="BG15">
        <v>2255.1562410096844</v>
      </c>
      <c r="BH15">
        <v>0</v>
      </c>
      <c r="BI15">
        <v>0</v>
      </c>
      <c r="BJ15">
        <v>1.5075127111294713</v>
      </c>
      <c r="BK15">
        <v>1150.5337011340123</v>
      </c>
      <c r="BL15">
        <v>1.5587080628125098</v>
      </c>
      <c r="BM15">
        <v>1189.6059935385074</v>
      </c>
      <c r="BN15">
        <v>1.0883160548306825</v>
      </c>
      <c r="BO15">
        <v>830.60281304677676</v>
      </c>
      <c r="BP15">
        <v>1.4857348388980665</v>
      </c>
      <c r="BQ15">
        <v>1133.9128290470042</v>
      </c>
      <c r="BR15">
        <v>2.6236190607525378</v>
      </c>
      <c r="BS15">
        <v>2002.3460671663368</v>
      </c>
      <c r="BT15">
        <v>0</v>
      </c>
      <c r="BU15">
        <v>0</v>
      </c>
      <c r="BV15">
        <v>3.4218587971663417</v>
      </c>
      <c r="BW15">
        <v>2611.5626339973519</v>
      </c>
      <c r="BX15">
        <v>0</v>
      </c>
      <c r="BY15">
        <v>0</v>
      </c>
      <c r="BZ15">
        <v>1.5530416185125762</v>
      </c>
      <c r="CA15">
        <v>1185.281363248798</v>
      </c>
      <c r="CB15">
        <v>2.0298526417401215</v>
      </c>
      <c r="CC15">
        <v>1549.1835361760607</v>
      </c>
      <c r="CD15">
        <v>1.9409967069640797</v>
      </c>
      <c r="CE15">
        <v>1481.3686867549854</v>
      </c>
      <c r="CF15">
        <v>0</v>
      </c>
      <c r="CG15">
        <v>0</v>
      </c>
      <c r="CH15">
        <v>1.1743374836760916</v>
      </c>
      <c r="CI15">
        <v>896.25436754159307</v>
      </c>
      <c r="CJ15">
        <v>1.3196646772647496</v>
      </c>
      <c r="CK15">
        <v>1007.1680816884568</v>
      </c>
      <c r="CL15">
        <v>1.2131229418525498</v>
      </c>
      <c r="CM15">
        <v>925.85542922186585</v>
      </c>
      <c r="CN15">
        <v>1.6353583120733133</v>
      </c>
      <c r="CO15">
        <v>1248.1054637743525</v>
      </c>
      <c r="CP15">
        <v>2.8880274715553682</v>
      </c>
      <c r="CQ15">
        <v>2204.1425662910569</v>
      </c>
      <c r="CR15">
        <v>0</v>
      </c>
      <c r="CS15">
        <v>0</v>
      </c>
      <c r="CT15">
        <v>3.3967442371871392</v>
      </c>
      <c r="CU15">
        <v>2592.3952018212244</v>
      </c>
    </row>
    <row r="16" spans="1:99" x14ac:dyDescent="0.2">
      <c r="C16" s="105" t="s">
        <v>182</v>
      </c>
      <c r="D16">
        <v>5</v>
      </c>
      <c r="E16">
        <v>1704</v>
      </c>
      <c r="F16">
        <v>6</v>
      </c>
      <c r="G16">
        <v>2044.8000000000002</v>
      </c>
      <c r="H16">
        <v>6</v>
      </c>
      <c r="I16">
        <v>2044.8000000000002</v>
      </c>
      <c r="J16">
        <v>3</v>
      </c>
      <c r="K16">
        <v>1022.4000000000001</v>
      </c>
      <c r="L16">
        <v>1.4269507923488853</v>
      </c>
      <c r="M16">
        <v>486.30483003250015</v>
      </c>
      <c r="N16">
        <v>2.4543925876923973</v>
      </c>
      <c r="O16">
        <v>836.45699388556909</v>
      </c>
      <c r="P16">
        <v>0</v>
      </c>
      <c r="Q16">
        <v>0</v>
      </c>
      <c r="R16">
        <v>2.361257154677284</v>
      </c>
      <c r="S16">
        <v>804.71643831401843</v>
      </c>
      <c r="T16">
        <v>0</v>
      </c>
      <c r="U16">
        <v>0</v>
      </c>
      <c r="V16">
        <v>2.9906714204636362</v>
      </c>
      <c r="W16">
        <v>1019.2208200940073</v>
      </c>
      <c r="X16">
        <v>0</v>
      </c>
      <c r="Y16">
        <v>0</v>
      </c>
      <c r="Z16">
        <v>2.7031768448775724</v>
      </c>
      <c r="AA16">
        <v>921.24266873427666</v>
      </c>
      <c r="AB16">
        <v>0</v>
      </c>
      <c r="AC16">
        <v>0</v>
      </c>
      <c r="AD16">
        <v>1.1374658121456165</v>
      </c>
      <c r="AE16">
        <v>387.64834877922613</v>
      </c>
      <c r="AF16">
        <v>1.5648568125671942</v>
      </c>
      <c r="AG16">
        <v>533.30320172289976</v>
      </c>
      <c r="AH16">
        <v>1.2404352782544834</v>
      </c>
      <c r="AI16">
        <v>422.74034282912794</v>
      </c>
      <c r="AJ16">
        <v>0</v>
      </c>
      <c r="AK16">
        <v>0</v>
      </c>
      <c r="AL16">
        <v>2.7376894546983004</v>
      </c>
      <c r="AM16">
        <v>933.00456616118083</v>
      </c>
      <c r="AN16">
        <v>1.3170358631666126</v>
      </c>
      <c r="AO16">
        <v>448.84582216718161</v>
      </c>
      <c r="AP16">
        <v>2.8641964042294856</v>
      </c>
      <c r="AQ16">
        <v>976.11813456140874</v>
      </c>
      <c r="AR16">
        <v>0</v>
      </c>
      <c r="AS16">
        <v>0</v>
      </c>
      <c r="AT16">
        <v>2.1588636842763744</v>
      </c>
      <c r="AU16">
        <v>735.74074360138843</v>
      </c>
      <c r="AV16">
        <v>0</v>
      </c>
      <c r="AW16">
        <v>0</v>
      </c>
      <c r="AX16">
        <v>2.6288350032192431</v>
      </c>
      <c r="AY16">
        <v>895.90696909711812</v>
      </c>
      <c r="AZ16">
        <v>0</v>
      </c>
      <c r="BA16">
        <v>0</v>
      </c>
      <c r="BB16">
        <v>2.1632785384364488</v>
      </c>
      <c r="BC16">
        <v>737.24532589914179</v>
      </c>
      <c r="BD16">
        <v>0</v>
      </c>
      <c r="BE16">
        <v>0</v>
      </c>
      <c r="BF16">
        <v>2.9548692885347023</v>
      </c>
      <c r="BG16">
        <v>1007.0194535326266</v>
      </c>
      <c r="BH16">
        <v>0</v>
      </c>
      <c r="BI16">
        <v>0</v>
      </c>
      <c r="BJ16">
        <v>1.2921537523966897</v>
      </c>
      <c r="BK16">
        <v>440.36599881679189</v>
      </c>
      <c r="BL16">
        <v>1.5587080628125098</v>
      </c>
      <c r="BM16">
        <v>531.20770780650332</v>
      </c>
      <c r="BN16">
        <v>1.0883160548306825</v>
      </c>
      <c r="BO16">
        <v>370.89811148629661</v>
      </c>
      <c r="BP16">
        <v>1.2734870047697713</v>
      </c>
      <c r="BQ16">
        <v>434.00437122553808</v>
      </c>
      <c r="BR16">
        <v>2.6236190607525378</v>
      </c>
      <c r="BS16">
        <v>894.12937590446495</v>
      </c>
      <c r="BT16">
        <v>0</v>
      </c>
      <c r="BU16">
        <v>0</v>
      </c>
      <c r="BV16">
        <v>2.9330218261425784</v>
      </c>
      <c r="BW16">
        <v>999.57383834939071</v>
      </c>
      <c r="BX16">
        <v>0</v>
      </c>
      <c r="BY16">
        <v>0</v>
      </c>
      <c r="BZ16">
        <v>1.5530416185125762</v>
      </c>
      <c r="CA16">
        <v>529.27658358908593</v>
      </c>
      <c r="CB16">
        <v>2.0298526417401215</v>
      </c>
      <c r="CC16">
        <v>691.77378030503337</v>
      </c>
      <c r="CD16">
        <v>2.4262458837050995</v>
      </c>
      <c r="CE16">
        <v>826.86459716669799</v>
      </c>
      <c r="CF16">
        <v>0</v>
      </c>
      <c r="CG16">
        <v>0</v>
      </c>
      <c r="CH16">
        <v>0.93946998694087336</v>
      </c>
      <c r="CI16">
        <v>320.17137154944965</v>
      </c>
      <c r="CJ16">
        <v>1.5835976127176996</v>
      </c>
      <c r="CK16">
        <v>539.69006641419207</v>
      </c>
      <c r="CL16">
        <v>0.97049835348203983</v>
      </c>
      <c r="CM16">
        <v>330.74583886667921</v>
      </c>
      <c r="CN16">
        <v>1.6353583120733133</v>
      </c>
      <c r="CO16">
        <v>557.33011275458523</v>
      </c>
      <c r="CP16">
        <v>2.8880274715553682</v>
      </c>
      <c r="CQ16">
        <v>984.23976230606957</v>
      </c>
      <c r="CR16">
        <v>0</v>
      </c>
      <c r="CS16">
        <v>0</v>
      </c>
      <c r="CT16">
        <v>3.8819934139281593</v>
      </c>
      <c r="CU16">
        <v>1322.9833554667168</v>
      </c>
    </row>
    <row r="17" spans="2:99" x14ac:dyDescent="0.2">
      <c r="C17" s="105" t="s">
        <v>183</v>
      </c>
      <c r="D17">
        <v>5</v>
      </c>
      <c r="E17">
        <v>2112</v>
      </c>
      <c r="F17">
        <v>5</v>
      </c>
      <c r="G17">
        <v>2112</v>
      </c>
      <c r="H17">
        <v>5</v>
      </c>
      <c r="I17">
        <v>2112</v>
      </c>
      <c r="J17">
        <v>3</v>
      </c>
      <c r="K17">
        <v>1267.1999999999998</v>
      </c>
      <c r="L17">
        <v>1.4269507923488853</v>
      </c>
      <c r="M17">
        <v>602.74401468816916</v>
      </c>
      <c r="N17">
        <v>2.4543925876923973</v>
      </c>
      <c r="O17">
        <v>1036.7354290412686</v>
      </c>
      <c r="P17">
        <v>0</v>
      </c>
      <c r="Q17">
        <v>0</v>
      </c>
      <c r="R17">
        <v>2.361257154677284</v>
      </c>
      <c r="S17">
        <v>997.39502213568471</v>
      </c>
      <c r="T17">
        <v>0</v>
      </c>
      <c r="U17">
        <v>0</v>
      </c>
      <c r="V17">
        <v>2.5634326461116883</v>
      </c>
      <c r="W17">
        <v>1082.7939497175771</v>
      </c>
      <c r="X17">
        <v>0</v>
      </c>
      <c r="Y17">
        <v>0</v>
      </c>
      <c r="Z17">
        <v>2.7031768448775724</v>
      </c>
      <c r="AA17">
        <v>1141.8218992762866</v>
      </c>
      <c r="AB17">
        <v>0</v>
      </c>
      <c r="AC17">
        <v>0</v>
      </c>
      <c r="AD17">
        <v>1.1374658121456165</v>
      </c>
      <c r="AE17">
        <v>480.4655590503084</v>
      </c>
      <c r="AF17">
        <v>1.5648568125671942</v>
      </c>
      <c r="AG17">
        <v>660.9955176283828</v>
      </c>
      <c r="AH17">
        <v>1.2404352782544834</v>
      </c>
      <c r="AI17">
        <v>523.9598615346938</v>
      </c>
      <c r="AJ17">
        <v>0</v>
      </c>
      <c r="AK17">
        <v>0</v>
      </c>
      <c r="AL17">
        <v>2.7376894546983004</v>
      </c>
      <c r="AM17">
        <v>1156.400025664562</v>
      </c>
      <c r="AN17">
        <v>1.3170358631666126</v>
      </c>
      <c r="AO17">
        <v>556.31594860157713</v>
      </c>
      <c r="AP17">
        <v>2.3868303368579045</v>
      </c>
      <c r="AQ17">
        <v>1008.1971342887788</v>
      </c>
      <c r="AR17">
        <v>0</v>
      </c>
      <c r="AS17">
        <v>0</v>
      </c>
      <c r="AT17">
        <v>1.6191477632072806</v>
      </c>
      <c r="AU17">
        <v>683.92801517875535</v>
      </c>
      <c r="AV17">
        <v>0</v>
      </c>
      <c r="AW17">
        <v>0</v>
      </c>
      <c r="AX17">
        <v>2.6288350032192431</v>
      </c>
      <c r="AY17">
        <v>1110.4199053598081</v>
      </c>
      <c r="AZ17">
        <v>0</v>
      </c>
      <c r="BA17">
        <v>0</v>
      </c>
      <c r="BB17">
        <v>2.1632785384364488</v>
      </c>
      <c r="BC17">
        <v>913.76885463555595</v>
      </c>
      <c r="BD17">
        <v>0</v>
      </c>
      <c r="BE17">
        <v>0</v>
      </c>
      <c r="BF17">
        <v>2.9548692885347023</v>
      </c>
      <c r="BG17">
        <v>1248.1367874770583</v>
      </c>
      <c r="BH17">
        <v>0</v>
      </c>
      <c r="BI17">
        <v>0</v>
      </c>
      <c r="BJ17">
        <v>1.2921537523966897</v>
      </c>
      <c r="BK17">
        <v>545.80574501236174</v>
      </c>
      <c r="BL17">
        <v>1.2989233856770914</v>
      </c>
      <c r="BM17">
        <v>548.66523811000343</v>
      </c>
      <c r="BN17">
        <v>1.0883160548306825</v>
      </c>
      <c r="BO17">
        <v>459.70470156048026</v>
      </c>
      <c r="BP17">
        <v>1.4857348388980665</v>
      </c>
      <c r="BQ17">
        <v>627.57439595054325</v>
      </c>
      <c r="BR17">
        <v>2.6236190607525378</v>
      </c>
      <c r="BS17">
        <v>1108.2166912618718</v>
      </c>
      <c r="BT17">
        <v>0</v>
      </c>
      <c r="BU17">
        <v>0</v>
      </c>
      <c r="BV17">
        <v>3.4218587971663417</v>
      </c>
      <c r="BW17">
        <v>1445.3931559230627</v>
      </c>
      <c r="BX17">
        <v>0</v>
      </c>
      <c r="BY17">
        <v>0</v>
      </c>
      <c r="BZ17">
        <v>1.5530416185125762</v>
      </c>
      <c r="CA17">
        <v>656.00477965971209</v>
      </c>
      <c r="CB17">
        <v>2.0298526417401215</v>
      </c>
      <c r="CC17">
        <v>857.4097558710273</v>
      </c>
      <c r="CD17">
        <v>2.4262458837050995</v>
      </c>
      <c r="CE17">
        <v>1024.846261277034</v>
      </c>
      <c r="CF17">
        <v>0</v>
      </c>
      <c r="CG17">
        <v>0</v>
      </c>
      <c r="CH17">
        <v>0.93946998694087336</v>
      </c>
      <c r="CI17">
        <v>396.83212248382489</v>
      </c>
      <c r="CJ17">
        <v>1.3196646772647496</v>
      </c>
      <c r="CK17">
        <v>557.42635967663023</v>
      </c>
      <c r="CL17">
        <v>1.2131229418525498</v>
      </c>
      <c r="CM17">
        <v>512.42313063851702</v>
      </c>
      <c r="CN17">
        <v>1.4017356960628402</v>
      </c>
      <c r="CO17">
        <v>592.09315801694368</v>
      </c>
      <c r="CP17">
        <v>2.8880274715553682</v>
      </c>
      <c r="CQ17">
        <v>1219.9028039849875</v>
      </c>
      <c r="CR17">
        <v>0</v>
      </c>
      <c r="CS17">
        <v>0</v>
      </c>
      <c r="CT17">
        <v>3.8819934139281593</v>
      </c>
      <c r="CU17">
        <v>1639.7540180432545</v>
      </c>
    </row>
    <row r="18" spans="2:99" x14ac:dyDescent="0.2">
      <c r="C18" s="105" t="s">
        <v>184</v>
      </c>
      <c r="D18">
        <v>5</v>
      </c>
      <c r="E18">
        <v>3264</v>
      </c>
      <c r="F18">
        <v>6</v>
      </c>
      <c r="G18">
        <v>3916.7999999999997</v>
      </c>
      <c r="H18">
        <v>5</v>
      </c>
      <c r="I18">
        <v>3264</v>
      </c>
      <c r="J18">
        <v>3</v>
      </c>
      <c r="K18">
        <v>1958.3999999999999</v>
      </c>
      <c r="L18">
        <v>1.0702130942616639</v>
      </c>
      <c r="M18">
        <v>698.63510793401417</v>
      </c>
      <c r="N18">
        <v>1.840794440769298</v>
      </c>
      <c r="O18">
        <v>1201.6706109341976</v>
      </c>
      <c r="P18">
        <v>0</v>
      </c>
      <c r="Q18">
        <v>0</v>
      </c>
      <c r="R18">
        <v>2.361257154677284</v>
      </c>
      <c r="S18">
        <v>1541.4286705733309</v>
      </c>
      <c r="T18">
        <v>0</v>
      </c>
      <c r="U18">
        <v>0</v>
      </c>
      <c r="V18">
        <v>2.5634326461116883</v>
      </c>
      <c r="W18">
        <v>1673.4088313817101</v>
      </c>
      <c r="X18">
        <v>0</v>
      </c>
      <c r="Y18">
        <v>0</v>
      </c>
      <c r="Z18">
        <v>2.7031768448775724</v>
      </c>
      <c r="AA18">
        <v>1764.6338443360792</v>
      </c>
      <c r="AB18">
        <v>0</v>
      </c>
      <c r="AC18">
        <v>0</v>
      </c>
      <c r="AD18">
        <v>1.1374658121456165</v>
      </c>
      <c r="AE18">
        <v>742.53768216865842</v>
      </c>
      <c r="AF18">
        <v>1.8256662813283933</v>
      </c>
      <c r="AG18">
        <v>1191.7949484511751</v>
      </c>
      <c r="AH18">
        <v>0.99234822260358657</v>
      </c>
      <c r="AI18">
        <v>647.80491971562128</v>
      </c>
      <c r="AJ18">
        <v>0</v>
      </c>
      <c r="AK18">
        <v>0</v>
      </c>
      <c r="AL18">
        <v>2.7376894546983004</v>
      </c>
      <c r="AM18">
        <v>1787.1636760270503</v>
      </c>
      <c r="AN18">
        <v>1.5804430357999353</v>
      </c>
      <c r="AO18">
        <v>1031.7132137701976</v>
      </c>
      <c r="AP18">
        <v>2.8641964042294856</v>
      </c>
      <c r="AQ18">
        <v>1869.7474126810082</v>
      </c>
      <c r="AR18">
        <v>0</v>
      </c>
      <c r="AS18">
        <v>0</v>
      </c>
      <c r="AT18">
        <v>1.6191477632072806</v>
      </c>
      <c r="AU18">
        <v>1056.9796598217126</v>
      </c>
      <c r="AV18">
        <v>0</v>
      </c>
      <c r="AW18">
        <v>0</v>
      </c>
      <c r="AX18">
        <v>2.6288350032192431</v>
      </c>
      <c r="AY18">
        <v>1716.1034901015219</v>
      </c>
      <c r="AZ18">
        <v>0</v>
      </c>
      <c r="BA18">
        <v>0</v>
      </c>
      <c r="BB18">
        <v>2.1632785384364488</v>
      </c>
      <c r="BC18">
        <v>1412.1882298913138</v>
      </c>
      <c r="BD18">
        <v>0</v>
      </c>
      <c r="BE18">
        <v>0</v>
      </c>
      <c r="BF18">
        <v>2.9548692885347023</v>
      </c>
      <c r="BG18">
        <v>1928.9386715554535</v>
      </c>
      <c r="BH18">
        <v>0</v>
      </c>
      <c r="BI18">
        <v>0</v>
      </c>
      <c r="BJ18">
        <v>1.5075127111294713</v>
      </c>
      <c r="BK18">
        <v>984.10429782531878</v>
      </c>
      <c r="BL18">
        <v>1.5587080628125098</v>
      </c>
      <c r="BM18">
        <v>1017.5246234040063</v>
      </c>
      <c r="BN18">
        <v>1.0883160548306825</v>
      </c>
      <c r="BO18">
        <v>710.45272059346951</v>
      </c>
      <c r="BP18">
        <v>1.4857348388980665</v>
      </c>
      <c r="BQ18">
        <v>969.88770283265774</v>
      </c>
      <c r="BR18">
        <v>2.6236190607525378</v>
      </c>
      <c r="BS18">
        <v>1712.6985228592566</v>
      </c>
      <c r="BT18">
        <v>0</v>
      </c>
      <c r="BU18">
        <v>0</v>
      </c>
      <c r="BV18">
        <v>2.9330218261425784</v>
      </c>
      <c r="BW18">
        <v>1914.6766481058751</v>
      </c>
      <c r="BX18">
        <v>0</v>
      </c>
      <c r="BY18">
        <v>0</v>
      </c>
      <c r="BZ18">
        <v>1.5530416185125762</v>
      </c>
      <c r="CA18">
        <v>1013.8255685650097</v>
      </c>
      <c r="CB18">
        <v>1.739873692920104</v>
      </c>
      <c r="CC18">
        <v>1135.7895467382439</v>
      </c>
      <c r="CD18">
        <v>2.4262458837050995</v>
      </c>
      <c r="CE18">
        <v>1583.8533128826889</v>
      </c>
      <c r="CF18">
        <v>0</v>
      </c>
      <c r="CG18">
        <v>0</v>
      </c>
      <c r="CH18">
        <v>1.1743374836760916</v>
      </c>
      <c r="CI18">
        <v>766.60750934375255</v>
      </c>
      <c r="CJ18">
        <v>1.5835976127176996</v>
      </c>
      <c r="CK18">
        <v>1033.7725215821142</v>
      </c>
      <c r="CL18">
        <v>1.2131229418525498</v>
      </c>
      <c r="CM18">
        <v>791.92665644134445</v>
      </c>
      <c r="CN18">
        <v>1.4017356960628402</v>
      </c>
      <c r="CO18">
        <v>915.053062389822</v>
      </c>
      <c r="CP18">
        <v>2.8880274715553682</v>
      </c>
      <c r="CQ18">
        <v>1885.3043334313443</v>
      </c>
      <c r="CR18">
        <v>0</v>
      </c>
      <c r="CS18">
        <v>0</v>
      </c>
      <c r="CT18">
        <v>3.3967442371871392</v>
      </c>
      <c r="CU18">
        <v>2217.3946380357643</v>
      </c>
    </row>
    <row r="19" spans="2:99" x14ac:dyDescent="0.2">
      <c r="C19" s="105" t="s">
        <v>185</v>
      </c>
      <c r="D19">
        <v>5</v>
      </c>
      <c r="E19">
        <v>1650</v>
      </c>
      <c r="F19">
        <v>5</v>
      </c>
      <c r="G19">
        <v>1650</v>
      </c>
      <c r="H19">
        <v>5</v>
      </c>
      <c r="I19">
        <v>1650</v>
      </c>
      <c r="J19">
        <v>4</v>
      </c>
      <c r="K19">
        <v>1320</v>
      </c>
      <c r="L19">
        <v>1.4269507923488853</v>
      </c>
      <c r="M19">
        <v>470.89376147513218</v>
      </c>
      <c r="N19">
        <v>2.4543925876923973</v>
      </c>
      <c r="O19">
        <v>809.94955393849114</v>
      </c>
      <c r="P19">
        <v>0</v>
      </c>
      <c r="Q19">
        <v>0</v>
      </c>
      <c r="R19">
        <v>2.361257154677284</v>
      </c>
      <c r="S19">
        <v>779.21486104350367</v>
      </c>
      <c r="T19">
        <v>0</v>
      </c>
      <c r="U19">
        <v>0</v>
      </c>
      <c r="V19">
        <v>2.9906714204636362</v>
      </c>
      <c r="W19">
        <v>986.92156875299997</v>
      </c>
      <c r="X19">
        <v>0</v>
      </c>
      <c r="Y19">
        <v>0</v>
      </c>
      <c r="Z19">
        <v>2.2526473707313102</v>
      </c>
      <c r="AA19">
        <v>743.37363234133238</v>
      </c>
      <c r="AB19">
        <v>0</v>
      </c>
      <c r="AC19">
        <v>0</v>
      </c>
      <c r="AD19">
        <v>1.1374658121456165</v>
      </c>
      <c r="AE19">
        <v>375.36371800805347</v>
      </c>
      <c r="AF19">
        <v>1.5648568125671942</v>
      </c>
      <c r="AG19">
        <v>516.40274814717407</v>
      </c>
      <c r="AH19">
        <v>0.99234822260358657</v>
      </c>
      <c r="AI19">
        <v>327.4749134591836</v>
      </c>
      <c r="AJ19">
        <v>0</v>
      </c>
      <c r="AK19">
        <v>0</v>
      </c>
      <c r="AL19">
        <v>2.7376894546983004</v>
      </c>
      <c r="AM19">
        <v>903.43752005043916</v>
      </c>
      <c r="AN19">
        <v>1.5804430357999353</v>
      </c>
      <c r="AO19">
        <v>521.54620181397866</v>
      </c>
      <c r="AP19">
        <v>2.8641964042294856</v>
      </c>
      <c r="AQ19">
        <v>945.1848133957302</v>
      </c>
      <c r="AR19">
        <v>0</v>
      </c>
      <c r="AS19">
        <v>0</v>
      </c>
      <c r="AT19">
        <v>2.1588636842763744</v>
      </c>
      <c r="AU19">
        <v>712.42501581120359</v>
      </c>
      <c r="AV19">
        <v>0</v>
      </c>
      <c r="AW19">
        <v>0</v>
      </c>
      <c r="AX19">
        <v>2.6288350032192431</v>
      </c>
      <c r="AY19">
        <v>867.51555106235026</v>
      </c>
      <c r="AZ19">
        <v>0</v>
      </c>
      <c r="BA19">
        <v>0</v>
      </c>
      <c r="BB19">
        <v>2.1632785384364488</v>
      </c>
      <c r="BC19">
        <v>713.88191768402805</v>
      </c>
      <c r="BD19">
        <v>0</v>
      </c>
      <c r="BE19">
        <v>0</v>
      </c>
      <c r="BF19">
        <v>2.9548692885347023</v>
      </c>
      <c r="BG19">
        <v>975.10686521645175</v>
      </c>
      <c r="BH19">
        <v>0</v>
      </c>
      <c r="BI19">
        <v>0</v>
      </c>
      <c r="BJ19">
        <v>1.2921537523966897</v>
      </c>
      <c r="BK19">
        <v>426.4107382909076</v>
      </c>
      <c r="BL19">
        <v>1.2989233856770914</v>
      </c>
      <c r="BM19">
        <v>428.64471727344016</v>
      </c>
      <c r="BN19">
        <v>1.0883160548306825</v>
      </c>
      <c r="BO19">
        <v>359.14429809412525</v>
      </c>
      <c r="BP19">
        <v>1.2734870047697713</v>
      </c>
      <c r="BQ19">
        <v>420.25071157402454</v>
      </c>
      <c r="BR19">
        <v>2.6236190607525378</v>
      </c>
      <c r="BS19">
        <v>865.79429004833753</v>
      </c>
      <c r="BT19">
        <v>0</v>
      </c>
      <c r="BU19">
        <v>0</v>
      </c>
      <c r="BV19">
        <v>3.4218587971663417</v>
      </c>
      <c r="BW19">
        <v>1129.2134030648926</v>
      </c>
      <c r="BX19">
        <v>0</v>
      </c>
      <c r="BY19">
        <v>0</v>
      </c>
      <c r="BZ19">
        <v>1.7749047068715156</v>
      </c>
      <c r="CA19">
        <v>585.7185532676001</v>
      </c>
      <c r="CB19">
        <v>2.0298526417401215</v>
      </c>
      <c r="CC19">
        <v>669.85137177424008</v>
      </c>
      <c r="CD19">
        <v>2.4262458837050995</v>
      </c>
      <c r="CE19">
        <v>800.66114162268286</v>
      </c>
      <c r="CF19">
        <v>0</v>
      </c>
      <c r="CG19">
        <v>0</v>
      </c>
      <c r="CH19">
        <v>1.1743374836760916</v>
      </c>
      <c r="CI19">
        <v>387.5313696131102</v>
      </c>
      <c r="CJ19">
        <v>1.3196646772647496</v>
      </c>
      <c r="CK19">
        <v>435.48934349736737</v>
      </c>
      <c r="CL19">
        <v>0.97049835348203983</v>
      </c>
      <c r="CM19">
        <v>320.26445664907317</v>
      </c>
      <c r="CN19">
        <v>1.6353583120733133</v>
      </c>
      <c r="CO19">
        <v>539.6682429841934</v>
      </c>
      <c r="CP19">
        <v>3.3006028246347063</v>
      </c>
      <c r="CQ19">
        <v>1089.1989321294532</v>
      </c>
      <c r="CR19">
        <v>0</v>
      </c>
      <c r="CS19">
        <v>0</v>
      </c>
      <c r="CT19">
        <v>3.3967442371871392</v>
      </c>
      <c r="CU19">
        <v>1120.9255982717559</v>
      </c>
    </row>
    <row r="20" spans="2:99" x14ac:dyDescent="0.2">
      <c r="B20" s="105" t="s">
        <v>127</v>
      </c>
      <c r="C20" s="105" t="s">
        <v>186</v>
      </c>
      <c r="D20">
        <v>11</v>
      </c>
      <c r="E20">
        <v>3154.8</v>
      </c>
      <c r="F20">
        <v>13</v>
      </c>
      <c r="G20">
        <v>3728.4</v>
      </c>
      <c r="H20">
        <v>12</v>
      </c>
      <c r="I20">
        <v>3441.6000000000004</v>
      </c>
      <c r="J20">
        <v>7</v>
      </c>
      <c r="K20">
        <v>2007.6000000000001</v>
      </c>
      <c r="L20">
        <v>2.8539015846977707</v>
      </c>
      <c r="M20">
        <v>818.49897449132061</v>
      </c>
      <c r="N20">
        <v>4.9087851753847946</v>
      </c>
      <c r="O20">
        <v>1407.8395883003591</v>
      </c>
      <c r="P20">
        <v>0</v>
      </c>
      <c r="Q20">
        <v>0</v>
      </c>
      <c r="R20">
        <v>4.1322000206852474</v>
      </c>
      <c r="S20">
        <v>1185.114965932529</v>
      </c>
      <c r="T20">
        <v>0</v>
      </c>
      <c r="U20">
        <v>0</v>
      </c>
      <c r="V20">
        <v>5.5541040665753245</v>
      </c>
      <c r="W20">
        <v>1592.9170462938032</v>
      </c>
      <c r="X20">
        <v>0</v>
      </c>
      <c r="Y20">
        <v>0</v>
      </c>
      <c r="Z20">
        <v>5.856883163901407</v>
      </c>
      <c r="AA20">
        <v>1679.7540914069236</v>
      </c>
      <c r="AB20">
        <v>0</v>
      </c>
      <c r="AC20">
        <v>0</v>
      </c>
      <c r="AD20">
        <v>2.274931624291233</v>
      </c>
      <c r="AE20">
        <v>652.45038984672567</v>
      </c>
      <c r="AF20">
        <v>2.8689041563731896</v>
      </c>
      <c r="AG20">
        <v>822.80171204783085</v>
      </c>
      <c r="AH20">
        <v>2.9770446678107598</v>
      </c>
      <c r="AI20">
        <v>853.8164107281259</v>
      </c>
      <c r="AJ20">
        <v>0</v>
      </c>
      <c r="AK20">
        <v>0</v>
      </c>
      <c r="AL20">
        <v>3.8327652365776208</v>
      </c>
      <c r="AM20">
        <v>1099.2370698504617</v>
      </c>
      <c r="AN20">
        <v>2.1072573810665802</v>
      </c>
      <c r="AO20">
        <v>604.36141688989528</v>
      </c>
      <c r="AP20">
        <v>3.8189285389726475</v>
      </c>
      <c r="AQ20">
        <v>1095.2687049773554</v>
      </c>
      <c r="AR20">
        <v>0</v>
      </c>
      <c r="AS20">
        <v>0</v>
      </c>
      <c r="AT20">
        <v>4.3177273685527489</v>
      </c>
      <c r="AU20">
        <v>1238.3242093009285</v>
      </c>
      <c r="AV20">
        <v>0</v>
      </c>
      <c r="AW20">
        <v>0</v>
      </c>
      <c r="AX20">
        <v>4.2061360051507881</v>
      </c>
      <c r="AY20">
        <v>1206.319806277246</v>
      </c>
      <c r="AZ20">
        <v>0</v>
      </c>
      <c r="BA20">
        <v>0</v>
      </c>
      <c r="BB20">
        <v>4.3265570768728976</v>
      </c>
      <c r="BC20">
        <v>1240.8565696471471</v>
      </c>
      <c r="BD20">
        <v>0</v>
      </c>
      <c r="BE20">
        <v>0</v>
      </c>
      <c r="BF20">
        <v>5.4172603623136206</v>
      </c>
      <c r="BG20">
        <v>1553.6702719115465</v>
      </c>
      <c r="BH20">
        <v>0</v>
      </c>
      <c r="BI20">
        <v>0</v>
      </c>
      <c r="BJ20">
        <v>2.7996664635261608</v>
      </c>
      <c r="BK20">
        <v>802.9443417393029</v>
      </c>
      <c r="BL20">
        <v>2.3380620942187647</v>
      </c>
      <c r="BM20">
        <v>670.55620862194178</v>
      </c>
      <c r="BN20">
        <v>3.5370271781997178</v>
      </c>
      <c r="BO20">
        <v>1014.4193947076791</v>
      </c>
      <c r="BP20">
        <v>2.9714696777961329</v>
      </c>
      <c r="BQ20">
        <v>852.21750359193095</v>
      </c>
      <c r="BR20">
        <v>4.1977904972040605</v>
      </c>
      <c r="BS20">
        <v>1203.9263145981247</v>
      </c>
      <c r="BT20">
        <v>0</v>
      </c>
      <c r="BU20">
        <v>0</v>
      </c>
      <c r="BV20">
        <v>4.3995327392138677</v>
      </c>
      <c r="BW20">
        <v>1261.7859896065372</v>
      </c>
      <c r="BX20">
        <v>0</v>
      </c>
      <c r="BY20">
        <v>0</v>
      </c>
      <c r="BZ20">
        <v>2.4404939719483343</v>
      </c>
      <c r="CA20">
        <v>699.93367115478225</v>
      </c>
      <c r="CB20">
        <v>2.6098105393801561</v>
      </c>
      <c r="CC20">
        <v>748.49366269422876</v>
      </c>
      <c r="CD20">
        <v>6.7934884743742785</v>
      </c>
      <c r="CE20">
        <v>1948.3724944505432</v>
      </c>
      <c r="CF20">
        <v>0</v>
      </c>
      <c r="CG20">
        <v>0</v>
      </c>
      <c r="CH20">
        <v>3.5230124510282748</v>
      </c>
      <c r="CI20">
        <v>1010.3999709549092</v>
      </c>
      <c r="CJ20">
        <v>2.6393293545294991</v>
      </c>
      <c r="CK20">
        <v>756.95965887906038</v>
      </c>
      <c r="CL20">
        <v>2.9114950604461196</v>
      </c>
      <c r="CM20">
        <v>835.01678333594714</v>
      </c>
      <c r="CN20">
        <v>3.2707166241466266</v>
      </c>
      <c r="CO20">
        <v>938.04152780525249</v>
      </c>
      <c r="CP20">
        <v>6.1886302961900741</v>
      </c>
      <c r="CQ20">
        <v>1774.8991689473132</v>
      </c>
      <c r="CR20">
        <v>0</v>
      </c>
      <c r="CS20">
        <v>0</v>
      </c>
      <c r="CT20">
        <v>4.8524917674101991</v>
      </c>
      <c r="CU20">
        <v>1391.6946388932452</v>
      </c>
    </row>
    <row r="21" spans="2:99" x14ac:dyDescent="0.2">
      <c r="C21" s="105" t="s">
        <v>187</v>
      </c>
      <c r="D21">
        <v>11</v>
      </c>
      <c r="E21">
        <v>686.4</v>
      </c>
      <c r="F21">
        <v>13</v>
      </c>
      <c r="G21">
        <v>811.19999999999993</v>
      </c>
      <c r="H21">
        <v>12</v>
      </c>
      <c r="I21">
        <v>748.8</v>
      </c>
      <c r="J21">
        <v>7</v>
      </c>
      <c r="K21">
        <v>436.8</v>
      </c>
      <c r="L21">
        <v>2.4971638866105494</v>
      </c>
      <c r="M21">
        <v>155.82302652449829</v>
      </c>
      <c r="N21">
        <v>4.9087851753847946</v>
      </c>
      <c r="O21">
        <v>306.30819494401118</v>
      </c>
      <c r="P21">
        <v>0</v>
      </c>
      <c r="Q21">
        <v>0</v>
      </c>
      <c r="R21">
        <v>4.1322000206852474</v>
      </c>
      <c r="S21">
        <v>257.84928129075945</v>
      </c>
      <c r="T21">
        <v>0</v>
      </c>
      <c r="U21">
        <v>0</v>
      </c>
      <c r="V21">
        <v>5.1268652922233766</v>
      </c>
      <c r="W21">
        <v>319.91639423473868</v>
      </c>
      <c r="X21">
        <v>0</v>
      </c>
      <c r="Y21">
        <v>0</v>
      </c>
      <c r="Z21">
        <v>5.856883163901407</v>
      </c>
      <c r="AA21">
        <v>365.4695094274478</v>
      </c>
      <c r="AB21">
        <v>0</v>
      </c>
      <c r="AC21">
        <v>0</v>
      </c>
      <c r="AD21">
        <v>2.274931624291233</v>
      </c>
      <c r="AE21">
        <v>141.95573335577294</v>
      </c>
      <c r="AF21">
        <v>2.6080946876119904</v>
      </c>
      <c r="AG21">
        <v>162.7451085069882</v>
      </c>
      <c r="AH21">
        <v>2.9770446678107598</v>
      </c>
      <c r="AI21">
        <v>185.76758727139142</v>
      </c>
      <c r="AJ21">
        <v>0</v>
      </c>
      <c r="AK21">
        <v>0</v>
      </c>
      <c r="AL21">
        <v>4.3803031275172808</v>
      </c>
      <c r="AM21">
        <v>273.33091515707832</v>
      </c>
      <c r="AN21">
        <v>2.1072573810665802</v>
      </c>
      <c r="AO21">
        <v>131.4928605785546</v>
      </c>
      <c r="AP21">
        <v>3.8189285389726475</v>
      </c>
      <c r="AQ21">
        <v>238.30114083189321</v>
      </c>
      <c r="AR21">
        <v>0</v>
      </c>
      <c r="AS21">
        <v>0</v>
      </c>
      <c r="AT21">
        <v>4.857443289621842</v>
      </c>
      <c r="AU21">
        <v>303.10446127240294</v>
      </c>
      <c r="AV21">
        <v>0</v>
      </c>
      <c r="AW21">
        <v>0</v>
      </c>
      <c r="AX21">
        <v>4.2061360051507881</v>
      </c>
      <c r="AY21">
        <v>262.46288672140918</v>
      </c>
      <c r="AZ21">
        <v>0</v>
      </c>
      <c r="BA21">
        <v>0</v>
      </c>
      <c r="BB21">
        <v>4.3265570768728976</v>
      </c>
      <c r="BC21">
        <v>269.97716159686883</v>
      </c>
      <c r="BD21">
        <v>0</v>
      </c>
      <c r="BE21">
        <v>0</v>
      </c>
      <c r="BF21">
        <v>5.9097385770694046</v>
      </c>
      <c r="BG21">
        <v>368.76768720913083</v>
      </c>
      <c r="BH21">
        <v>0</v>
      </c>
      <c r="BI21">
        <v>0</v>
      </c>
      <c r="BJ21">
        <v>2.5843075047933795</v>
      </c>
      <c r="BK21">
        <v>161.26078829910688</v>
      </c>
      <c r="BL21">
        <v>2.5978467713541828</v>
      </c>
      <c r="BM21">
        <v>162.10563853250102</v>
      </c>
      <c r="BN21">
        <v>3.5370271781997178</v>
      </c>
      <c r="BO21">
        <v>220.71049591966238</v>
      </c>
      <c r="BP21">
        <v>2.9714696777961329</v>
      </c>
      <c r="BQ21">
        <v>185.41970789447868</v>
      </c>
      <c r="BR21">
        <v>4.1977904972040605</v>
      </c>
      <c r="BS21">
        <v>261.94212702553335</v>
      </c>
      <c r="BT21">
        <v>0</v>
      </c>
      <c r="BU21">
        <v>0</v>
      </c>
      <c r="BV21">
        <v>4.3995327392138677</v>
      </c>
      <c r="BW21">
        <v>274.53084292694535</v>
      </c>
      <c r="BX21">
        <v>0</v>
      </c>
      <c r="BY21">
        <v>0</v>
      </c>
      <c r="BZ21">
        <v>2.6623570603072735</v>
      </c>
      <c r="CA21">
        <v>166.13108056317387</v>
      </c>
      <c r="CB21">
        <v>2.6098105393801561</v>
      </c>
      <c r="CC21">
        <v>162.85217765732173</v>
      </c>
      <c r="CD21">
        <v>7.2787376511152981</v>
      </c>
      <c r="CE21">
        <v>454.19322942959457</v>
      </c>
      <c r="CF21">
        <v>0</v>
      </c>
      <c r="CG21">
        <v>0</v>
      </c>
      <c r="CH21">
        <v>3.5230124510282748</v>
      </c>
      <c r="CI21">
        <v>219.83597694416434</v>
      </c>
      <c r="CJ21">
        <v>2.3753964190765493</v>
      </c>
      <c r="CK21">
        <v>148.22473655037666</v>
      </c>
      <c r="CL21">
        <v>2.6688704720756093</v>
      </c>
      <c r="CM21">
        <v>166.53751745751802</v>
      </c>
      <c r="CN21">
        <v>3.5043392401571003</v>
      </c>
      <c r="CO21">
        <v>218.67076858580305</v>
      </c>
      <c r="CP21">
        <v>6.1886302961900741</v>
      </c>
      <c r="CQ21">
        <v>386.17053048226063</v>
      </c>
      <c r="CR21">
        <v>0</v>
      </c>
      <c r="CS21">
        <v>0</v>
      </c>
      <c r="CT21">
        <v>4.3672425906691794</v>
      </c>
      <c r="CU21">
        <v>272.51593765775681</v>
      </c>
    </row>
    <row r="22" spans="2:99" x14ac:dyDescent="0.2">
      <c r="C22" s="105" t="s">
        <v>188</v>
      </c>
      <c r="D22">
        <v>12</v>
      </c>
      <c r="E22">
        <v>2246.3999999999996</v>
      </c>
      <c r="F22">
        <v>11</v>
      </c>
      <c r="G22">
        <v>2059.1999999999998</v>
      </c>
      <c r="H22">
        <v>12</v>
      </c>
      <c r="I22">
        <v>2246.3999999999996</v>
      </c>
      <c r="J22">
        <v>8</v>
      </c>
      <c r="K22">
        <v>1497.6</v>
      </c>
      <c r="L22">
        <v>2.4971638866105494</v>
      </c>
      <c r="M22">
        <v>467.46907957349481</v>
      </c>
      <c r="N22">
        <v>4.9087851753847946</v>
      </c>
      <c r="O22">
        <v>918.92458483203347</v>
      </c>
      <c r="P22">
        <v>0</v>
      </c>
      <c r="Q22">
        <v>0</v>
      </c>
      <c r="R22">
        <v>4.1322000206852474</v>
      </c>
      <c r="S22">
        <v>773.54784387227824</v>
      </c>
      <c r="T22">
        <v>0</v>
      </c>
      <c r="U22">
        <v>0</v>
      </c>
      <c r="V22">
        <v>5.5541040665753245</v>
      </c>
      <c r="W22">
        <v>1039.7282812629007</v>
      </c>
      <c r="X22">
        <v>0</v>
      </c>
      <c r="Y22">
        <v>0</v>
      </c>
      <c r="Z22">
        <v>5.4063536897551447</v>
      </c>
      <c r="AA22">
        <v>1012.0694107221631</v>
      </c>
      <c r="AB22">
        <v>0</v>
      </c>
      <c r="AC22">
        <v>0</v>
      </c>
      <c r="AD22">
        <v>2.274931624291233</v>
      </c>
      <c r="AE22">
        <v>425.86720006731878</v>
      </c>
      <c r="AF22">
        <v>2.8689041563731896</v>
      </c>
      <c r="AG22">
        <v>537.05885807306106</v>
      </c>
      <c r="AH22">
        <v>2.7289576121598631</v>
      </c>
      <c r="AI22">
        <v>510.86086499632631</v>
      </c>
      <c r="AJ22">
        <v>0</v>
      </c>
      <c r="AK22">
        <v>0</v>
      </c>
      <c r="AL22">
        <v>4.3803031275172808</v>
      </c>
      <c r="AM22">
        <v>819.99274547123491</v>
      </c>
      <c r="AN22">
        <v>2.1072573810665802</v>
      </c>
      <c r="AO22">
        <v>394.47858173566379</v>
      </c>
      <c r="AP22">
        <v>4.2962946063442278</v>
      </c>
      <c r="AQ22">
        <v>804.26635030763941</v>
      </c>
      <c r="AR22">
        <v>0</v>
      </c>
      <c r="AS22">
        <v>0</v>
      </c>
      <c r="AT22">
        <v>4.3177273685527489</v>
      </c>
      <c r="AU22">
        <v>808.27856339307459</v>
      </c>
      <c r="AV22">
        <v>0</v>
      </c>
      <c r="AW22">
        <v>0</v>
      </c>
      <c r="AX22">
        <v>3.6803690045069404</v>
      </c>
      <c r="AY22">
        <v>688.96507764369915</v>
      </c>
      <c r="AZ22">
        <v>0</v>
      </c>
      <c r="BA22">
        <v>0</v>
      </c>
      <c r="BB22">
        <v>4.3265570768728976</v>
      </c>
      <c r="BC22">
        <v>809.93148479060642</v>
      </c>
      <c r="BD22">
        <v>0</v>
      </c>
      <c r="BE22">
        <v>0</v>
      </c>
      <c r="BF22">
        <v>5.4172603623136206</v>
      </c>
      <c r="BG22">
        <v>1014.1111398251097</v>
      </c>
      <c r="BH22">
        <v>0</v>
      </c>
      <c r="BI22">
        <v>0</v>
      </c>
      <c r="BJ22">
        <v>2.5843075047933795</v>
      </c>
      <c r="BK22">
        <v>483.78236489732058</v>
      </c>
      <c r="BL22">
        <v>2.3380620942187647</v>
      </c>
      <c r="BM22">
        <v>437.68522403775273</v>
      </c>
      <c r="BN22">
        <v>3.5370271781997178</v>
      </c>
      <c r="BO22">
        <v>662.13148775898708</v>
      </c>
      <c r="BP22">
        <v>2.9714696777961329</v>
      </c>
      <c r="BQ22">
        <v>556.25912368343609</v>
      </c>
      <c r="BR22">
        <v>4.1977904972040605</v>
      </c>
      <c r="BS22">
        <v>785.82638107660011</v>
      </c>
      <c r="BT22">
        <v>0</v>
      </c>
      <c r="BU22">
        <v>0</v>
      </c>
      <c r="BV22">
        <v>4.8883697102376313</v>
      </c>
      <c r="BW22">
        <v>915.10280975648448</v>
      </c>
      <c r="BX22">
        <v>0</v>
      </c>
      <c r="BY22">
        <v>0</v>
      </c>
      <c r="BZ22">
        <v>2.8842201486662131</v>
      </c>
      <c r="CA22">
        <v>539.92601183031502</v>
      </c>
      <c r="CB22">
        <v>2.6098105393801561</v>
      </c>
      <c r="CC22">
        <v>488.55653297196517</v>
      </c>
      <c r="CD22">
        <v>6.3082392976332589</v>
      </c>
      <c r="CE22">
        <v>1180.9023965169461</v>
      </c>
      <c r="CF22">
        <v>0</v>
      </c>
      <c r="CG22">
        <v>0</v>
      </c>
      <c r="CH22">
        <v>3.0532774575578383</v>
      </c>
      <c r="CI22">
        <v>571.57354005482728</v>
      </c>
      <c r="CJ22">
        <v>2.6393293545294991</v>
      </c>
      <c r="CK22">
        <v>494.08245516792221</v>
      </c>
      <c r="CL22">
        <v>2.9114950604461196</v>
      </c>
      <c r="CM22">
        <v>545.0318753155135</v>
      </c>
      <c r="CN22">
        <v>3.5043392401571003</v>
      </c>
      <c r="CO22">
        <v>656.01230575740908</v>
      </c>
      <c r="CP22">
        <v>5.7760549431107364</v>
      </c>
      <c r="CQ22">
        <v>1081.2774853503297</v>
      </c>
      <c r="CR22">
        <v>0</v>
      </c>
      <c r="CS22">
        <v>0</v>
      </c>
      <c r="CT22">
        <v>4.3672425906691794</v>
      </c>
      <c r="CU22">
        <v>817.54781297327031</v>
      </c>
    </row>
    <row r="23" spans="2:99" x14ac:dyDescent="0.2">
      <c r="C23" s="105" t="s">
        <v>189</v>
      </c>
      <c r="D23">
        <v>12</v>
      </c>
      <c r="E23">
        <v>3528</v>
      </c>
      <c r="F23">
        <v>13</v>
      </c>
      <c r="G23">
        <v>3822</v>
      </c>
      <c r="H23">
        <v>11</v>
      </c>
      <c r="I23">
        <v>3234</v>
      </c>
      <c r="J23">
        <v>7</v>
      </c>
      <c r="K23">
        <v>2058</v>
      </c>
      <c r="L23">
        <v>2.4971638866105494</v>
      </c>
      <c r="M23">
        <v>734.16618266350156</v>
      </c>
      <c r="N23">
        <v>4.9087851753847946</v>
      </c>
      <c r="O23">
        <v>1443.1828415631296</v>
      </c>
      <c r="P23">
        <v>0</v>
      </c>
      <c r="Q23">
        <v>0</v>
      </c>
      <c r="R23">
        <v>3.5418857320159263</v>
      </c>
      <c r="S23">
        <v>1041.3144052126822</v>
      </c>
      <c r="T23">
        <v>0</v>
      </c>
      <c r="U23">
        <v>0</v>
      </c>
      <c r="V23">
        <v>5.1268652922233766</v>
      </c>
      <c r="W23">
        <v>1507.2983959136727</v>
      </c>
      <c r="X23">
        <v>0</v>
      </c>
      <c r="Y23">
        <v>0</v>
      </c>
      <c r="Z23">
        <v>5.4063536897551447</v>
      </c>
      <c r="AA23">
        <v>1589.4679847880125</v>
      </c>
      <c r="AB23">
        <v>0</v>
      </c>
      <c r="AC23">
        <v>0</v>
      </c>
      <c r="AD23">
        <v>2.5592980773276373</v>
      </c>
      <c r="AE23">
        <v>752.43363473432532</v>
      </c>
      <c r="AF23">
        <v>2.6080946876119904</v>
      </c>
      <c r="AG23">
        <v>766.77983815792516</v>
      </c>
      <c r="AH23">
        <v>2.9770446678107598</v>
      </c>
      <c r="AI23">
        <v>875.25113233636341</v>
      </c>
      <c r="AJ23">
        <v>0</v>
      </c>
      <c r="AK23">
        <v>0</v>
      </c>
      <c r="AL23">
        <v>3.8327652365776208</v>
      </c>
      <c r="AM23">
        <v>1126.8329795538205</v>
      </c>
      <c r="AN23">
        <v>2.1072573810665802</v>
      </c>
      <c r="AO23">
        <v>619.53367003357459</v>
      </c>
      <c r="AP23">
        <v>3.8189285389726475</v>
      </c>
      <c r="AQ23">
        <v>1122.7649904579584</v>
      </c>
      <c r="AR23">
        <v>0</v>
      </c>
      <c r="AS23">
        <v>0</v>
      </c>
      <c r="AT23">
        <v>4.3177273685527489</v>
      </c>
      <c r="AU23">
        <v>1269.4118463545083</v>
      </c>
      <c r="AV23">
        <v>0</v>
      </c>
      <c r="AW23">
        <v>0</v>
      </c>
      <c r="AX23">
        <v>4.2061360051507881</v>
      </c>
      <c r="AY23">
        <v>1236.6039855143317</v>
      </c>
      <c r="AZ23">
        <v>0</v>
      </c>
      <c r="BA23">
        <v>0</v>
      </c>
      <c r="BB23">
        <v>4.8673767114820095</v>
      </c>
      <c r="BC23">
        <v>1431.0087531757108</v>
      </c>
      <c r="BD23">
        <v>0</v>
      </c>
      <c r="BE23">
        <v>0</v>
      </c>
      <c r="BF23">
        <v>5.4172603623136206</v>
      </c>
      <c r="BG23">
        <v>1592.6745465202046</v>
      </c>
      <c r="BH23">
        <v>0</v>
      </c>
      <c r="BI23">
        <v>0</v>
      </c>
      <c r="BJ23">
        <v>2.5843075047933795</v>
      </c>
      <c r="BK23">
        <v>759.78640640925357</v>
      </c>
      <c r="BL23">
        <v>2.3380620942187647</v>
      </c>
      <c r="BM23">
        <v>687.39025570031686</v>
      </c>
      <c r="BN23">
        <v>3.5370271781997178</v>
      </c>
      <c r="BO23">
        <v>1039.8859903907171</v>
      </c>
      <c r="BP23">
        <v>2.759221843667838</v>
      </c>
      <c r="BQ23">
        <v>811.21122203834432</v>
      </c>
      <c r="BR23">
        <v>4.1977904972040605</v>
      </c>
      <c r="BS23">
        <v>1234.1504061779938</v>
      </c>
      <c r="BT23">
        <v>0</v>
      </c>
      <c r="BU23">
        <v>0</v>
      </c>
      <c r="BV23">
        <v>4.3995327392138677</v>
      </c>
      <c r="BW23">
        <v>1293.462625328877</v>
      </c>
      <c r="BX23">
        <v>0</v>
      </c>
      <c r="BY23">
        <v>0</v>
      </c>
      <c r="BZ23">
        <v>2.6623570603072735</v>
      </c>
      <c r="CA23">
        <v>782.73297573033835</v>
      </c>
      <c r="CB23">
        <v>2.3198315905601388</v>
      </c>
      <c r="CC23">
        <v>682.03048762468075</v>
      </c>
      <c r="CD23">
        <v>6.7934884743742785</v>
      </c>
      <c r="CE23">
        <v>1997.2856114660378</v>
      </c>
      <c r="CF23">
        <v>0</v>
      </c>
      <c r="CG23">
        <v>0</v>
      </c>
      <c r="CH23">
        <v>3.2881449542930565</v>
      </c>
      <c r="CI23">
        <v>966.71461656215865</v>
      </c>
      <c r="CJ23">
        <v>2.6393293545294991</v>
      </c>
      <c r="CK23">
        <v>775.9628302316728</v>
      </c>
      <c r="CL23">
        <v>3.1541196488166294</v>
      </c>
      <c r="CM23">
        <v>927.31117675208907</v>
      </c>
      <c r="CN23">
        <v>3.2707166241466266</v>
      </c>
      <c r="CO23">
        <v>961.59068749910818</v>
      </c>
      <c r="CP23">
        <v>6.1886302961900741</v>
      </c>
      <c r="CQ23">
        <v>1819.4573070798817</v>
      </c>
      <c r="CR23">
        <v>0</v>
      </c>
      <c r="CS23">
        <v>0</v>
      </c>
      <c r="CT23">
        <v>4.3672425906691794</v>
      </c>
      <c r="CU23">
        <v>1283.9693216567387</v>
      </c>
    </row>
    <row r="24" spans="2:99" x14ac:dyDescent="0.2">
      <c r="C24" s="105" t="s">
        <v>190</v>
      </c>
      <c r="D24">
        <v>12</v>
      </c>
      <c r="E24">
        <v>4406.3999999999996</v>
      </c>
      <c r="F24">
        <v>12</v>
      </c>
      <c r="G24">
        <v>4406.3999999999996</v>
      </c>
      <c r="H24">
        <v>11</v>
      </c>
      <c r="I24">
        <v>4039.2</v>
      </c>
      <c r="J24">
        <v>7</v>
      </c>
      <c r="K24">
        <v>2570.4</v>
      </c>
      <c r="L24">
        <v>2.8539015846977707</v>
      </c>
      <c r="M24">
        <v>1047.9526619010214</v>
      </c>
      <c r="N24">
        <v>4.2951870284616955</v>
      </c>
      <c r="O24">
        <v>1577.1926768511346</v>
      </c>
      <c r="P24">
        <v>0</v>
      </c>
      <c r="Q24">
        <v>0</v>
      </c>
      <c r="R24">
        <v>4.7225143093545681</v>
      </c>
      <c r="S24">
        <v>1734.1072543949974</v>
      </c>
      <c r="T24">
        <v>0</v>
      </c>
      <c r="U24">
        <v>0</v>
      </c>
      <c r="V24">
        <v>5.5541040665753245</v>
      </c>
      <c r="W24">
        <v>2039.4670132464591</v>
      </c>
      <c r="X24">
        <v>0</v>
      </c>
      <c r="Y24">
        <v>0</v>
      </c>
      <c r="Z24">
        <v>5.4063536897551447</v>
      </c>
      <c r="AA24">
        <v>1985.2130748780892</v>
      </c>
      <c r="AB24">
        <v>0</v>
      </c>
      <c r="AC24">
        <v>0</v>
      </c>
      <c r="AD24">
        <v>2.274931624291233</v>
      </c>
      <c r="AE24">
        <v>835.35489243974075</v>
      </c>
      <c r="AF24">
        <v>2.6080946876119904</v>
      </c>
      <c r="AG24">
        <v>957.69236929112287</v>
      </c>
      <c r="AH24">
        <v>2.7289576121598631</v>
      </c>
      <c r="AI24">
        <v>1002.0732351851017</v>
      </c>
      <c r="AJ24">
        <v>0</v>
      </c>
      <c r="AK24">
        <v>0</v>
      </c>
      <c r="AL24">
        <v>3.8327652365776208</v>
      </c>
      <c r="AM24">
        <v>1407.3913948713023</v>
      </c>
      <c r="AN24">
        <v>2.3706645536999029</v>
      </c>
      <c r="AO24">
        <v>870.50802411860434</v>
      </c>
      <c r="AP24">
        <v>3.8189285389726475</v>
      </c>
      <c r="AQ24">
        <v>1402.3105595107561</v>
      </c>
      <c r="AR24">
        <v>0</v>
      </c>
      <c r="AS24">
        <v>0</v>
      </c>
      <c r="AT24">
        <v>4.857443289621842</v>
      </c>
      <c r="AU24">
        <v>1783.6531759491404</v>
      </c>
      <c r="AV24">
        <v>0</v>
      </c>
      <c r="AW24">
        <v>0</v>
      </c>
      <c r="AX24">
        <v>4.2061360051507881</v>
      </c>
      <c r="AY24">
        <v>1544.4931410913694</v>
      </c>
      <c r="AZ24">
        <v>0</v>
      </c>
      <c r="BA24">
        <v>0</v>
      </c>
      <c r="BB24">
        <v>4.3265570768728976</v>
      </c>
      <c r="BC24">
        <v>1588.7117586277279</v>
      </c>
      <c r="BD24">
        <v>0</v>
      </c>
      <c r="BE24">
        <v>0</v>
      </c>
      <c r="BF24">
        <v>5.4172603623136206</v>
      </c>
      <c r="BG24">
        <v>1989.2180050415614</v>
      </c>
      <c r="BH24">
        <v>0</v>
      </c>
      <c r="BI24">
        <v>0</v>
      </c>
      <c r="BJ24">
        <v>2.7996664635261608</v>
      </c>
      <c r="BK24">
        <v>1028.0375254068063</v>
      </c>
      <c r="BL24">
        <v>2.0782774170833465</v>
      </c>
      <c r="BM24">
        <v>763.14346755300483</v>
      </c>
      <c r="BN24">
        <v>3.2649481644920471</v>
      </c>
      <c r="BO24">
        <v>1198.8889660014797</v>
      </c>
      <c r="BP24">
        <v>2.759221843667838</v>
      </c>
      <c r="BQ24">
        <v>1013.18626099483</v>
      </c>
      <c r="BR24">
        <v>4.1977904972040605</v>
      </c>
      <c r="BS24">
        <v>1541.4286705733309</v>
      </c>
      <c r="BT24">
        <v>0</v>
      </c>
      <c r="BU24">
        <v>0</v>
      </c>
      <c r="BV24">
        <v>4.3995327392138677</v>
      </c>
      <c r="BW24">
        <v>1615.5084218393322</v>
      </c>
      <c r="BX24">
        <v>0</v>
      </c>
      <c r="BY24">
        <v>0</v>
      </c>
      <c r="BZ24">
        <v>2.6623570603072735</v>
      </c>
      <c r="CA24">
        <v>977.61751254483079</v>
      </c>
      <c r="CB24">
        <v>2.3198315905601388</v>
      </c>
      <c r="CC24">
        <v>851.84216005368296</v>
      </c>
      <c r="CD24">
        <v>6.7934884743742785</v>
      </c>
      <c r="CE24">
        <v>2494.5689677902351</v>
      </c>
      <c r="CF24">
        <v>0</v>
      </c>
      <c r="CG24">
        <v>0</v>
      </c>
      <c r="CH24">
        <v>3.2881449542930565</v>
      </c>
      <c r="CI24">
        <v>1207.4068272164104</v>
      </c>
      <c r="CJ24">
        <v>2.6393293545294991</v>
      </c>
      <c r="CK24">
        <v>969.161738983232</v>
      </c>
      <c r="CL24">
        <v>3.1541196488166294</v>
      </c>
      <c r="CM24">
        <v>1158.1927350454662</v>
      </c>
      <c r="CN24">
        <v>3.2707166241466266</v>
      </c>
      <c r="CO24">
        <v>1201.0071443866411</v>
      </c>
      <c r="CP24">
        <v>5.7760549431107364</v>
      </c>
      <c r="CQ24">
        <v>2120.9673751102623</v>
      </c>
      <c r="CR24">
        <v>0</v>
      </c>
      <c r="CS24">
        <v>0</v>
      </c>
      <c r="CT24">
        <v>4.3672425906691794</v>
      </c>
      <c r="CU24">
        <v>1603.6514792937226</v>
      </c>
    </row>
    <row r="25" spans="2:99" x14ac:dyDescent="0.2">
      <c r="C25" s="105" t="s">
        <v>191</v>
      </c>
      <c r="D25">
        <v>10</v>
      </c>
      <c r="E25">
        <v>5304</v>
      </c>
      <c r="F25">
        <v>12</v>
      </c>
      <c r="G25">
        <v>6364.7999999999993</v>
      </c>
      <c r="H25">
        <v>11</v>
      </c>
      <c r="I25">
        <v>5834.4</v>
      </c>
      <c r="J25">
        <v>7</v>
      </c>
      <c r="K25">
        <v>3712.7999999999997</v>
      </c>
      <c r="L25">
        <v>2.1404261885233278</v>
      </c>
      <c r="M25">
        <v>1135.282050392773</v>
      </c>
      <c r="N25">
        <v>4.9087851753847946</v>
      </c>
      <c r="O25">
        <v>2603.619657024095</v>
      </c>
      <c r="P25">
        <v>0</v>
      </c>
      <c r="Q25">
        <v>0</v>
      </c>
      <c r="R25">
        <v>4.1322000206852474</v>
      </c>
      <c r="S25">
        <v>2191.718890971455</v>
      </c>
      <c r="T25">
        <v>0</v>
      </c>
      <c r="U25">
        <v>0</v>
      </c>
      <c r="V25">
        <v>4.6996265178714287</v>
      </c>
      <c r="W25">
        <v>2492.6819050790059</v>
      </c>
      <c r="X25">
        <v>0</v>
      </c>
      <c r="Y25">
        <v>0</v>
      </c>
      <c r="Z25">
        <v>5.4063536897551447</v>
      </c>
      <c r="AA25">
        <v>2867.5299970461288</v>
      </c>
      <c r="AB25">
        <v>0</v>
      </c>
      <c r="AC25">
        <v>0</v>
      </c>
      <c r="AD25">
        <v>2.274931624291233</v>
      </c>
      <c r="AE25">
        <v>1206.6237335240698</v>
      </c>
      <c r="AF25">
        <v>2.8689041563731896</v>
      </c>
      <c r="AG25">
        <v>1521.6667645403397</v>
      </c>
      <c r="AH25">
        <v>2.9770446678107598</v>
      </c>
      <c r="AI25">
        <v>1579.024491806827</v>
      </c>
      <c r="AJ25">
        <v>0</v>
      </c>
      <c r="AK25">
        <v>0</v>
      </c>
      <c r="AL25">
        <v>3.2852273456379604</v>
      </c>
      <c r="AM25">
        <v>1742.4845841263741</v>
      </c>
      <c r="AN25">
        <v>2.1072573810665802</v>
      </c>
      <c r="AO25">
        <v>1117.689314917714</v>
      </c>
      <c r="AP25">
        <v>3.8189285389726475</v>
      </c>
      <c r="AQ25">
        <v>2025.5596970710922</v>
      </c>
      <c r="AR25">
        <v>0</v>
      </c>
      <c r="AS25">
        <v>0</v>
      </c>
      <c r="AT25">
        <v>4.3177273685527489</v>
      </c>
      <c r="AU25">
        <v>2290.1225962803778</v>
      </c>
      <c r="AV25">
        <v>0</v>
      </c>
      <c r="AW25">
        <v>0</v>
      </c>
      <c r="AX25">
        <v>4.2061360051507881</v>
      </c>
      <c r="AY25">
        <v>2230.9345371319778</v>
      </c>
      <c r="AZ25">
        <v>0</v>
      </c>
      <c r="BA25">
        <v>0</v>
      </c>
      <c r="BB25">
        <v>4.3265570768728976</v>
      </c>
      <c r="BC25">
        <v>2294.8058735733848</v>
      </c>
      <c r="BD25">
        <v>0</v>
      </c>
      <c r="BE25">
        <v>0</v>
      </c>
      <c r="BF25">
        <v>5.4172603623136206</v>
      </c>
      <c r="BG25">
        <v>2873.3148961711445</v>
      </c>
      <c r="BH25">
        <v>0</v>
      </c>
      <c r="BI25">
        <v>0</v>
      </c>
      <c r="BJ25">
        <v>2.5843075047933795</v>
      </c>
      <c r="BK25">
        <v>1370.7167005424085</v>
      </c>
      <c r="BL25">
        <v>2.3380620942187647</v>
      </c>
      <c r="BM25">
        <v>1240.1081347736326</v>
      </c>
      <c r="BN25">
        <v>3.2649481644920471</v>
      </c>
      <c r="BO25">
        <v>1731.7285064465816</v>
      </c>
      <c r="BP25">
        <v>2.5469740095395426</v>
      </c>
      <c r="BQ25">
        <v>1350.9150146597733</v>
      </c>
      <c r="BR25">
        <v>4.7225143093545681</v>
      </c>
      <c r="BS25">
        <v>2504.8215896816628</v>
      </c>
      <c r="BT25">
        <v>0</v>
      </c>
      <c r="BU25">
        <v>0</v>
      </c>
      <c r="BV25">
        <v>4.8883697102376313</v>
      </c>
      <c r="BW25">
        <v>2592.7912943100396</v>
      </c>
      <c r="BX25">
        <v>0</v>
      </c>
      <c r="BY25">
        <v>0</v>
      </c>
      <c r="BZ25">
        <v>2.6623570603072735</v>
      </c>
      <c r="CA25">
        <v>1412.1141847869778</v>
      </c>
      <c r="CB25">
        <v>2.6098105393801561</v>
      </c>
      <c r="CC25">
        <v>1384.2435100872347</v>
      </c>
      <c r="CD25">
        <v>6.3082392976332589</v>
      </c>
      <c r="CE25">
        <v>3345.8901234646805</v>
      </c>
      <c r="CF25">
        <v>0</v>
      </c>
      <c r="CG25">
        <v>0</v>
      </c>
      <c r="CH25">
        <v>3.0532774575578383</v>
      </c>
      <c r="CI25">
        <v>1619.4583634886774</v>
      </c>
      <c r="CJ25">
        <v>2.6393293545294991</v>
      </c>
      <c r="CK25">
        <v>1399.9002896424463</v>
      </c>
      <c r="CL25">
        <v>2.6688704720756093</v>
      </c>
      <c r="CM25">
        <v>1415.5688983889031</v>
      </c>
      <c r="CN25">
        <v>3.2707166241466266</v>
      </c>
      <c r="CO25">
        <v>1734.7880974473705</v>
      </c>
      <c r="CP25">
        <v>5.3634795900313978</v>
      </c>
      <c r="CQ25">
        <v>2844.7895745526534</v>
      </c>
      <c r="CR25">
        <v>0</v>
      </c>
      <c r="CS25">
        <v>0</v>
      </c>
      <c r="CT25">
        <v>4.3672425906691794</v>
      </c>
      <c r="CU25">
        <v>2316.3854700909328</v>
      </c>
    </row>
    <row r="26" spans="2:99" x14ac:dyDescent="0.2">
      <c r="C26" s="105" t="s">
        <v>192</v>
      </c>
      <c r="D26">
        <v>12</v>
      </c>
      <c r="E26">
        <v>5832</v>
      </c>
      <c r="F26">
        <v>11</v>
      </c>
      <c r="G26">
        <v>5346</v>
      </c>
      <c r="H26">
        <v>11</v>
      </c>
      <c r="I26">
        <v>5346</v>
      </c>
      <c r="J26">
        <v>7</v>
      </c>
      <c r="K26">
        <v>3402</v>
      </c>
      <c r="L26">
        <v>2.4971638866105494</v>
      </c>
      <c r="M26">
        <v>1213.6216488927271</v>
      </c>
      <c r="N26">
        <v>4.9087851753847946</v>
      </c>
      <c r="O26">
        <v>2385.6695952370101</v>
      </c>
      <c r="P26">
        <v>0</v>
      </c>
      <c r="Q26">
        <v>0</v>
      </c>
      <c r="R26">
        <v>4.1322000206852474</v>
      </c>
      <c r="S26">
        <v>2008.2492100530303</v>
      </c>
      <c r="T26">
        <v>0</v>
      </c>
      <c r="U26">
        <v>0</v>
      </c>
      <c r="V26">
        <v>5.9813428409272724</v>
      </c>
      <c r="W26">
        <v>2906.9326206906544</v>
      </c>
      <c r="X26">
        <v>0</v>
      </c>
      <c r="Y26">
        <v>0</v>
      </c>
      <c r="Z26">
        <v>4.9558242156088825</v>
      </c>
      <c r="AA26">
        <v>2408.5305687859168</v>
      </c>
      <c r="AB26">
        <v>0</v>
      </c>
      <c r="AC26">
        <v>0</v>
      </c>
      <c r="AD26">
        <v>2.274931624291233</v>
      </c>
      <c r="AE26">
        <v>1105.6167694055391</v>
      </c>
      <c r="AF26">
        <v>2.6080946876119904</v>
      </c>
      <c r="AG26">
        <v>1267.5340181794272</v>
      </c>
      <c r="AH26">
        <v>2.9770446678107598</v>
      </c>
      <c r="AI26">
        <v>1446.8437085560292</v>
      </c>
      <c r="AJ26">
        <v>0</v>
      </c>
      <c r="AK26">
        <v>0</v>
      </c>
      <c r="AL26">
        <v>3.8327652365776208</v>
      </c>
      <c r="AM26">
        <v>1862.7239049767238</v>
      </c>
      <c r="AN26">
        <v>2.3706645536999029</v>
      </c>
      <c r="AO26">
        <v>1152.1429730981529</v>
      </c>
      <c r="AP26">
        <v>3.8189285389726475</v>
      </c>
      <c r="AQ26">
        <v>1855.9992699407067</v>
      </c>
      <c r="AR26">
        <v>0</v>
      </c>
      <c r="AS26">
        <v>0</v>
      </c>
      <c r="AT26">
        <v>4.3177273685527489</v>
      </c>
      <c r="AU26">
        <v>2098.4155011166358</v>
      </c>
      <c r="AV26">
        <v>0</v>
      </c>
      <c r="AW26">
        <v>0</v>
      </c>
      <c r="AX26">
        <v>3.6803690045069404</v>
      </c>
      <c r="AY26">
        <v>1788.6593361903731</v>
      </c>
      <c r="AZ26">
        <v>0</v>
      </c>
      <c r="BA26">
        <v>0</v>
      </c>
      <c r="BB26">
        <v>4.3265570768728976</v>
      </c>
      <c r="BC26">
        <v>2102.7067393602283</v>
      </c>
      <c r="BD26">
        <v>0</v>
      </c>
      <c r="BE26">
        <v>0</v>
      </c>
      <c r="BF26">
        <v>5.9097385770694046</v>
      </c>
      <c r="BG26">
        <v>2872.1329484557305</v>
      </c>
      <c r="BH26">
        <v>0</v>
      </c>
      <c r="BI26">
        <v>0</v>
      </c>
      <c r="BJ26">
        <v>2.5843075047933795</v>
      </c>
      <c r="BK26">
        <v>1255.9734473295823</v>
      </c>
      <c r="BL26">
        <v>2.3380620942187647</v>
      </c>
      <c r="BM26">
        <v>1136.2981777903196</v>
      </c>
      <c r="BN26">
        <v>3.2649481644920471</v>
      </c>
      <c r="BO26">
        <v>1586.7648079431349</v>
      </c>
      <c r="BP26">
        <v>2.759221843667838</v>
      </c>
      <c r="BQ26">
        <v>1340.9818160225693</v>
      </c>
      <c r="BR26">
        <v>4.7225143093545681</v>
      </c>
      <c r="BS26">
        <v>2295.1419543463203</v>
      </c>
      <c r="BT26">
        <v>0</v>
      </c>
      <c r="BU26">
        <v>0</v>
      </c>
      <c r="BV26">
        <v>4.8883697102376313</v>
      </c>
      <c r="BW26">
        <v>2375.7476791754889</v>
      </c>
      <c r="BX26">
        <v>0</v>
      </c>
      <c r="BY26">
        <v>0</v>
      </c>
      <c r="BZ26">
        <v>2.4404939719483343</v>
      </c>
      <c r="CA26">
        <v>1186.0800703668904</v>
      </c>
      <c r="CB26">
        <v>2.3198315905601388</v>
      </c>
      <c r="CC26">
        <v>1127.4381530122275</v>
      </c>
      <c r="CD26">
        <v>6.7934884743742785</v>
      </c>
      <c r="CE26">
        <v>3301.6353985458995</v>
      </c>
      <c r="CF26">
        <v>0</v>
      </c>
      <c r="CG26">
        <v>0</v>
      </c>
      <c r="CH26">
        <v>3.0532774575578383</v>
      </c>
      <c r="CI26">
        <v>1483.8928443731095</v>
      </c>
      <c r="CJ26">
        <v>2.6393293545294991</v>
      </c>
      <c r="CK26">
        <v>1282.7140663013365</v>
      </c>
      <c r="CL26">
        <v>3.1541196488166294</v>
      </c>
      <c r="CM26">
        <v>1532.902149324882</v>
      </c>
      <c r="CN26">
        <v>3.5043392401571003</v>
      </c>
      <c r="CO26">
        <v>1703.1088707163508</v>
      </c>
      <c r="CP26">
        <v>6.1886302961900741</v>
      </c>
      <c r="CQ26">
        <v>3007.6743239483758</v>
      </c>
      <c r="CR26">
        <v>0</v>
      </c>
      <c r="CS26">
        <v>0</v>
      </c>
      <c r="CT26">
        <v>4.3672425906691794</v>
      </c>
      <c r="CU26">
        <v>2122.4798990652212</v>
      </c>
    </row>
    <row r="27" spans="2:99" x14ac:dyDescent="0.2">
      <c r="C27" s="105" t="s">
        <v>193</v>
      </c>
      <c r="D27">
        <v>10</v>
      </c>
      <c r="E27">
        <v>4272</v>
      </c>
      <c r="F27">
        <v>12</v>
      </c>
      <c r="G27">
        <v>5126.3999999999996</v>
      </c>
      <c r="H27">
        <v>11</v>
      </c>
      <c r="I27">
        <v>4699.2</v>
      </c>
      <c r="J27">
        <v>8</v>
      </c>
      <c r="K27">
        <v>3417.6</v>
      </c>
      <c r="L27">
        <v>2.4971638866105494</v>
      </c>
      <c r="M27">
        <v>1066.7884123600268</v>
      </c>
      <c r="N27">
        <v>4.2951870284616955</v>
      </c>
      <c r="O27">
        <v>1834.9038985588363</v>
      </c>
      <c r="P27">
        <v>0</v>
      </c>
      <c r="Q27">
        <v>0</v>
      </c>
      <c r="R27">
        <v>4.1322000206852474</v>
      </c>
      <c r="S27">
        <v>1765.2758488367376</v>
      </c>
      <c r="T27">
        <v>0</v>
      </c>
      <c r="U27">
        <v>0</v>
      </c>
      <c r="V27">
        <v>4.6996265178714287</v>
      </c>
      <c r="W27">
        <v>2007.6804484346742</v>
      </c>
      <c r="X27">
        <v>0</v>
      </c>
      <c r="Y27">
        <v>0</v>
      </c>
      <c r="Z27">
        <v>5.4063536897551447</v>
      </c>
      <c r="AA27">
        <v>2309.5942962633976</v>
      </c>
      <c r="AB27">
        <v>0</v>
      </c>
      <c r="AC27">
        <v>0</v>
      </c>
      <c r="AD27">
        <v>1.9905651712548289</v>
      </c>
      <c r="AE27">
        <v>850.36944116006293</v>
      </c>
      <c r="AF27">
        <v>2.8689041563731896</v>
      </c>
      <c r="AG27">
        <v>1225.5958556026267</v>
      </c>
      <c r="AH27">
        <v>3.2251317234616566</v>
      </c>
      <c r="AI27">
        <v>1377.7762722628197</v>
      </c>
      <c r="AJ27">
        <v>0</v>
      </c>
      <c r="AK27">
        <v>0</v>
      </c>
      <c r="AL27">
        <v>3.8327652365776208</v>
      </c>
      <c r="AM27">
        <v>1637.3573090659595</v>
      </c>
      <c r="AN27">
        <v>2.3706645536999029</v>
      </c>
      <c r="AO27">
        <v>1012.7478973405985</v>
      </c>
      <c r="AP27">
        <v>3.8189285389726475</v>
      </c>
      <c r="AQ27">
        <v>1631.446271849115</v>
      </c>
      <c r="AR27">
        <v>0</v>
      </c>
      <c r="AS27">
        <v>0</v>
      </c>
      <c r="AT27">
        <v>4.857443289621842</v>
      </c>
      <c r="AU27">
        <v>2075.0997733264508</v>
      </c>
      <c r="AV27">
        <v>0</v>
      </c>
      <c r="AW27">
        <v>0</v>
      </c>
      <c r="AX27">
        <v>4.2061360051507881</v>
      </c>
      <c r="AY27">
        <v>1796.8613014004166</v>
      </c>
      <c r="AZ27">
        <v>0</v>
      </c>
      <c r="BA27">
        <v>0</v>
      </c>
      <c r="BB27">
        <v>4.3265570768728976</v>
      </c>
      <c r="BC27">
        <v>1848.3051832401018</v>
      </c>
      <c r="BD27">
        <v>0</v>
      </c>
      <c r="BE27">
        <v>0</v>
      </c>
      <c r="BF27">
        <v>4.9247821475578366</v>
      </c>
      <c r="BG27">
        <v>2103.8669334367078</v>
      </c>
      <c r="BH27">
        <v>0</v>
      </c>
      <c r="BI27">
        <v>0</v>
      </c>
      <c r="BJ27">
        <v>2.5843075047933795</v>
      </c>
      <c r="BK27">
        <v>1104.0161660477318</v>
      </c>
      <c r="BL27">
        <v>2.3380620942187647</v>
      </c>
      <c r="BM27">
        <v>998.82012665025627</v>
      </c>
      <c r="BN27">
        <v>3.5370271781997178</v>
      </c>
      <c r="BO27">
        <v>1511.0180105269194</v>
      </c>
      <c r="BP27">
        <v>2.759221843667838</v>
      </c>
      <c r="BQ27">
        <v>1178.7395716149003</v>
      </c>
      <c r="BR27">
        <v>4.1977904972040605</v>
      </c>
      <c r="BS27">
        <v>1793.2961004055746</v>
      </c>
      <c r="BT27">
        <v>0</v>
      </c>
      <c r="BU27">
        <v>0</v>
      </c>
      <c r="BV27">
        <v>4.3995327392138677</v>
      </c>
      <c r="BW27">
        <v>1879.4803861921641</v>
      </c>
      <c r="BX27">
        <v>0</v>
      </c>
      <c r="BY27">
        <v>0</v>
      </c>
      <c r="BZ27">
        <v>2.6623570603072735</v>
      </c>
      <c r="CA27">
        <v>1137.3589361632671</v>
      </c>
      <c r="CB27">
        <v>2.3198315905601388</v>
      </c>
      <c r="CC27">
        <v>991.03205548729125</v>
      </c>
      <c r="CD27">
        <v>6.7934884743742785</v>
      </c>
      <c r="CE27">
        <v>2902.1782762526918</v>
      </c>
      <c r="CF27">
        <v>0</v>
      </c>
      <c r="CG27">
        <v>0</v>
      </c>
      <c r="CH27">
        <v>3.0532774575578383</v>
      </c>
      <c r="CI27">
        <v>1304.3601298687086</v>
      </c>
      <c r="CJ27">
        <v>2.6393293545294991</v>
      </c>
      <c r="CK27">
        <v>1127.5215002550019</v>
      </c>
      <c r="CL27">
        <v>3.1541196488166294</v>
      </c>
      <c r="CM27">
        <v>1347.4399139744642</v>
      </c>
      <c r="CN27">
        <v>3.2707166241466266</v>
      </c>
      <c r="CO27">
        <v>1397.2501418354389</v>
      </c>
      <c r="CP27">
        <v>6.1886302961900741</v>
      </c>
      <c r="CQ27">
        <v>2643.7828625323996</v>
      </c>
      <c r="CR27">
        <v>0</v>
      </c>
      <c r="CS27">
        <v>0</v>
      </c>
      <c r="CT27">
        <v>4.8524917674101991</v>
      </c>
      <c r="CU27">
        <v>2072.9844830376369</v>
      </c>
    </row>
    <row r="28" spans="2:99" x14ac:dyDescent="0.2">
      <c r="C28" s="105" t="s">
        <v>194</v>
      </c>
      <c r="D28">
        <v>12</v>
      </c>
      <c r="E28">
        <v>8856</v>
      </c>
      <c r="F28">
        <v>11</v>
      </c>
      <c r="G28">
        <v>8118</v>
      </c>
      <c r="H28">
        <v>11</v>
      </c>
      <c r="I28">
        <v>8118</v>
      </c>
      <c r="J28">
        <v>8</v>
      </c>
      <c r="K28">
        <v>5904</v>
      </c>
      <c r="L28">
        <v>2.4971638866105494</v>
      </c>
      <c r="M28">
        <v>1842.9069483185856</v>
      </c>
      <c r="N28">
        <v>4.2951870284616955</v>
      </c>
      <c r="O28">
        <v>3169.8480270047312</v>
      </c>
      <c r="P28">
        <v>0</v>
      </c>
      <c r="Q28">
        <v>0</v>
      </c>
      <c r="R28">
        <v>3.5418857320159263</v>
      </c>
      <c r="S28">
        <v>2613.9116702277538</v>
      </c>
      <c r="T28">
        <v>0</v>
      </c>
      <c r="U28">
        <v>0</v>
      </c>
      <c r="V28">
        <v>5.1268652922233766</v>
      </c>
      <c r="W28">
        <v>3783.626585660852</v>
      </c>
      <c r="X28">
        <v>0</v>
      </c>
      <c r="Y28">
        <v>0</v>
      </c>
      <c r="Z28">
        <v>5.4063536897551447</v>
      </c>
      <c r="AA28">
        <v>3989.8890230392967</v>
      </c>
      <c r="AB28">
        <v>0</v>
      </c>
      <c r="AC28">
        <v>0</v>
      </c>
      <c r="AD28">
        <v>1.9905651712548289</v>
      </c>
      <c r="AE28">
        <v>1469.0370963860637</v>
      </c>
      <c r="AF28">
        <v>2.8689041563731896</v>
      </c>
      <c r="AG28">
        <v>2117.2512674034137</v>
      </c>
      <c r="AH28">
        <v>2.7289576121598631</v>
      </c>
      <c r="AI28">
        <v>2013.970717773979</v>
      </c>
      <c r="AJ28">
        <v>0</v>
      </c>
      <c r="AK28">
        <v>0</v>
      </c>
      <c r="AL28">
        <v>3.8327652365776208</v>
      </c>
      <c r="AM28">
        <v>2828.5807445942842</v>
      </c>
      <c r="AN28">
        <v>2.3706645536999029</v>
      </c>
      <c r="AO28">
        <v>1749.5504406305283</v>
      </c>
      <c r="AP28">
        <v>4.2962946063442278</v>
      </c>
      <c r="AQ28">
        <v>3170.6654194820403</v>
      </c>
      <c r="AR28">
        <v>0</v>
      </c>
      <c r="AS28">
        <v>0</v>
      </c>
      <c r="AT28">
        <v>4.3177273685527489</v>
      </c>
      <c r="AU28">
        <v>3186.4827979919287</v>
      </c>
      <c r="AV28">
        <v>0</v>
      </c>
      <c r="AW28">
        <v>0</v>
      </c>
      <c r="AX28">
        <v>3.6803690045069404</v>
      </c>
      <c r="AY28">
        <v>2716.1123253261221</v>
      </c>
      <c r="AZ28">
        <v>0</v>
      </c>
      <c r="BA28">
        <v>0</v>
      </c>
      <c r="BB28">
        <v>4.3265570768728976</v>
      </c>
      <c r="BC28">
        <v>3192.9991227321984</v>
      </c>
      <c r="BD28">
        <v>0</v>
      </c>
      <c r="BE28">
        <v>0</v>
      </c>
      <c r="BF28">
        <v>4.9247821475578366</v>
      </c>
      <c r="BG28">
        <v>3634.4892248976835</v>
      </c>
      <c r="BH28">
        <v>0</v>
      </c>
      <c r="BI28">
        <v>0</v>
      </c>
      <c r="BJ28">
        <v>2.7996664635261608</v>
      </c>
      <c r="BK28">
        <v>2066.1538500823067</v>
      </c>
      <c r="BL28">
        <v>2.3380620942187647</v>
      </c>
      <c r="BM28">
        <v>1725.4898255334483</v>
      </c>
      <c r="BN28">
        <v>2.9928691507843768</v>
      </c>
      <c r="BO28">
        <v>2208.73743327887</v>
      </c>
      <c r="BP28">
        <v>2.759221843667838</v>
      </c>
      <c r="BQ28">
        <v>2036.3057206268645</v>
      </c>
      <c r="BR28">
        <v>4.7225143093545681</v>
      </c>
      <c r="BS28">
        <v>3485.2155603036713</v>
      </c>
      <c r="BT28">
        <v>0</v>
      </c>
      <c r="BU28">
        <v>0</v>
      </c>
      <c r="BV28">
        <v>4.3995327392138677</v>
      </c>
      <c r="BW28">
        <v>3246.8551615398342</v>
      </c>
      <c r="BX28">
        <v>0</v>
      </c>
      <c r="BY28">
        <v>0</v>
      </c>
      <c r="BZ28">
        <v>2.4404939719483343</v>
      </c>
      <c r="CA28">
        <v>1801.0845512978708</v>
      </c>
      <c r="CB28">
        <v>2.0298526417401215</v>
      </c>
      <c r="CC28">
        <v>1498.0312496042097</v>
      </c>
      <c r="CD28">
        <v>6.3082392976332589</v>
      </c>
      <c r="CE28">
        <v>4655.4806016533448</v>
      </c>
      <c r="CF28">
        <v>0</v>
      </c>
      <c r="CG28">
        <v>0</v>
      </c>
      <c r="CH28">
        <v>3.2881449542930565</v>
      </c>
      <c r="CI28">
        <v>2426.6509762682758</v>
      </c>
      <c r="CJ28">
        <v>2.6393293545294991</v>
      </c>
      <c r="CK28">
        <v>1947.8250636427704</v>
      </c>
      <c r="CL28">
        <v>2.6688704720756093</v>
      </c>
      <c r="CM28">
        <v>1969.6264083917997</v>
      </c>
      <c r="CN28">
        <v>3.5043392401571003</v>
      </c>
      <c r="CO28">
        <v>2586.2023592359401</v>
      </c>
      <c r="CP28">
        <v>5.3634795900313978</v>
      </c>
      <c r="CQ28">
        <v>3958.2479374431714</v>
      </c>
      <c r="CR28">
        <v>0</v>
      </c>
      <c r="CS28">
        <v>0</v>
      </c>
      <c r="CT28">
        <v>4.8524917674101991</v>
      </c>
      <c r="CU28">
        <v>3581.138924348727</v>
      </c>
    </row>
    <row r="29" spans="2:99" x14ac:dyDescent="0.2">
      <c r="C29" s="105" t="s">
        <v>195</v>
      </c>
      <c r="D29">
        <v>11</v>
      </c>
      <c r="E29">
        <v>3722.3999999999996</v>
      </c>
      <c r="F29">
        <v>12</v>
      </c>
      <c r="G29">
        <v>4060.7999999999997</v>
      </c>
      <c r="H29">
        <v>12</v>
      </c>
      <c r="I29">
        <v>4060.7999999999997</v>
      </c>
      <c r="J29">
        <v>7</v>
      </c>
      <c r="K29">
        <v>2368.7999999999997</v>
      </c>
      <c r="L29">
        <v>2.8539015846977707</v>
      </c>
      <c r="M29">
        <v>965.76029626172556</v>
      </c>
      <c r="N29">
        <v>4.9087851753847946</v>
      </c>
      <c r="O29">
        <v>1661.1329033502143</v>
      </c>
      <c r="P29">
        <v>0</v>
      </c>
      <c r="Q29">
        <v>0</v>
      </c>
      <c r="R29">
        <v>3.5418857320159263</v>
      </c>
      <c r="S29">
        <v>1198.5741317141894</v>
      </c>
      <c r="T29">
        <v>0</v>
      </c>
      <c r="U29">
        <v>0</v>
      </c>
      <c r="V29">
        <v>5.5541040665753245</v>
      </c>
      <c r="W29">
        <v>1879.5088161290896</v>
      </c>
      <c r="X29">
        <v>0</v>
      </c>
      <c r="Y29">
        <v>0</v>
      </c>
      <c r="Z29">
        <v>5.4063536897551447</v>
      </c>
      <c r="AA29">
        <v>1829.5100886131409</v>
      </c>
      <c r="AB29">
        <v>0</v>
      </c>
      <c r="AC29">
        <v>0</v>
      </c>
      <c r="AD29">
        <v>1.9905651712548289</v>
      </c>
      <c r="AE29">
        <v>673.6072539526341</v>
      </c>
      <c r="AF29">
        <v>2.6080946876119904</v>
      </c>
      <c r="AG29">
        <v>882.5792422878975</v>
      </c>
      <c r="AH29">
        <v>2.7289576121598631</v>
      </c>
      <c r="AI29">
        <v>923.47925595489767</v>
      </c>
      <c r="AJ29">
        <v>0</v>
      </c>
      <c r="AK29">
        <v>0</v>
      </c>
      <c r="AL29">
        <v>3.8327652365776208</v>
      </c>
      <c r="AM29">
        <v>1297.0077560578668</v>
      </c>
      <c r="AN29">
        <v>2.6340717263332252</v>
      </c>
      <c r="AO29">
        <v>891.36987219116338</v>
      </c>
      <c r="AP29">
        <v>3.8189285389726475</v>
      </c>
      <c r="AQ29">
        <v>1292.3254175883437</v>
      </c>
      <c r="AR29">
        <v>0</v>
      </c>
      <c r="AS29">
        <v>0</v>
      </c>
      <c r="AT29">
        <v>4.857443289621842</v>
      </c>
      <c r="AU29">
        <v>1643.7588092080312</v>
      </c>
      <c r="AV29">
        <v>0</v>
      </c>
      <c r="AW29">
        <v>0</v>
      </c>
      <c r="AX29">
        <v>4.2061360051507881</v>
      </c>
      <c r="AY29">
        <v>1423.3564241430265</v>
      </c>
      <c r="AZ29">
        <v>0</v>
      </c>
      <c r="BA29">
        <v>0</v>
      </c>
      <c r="BB29">
        <v>4.3265570768728976</v>
      </c>
      <c r="BC29">
        <v>1464.1069148137885</v>
      </c>
      <c r="BD29">
        <v>0</v>
      </c>
      <c r="BE29">
        <v>0</v>
      </c>
      <c r="BF29">
        <v>5.9097385770694046</v>
      </c>
      <c r="BG29">
        <v>1999.8555344802865</v>
      </c>
      <c r="BH29">
        <v>0</v>
      </c>
      <c r="BI29">
        <v>0</v>
      </c>
      <c r="BJ29">
        <v>2.3689485460605981</v>
      </c>
      <c r="BK29">
        <v>801.65218798690637</v>
      </c>
      <c r="BL29">
        <v>2.0782774170833465</v>
      </c>
      <c r="BM29">
        <v>703.28907794100439</v>
      </c>
      <c r="BN29">
        <v>3.2649481644920471</v>
      </c>
      <c r="BO29">
        <v>1104.8584588641086</v>
      </c>
      <c r="BP29">
        <v>2.759221843667838</v>
      </c>
      <c r="BQ29">
        <v>933.72067189719633</v>
      </c>
      <c r="BR29">
        <v>4.1977904972040605</v>
      </c>
      <c r="BS29">
        <v>1420.5323042538539</v>
      </c>
      <c r="BT29">
        <v>0</v>
      </c>
      <c r="BU29">
        <v>0</v>
      </c>
      <c r="BV29">
        <v>4.3995327392138677</v>
      </c>
      <c r="BW29">
        <v>1488.8018789499727</v>
      </c>
      <c r="BX29">
        <v>0</v>
      </c>
      <c r="BY29">
        <v>0</v>
      </c>
      <c r="BZ29">
        <v>2.6623570603072735</v>
      </c>
      <c r="CA29">
        <v>900.94162920798124</v>
      </c>
      <c r="CB29">
        <v>2.6098105393801561</v>
      </c>
      <c r="CC29">
        <v>883.1598865262448</v>
      </c>
      <c r="CD29">
        <v>6.7934884743742785</v>
      </c>
      <c r="CE29">
        <v>2298.9164997282555</v>
      </c>
      <c r="CF29">
        <v>0</v>
      </c>
      <c r="CG29">
        <v>0</v>
      </c>
      <c r="CH29">
        <v>3.5230124510282748</v>
      </c>
      <c r="CI29">
        <v>1192.1874134279681</v>
      </c>
      <c r="CJ29">
        <v>2.3753964190765493</v>
      </c>
      <c r="CK29">
        <v>803.83414821550423</v>
      </c>
      <c r="CL29">
        <v>3.1541196488166294</v>
      </c>
      <c r="CM29">
        <v>1067.3540891595474</v>
      </c>
      <c r="CN29">
        <v>3.5043392401571003</v>
      </c>
      <c r="CO29">
        <v>1185.8683988691628</v>
      </c>
      <c r="CP29">
        <v>5.7760549431107364</v>
      </c>
      <c r="CQ29">
        <v>1954.6169927486731</v>
      </c>
      <c r="CR29">
        <v>0</v>
      </c>
      <c r="CS29">
        <v>0</v>
      </c>
      <c r="CT29">
        <v>4.8524917674101991</v>
      </c>
      <c r="CU29">
        <v>1642.0832140916114</v>
      </c>
    </row>
    <row r="30" spans="2:99" x14ac:dyDescent="0.2">
      <c r="C30" s="105" t="s">
        <v>196</v>
      </c>
      <c r="D30">
        <v>12</v>
      </c>
      <c r="E30">
        <v>1670.3999999999999</v>
      </c>
      <c r="F30">
        <v>13</v>
      </c>
      <c r="G30">
        <v>1809.6</v>
      </c>
      <c r="H30">
        <v>13</v>
      </c>
      <c r="I30">
        <v>1809.6</v>
      </c>
      <c r="J30">
        <v>7</v>
      </c>
      <c r="K30">
        <v>974.39999999999986</v>
      </c>
      <c r="L30">
        <v>2.4971638866105494</v>
      </c>
      <c r="M30">
        <v>347.60521301618843</v>
      </c>
      <c r="N30">
        <v>4.9087851753847946</v>
      </c>
      <c r="O30">
        <v>683.3028964135633</v>
      </c>
      <c r="P30">
        <v>0</v>
      </c>
      <c r="Q30">
        <v>0</v>
      </c>
      <c r="R30">
        <v>4.1322000206852474</v>
      </c>
      <c r="S30">
        <v>575.2022428793864</v>
      </c>
      <c r="T30">
        <v>0</v>
      </c>
      <c r="U30">
        <v>0</v>
      </c>
      <c r="V30">
        <v>5.9813428409272724</v>
      </c>
      <c r="W30">
        <v>832.60292345707626</v>
      </c>
      <c r="X30">
        <v>0</v>
      </c>
      <c r="Y30">
        <v>0</v>
      </c>
      <c r="Z30">
        <v>5.856883163901407</v>
      </c>
      <c r="AA30">
        <v>815.27813641507578</v>
      </c>
      <c r="AB30">
        <v>0</v>
      </c>
      <c r="AC30">
        <v>0</v>
      </c>
      <c r="AD30">
        <v>2.274931624291233</v>
      </c>
      <c r="AE30">
        <v>316.67048210133959</v>
      </c>
      <c r="AF30">
        <v>2.8689041563731896</v>
      </c>
      <c r="AG30">
        <v>399.35145856714797</v>
      </c>
      <c r="AH30">
        <v>2.7289576121598631</v>
      </c>
      <c r="AI30">
        <v>379.87089961265292</v>
      </c>
      <c r="AJ30">
        <v>0</v>
      </c>
      <c r="AK30">
        <v>0</v>
      </c>
      <c r="AL30">
        <v>3.2852273456379604</v>
      </c>
      <c r="AM30">
        <v>457.30364651280405</v>
      </c>
      <c r="AN30">
        <v>2.6340717263332252</v>
      </c>
      <c r="AO30">
        <v>366.66278430558492</v>
      </c>
      <c r="AP30">
        <v>4.2962946063442278</v>
      </c>
      <c r="AQ30">
        <v>598.04420920311645</v>
      </c>
      <c r="AR30">
        <v>0</v>
      </c>
      <c r="AS30">
        <v>0</v>
      </c>
      <c r="AT30">
        <v>4.3177273685527489</v>
      </c>
      <c r="AU30">
        <v>601.02764970254259</v>
      </c>
      <c r="AV30">
        <v>0</v>
      </c>
      <c r="AW30">
        <v>0</v>
      </c>
      <c r="AX30">
        <v>3.6803690045069404</v>
      </c>
      <c r="AY30">
        <v>512.30736542736611</v>
      </c>
      <c r="AZ30">
        <v>0</v>
      </c>
      <c r="BA30">
        <v>0</v>
      </c>
      <c r="BB30">
        <v>4.3265570768728976</v>
      </c>
      <c r="BC30">
        <v>602.25674510070735</v>
      </c>
      <c r="BD30">
        <v>0</v>
      </c>
      <c r="BE30">
        <v>0</v>
      </c>
      <c r="BF30">
        <v>5.4172603623136206</v>
      </c>
      <c r="BG30">
        <v>754.08264243405597</v>
      </c>
      <c r="BH30">
        <v>0</v>
      </c>
      <c r="BI30">
        <v>0</v>
      </c>
      <c r="BJ30">
        <v>2.7996664635261608</v>
      </c>
      <c r="BK30">
        <v>389.71357172284155</v>
      </c>
      <c r="BL30">
        <v>2.3380620942187647</v>
      </c>
      <c r="BM30">
        <v>325.45824351525204</v>
      </c>
      <c r="BN30">
        <v>3.2649481644920471</v>
      </c>
      <c r="BO30">
        <v>454.48078449729292</v>
      </c>
      <c r="BP30">
        <v>2.9714696777961329</v>
      </c>
      <c r="BQ30">
        <v>413.62857914922165</v>
      </c>
      <c r="BR30">
        <v>4.7225143093545681</v>
      </c>
      <c r="BS30">
        <v>657.37399186215578</v>
      </c>
      <c r="BT30">
        <v>0</v>
      </c>
      <c r="BU30">
        <v>0</v>
      </c>
      <c r="BV30">
        <v>5.3772066812613941</v>
      </c>
      <c r="BW30">
        <v>748.50717003158604</v>
      </c>
      <c r="BX30">
        <v>0</v>
      </c>
      <c r="BY30">
        <v>0</v>
      </c>
      <c r="BZ30">
        <v>2.8842201486662131</v>
      </c>
      <c r="CA30">
        <v>401.48344469433681</v>
      </c>
      <c r="CB30">
        <v>2.6098105393801561</v>
      </c>
      <c r="CC30">
        <v>363.28562708171768</v>
      </c>
      <c r="CD30">
        <v>7.2787376511152981</v>
      </c>
      <c r="CE30">
        <v>1013.2002810352494</v>
      </c>
      <c r="CF30">
        <v>0</v>
      </c>
      <c r="CG30">
        <v>0</v>
      </c>
      <c r="CH30">
        <v>3.5230124510282748</v>
      </c>
      <c r="CI30">
        <v>490.40333318313583</v>
      </c>
      <c r="CJ30">
        <v>2.9032622899824494</v>
      </c>
      <c r="CK30">
        <v>404.1341107655569</v>
      </c>
      <c r="CL30">
        <v>2.9114950604461196</v>
      </c>
      <c r="CM30">
        <v>405.28011241409979</v>
      </c>
      <c r="CN30">
        <v>3.2707166241466266</v>
      </c>
      <c r="CO30">
        <v>455.28375408121036</v>
      </c>
      <c r="CP30">
        <v>6.1886302961900741</v>
      </c>
      <c r="CQ30">
        <v>861.45733722965826</v>
      </c>
      <c r="CR30">
        <v>0</v>
      </c>
      <c r="CS30">
        <v>0</v>
      </c>
      <c r="CT30">
        <v>4.8524917674101991</v>
      </c>
      <c r="CU30">
        <v>675.46685402349965</v>
      </c>
    </row>
    <row r="31" spans="2:99" x14ac:dyDescent="0.2">
      <c r="C31" s="105" t="s">
        <v>197</v>
      </c>
      <c r="D31">
        <v>11</v>
      </c>
      <c r="E31">
        <v>3748.8</v>
      </c>
      <c r="F31">
        <v>11</v>
      </c>
      <c r="G31">
        <v>3748.8</v>
      </c>
      <c r="H31">
        <v>11</v>
      </c>
      <c r="I31">
        <v>3748.8</v>
      </c>
      <c r="J31">
        <v>7</v>
      </c>
      <c r="K31">
        <v>2385.6</v>
      </c>
      <c r="L31">
        <v>2.8539015846977707</v>
      </c>
      <c r="M31">
        <v>972.6096600650003</v>
      </c>
      <c r="N31">
        <v>4.2951870284616955</v>
      </c>
      <c r="O31">
        <v>1463.7997392997459</v>
      </c>
      <c r="P31">
        <v>0</v>
      </c>
      <c r="Q31">
        <v>0</v>
      </c>
      <c r="R31">
        <v>4.1322000206852474</v>
      </c>
      <c r="S31">
        <v>1408.2537670495324</v>
      </c>
      <c r="T31">
        <v>0</v>
      </c>
      <c r="U31">
        <v>0</v>
      </c>
      <c r="V31">
        <v>5.5541040665753245</v>
      </c>
      <c r="W31">
        <v>1892.8386658888708</v>
      </c>
      <c r="X31">
        <v>0</v>
      </c>
      <c r="Y31">
        <v>0</v>
      </c>
      <c r="Z31">
        <v>4.9558242156088825</v>
      </c>
      <c r="AA31">
        <v>1688.9448926795071</v>
      </c>
      <c r="AB31">
        <v>0</v>
      </c>
      <c r="AC31">
        <v>0</v>
      </c>
      <c r="AD31">
        <v>2.274931624291233</v>
      </c>
      <c r="AE31">
        <v>775.29669755845225</v>
      </c>
      <c r="AF31">
        <v>2.8689041563731896</v>
      </c>
      <c r="AG31">
        <v>977.72253649198308</v>
      </c>
      <c r="AH31">
        <v>2.7289576121598631</v>
      </c>
      <c r="AI31">
        <v>930.02875422408135</v>
      </c>
      <c r="AJ31">
        <v>0</v>
      </c>
      <c r="AK31">
        <v>0</v>
      </c>
      <c r="AL31">
        <v>4.3803031275172808</v>
      </c>
      <c r="AM31">
        <v>1492.8073058578893</v>
      </c>
      <c r="AN31">
        <v>2.3706645536999029</v>
      </c>
      <c r="AO31">
        <v>807.92247990092699</v>
      </c>
      <c r="AP31">
        <v>4.2962946063442278</v>
      </c>
      <c r="AQ31">
        <v>1464.1772018421129</v>
      </c>
      <c r="AR31">
        <v>0</v>
      </c>
      <c r="AS31">
        <v>0</v>
      </c>
      <c r="AT31">
        <v>4.857443289621842</v>
      </c>
      <c r="AU31">
        <v>1655.4166731031239</v>
      </c>
      <c r="AV31">
        <v>0</v>
      </c>
      <c r="AW31">
        <v>0</v>
      </c>
      <c r="AX31">
        <v>3.6803690045069404</v>
      </c>
      <c r="AY31">
        <v>1254.2697567359653</v>
      </c>
      <c r="AZ31">
        <v>0</v>
      </c>
      <c r="BA31">
        <v>0</v>
      </c>
      <c r="BB31">
        <v>4.8673767114820095</v>
      </c>
      <c r="BC31">
        <v>1658.8019832730688</v>
      </c>
      <c r="BD31">
        <v>0</v>
      </c>
      <c r="BE31">
        <v>0</v>
      </c>
      <c r="BF31">
        <v>5.9097385770694046</v>
      </c>
      <c r="BG31">
        <v>2014.0389070652532</v>
      </c>
      <c r="BH31">
        <v>0</v>
      </c>
      <c r="BI31">
        <v>0</v>
      </c>
      <c r="BJ31">
        <v>2.7996664635261608</v>
      </c>
      <c r="BK31">
        <v>954.12633076971565</v>
      </c>
      <c r="BL31">
        <v>2.3380620942187647</v>
      </c>
      <c r="BM31">
        <v>796.81156170975498</v>
      </c>
      <c r="BN31">
        <v>3.2649481644920471</v>
      </c>
      <c r="BO31">
        <v>1112.6943344588897</v>
      </c>
      <c r="BP31">
        <v>2.9714696777961329</v>
      </c>
      <c r="BQ31">
        <v>1012.6768661929221</v>
      </c>
      <c r="BR31">
        <v>4.1977904972040605</v>
      </c>
      <c r="BS31">
        <v>1430.6070014471438</v>
      </c>
      <c r="BT31">
        <v>0</v>
      </c>
      <c r="BU31">
        <v>0</v>
      </c>
      <c r="BV31">
        <v>5.3772066812613941</v>
      </c>
      <c r="BW31">
        <v>1832.5520369738831</v>
      </c>
      <c r="BX31">
        <v>0</v>
      </c>
      <c r="BY31">
        <v>0</v>
      </c>
      <c r="BZ31">
        <v>2.8842201486662131</v>
      </c>
      <c r="CA31">
        <v>982.94222666544545</v>
      </c>
      <c r="CB31">
        <v>2.6098105393801561</v>
      </c>
      <c r="CC31">
        <v>889.42343182075717</v>
      </c>
      <c r="CD31">
        <v>6.3082392976332589</v>
      </c>
      <c r="CE31">
        <v>2149.8479526334145</v>
      </c>
      <c r="CF31">
        <v>0</v>
      </c>
      <c r="CG31">
        <v>0</v>
      </c>
      <c r="CH31">
        <v>3.0532774575578383</v>
      </c>
      <c r="CI31">
        <v>1040.5569575357113</v>
      </c>
      <c r="CJ31">
        <v>2.6393293545294991</v>
      </c>
      <c r="CK31">
        <v>899.48344402365331</v>
      </c>
      <c r="CL31">
        <v>2.9114950604461196</v>
      </c>
      <c r="CM31">
        <v>992.23751660003757</v>
      </c>
      <c r="CN31">
        <v>3.2707166241466266</v>
      </c>
      <c r="CO31">
        <v>1114.6602255091705</v>
      </c>
      <c r="CP31">
        <v>5.3634795900313978</v>
      </c>
      <c r="CQ31">
        <v>1827.8738442827005</v>
      </c>
      <c r="CR31">
        <v>0</v>
      </c>
      <c r="CS31">
        <v>0</v>
      </c>
      <c r="CT31">
        <v>4.3672425906691794</v>
      </c>
      <c r="CU31">
        <v>1488.3562749000564</v>
      </c>
    </row>
    <row r="32" spans="2:99" x14ac:dyDescent="0.2">
      <c r="C32" s="105" t="s">
        <v>198</v>
      </c>
      <c r="D32">
        <v>10</v>
      </c>
      <c r="E32">
        <v>8400</v>
      </c>
      <c r="F32">
        <v>13</v>
      </c>
      <c r="G32">
        <v>10920</v>
      </c>
      <c r="H32">
        <v>12</v>
      </c>
      <c r="I32">
        <v>10080</v>
      </c>
      <c r="J32">
        <v>7</v>
      </c>
      <c r="K32">
        <v>5880</v>
      </c>
      <c r="L32">
        <v>2.4971638866105494</v>
      </c>
      <c r="M32">
        <v>2097.6176647528614</v>
      </c>
      <c r="N32">
        <v>4.9087851753847946</v>
      </c>
      <c r="O32">
        <v>4123.3795473232276</v>
      </c>
      <c r="P32">
        <v>0</v>
      </c>
      <c r="Q32">
        <v>0</v>
      </c>
      <c r="R32">
        <v>4.1322000206852474</v>
      </c>
      <c r="S32">
        <v>3471.0480173756077</v>
      </c>
      <c r="T32">
        <v>0</v>
      </c>
      <c r="U32">
        <v>0</v>
      </c>
      <c r="V32">
        <v>5.5541040665753245</v>
      </c>
      <c r="W32">
        <v>4665.4474159232723</v>
      </c>
      <c r="X32">
        <v>0</v>
      </c>
      <c r="Y32">
        <v>0</v>
      </c>
      <c r="Z32">
        <v>5.4063536897551447</v>
      </c>
      <c r="AA32">
        <v>4541.3370993943217</v>
      </c>
      <c r="AB32">
        <v>0</v>
      </c>
      <c r="AC32">
        <v>0</v>
      </c>
      <c r="AD32">
        <v>1.9905651712548289</v>
      </c>
      <c r="AE32">
        <v>1672.0747438540564</v>
      </c>
      <c r="AF32">
        <v>2.8689041563731896</v>
      </c>
      <c r="AG32">
        <v>2409.8794913534794</v>
      </c>
      <c r="AH32">
        <v>2.7289576121598631</v>
      </c>
      <c r="AI32">
        <v>2292.3243942142849</v>
      </c>
      <c r="AJ32">
        <v>0</v>
      </c>
      <c r="AK32">
        <v>0</v>
      </c>
      <c r="AL32">
        <v>3.8327652365776208</v>
      </c>
      <c r="AM32">
        <v>3219.5227987252015</v>
      </c>
      <c r="AN32">
        <v>2.1072573810665802</v>
      </c>
      <c r="AO32">
        <v>1770.0962000959273</v>
      </c>
      <c r="AP32">
        <v>3.8189285389726475</v>
      </c>
      <c r="AQ32">
        <v>3207.8999727370237</v>
      </c>
      <c r="AR32">
        <v>0</v>
      </c>
      <c r="AS32">
        <v>0</v>
      </c>
      <c r="AT32">
        <v>4.3177273685527489</v>
      </c>
      <c r="AU32">
        <v>3626.890989584309</v>
      </c>
      <c r="AV32">
        <v>0</v>
      </c>
      <c r="AW32">
        <v>0</v>
      </c>
      <c r="AX32">
        <v>4.2061360051507881</v>
      </c>
      <c r="AY32">
        <v>3533.1542443266621</v>
      </c>
      <c r="AZ32">
        <v>0</v>
      </c>
      <c r="BA32">
        <v>0</v>
      </c>
      <c r="BB32">
        <v>4.3265570768728976</v>
      </c>
      <c r="BC32">
        <v>3634.3079445732342</v>
      </c>
      <c r="BD32">
        <v>0</v>
      </c>
      <c r="BE32">
        <v>0</v>
      </c>
      <c r="BF32">
        <v>5.4172603623136206</v>
      </c>
      <c r="BG32">
        <v>4550.4987043434412</v>
      </c>
      <c r="BH32">
        <v>0</v>
      </c>
      <c r="BI32">
        <v>0</v>
      </c>
      <c r="BJ32">
        <v>2.5843075047933795</v>
      </c>
      <c r="BK32">
        <v>2170.8183040264389</v>
      </c>
      <c r="BL32">
        <v>2.0782774170833465</v>
      </c>
      <c r="BM32">
        <v>1745.7530303500109</v>
      </c>
      <c r="BN32">
        <v>3.5370271781997178</v>
      </c>
      <c r="BO32">
        <v>2971.102829687763</v>
      </c>
      <c r="BP32">
        <v>2.759221843667838</v>
      </c>
      <c r="BQ32">
        <v>2317.7463486809838</v>
      </c>
      <c r="BR32">
        <v>4.1977904972040605</v>
      </c>
      <c r="BS32">
        <v>3526.1440176514106</v>
      </c>
      <c r="BT32">
        <v>0</v>
      </c>
      <c r="BU32">
        <v>0</v>
      </c>
      <c r="BV32">
        <v>4.3995327392138677</v>
      </c>
      <c r="BW32">
        <v>3695.6075009396491</v>
      </c>
      <c r="BX32">
        <v>0</v>
      </c>
      <c r="BY32">
        <v>0</v>
      </c>
      <c r="BZ32">
        <v>2.6623570603072735</v>
      </c>
      <c r="CA32">
        <v>2236.3799306581095</v>
      </c>
      <c r="CB32">
        <v>2.3198315905601388</v>
      </c>
      <c r="CC32">
        <v>1948.6585360705167</v>
      </c>
      <c r="CD32">
        <v>6.3082392976332589</v>
      </c>
      <c r="CE32">
        <v>5298.9210100119371</v>
      </c>
      <c r="CF32">
        <v>0</v>
      </c>
      <c r="CG32">
        <v>0</v>
      </c>
      <c r="CH32">
        <v>3.5230124510282748</v>
      </c>
      <c r="CI32">
        <v>2959.3304588637507</v>
      </c>
      <c r="CJ32">
        <v>2.6393293545294991</v>
      </c>
      <c r="CK32">
        <v>2217.0366578047792</v>
      </c>
      <c r="CL32">
        <v>3.1541196488166294</v>
      </c>
      <c r="CM32">
        <v>2649.4605050059686</v>
      </c>
      <c r="CN32">
        <v>3.5043392401571003</v>
      </c>
      <c r="CO32">
        <v>2943.644961731964</v>
      </c>
      <c r="CP32">
        <v>6.1886302961900741</v>
      </c>
      <c r="CQ32">
        <v>5198.4494487996626</v>
      </c>
      <c r="CR32">
        <v>0</v>
      </c>
      <c r="CS32">
        <v>0</v>
      </c>
      <c r="CT32">
        <v>4.8524917674101991</v>
      </c>
      <c r="CU32">
        <v>4076.0930846245674</v>
      </c>
    </row>
    <row r="33" spans="2:99" x14ac:dyDescent="0.2">
      <c r="C33" s="105" t="s">
        <v>199</v>
      </c>
      <c r="D33">
        <v>11</v>
      </c>
      <c r="E33">
        <v>5214</v>
      </c>
      <c r="F33">
        <v>11</v>
      </c>
      <c r="G33">
        <v>5214</v>
      </c>
      <c r="H33">
        <v>12</v>
      </c>
      <c r="I33">
        <v>5688</v>
      </c>
      <c r="J33">
        <v>7</v>
      </c>
      <c r="K33">
        <v>3318</v>
      </c>
      <c r="L33">
        <v>2.4971638866105494</v>
      </c>
      <c r="M33">
        <v>1183.6556822534005</v>
      </c>
      <c r="N33">
        <v>4.9087851753847946</v>
      </c>
      <c r="O33">
        <v>2326.7641731323924</v>
      </c>
      <c r="P33">
        <v>0</v>
      </c>
      <c r="Q33">
        <v>0</v>
      </c>
      <c r="R33">
        <v>4.1322000206852474</v>
      </c>
      <c r="S33">
        <v>1958.6628098048072</v>
      </c>
      <c r="T33">
        <v>0</v>
      </c>
      <c r="U33">
        <v>0</v>
      </c>
      <c r="V33">
        <v>5.1268652922233766</v>
      </c>
      <c r="W33">
        <v>2430.1341485138805</v>
      </c>
      <c r="X33">
        <v>0</v>
      </c>
      <c r="Y33">
        <v>0</v>
      </c>
      <c r="Z33">
        <v>5.4063536897551447</v>
      </c>
      <c r="AA33">
        <v>2562.6116489439387</v>
      </c>
      <c r="AB33">
        <v>0</v>
      </c>
      <c r="AC33">
        <v>0</v>
      </c>
      <c r="AD33">
        <v>2.274931624291233</v>
      </c>
      <c r="AE33">
        <v>1078.3175899140444</v>
      </c>
      <c r="AF33">
        <v>2.8689041563731896</v>
      </c>
      <c r="AG33">
        <v>1359.8605701208919</v>
      </c>
      <c r="AH33">
        <v>3.2251317234616566</v>
      </c>
      <c r="AI33">
        <v>1528.7124369208252</v>
      </c>
      <c r="AJ33">
        <v>0</v>
      </c>
      <c r="AK33">
        <v>0</v>
      </c>
      <c r="AL33">
        <v>3.2852273456379604</v>
      </c>
      <c r="AM33">
        <v>1557.1977618323933</v>
      </c>
      <c r="AN33">
        <v>2.1072573810665802</v>
      </c>
      <c r="AO33">
        <v>998.83999862555902</v>
      </c>
      <c r="AP33">
        <v>4.2962946063442278</v>
      </c>
      <c r="AQ33">
        <v>2036.443643407164</v>
      </c>
      <c r="AR33">
        <v>0</v>
      </c>
      <c r="AS33">
        <v>0</v>
      </c>
      <c r="AT33">
        <v>4.3177273685527489</v>
      </c>
      <c r="AU33">
        <v>2046.6027726940029</v>
      </c>
      <c r="AV33">
        <v>0</v>
      </c>
      <c r="AW33">
        <v>0</v>
      </c>
      <c r="AX33">
        <v>4.2061360051507881</v>
      </c>
      <c r="AY33">
        <v>1993.7084664414735</v>
      </c>
      <c r="AZ33">
        <v>0</v>
      </c>
      <c r="BA33">
        <v>0</v>
      </c>
      <c r="BB33">
        <v>4.8673767114820095</v>
      </c>
      <c r="BC33">
        <v>2307.1365612424725</v>
      </c>
      <c r="BD33">
        <v>0</v>
      </c>
      <c r="BE33">
        <v>0</v>
      </c>
      <c r="BF33">
        <v>5.4172603623136206</v>
      </c>
      <c r="BG33">
        <v>2567.7814117366561</v>
      </c>
      <c r="BH33">
        <v>0</v>
      </c>
      <c r="BI33">
        <v>0</v>
      </c>
      <c r="BJ33">
        <v>2.3689485460605981</v>
      </c>
      <c r="BK33">
        <v>1122.8816108327235</v>
      </c>
      <c r="BL33">
        <v>2.3380620942187647</v>
      </c>
      <c r="BM33">
        <v>1108.2414326596945</v>
      </c>
      <c r="BN33">
        <v>2.9928691507843768</v>
      </c>
      <c r="BO33">
        <v>1418.6199774717945</v>
      </c>
      <c r="BP33">
        <v>2.5469740095395426</v>
      </c>
      <c r="BQ33">
        <v>1207.2656805217432</v>
      </c>
      <c r="BR33">
        <v>4.7225143093545681</v>
      </c>
      <c r="BS33">
        <v>2238.4717826340652</v>
      </c>
      <c r="BT33">
        <v>0</v>
      </c>
      <c r="BU33">
        <v>0</v>
      </c>
      <c r="BV33">
        <v>4.8883697102376313</v>
      </c>
      <c r="BW33">
        <v>2317.0872426526371</v>
      </c>
      <c r="BX33">
        <v>0</v>
      </c>
      <c r="BY33">
        <v>0</v>
      </c>
      <c r="BZ33">
        <v>2.6623570603072735</v>
      </c>
      <c r="CA33">
        <v>1261.9572465856477</v>
      </c>
      <c r="CB33">
        <v>2.6098105393801561</v>
      </c>
      <c r="CC33">
        <v>1237.050195666194</v>
      </c>
      <c r="CD33">
        <v>6.7934884743742785</v>
      </c>
      <c r="CE33">
        <v>3220.1135368534078</v>
      </c>
      <c r="CF33">
        <v>0</v>
      </c>
      <c r="CG33">
        <v>0</v>
      </c>
      <c r="CH33">
        <v>3.5230124510282748</v>
      </c>
      <c r="CI33">
        <v>1669.9079017874021</v>
      </c>
      <c r="CJ33">
        <v>2.3753964190765493</v>
      </c>
      <c r="CK33">
        <v>1125.9379026422844</v>
      </c>
      <c r="CL33">
        <v>3.1541196488166294</v>
      </c>
      <c r="CM33">
        <v>1495.0527135390823</v>
      </c>
      <c r="CN33">
        <v>3.5043392401571003</v>
      </c>
      <c r="CO33">
        <v>1661.0567998344654</v>
      </c>
      <c r="CP33">
        <v>6.1886302961900741</v>
      </c>
      <c r="CQ33">
        <v>2933.4107603940952</v>
      </c>
      <c r="CR33">
        <v>0</v>
      </c>
      <c r="CS33">
        <v>0</v>
      </c>
      <c r="CT33">
        <v>4.3672425906691794</v>
      </c>
      <c r="CU33">
        <v>2070.0729879771911</v>
      </c>
    </row>
    <row r="34" spans="2:99" x14ac:dyDescent="0.2">
      <c r="C34" s="105" t="s">
        <v>200</v>
      </c>
      <c r="D34">
        <v>11</v>
      </c>
      <c r="E34">
        <v>6032.4</v>
      </c>
      <c r="F34">
        <v>11</v>
      </c>
      <c r="G34">
        <v>6032.4</v>
      </c>
      <c r="H34">
        <v>10</v>
      </c>
      <c r="I34">
        <v>5484</v>
      </c>
      <c r="J34">
        <v>7</v>
      </c>
      <c r="K34">
        <v>3838.7999999999997</v>
      </c>
      <c r="L34">
        <v>2.4971638866105494</v>
      </c>
      <c r="M34">
        <v>1369.4446754172252</v>
      </c>
      <c r="N34">
        <v>5.5223833223078937</v>
      </c>
      <c r="O34">
        <v>3028.4750139536486</v>
      </c>
      <c r="P34">
        <v>0</v>
      </c>
      <c r="Q34">
        <v>0</v>
      </c>
      <c r="R34">
        <v>3.5418857320159263</v>
      </c>
      <c r="S34">
        <v>1942.3701354375339</v>
      </c>
      <c r="T34">
        <v>0</v>
      </c>
      <c r="U34">
        <v>0</v>
      </c>
      <c r="V34">
        <v>5.5541040665753245</v>
      </c>
      <c r="W34">
        <v>3045.8706701099077</v>
      </c>
      <c r="X34">
        <v>0</v>
      </c>
      <c r="Y34">
        <v>0</v>
      </c>
      <c r="Z34">
        <v>5.856883163901407</v>
      </c>
      <c r="AA34">
        <v>3211.9147270835315</v>
      </c>
      <c r="AB34">
        <v>0</v>
      </c>
      <c r="AC34">
        <v>0</v>
      </c>
      <c r="AD34">
        <v>2.274931624291233</v>
      </c>
      <c r="AE34">
        <v>1247.5725027613121</v>
      </c>
      <c r="AF34">
        <v>2.6080946876119904</v>
      </c>
      <c r="AG34">
        <v>1430.2791266864156</v>
      </c>
      <c r="AH34">
        <v>2.9770446678107598</v>
      </c>
      <c r="AI34">
        <v>1632.6112958274207</v>
      </c>
      <c r="AJ34">
        <v>0</v>
      </c>
      <c r="AK34">
        <v>0</v>
      </c>
      <c r="AL34">
        <v>3.8327652365776208</v>
      </c>
      <c r="AM34">
        <v>2101.8884557391671</v>
      </c>
      <c r="AN34">
        <v>2.1072573810665802</v>
      </c>
      <c r="AO34">
        <v>1155.6199477769126</v>
      </c>
      <c r="AP34">
        <v>4.2962946063442278</v>
      </c>
      <c r="AQ34">
        <v>2356.0879621191743</v>
      </c>
      <c r="AR34">
        <v>0</v>
      </c>
      <c r="AS34">
        <v>0</v>
      </c>
      <c r="AT34">
        <v>4.857443289621842</v>
      </c>
      <c r="AU34">
        <v>2663.8219000286181</v>
      </c>
      <c r="AV34">
        <v>0</v>
      </c>
      <c r="AW34">
        <v>0</v>
      </c>
      <c r="AX34">
        <v>3.6803690045069404</v>
      </c>
      <c r="AY34">
        <v>2018.314362071606</v>
      </c>
      <c r="AZ34">
        <v>0</v>
      </c>
      <c r="BA34">
        <v>0</v>
      </c>
      <c r="BB34">
        <v>4.3265570768728976</v>
      </c>
      <c r="BC34">
        <v>2372.6839009570967</v>
      </c>
      <c r="BD34">
        <v>0</v>
      </c>
      <c r="BE34">
        <v>0</v>
      </c>
      <c r="BF34">
        <v>5.9097385770694046</v>
      </c>
      <c r="BG34">
        <v>3240.9006356648615</v>
      </c>
      <c r="BH34">
        <v>0</v>
      </c>
      <c r="BI34">
        <v>0</v>
      </c>
      <c r="BJ34">
        <v>2.7996664635261608</v>
      </c>
      <c r="BK34">
        <v>1535.3370885977465</v>
      </c>
      <c r="BL34">
        <v>2.3380620942187647</v>
      </c>
      <c r="BM34">
        <v>1282.1932524695706</v>
      </c>
      <c r="BN34">
        <v>3.5370271781997178</v>
      </c>
      <c r="BO34">
        <v>1939.7057045247252</v>
      </c>
      <c r="BP34">
        <v>2.9714696777961329</v>
      </c>
      <c r="BQ34">
        <v>1629.5539713033993</v>
      </c>
      <c r="BR34">
        <v>4.7225143093545681</v>
      </c>
      <c r="BS34">
        <v>2589.8268472500449</v>
      </c>
      <c r="BT34">
        <v>0</v>
      </c>
      <c r="BU34">
        <v>0</v>
      </c>
      <c r="BV34">
        <v>4.8883697102376313</v>
      </c>
      <c r="BW34">
        <v>2680.781949094317</v>
      </c>
      <c r="BX34">
        <v>0</v>
      </c>
      <c r="BY34">
        <v>0</v>
      </c>
      <c r="BZ34">
        <v>2.4404939719483343</v>
      </c>
      <c r="CA34">
        <v>1338.3668942164666</v>
      </c>
      <c r="CB34">
        <v>2.6098105393801561</v>
      </c>
      <c r="CC34">
        <v>1431.2200997960774</v>
      </c>
      <c r="CD34">
        <v>6.3082392976332589</v>
      </c>
      <c r="CE34">
        <v>3459.4384308220792</v>
      </c>
      <c r="CF34">
        <v>0</v>
      </c>
      <c r="CG34">
        <v>0</v>
      </c>
      <c r="CH34">
        <v>3.5230124510282748</v>
      </c>
      <c r="CI34">
        <v>1932.0200281439058</v>
      </c>
      <c r="CJ34">
        <v>2.3753964190765493</v>
      </c>
      <c r="CK34">
        <v>1302.6673962215796</v>
      </c>
      <c r="CL34">
        <v>2.6688704720756093</v>
      </c>
      <c r="CM34">
        <v>1463.608566886264</v>
      </c>
      <c r="CN34">
        <v>3.5043392401571003</v>
      </c>
      <c r="CO34">
        <v>1921.7796393021538</v>
      </c>
      <c r="CP34">
        <v>5.7760549431107364</v>
      </c>
      <c r="CQ34">
        <v>3167.5885308019278</v>
      </c>
      <c r="CR34">
        <v>0</v>
      </c>
      <c r="CS34">
        <v>0</v>
      </c>
      <c r="CT34">
        <v>4.8524917674101991</v>
      </c>
      <c r="CU34">
        <v>2661.106485247753</v>
      </c>
    </row>
    <row r="35" spans="2:99" x14ac:dyDescent="0.2">
      <c r="C35" s="105" t="s">
        <v>201</v>
      </c>
      <c r="D35">
        <v>12</v>
      </c>
      <c r="E35">
        <v>6033.5999999999985</v>
      </c>
      <c r="F35">
        <v>13</v>
      </c>
      <c r="G35">
        <v>6536.3999999999987</v>
      </c>
      <c r="H35">
        <v>12</v>
      </c>
      <c r="I35">
        <v>6033.5999999999985</v>
      </c>
      <c r="J35">
        <v>7</v>
      </c>
      <c r="K35">
        <v>3519.5999999999995</v>
      </c>
      <c r="L35">
        <v>2.8539015846977707</v>
      </c>
      <c r="M35">
        <v>1434.9417167860388</v>
      </c>
      <c r="N35">
        <v>4.9087851753847946</v>
      </c>
      <c r="O35">
        <v>2468.1371861834741</v>
      </c>
      <c r="P35">
        <v>0</v>
      </c>
      <c r="Q35">
        <v>0</v>
      </c>
      <c r="R35">
        <v>4.1322000206852474</v>
      </c>
      <c r="S35">
        <v>2077.6701704005418</v>
      </c>
      <c r="T35">
        <v>0</v>
      </c>
      <c r="U35">
        <v>0</v>
      </c>
      <c r="V35">
        <v>5.5541040665753245</v>
      </c>
      <c r="W35">
        <v>2792.6035246740726</v>
      </c>
      <c r="X35">
        <v>0</v>
      </c>
      <c r="Y35">
        <v>0</v>
      </c>
      <c r="Z35">
        <v>4.9558242156088825</v>
      </c>
      <c r="AA35">
        <v>2491.7884156081454</v>
      </c>
      <c r="AB35">
        <v>0</v>
      </c>
      <c r="AC35">
        <v>0</v>
      </c>
      <c r="AD35">
        <v>2.274931624291233</v>
      </c>
      <c r="AE35">
        <v>1143.8356206936317</v>
      </c>
      <c r="AF35">
        <v>2.6080946876119904</v>
      </c>
      <c r="AG35">
        <v>1311.3500089313086</v>
      </c>
      <c r="AH35">
        <v>2.4808705565089668</v>
      </c>
      <c r="AI35">
        <v>1247.3817158127083</v>
      </c>
      <c r="AJ35">
        <v>0</v>
      </c>
      <c r="AK35">
        <v>0</v>
      </c>
      <c r="AL35">
        <v>3.8327652365776208</v>
      </c>
      <c r="AM35">
        <v>1927.1143609512274</v>
      </c>
      <c r="AN35">
        <v>2.1072573810665802</v>
      </c>
      <c r="AO35">
        <v>1059.5290112002763</v>
      </c>
      <c r="AP35">
        <v>3.8189285389726475</v>
      </c>
      <c r="AQ35">
        <v>1920.1572693954467</v>
      </c>
      <c r="AR35">
        <v>0</v>
      </c>
      <c r="AS35">
        <v>0</v>
      </c>
      <c r="AT35">
        <v>4.3177273685527489</v>
      </c>
      <c r="AU35">
        <v>2170.9533209083215</v>
      </c>
      <c r="AV35">
        <v>0</v>
      </c>
      <c r="AW35">
        <v>0</v>
      </c>
      <c r="AX35">
        <v>4.2061360051507881</v>
      </c>
      <c r="AY35">
        <v>2114.8451833898157</v>
      </c>
      <c r="AZ35">
        <v>0</v>
      </c>
      <c r="BA35">
        <v>0</v>
      </c>
      <c r="BB35">
        <v>4.3265570768728976</v>
      </c>
      <c r="BC35">
        <v>2175.3928982516923</v>
      </c>
      <c r="BD35">
        <v>0</v>
      </c>
      <c r="BE35">
        <v>0</v>
      </c>
      <c r="BF35">
        <v>5.4172603623136206</v>
      </c>
      <c r="BG35">
        <v>2723.7985101712879</v>
      </c>
      <c r="BH35">
        <v>0</v>
      </c>
      <c r="BI35">
        <v>0</v>
      </c>
      <c r="BJ35">
        <v>2.3689485460605981</v>
      </c>
      <c r="BK35">
        <v>1191.1073289592684</v>
      </c>
      <c r="BL35">
        <v>2.3380620942187647</v>
      </c>
      <c r="BM35">
        <v>1175.5776209731946</v>
      </c>
      <c r="BN35">
        <v>3.2649481644920471</v>
      </c>
      <c r="BO35">
        <v>1641.615937106601</v>
      </c>
      <c r="BP35">
        <v>2.759221843667838</v>
      </c>
      <c r="BQ35">
        <v>1387.3367429961886</v>
      </c>
      <c r="BR35">
        <v>4.1977904972040605</v>
      </c>
      <c r="BS35">
        <v>2110.649061994201</v>
      </c>
      <c r="BT35">
        <v>0</v>
      </c>
      <c r="BU35">
        <v>0</v>
      </c>
      <c r="BV35">
        <v>4.8883697102376313</v>
      </c>
      <c r="BW35">
        <v>2457.8722903074804</v>
      </c>
      <c r="BX35">
        <v>0</v>
      </c>
      <c r="BY35">
        <v>0</v>
      </c>
      <c r="BZ35">
        <v>2.4404939719483343</v>
      </c>
      <c r="CA35">
        <v>1227.0803690956222</v>
      </c>
      <c r="CB35">
        <v>2.3198315905601388</v>
      </c>
      <c r="CC35">
        <v>1166.4113237336376</v>
      </c>
      <c r="CD35">
        <v>6.7934884743742785</v>
      </c>
      <c r="CE35">
        <v>3415.7660049153865</v>
      </c>
      <c r="CF35">
        <v>0</v>
      </c>
      <c r="CG35">
        <v>0</v>
      </c>
      <c r="CH35">
        <v>3.0532774575578383</v>
      </c>
      <c r="CI35">
        <v>1535.1879056600808</v>
      </c>
      <c r="CJ35">
        <v>2.6393293545294991</v>
      </c>
      <c r="CK35">
        <v>1327.054799457432</v>
      </c>
      <c r="CL35">
        <v>3.1541196488166294</v>
      </c>
      <c r="CM35">
        <v>1585.8913594250009</v>
      </c>
      <c r="CN35">
        <v>3.2707166241466266</v>
      </c>
      <c r="CO35">
        <v>1644.5163186209236</v>
      </c>
      <c r="CP35">
        <v>6.1886302961900741</v>
      </c>
      <c r="CQ35">
        <v>3111.6433129243687</v>
      </c>
      <c r="CR35">
        <v>0</v>
      </c>
      <c r="CS35">
        <v>0</v>
      </c>
      <c r="CT35">
        <v>4.8524917674101991</v>
      </c>
      <c r="CU35">
        <v>2439.8328606538475</v>
      </c>
    </row>
    <row r="36" spans="2:99" x14ac:dyDescent="0.2">
      <c r="C36" s="105" t="s">
        <v>202</v>
      </c>
      <c r="D36">
        <v>12</v>
      </c>
      <c r="E36">
        <v>9129.5999999999985</v>
      </c>
      <c r="F36">
        <v>11</v>
      </c>
      <c r="G36">
        <v>8368.7999999999993</v>
      </c>
      <c r="H36">
        <v>12</v>
      </c>
      <c r="I36">
        <v>9129.5999999999985</v>
      </c>
      <c r="J36">
        <v>7</v>
      </c>
      <c r="K36">
        <v>5325.5999999999995</v>
      </c>
      <c r="L36">
        <v>2.4971638866105494</v>
      </c>
      <c r="M36">
        <v>1899.8422849333058</v>
      </c>
      <c r="N36">
        <v>4.9087851753847946</v>
      </c>
      <c r="O36">
        <v>3734.6037614327515</v>
      </c>
      <c r="P36">
        <v>0</v>
      </c>
      <c r="Q36">
        <v>0</v>
      </c>
      <c r="R36">
        <v>4.1322000206852474</v>
      </c>
      <c r="S36">
        <v>3143.777775737336</v>
      </c>
      <c r="T36">
        <v>0</v>
      </c>
      <c r="U36">
        <v>0</v>
      </c>
      <c r="V36">
        <v>4.6996265178714287</v>
      </c>
      <c r="W36">
        <v>3575.4758547965826</v>
      </c>
      <c r="X36">
        <v>0</v>
      </c>
      <c r="Y36">
        <v>0</v>
      </c>
      <c r="Z36">
        <v>5.856883163901407</v>
      </c>
      <c r="AA36">
        <v>4455.9167110961898</v>
      </c>
      <c r="AB36">
        <v>0</v>
      </c>
      <c r="AC36">
        <v>0</v>
      </c>
      <c r="AD36">
        <v>1.9905651712548289</v>
      </c>
      <c r="AE36">
        <v>1514.4219822906737</v>
      </c>
      <c r="AF36">
        <v>2.6080946876119904</v>
      </c>
      <c r="AG36">
        <v>1984.2384383352021</v>
      </c>
      <c r="AH36">
        <v>2.4808705565089668</v>
      </c>
      <c r="AI36">
        <v>1887.4463193920219</v>
      </c>
      <c r="AJ36">
        <v>0</v>
      </c>
      <c r="AK36">
        <v>0</v>
      </c>
      <c r="AL36">
        <v>3.8327652365776208</v>
      </c>
      <c r="AM36">
        <v>2915.9677919882538</v>
      </c>
      <c r="AN36">
        <v>2.3706645536999029</v>
      </c>
      <c r="AO36">
        <v>1803.601592454886</v>
      </c>
      <c r="AP36">
        <v>4.2962946063442278</v>
      </c>
      <c r="AQ36">
        <v>3268.6209365066884</v>
      </c>
      <c r="AR36">
        <v>0</v>
      </c>
      <c r="AS36">
        <v>0</v>
      </c>
      <c r="AT36">
        <v>4.857443289621842</v>
      </c>
      <c r="AU36">
        <v>3695.5428547442971</v>
      </c>
      <c r="AV36">
        <v>0</v>
      </c>
      <c r="AW36">
        <v>0</v>
      </c>
      <c r="AX36">
        <v>3.6803690045069404</v>
      </c>
      <c r="AY36">
        <v>2800.0247386288802</v>
      </c>
      <c r="AZ36">
        <v>0</v>
      </c>
      <c r="BA36">
        <v>0</v>
      </c>
      <c r="BB36">
        <v>4.3265570768728976</v>
      </c>
      <c r="BC36">
        <v>3291.6446240849004</v>
      </c>
      <c r="BD36">
        <v>0</v>
      </c>
      <c r="BE36">
        <v>0</v>
      </c>
      <c r="BF36">
        <v>5.9097385770694046</v>
      </c>
      <c r="BG36">
        <v>4496.1291094344024</v>
      </c>
      <c r="BH36">
        <v>0</v>
      </c>
      <c r="BI36">
        <v>0</v>
      </c>
      <c r="BJ36">
        <v>2.5843075047933795</v>
      </c>
      <c r="BK36">
        <v>1966.1411496468029</v>
      </c>
      <c r="BL36">
        <v>2.0782774170833465</v>
      </c>
      <c r="BM36">
        <v>1581.1534589170099</v>
      </c>
      <c r="BN36">
        <v>3.2649481644920471</v>
      </c>
      <c r="BO36">
        <v>2483.9725635455493</v>
      </c>
      <c r="BP36">
        <v>2.759221843667838</v>
      </c>
      <c r="BQ36">
        <v>2099.2159786624911</v>
      </c>
      <c r="BR36">
        <v>4.1977904972040605</v>
      </c>
      <c r="BS36">
        <v>3193.6790102728492</v>
      </c>
      <c r="BT36">
        <v>0</v>
      </c>
      <c r="BU36">
        <v>0</v>
      </c>
      <c r="BV36">
        <v>4.8883697102376313</v>
      </c>
      <c r="BW36">
        <v>3719.0716755487897</v>
      </c>
      <c r="BX36">
        <v>0</v>
      </c>
      <c r="BY36">
        <v>0</v>
      </c>
      <c r="BZ36">
        <v>2.6623570603072735</v>
      </c>
      <c r="CA36">
        <v>2025.5212514817736</v>
      </c>
      <c r="CB36">
        <v>2.6098105393801561</v>
      </c>
      <c r="CC36">
        <v>1985.5438583604225</v>
      </c>
      <c r="CD36">
        <v>6.3082392976332589</v>
      </c>
      <c r="CE36">
        <v>4799.3084576393831</v>
      </c>
      <c r="CF36">
        <v>0</v>
      </c>
      <c r="CG36">
        <v>0</v>
      </c>
      <c r="CH36">
        <v>3.5230124510282748</v>
      </c>
      <c r="CI36">
        <v>2680.3078727423112</v>
      </c>
      <c r="CJ36">
        <v>2.6393293545294991</v>
      </c>
      <c r="CK36">
        <v>2008.0017729260428</v>
      </c>
      <c r="CL36">
        <v>2.9114950604461196</v>
      </c>
      <c r="CM36">
        <v>2215.0654419874077</v>
      </c>
      <c r="CN36">
        <v>3.0370940081361537</v>
      </c>
      <c r="CO36">
        <v>2310.6211213899855</v>
      </c>
      <c r="CP36">
        <v>5.3634795900313978</v>
      </c>
      <c r="CQ36">
        <v>4080.5352720958872</v>
      </c>
      <c r="CR36">
        <v>0</v>
      </c>
      <c r="CS36">
        <v>0</v>
      </c>
      <c r="CT36">
        <v>4.8524917674101991</v>
      </c>
      <c r="CU36">
        <v>3691.7757366456794</v>
      </c>
    </row>
    <row r="37" spans="2:99" x14ac:dyDescent="0.2">
      <c r="B37" s="105" t="s">
        <v>128</v>
      </c>
      <c r="C37" s="105" t="s">
        <v>203</v>
      </c>
      <c r="D37">
        <v>15</v>
      </c>
      <c r="E37">
        <v>12906</v>
      </c>
      <c r="F37">
        <v>8</v>
      </c>
      <c r="G37">
        <v>6883.2</v>
      </c>
      <c r="H37">
        <v>13</v>
      </c>
      <c r="I37">
        <v>11185.199999999999</v>
      </c>
      <c r="J37">
        <v>14</v>
      </c>
      <c r="K37">
        <v>12045.6</v>
      </c>
      <c r="L37">
        <v>3.9241146789594348</v>
      </c>
      <c r="M37">
        <v>3376.3082697766977</v>
      </c>
      <c r="N37">
        <v>4.9087851753847946</v>
      </c>
      <c r="O37">
        <v>4223.5187649010768</v>
      </c>
      <c r="P37">
        <v>0</v>
      </c>
      <c r="Q37">
        <v>0</v>
      </c>
      <c r="R37">
        <v>5.3128285980238896</v>
      </c>
      <c r="S37">
        <v>4571.1577257397548</v>
      </c>
      <c r="T37">
        <v>0</v>
      </c>
      <c r="U37">
        <v>0</v>
      </c>
      <c r="V37">
        <v>4.6996265178714287</v>
      </c>
      <c r="W37">
        <v>4043.558655976577</v>
      </c>
      <c r="X37">
        <v>0</v>
      </c>
      <c r="Y37">
        <v>0</v>
      </c>
      <c r="Z37">
        <v>4.5052947414626203</v>
      </c>
      <c r="AA37">
        <v>3876.3555955544384</v>
      </c>
      <c r="AB37">
        <v>0</v>
      </c>
      <c r="AC37">
        <v>0</v>
      </c>
      <c r="AD37">
        <v>3.6967638894732535</v>
      </c>
      <c r="AE37">
        <v>3180.6956505027874</v>
      </c>
      <c r="AF37">
        <v>2.0864757500895923</v>
      </c>
      <c r="AG37">
        <v>1795.2037353770852</v>
      </c>
      <c r="AH37">
        <v>2.7289576121598631</v>
      </c>
      <c r="AI37">
        <v>2347.9951295023461</v>
      </c>
      <c r="AJ37">
        <v>0</v>
      </c>
      <c r="AK37">
        <v>0</v>
      </c>
      <c r="AL37">
        <v>6.5704546912759207</v>
      </c>
      <c r="AM37">
        <v>5653.2192163738018</v>
      </c>
      <c r="AN37">
        <v>3.1608860715998706</v>
      </c>
      <c r="AO37">
        <v>2719.6263760045285</v>
      </c>
      <c r="AP37">
        <v>7.637857077945295</v>
      </c>
      <c r="AQ37">
        <v>6571.6122298641312</v>
      </c>
      <c r="AR37">
        <v>0</v>
      </c>
      <c r="AS37">
        <v>0</v>
      </c>
      <c r="AT37">
        <v>5.9368751317600283</v>
      </c>
      <c r="AU37">
        <v>5108.0873633663286</v>
      </c>
      <c r="AV37">
        <v>0</v>
      </c>
      <c r="AW37">
        <v>0</v>
      </c>
      <c r="AX37">
        <v>7.8865050096577285</v>
      </c>
      <c r="AY37">
        <v>6785.5489103095097</v>
      </c>
      <c r="AZ37">
        <v>0</v>
      </c>
      <c r="BA37">
        <v>0</v>
      </c>
      <c r="BB37">
        <v>5.4081963460911213</v>
      </c>
      <c r="BC37">
        <v>4653.2121361768004</v>
      </c>
      <c r="BD37">
        <v>0</v>
      </c>
      <c r="BE37">
        <v>0</v>
      </c>
      <c r="BF37">
        <v>5.9097385770694046</v>
      </c>
      <c r="BG37">
        <v>5084.7390717105154</v>
      </c>
      <c r="BH37">
        <v>0</v>
      </c>
      <c r="BI37">
        <v>0</v>
      </c>
      <c r="BJ37">
        <v>3.0150254222589425</v>
      </c>
      <c r="BK37">
        <v>2594.1278733115942</v>
      </c>
      <c r="BL37">
        <v>2.8576314484896015</v>
      </c>
      <c r="BM37">
        <v>2458.7060982804533</v>
      </c>
      <c r="BN37">
        <v>2.4487111233690353</v>
      </c>
      <c r="BO37">
        <v>2106.8710505467179</v>
      </c>
      <c r="BP37">
        <v>2.3347261754112476</v>
      </c>
      <c r="BQ37">
        <v>2008.7984013238374</v>
      </c>
      <c r="BR37">
        <v>5.2472381215050756</v>
      </c>
      <c r="BS37">
        <v>4514.7236797429669</v>
      </c>
      <c r="BT37">
        <v>0</v>
      </c>
      <c r="BU37">
        <v>0</v>
      </c>
      <c r="BV37">
        <v>6.8437175943326833</v>
      </c>
      <c r="BW37">
        <v>5888.3346181638408</v>
      </c>
      <c r="BX37">
        <v>0</v>
      </c>
      <c r="BY37">
        <v>0</v>
      </c>
      <c r="BZ37">
        <v>2.2186308835893946</v>
      </c>
      <c r="CA37">
        <v>1908.9100122403152</v>
      </c>
      <c r="CB37">
        <v>2.3198315905601388</v>
      </c>
      <c r="CC37">
        <v>1995.9831005179433</v>
      </c>
      <c r="CD37">
        <v>4.8524917674101991</v>
      </c>
      <c r="CE37">
        <v>4175.083916679735</v>
      </c>
      <c r="CF37">
        <v>0</v>
      </c>
      <c r="CG37">
        <v>0</v>
      </c>
      <c r="CH37">
        <v>2.3486749673521832</v>
      </c>
      <c r="CI37">
        <v>2020.7999419098182</v>
      </c>
      <c r="CJ37">
        <v>3.431128160888349</v>
      </c>
      <c r="CK37">
        <v>2952.1426696283356</v>
      </c>
      <c r="CL37">
        <v>3.6393688255576491</v>
      </c>
      <c r="CM37">
        <v>3131.312937509801</v>
      </c>
      <c r="CN37">
        <v>1.8689809280837868</v>
      </c>
      <c r="CO37">
        <v>1608.0711905232902</v>
      </c>
      <c r="CP37">
        <v>5.7760549431107364</v>
      </c>
      <c r="CQ37">
        <v>4969.717673052477</v>
      </c>
      <c r="CR37">
        <v>0</v>
      </c>
      <c r="CS37">
        <v>0</v>
      </c>
      <c r="CT37">
        <v>4.8524917674101991</v>
      </c>
      <c r="CU37">
        <v>4175.083916679735</v>
      </c>
    </row>
    <row r="38" spans="2:99" x14ac:dyDescent="0.2">
      <c r="C38" s="105" t="s">
        <v>204</v>
      </c>
      <c r="D38">
        <v>14</v>
      </c>
      <c r="E38">
        <v>17388</v>
      </c>
      <c r="F38">
        <v>9</v>
      </c>
      <c r="G38">
        <v>11178</v>
      </c>
      <c r="H38">
        <v>14</v>
      </c>
      <c r="I38">
        <v>17388</v>
      </c>
      <c r="J38">
        <v>16</v>
      </c>
      <c r="K38">
        <v>19872</v>
      </c>
      <c r="L38">
        <v>3.5673769808722131</v>
      </c>
      <c r="M38">
        <v>4430.6822102432889</v>
      </c>
      <c r="N38">
        <v>4.9087851753847946</v>
      </c>
      <c r="O38">
        <v>6096.7111878279147</v>
      </c>
      <c r="P38">
        <v>0</v>
      </c>
      <c r="Q38">
        <v>0</v>
      </c>
      <c r="R38">
        <v>4.7225143093545681</v>
      </c>
      <c r="S38">
        <v>5865.3627722183737</v>
      </c>
      <c r="T38">
        <v>0</v>
      </c>
      <c r="U38">
        <v>0</v>
      </c>
      <c r="V38">
        <v>5.1268652922233766</v>
      </c>
      <c r="W38">
        <v>6367.5666929414338</v>
      </c>
      <c r="X38">
        <v>0</v>
      </c>
      <c r="Y38">
        <v>0</v>
      </c>
      <c r="Z38">
        <v>4.0547652673163581</v>
      </c>
      <c r="AA38">
        <v>5036.0184620069167</v>
      </c>
      <c r="AB38">
        <v>0</v>
      </c>
      <c r="AC38">
        <v>0</v>
      </c>
      <c r="AD38">
        <v>3.4123974364368497</v>
      </c>
      <c r="AE38">
        <v>4238.1976160545673</v>
      </c>
      <c r="AF38">
        <v>1.8256662813283933</v>
      </c>
      <c r="AG38">
        <v>2267.4775214098645</v>
      </c>
      <c r="AH38">
        <v>2.4808705565089668</v>
      </c>
      <c r="AI38">
        <v>3081.2412311841367</v>
      </c>
      <c r="AJ38">
        <v>0</v>
      </c>
      <c r="AK38">
        <v>0</v>
      </c>
      <c r="AL38">
        <v>6.5704546912759207</v>
      </c>
      <c r="AM38">
        <v>8160.5047265646936</v>
      </c>
      <c r="AN38">
        <v>2.8974788989665483</v>
      </c>
      <c r="AO38">
        <v>3598.6687925164529</v>
      </c>
      <c r="AP38">
        <v>6.6831249432021327</v>
      </c>
      <c r="AQ38">
        <v>8300.4411794570497</v>
      </c>
      <c r="AR38">
        <v>0</v>
      </c>
      <c r="AS38">
        <v>0</v>
      </c>
      <c r="AT38">
        <v>5.3971592106909352</v>
      </c>
      <c r="AU38">
        <v>6703.2717396781418</v>
      </c>
      <c r="AV38">
        <v>0</v>
      </c>
      <c r="AW38">
        <v>0</v>
      </c>
      <c r="AX38">
        <v>6.8349710083700312</v>
      </c>
      <c r="AY38">
        <v>8489.033992395578</v>
      </c>
      <c r="AZ38">
        <v>0</v>
      </c>
      <c r="BA38">
        <v>0</v>
      </c>
      <c r="BB38">
        <v>4.8673767114820095</v>
      </c>
      <c r="BC38">
        <v>6045.2818756606557</v>
      </c>
      <c r="BD38">
        <v>0</v>
      </c>
      <c r="BE38">
        <v>0</v>
      </c>
      <c r="BF38">
        <v>5.9097385770694046</v>
      </c>
      <c r="BG38">
        <v>7339.8953127202003</v>
      </c>
      <c r="BH38">
        <v>0</v>
      </c>
      <c r="BI38">
        <v>0</v>
      </c>
      <c r="BJ38">
        <v>2.7996664635261608</v>
      </c>
      <c r="BK38">
        <v>3477.1857476994915</v>
      </c>
      <c r="BL38">
        <v>2.8576314484896015</v>
      </c>
      <c r="BM38">
        <v>3549.178259024085</v>
      </c>
      <c r="BN38">
        <v>2.4487111233690353</v>
      </c>
      <c r="BO38">
        <v>3041.2992152243419</v>
      </c>
      <c r="BP38">
        <v>2.1224783412829518</v>
      </c>
      <c r="BQ38">
        <v>2636.1180998734262</v>
      </c>
      <c r="BR38">
        <v>5.7719619336555832</v>
      </c>
      <c r="BS38">
        <v>7168.7767216002339</v>
      </c>
      <c r="BT38">
        <v>0</v>
      </c>
      <c r="BU38">
        <v>0</v>
      </c>
      <c r="BV38">
        <v>6.8437175943326833</v>
      </c>
      <c r="BW38">
        <v>8499.8972521611922</v>
      </c>
      <c r="BX38">
        <v>0</v>
      </c>
      <c r="BY38">
        <v>0</v>
      </c>
      <c r="BZ38">
        <v>1.7749047068715156</v>
      </c>
      <c r="CA38">
        <v>2204.4316459344222</v>
      </c>
      <c r="CB38">
        <v>2.0298526417401215</v>
      </c>
      <c r="CC38">
        <v>2521.0769810412307</v>
      </c>
      <c r="CD38">
        <v>4.3672425906691794</v>
      </c>
      <c r="CE38">
        <v>5424.1152976111207</v>
      </c>
      <c r="CF38">
        <v>0</v>
      </c>
      <c r="CG38">
        <v>0</v>
      </c>
      <c r="CH38">
        <v>2.3486749673521832</v>
      </c>
      <c r="CI38">
        <v>2917.0543094514114</v>
      </c>
      <c r="CJ38">
        <v>3.431128160888349</v>
      </c>
      <c r="CK38">
        <v>4261.4611758233295</v>
      </c>
      <c r="CL38">
        <v>3.6393688255576491</v>
      </c>
      <c r="CM38">
        <v>4520.0960813426</v>
      </c>
      <c r="CN38">
        <v>2.1026035440942601</v>
      </c>
      <c r="CO38">
        <v>2611.4336017650712</v>
      </c>
      <c r="CP38">
        <v>5.3634795900313978</v>
      </c>
      <c r="CQ38">
        <v>6661.4416508189961</v>
      </c>
      <c r="CR38">
        <v>0</v>
      </c>
      <c r="CS38">
        <v>0</v>
      </c>
      <c r="CT38">
        <v>4.8524917674101991</v>
      </c>
      <c r="CU38">
        <v>6026.7947751234669</v>
      </c>
    </row>
    <row r="39" spans="2:99" x14ac:dyDescent="0.2">
      <c r="C39" s="105" t="s">
        <v>205</v>
      </c>
      <c r="D39">
        <v>13</v>
      </c>
      <c r="E39">
        <v>18501.600000000002</v>
      </c>
      <c r="F39">
        <v>8</v>
      </c>
      <c r="G39">
        <v>11385.6</v>
      </c>
      <c r="H39">
        <v>14</v>
      </c>
      <c r="I39">
        <v>19924.8</v>
      </c>
      <c r="J39">
        <v>15</v>
      </c>
      <c r="K39">
        <v>21348</v>
      </c>
      <c r="L39">
        <v>3.2106392827849923</v>
      </c>
      <c r="M39">
        <v>4569.3818272596009</v>
      </c>
      <c r="N39">
        <v>4.9087851753847946</v>
      </c>
      <c r="O39">
        <v>6986.1830616076404</v>
      </c>
      <c r="P39">
        <v>0</v>
      </c>
      <c r="Q39">
        <v>0</v>
      </c>
      <c r="R39">
        <v>4.7225143093545681</v>
      </c>
      <c r="S39">
        <v>6721.0823650734219</v>
      </c>
      <c r="T39">
        <v>0</v>
      </c>
      <c r="U39">
        <v>0</v>
      </c>
      <c r="V39">
        <v>4.2723877435194808</v>
      </c>
      <c r="W39">
        <v>6080.4622365769255</v>
      </c>
      <c r="X39">
        <v>0</v>
      </c>
      <c r="Y39">
        <v>0</v>
      </c>
      <c r="Z39">
        <v>4.0547652673163581</v>
      </c>
      <c r="AA39">
        <v>5770.7419284446414</v>
      </c>
      <c r="AB39">
        <v>0</v>
      </c>
      <c r="AC39">
        <v>0</v>
      </c>
      <c r="AD39">
        <v>3.1280309834004454</v>
      </c>
      <c r="AE39">
        <v>4451.8136955755144</v>
      </c>
      <c r="AF39">
        <v>2.0864757500895923</v>
      </c>
      <c r="AG39">
        <v>2969.4722875275079</v>
      </c>
      <c r="AH39">
        <v>2.7289576121598631</v>
      </c>
      <c r="AI39">
        <v>3883.8524736259174</v>
      </c>
      <c r="AJ39">
        <v>0</v>
      </c>
      <c r="AK39">
        <v>0</v>
      </c>
      <c r="AL39">
        <v>7.1179925822155816</v>
      </c>
      <c r="AM39">
        <v>10130.327043009216</v>
      </c>
      <c r="AN39">
        <v>3.1608860715998706</v>
      </c>
      <c r="AO39">
        <v>4498.5730571009362</v>
      </c>
      <c r="AP39">
        <v>7.1604910105737138</v>
      </c>
      <c r="AQ39">
        <v>10190.81080624851</v>
      </c>
      <c r="AR39">
        <v>0</v>
      </c>
      <c r="AS39">
        <v>0</v>
      </c>
      <c r="AT39">
        <v>5.3971592106909352</v>
      </c>
      <c r="AU39">
        <v>7681.2369886553388</v>
      </c>
      <c r="AV39">
        <v>0</v>
      </c>
      <c r="AW39">
        <v>0</v>
      </c>
      <c r="AX39">
        <v>7.3607380090138808</v>
      </c>
      <c r="AY39">
        <v>10475.802334428556</v>
      </c>
      <c r="AZ39">
        <v>0</v>
      </c>
      <c r="BA39">
        <v>0</v>
      </c>
      <c r="BB39">
        <v>4.8673767114820095</v>
      </c>
      <c r="BC39">
        <v>6927.250535781196</v>
      </c>
      <c r="BD39">
        <v>0</v>
      </c>
      <c r="BE39">
        <v>0</v>
      </c>
      <c r="BF39">
        <v>5.4172603623136206</v>
      </c>
      <c r="BG39">
        <v>7709.8449476447449</v>
      </c>
      <c r="BH39">
        <v>0</v>
      </c>
      <c r="BI39">
        <v>0</v>
      </c>
      <c r="BJ39">
        <v>3.0150254222589425</v>
      </c>
      <c r="BK39">
        <v>4290.984180958927</v>
      </c>
      <c r="BL39">
        <v>2.8576314484896015</v>
      </c>
      <c r="BM39">
        <v>4066.9810774904008</v>
      </c>
      <c r="BN39">
        <v>2.4487111233690353</v>
      </c>
      <c r="BO39">
        <v>3485.0056707788112</v>
      </c>
      <c r="BP39">
        <v>2.1224783412829518</v>
      </c>
      <c r="BQ39">
        <v>3020.711175313897</v>
      </c>
      <c r="BR39">
        <v>5.2472381215050756</v>
      </c>
      <c r="BS39">
        <v>7467.8692945260236</v>
      </c>
      <c r="BT39">
        <v>0</v>
      </c>
      <c r="BU39">
        <v>0</v>
      </c>
      <c r="BV39">
        <v>6.3548806233089197</v>
      </c>
      <c r="BW39">
        <v>9044.2661030932541</v>
      </c>
      <c r="BX39">
        <v>0</v>
      </c>
      <c r="BY39">
        <v>0</v>
      </c>
      <c r="BZ39">
        <v>1.9967677952304552</v>
      </c>
      <c r="CA39">
        <v>2841.7999261719838</v>
      </c>
      <c r="CB39">
        <v>2.3198315905601388</v>
      </c>
      <c r="CC39">
        <v>3301.5843196851897</v>
      </c>
      <c r="CD39">
        <v>3.8819934139281593</v>
      </c>
      <c r="CE39">
        <v>5524.8530267025562</v>
      </c>
      <c r="CF39">
        <v>0</v>
      </c>
      <c r="CG39">
        <v>0</v>
      </c>
      <c r="CH39">
        <v>2.3486749673521832</v>
      </c>
      <c r="CI39">
        <v>3342.6342135356272</v>
      </c>
      <c r="CJ39">
        <v>2.9032622899824494</v>
      </c>
      <c r="CK39">
        <v>4131.9228911030223</v>
      </c>
      <c r="CL39">
        <v>3.1541196488166294</v>
      </c>
      <c r="CM39">
        <v>4488.9430841958274</v>
      </c>
      <c r="CN39">
        <v>1.8689809280837868</v>
      </c>
      <c r="CO39">
        <v>2659.9336568488457</v>
      </c>
      <c r="CP39">
        <v>4.9509042369520593</v>
      </c>
      <c r="CQ39">
        <v>7046.1269100301706</v>
      </c>
      <c r="CR39">
        <v>0</v>
      </c>
      <c r="CS39">
        <v>0</v>
      </c>
      <c r="CT39">
        <v>4.8524917674101991</v>
      </c>
      <c r="CU39">
        <v>6906.0662833781953</v>
      </c>
    </row>
    <row r="40" spans="2:99" x14ac:dyDescent="0.2">
      <c r="C40" s="105" t="s">
        <v>206</v>
      </c>
      <c r="D40">
        <v>13</v>
      </c>
      <c r="E40">
        <v>9422.4</v>
      </c>
      <c r="F40">
        <v>8</v>
      </c>
      <c r="G40">
        <v>5798.4</v>
      </c>
      <c r="H40">
        <v>13</v>
      </c>
      <c r="I40">
        <v>9422.4</v>
      </c>
      <c r="J40">
        <v>14</v>
      </c>
      <c r="K40">
        <v>10147.199999999999</v>
      </c>
      <c r="L40">
        <v>4.2808523770466556</v>
      </c>
      <c r="M40">
        <v>3102.7618028834158</v>
      </c>
      <c r="N40">
        <v>6.1359814692309937</v>
      </c>
      <c r="O40">
        <v>4447.3593688986239</v>
      </c>
      <c r="P40">
        <v>0</v>
      </c>
      <c r="Q40">
        <v>0</v>
      </c>
      <c r="R40">
        <v>4.7225143093545681</v>
      </c>
      <c r="S40">
        <v>3422.8783714201909</v>
      </c>
      <c r="T40">
        <v>0</v>
      </c>
      <c r="U40">
        <v>0</v>
      </c>
      <c r="V40">
        <v>4.6996265178714287</v>
      </c>
      <c r="W40">
        <v>3406.2893001532111</v>
      </c>
      <c r="X40">
        <v>0</v>
      </c>
      <c r="Y40">
        <v>0</v>
      </c>
      <c r="Z40">
        <v>4.5052947414626203</v>
      </c>
      <c r="AA40">
        <v>3265.4376286121069</v>
      </c>
      <c r="AB40">
        <v>0</v>
      </c>
      <c r="AC40">
        <v>0</v>
      </c>
      <c r="AD40">
        <v>3.6967638894732535</v>
      </c>
      <c r="AE40">
        <v>2679.4144670902142</v>
      </c>
      <c r="AF40">
        <v>2.3472852188507916</v>
      </c>
      <c r="AG40">
        <v>1701.3123266230537</v>
      </c>
      <c r="AH40">
        <v>2.9770446678107598</v>
      </c>
      <c r="AI40">
        <v>2157.7619752292385</v>
      </c>
      <c r="AJ40">
        <v>0</v>
      </c>
      <c r="AK40">
        <v>0</v>
      </c>
      <c r="AL40">
        <v>7.1179925822155816</v>
      </c>
      <c r="AM40">
        <v>5159.1210235898534</v>
      </c>
      <c r="AN40">
        <v>2.8974788989665483</v>
      </c>
      <c r="AO40">
        <v>2100.0927059709543</v>
      </c>
      <c r="AP40">
        <v>7.1604910105737138</v>
      </c>
      <c r="AQ40">
        <v>5189.9238844638276</v>
      </c>
      <c r="AR40">
        <v>0</v>
      </c>
      <c r="AS40">
        <v>0</v>
      </c>
      <c r="AT40">
        <v>5.9368751317600283</v>
      </c>
      <c r="AU40">
        <v>4303.0470954996681</v>
      </c>
      <c r="AV40">
        <v>0</v>
      </c>
      <c r="AW40">
        <v>0</v>
      </c>
      <c r="AX40">
        <v>7.3607380090138808</v>
      </c>
      <c r="AY40">
        <v>5335.0629089332606</v>
      </c>
      <c r="AZ40">
        <v>0</v>
      </c>
      <c r="BA40">
        <v>0</v>
      </c>
      <c r="BB40">
        <v>4.8673767114820095</v>
      </c>
      <c r="BC40">
        <v>3527.8746404821604</v>
      </c>
      <c r="BD40">
        <v>0</v>
      </c>
      <c r="BE40">
        <v>0</v>
      </c>
      <c r="BF40">
        <v>5.9097385770694046</v>
      </c>
      <c r="BG40">
        <v>4283.3785206599041</v>
      </c>
      <c r="BH40">
        <v>0</v>
      </c>
      <c r="BI40">
        <v>0</v>
      </c>
      <c r="BJ40">
        <v>3.2303843809917243</v>
      </c>
      <c r="BK40">
        <v>2341.3825993428018</v>
      </c>
      <c r="BL40">
        <v>2.5978467713541828</v>
      </c>
      <c r="BM40">
        <v>1882.9193398775117</v>
      </c>
      <c r="BN40">
        <v>2.4487111233690353</v>
      </c>
      <c r="BO40">
        <v>1774.8258222178767</v>
      </c>
      <c r="BP40">
        <v>2.1224783412829518</v>
      </c>
      <c r="BQ40">
        <v>1538.3723017618834</v>
      </c>
      <c r="BR40">
        <v>6.2966857458060908</v>
      </c>
      <c r="BS40">
        <v>4563.8378285602539</v>
      </c>
      <c r="BT40">
        <v>0</v>
      </c>
      <c r="BU40">
        <v>0</v>
      </c>
      <c r="BV40">
        <v>7.8213915363802098</v>
      </c>
      <c r="BW40">
        <v>5668.9445855683753</v>
      </c>
      <c r="BX40">
        <v>0</v>
      </c>
      <c r="BY40">
        <v>0</v>
      </c>
      <c r="BZ40">
        <v>2.2186308835893946</v>
      </c>
      <c r="CA40">
        <v>1608.0636644255931</v>
      </c>
      <c r="CB40">
        <v>2.6098105393801561</v>
      </c>
      <c r="CC40">
        <v>1891.590678942737</v>
      </c>
      <c r="CD40">
        <v>4.8524917674101991</v>
      </c>
      <c r="CE40">
        <v>3517.0860330189121</v>
      </c>
      <c r="CF40">
        <v>0</v>
      </c>
      <c r="CG40">
        <v>0</v>
      </c>
      <c r="CH40">
        <v>2.3486749673521832</v>
      </c>
      <c r="CI40">
        <v>1702.3196163368623</v>
      </c>
      <c r="CJ40">
        <v>2.9032622899824494</v>
      </c>
      <c r="CK40">
        <v>2104.284507779279</v>
      </c>
      <c r="CL40">
        <v>3.6393688255576491</v>
      </c>
      <c r="CM40">
        <v>2637.8145247641837</v>
      </c>
      <c r="CN40">
        <v>1.8689809280837868</v>
      </c>
      <c r="CO40">
        <v>1354.6373766751285</v>
      </c>
      <c r="CP40">
        <v>4.9509042369520593</v>
      </c>
      <c r="CQ40">
        <v>3588.4153909428524</v>
      </c>
      <c r="CR40">
        <v>0</v>
      </c>
      <c r="CS40">
        <v>0</v>
      </c>
      <c r="CT40">
        <v>4.3672425906691794</v>
      </c>
      <c r="CU40">
        <v>3165.3774297170212</v>
      </c>
    </row>
    <row r="41" spans="2:99" x14ac:dyDescent="0.2">
      <c r="C41" s="105" t="s">
        <v>207</v>
      </c>
      <c r="D41">
        <v>13</v>
      </c>
      <c r="E41">
        <v>8580</v>
      </c>
      <c r="F41">
        <v>8</v>
      </c>
      <c r="G41">
        <v>5280</v>
      </c>
      <c r="H41">
        <v>16</v>
      </c>
      <c r="I41">
        <v>10560</v>
      </c>
      <c r="J41">
        <v>14</v>
      </c>
      <c r="K41">
        <v>9240</v>
      </c>
      <c r="L41">
        <v>3.9241146789594348</v>
      </c>
      <c r="M41">
        <v>2589.9156881132271</v>
      </c>
      <c r="N41">
        <v>4.9087851753847946</v>
      </c>
      <c r="O41">
        <v>3239.7982157539645</v>
      </c>
      <c r="P41">
        <v>0</v>
      </c>
      <c r="Q41">
        <v>0</v>
      </c>
      <c r="R41">
        <v>5.3128285980238896</v>
      </c>
      <c r="S41">
        <v>3506.4668746957673</v>
      </c>
      <c r="T41">
        <v>0</v>
      </c>
      <c r="U41">
        <v>0</v>
      </c>
      <c r="V41">
        <v>5.1268652922233766</v>
      </c>
      <c r="W41">
        <v>3383.7310928674287</v>
      </c>
      <c r="X41">
        <v>0</v>
      </c>
      <c r="Y41">
        <v>0</v>
      </c>
      <c r="Z41">
        <v>4.0547652673163581</v>
      </c>
      <c r="AA41">
        <v>2676.1450764287965</v>
      </c>
      <c r="AB41">
        <v>0</v>
      </c>
      <c r="AC41">
        <v>0</v>
      </c>
      <c r="AD41">
        <v>3.6967638894732535</v>
      </c>
      <c r="AE41">
        <v>2439.8641670523475</v>
      </c>
      <c r="AF41">
        <v>2.3472852188507916</v>
      </c>
      <c r="AG41">
        <v>1549.2082444415225</v>
      </c>
      <c r="AH41">
        <v>2.9770446678107598</v>
      </c>
      <c r="AI41">
        <v>1964.8494807551015</v>
      </c>
      <c r="AJ41">
        <v>0</v>
      </c>
      <c r="AK41">
        <v>0</v>
      </c>
      <c r="AL41">
        <v>7.6655304731552416</v>
      </c>
      <c r="AM41">
        <v>5059.2501122824597</v>
      </c>
      <c r="AN41">
        <v>3.1608860715998706</v>
      </c>
      <c r="AO41">
        <v>2086.1848072559146</v>
      </c>
      <c r="AP41">
        <v>7.1604910105737138</v>
      </c>
      <c r="AQ41">
        <v>4725.9240669786514</v>
      </c>
      <c r="AR41">
        <v>0</v>
      </c>
      <c r="AS41">
        <v>0</v>
      </c>
      <c r="AT41">
        <v>5.9368751317600283</v>
      </c>
      <c r="AU41">
        <v>3918.3375869616189</v>
      </c>
      <c r="AV41">
        <v>0</v>
      </c>
      <c r="AW41">
        <v>0</v>
      </c>
      <c r="AX41">
        <v>7.8865050096577285</v>
      </c>
      <c r="AY41">
        <v>5205.0933063741004</v>
      </c>
      <c r="AZ41">
        <v>0</v>
      </c>
      <c r="BA41">
        <v>0</v>
      </c>
      <c r="BB41">
        <v>4.8673767114820095</v>
      </c>
      <c r="BC41">
        <v>3212.4686295781262</v>
      </c>
      <c r="BD41">
        <v>0</v>
      </c>
      <c r="BE41">
        <v>0</v>
      </c>
      <c r="BF41">
        <v>6.8946950065809718</v>
      </c>
      <c r="BG41">
        <v>4550.4987043434412</v>
      </c>
      <c r="BH41">
        <v>0</v>
      </c>
      <c r="BI41">
        <v>0</v>
      </c>
      <c r="BJ41">
        <v>2.7996664635261608</v>
      </c>
      <c r="BK41">
        <v>1847.7798659272662</v>
      </c>
      <c r="BL41">
        <v>2.5978467713541828</v>
      </c>
      <c r="BM41">
        <v>1714.5788690937607</v>
      </c>
      <c r="BN41">
        <v>2.4487111233690353</v>
      </c>
      <c r="BO41">
        <v>1616.1493414235633</v>
      </c>
      <c r="BP41">
        <v>2.3347261754112476</v>
      </c>
      <c r="BQ41">
        <v>1540.9192757714234</v>
      </c>
      <c r="BR41">
        <v>5.2472381215050756</v>
      </c>
      <c r="BS41">
        <v>3463.1771601933501</v>
      </c>
      <c r="BT41">
        <v>0</v>
      </c>
      <c r="BU41">
        <v>0</v>
      </c>
      <c r="BV41">
        <v>7.8213915363802098</v>
      </c>
      <c r="BW41">
        <v>5162.1184140109381</v>
      </c>
      <c r="BX41">
        <v>0</v>
      </c>
      <c r="BY41">
        <v>0</v>
      </c>
      <c r="BZ41">
        <v>1.9967677952304552</v>
      </c>
      <c r="CA41">
        <v>1317.8667448521005</v>
      </c>
      <c r="CB41">
        <v>2.3198315905601388</v>
      </c>
      <c r="CC41">
        <v>1531.0888497696915</v>
      </c>
      <c r="CD41">
        <v>4.3672425906691794</v>
      </c>
      <c r="CE41">
        <v>2882.3801098416584</v>
      </c>
      <c r="CF41">
        <v>0</v>
      </c>
      <c r="CG41">
        <v>0</v>
      </c>
      <c r="CH41">
        <v>2.1138074706169649</v>
      </c>
      <c r="CI41">
        <v>1395.1129306071969</v>
      </c>
      <c r="CJ41">
        <v>3.431128160888349</v>
      </c>
      <c r="CK41">
        <v>2264.5445861863104</v>
      </c>
      <c r="CL41">
        <v>3.6393688255576491</v>
      </c>
      <c r="CM41">
        <v>2401.9834248680486</v>
      </c>
      <c r="CN41">
        <v>2.1026035440942601</v>
      </c>
      <c r="CO41">
        <v>1387.7183391022118</v>
      </c>
      <c r="CP41">
        <v>5.7760549431107364</v>
      </c>
      <c r="CQ41">
        <v>3812.1962624530861</v>
      </c>
      <c r="CR41">
        <v>0</v>
      </c>
      <c r="CS41">
        <v>0</v>
      </c>
      <c r="CT41">
        <v>4.3672425906691794</v>
      </c>
      <c r="CU41">
        <v>2882.3801098416584</v>
      </c>
    </row>
    <row r="42" spans="2:99" x14ac:dyDescent="0.2">
      <c r="C42" s="105" t="s">
        <v>208</v>
      </c>
      <c r="D42">
        <v>15</v>
      </c>
      <c r="E42">
        <v>12690</v>
      </c>
      <c r="F42">
        <v>9</v>
      </c>
      <c r="G42">
        <v>7614</v>
      </c>
      <c r="H42">
        <v>13</v>
      </c>
      <c r="I42">
        <v>10998</v>
      </c>
      <c r="J42">
        <v>15</v>
      </c>
      <c r="K42">
        <v>12690</v>
      </c>
      <c r="L42">
        <v>3.9241146789594348</v>
      </c>
      <c r="M42">
        <v>3319.8010183996817</v>
      </c>
      <c r="N42">
        <v>4.9087851753847946</v>
      </c>
      <c r="O42">
        <v>4152.8322583755362</v>
      </c>
      <c r="P42">
        <v>0</v>
      </c>
      <c r="Q42">
        <v>0</v>
      </c>
      <c r="R42">
        <v>4.7225143093545681</v>
      </c>
      <c r="S42">
        <v>3995.2471057139646</v>
      </c>
      <c r="T42">
        <v>0</v>
      </c>
      <c r="U42">
        <v>0</v>
      </c>
      <c r="V42">
        <v>5.1268652922233766</v>
      </c>
      <c r="W42">
        <v>4337.3280372209765</v>
      </c>
      <c r="X42">
        <v>0</v>
      </c>
      <c r="Y42">
        <v>0</v>
      </c>
      <c r="Z42">
        <v>4.0547652673163581</v>
      </c>
      <c r="AA42">
        <v>3430.3314161496392</v>
      </c>
      <c r="AB42">
        <v>0</v>
      </c>
      <c r="AC42">
        <v>0</v>
      </c>
      <c r="AD42">
        <v>3.1280309834004454</v>
      </c>
      <c r="AE42">
        <v>2646.3142119567769</v>
      </c>
      <c r="AF42">
        <v>1.8256662813283933</v>
      </c>
      <c r="AG42">
        <v>1544.5136740038206</v>
      </c>
      <c r="AH42">
        <v>2.7289576121598631</v>
      </c>
      <c r="AI42">
        <v>2308.698139887244</v>
      </c>
      <c r="AJ42">
        <v>0</v>
      </c>
      <c r="AK42">
        <v>0</v>
      </c>
      <c r="AL42">
        <v>7.6655304731552416</v>
      </c>
      <c r="AM42">
        <v>6485.0387802893347</v>
      </c>
      <c r="AN42">
        <v>3.1608860715998706</v>
      </c>
      <c r="AO42">
        <v>2674.1096165734907</v>
      </c>
      <c r="AP42">
        <v>7.1604910105737138</v>
      </c>
      <c r="AQ42">
        <v>6057.7753949453618</v>
      </c>
      <c r="AR42">
        <v>0</v>
      </c>
      <c r="AS42">
        <v>0</v>
      </c>
      <c r="AT42">
        <v>6.4765910528291224</v>
      </c>
      <c r="AU42">
        <v>5479.1960306934379</v>
      </c>
      <c r="AV42">
        <v>0</v>
      </c>
      <c r="AW42">
        <v>0</v>
      </c>
      <c r="AX42">
        <v>8.4122720103015762</v>
      </c>
      <c r="AY42">
        <v>7116.7821207151337</v>
      </c>
      <c r="AZ42">
        <v>0</v>
      </c>
      <c r="BA42">
        <v>0</v>
      </c>
      <c r="BB42">
        <v>4.8673767114820095</v>
      </c>
      <c r="BC42">
        <v>4117.8006979137799</v>
      </c>
      <c r="BD42">
        <v>0</v>
      </c>
      <c r="BE42">
        <v>0</v>
      </c>
      <c r="BF42">
        <v>6.4022167918251878</v>
      </c>
      <c r="BG42">
        <v>5416.2754058841092</v>
      </c>
      <c r="BH42">
        <v>0</v>
      </c>
      <c r="BI42">
        <v>0</v>
      </c>
      <c r="BJ42">
        <v>2.7996664635261608</v>
      </c>
      <c r="BK42">
        <v>2368.5178281431322</v>
      </c>
      <c r="BL42">
        <v>2.8576314484896015</v>
      </c>
      <c r="BM42">
        <v>2417.5562054222028</v>
      </c>
      <c r="BN42">
        <v>2.720790137076706</v>
      </c>
      <c r="BO42">
        <v>2301.7884559668933</v>
      </c>
      <c r="BP42">
        <v>2.1224783412829518</v>
      </c>
      <c r="BQ42">
        <v>1795.6166767253771</v>
      </c>
      <c r="BR42">
        <v>5.2472381215050756</v>
      </c>
      <c r="BS42">
        <v>4439.163450793294</v>
      </c>
      <c r="BT42">
        <v>0</v>
      </c>
      <c r="BU42">
        <v>0</v>
      </c>
      <c r="BV42">
        <v>6.8437175943326833</v>
      </c>
      <c r="BW42">
        <v>5789.7850848054504</v>
      </c>
      <c r="BX42">
        <v>0</v>
      </c>
      <c r="BY42">
        <v>0</v>
      </c>
      <c r="BZ42">
        <v>2.2186308835893946</v>
      </c>
      <c r="CA42">
        <v>1876.9617275166279</v>
      </c>
      <c r="CB42">
        <v>2.6098105393801561</v>
      </c>
      <c r="CC42">
        <v>2207.8997163156118</v>
      </c>
      <c r="CD42">
        <v>4.3672425906691794</v>
      </c>
      <c r="CE42">
        <v>3694.6872317061257</v>
      </c>
      <c r="CF42">
        <v>0</v>
      </c>
      <c r="CG42">
        <v>0</v>
      </c>
      <c r="CH42">
        <v>2.3486749673521832</v>
      </c>
      <c r="CI42">
        <v>1986.9790223799469</v>
      </c>
      <c r="CJ42">
        <v>3.431128160888349</v>
      </c>
      <c r="CK42">
        <v>2902.7344241115434</v>
      </c>
      <c r="CL42">
        <v>3.6393688255576491</v>
      </c>
      <c r="CM42">
        <v>3078.906026421771</v>
      </c>
      <c r="CN42">
        <v>2.1026035440942601</v>
      </c>
      <c r="CO42">
        <v>1778.8025983037439</v>
      </c>
      <c r="CP42">
        <v>5.3634795900313978</v>
      </c>
      <c r="CQ42">
        <v>4537.5037331665626</v>
      </c>
      <c r="CR42">
        <v>0</v>
      </c>
      <c r="CS42">
        <v>0</v>
      </c>
      <c r="CT42">
        <v>4.3672425906691794</v>
      </c>
      <c r="CU42">
        <v>3694.6872317061257</v>
      </c>
    </row>
    <row r="43" spans="2:99" x14ac:dyDescent="0.2">
      <c r="C43" s="105" t="s">
        <v>209</v>
      </c>
      <c r="D43">
        <v>13</v>
      </c>
      <c r="E43">
        <v>13291.199999999999</v>
      </c>
      <c r="F43">
        <v>8</v>
      </c>
      <c r="G43">
        <v>8179.2</v>
      </c>
      <c r="H43">
        <v>14</v>
      </c>
      <c r="I43">
        <v>14313.6</v>
      </c>
      <c r="J43">
        <v>13</v>
      </c>
      <c r="K43">
        <v>13291.199999999999</v>
      </c>
      <c r="L43">
        <v>3.9241146789594348</v>
      </c>
      <c r="M43">
        <v>4012.0148477681259</v>
      </c>
      <c r="N43">
        <v>5.5223833223078937</v>
      </c>
      <c r="O43">
        <v>5646.0847087275906</v>
      </c>
      <c r="P43">
        <v>0</v>
      </c>
      <c r="Q43">
        <v>0</v>
      </c>
      <c r="R43">
        <v>4.7225143093545681</v>
      </c>
      <c r="S43">
        <v>4828.2986298841106</v>
      </c>
      <c r="T43">
        <v>0</v>
      </c>
      <c r="U43">
        <v>0</v>
      </c>
      <c r="V43">
        <v>4.6996265178714287</v>
      </c>
      <c r="W43">
        <v>4804.8981518717483</v>
      </c>
      <c r="X43">
        <v>0</v>
      </c>
      <c r="Y43">
        <v>0</v>
      </c>
      <c r="Z43">
        <v>4.9558242156088825</v>
      </c>
      <c r="AA43">
        <v>5066.8346780385218</v>
      </c>
      <c r="AB43">
        <v>0</v>
      </c>
      <c r="AC43">
        <v>0</v>
      </c>
      <c r="AD43">
        <v>3.1280309834004454</v>
      </c>
      <c r="AE43">
        <v>3198.0988774286152</v>
      </c>
      <c r="AF43">
        <v>2.0864757500895923</v>
      </c>
      <c r="AG43">
        <v>2133.212806891599</v>
      </c>
      <c r="AH43">
        <v>2.7289576121598631</v>
      </c>
      <c r="AI43">
        <v>2790.0862626722442</v>
      </c>
      <c r="AJ43">
        <v>0</v>
      </c>
      <c r="AK43">
        <v>0</v>
      </c>
      <c r="AL43">
        <v>7.1179925822155816</v>
      </c>
      <c r="AM43">
        <v>7277.4356160572106</v>
      </c>
      <c r="AN43">
        <v>2.8974788989665483</v>
      </c>
      <c r="AO43">
        <v>2962.3824263033989</v>
      </c>
      <c r="AP43">
        <v>7.1604910105737138</v>
      </c>
      <c r="AQ43">
        <v>7320.8860092105651</v>
      </c>
      <c r="AR43">
        <v>0</v>
      </c>
      <c r="AS43">
        <v>0</v>
      </c>
      <c r="AT43">
        <v>5.9368751317600283</v>
      </c>
      <c r="AU43">
        <v>6069.8611347114529</v>
      </c>
      <c r="AV43">
        <v>0</v>
      </c>
      <c r="AW43">
        <v>0</v>
      </c>
      <c r="AX43">
        <v>7.8865050096577285</v>
      </c>
      <c r="AY43">
        <v>8063.1627218740614</v>
      </c>
      <c r="AZ43">
        <v>0</v>
      </c>
      <c r="BA43">
        <v>0</v>
      </c>
      <c r="BB43">
        <v>4.3265570768728976</v>
      </c>
      <c r="BC43">
        <v>4423.4719553948507</v>
      </c>
      <c r="BD43">
        <v>0</v>
      </c>
      <c r="BE43">
        <v>0</v>
      </c>
      <c r="BF43">
        <v>6.4022167918251878</v>
      </c>
      <c r="BG43">
        <v>6545.6264479620722</v>
      </c>
      <c r="BH43">
        <v>0</v>
      </c>
      <c r="BI43">
        <v>0</v>
      </c>
      <c r="BJ43">
        <v>2.7996664635261608</v>
      </c>
      <c r="BK43">
        <v>2862.3789923091467</v>
      </c>
      <c r="BL43">
        <v>3.1174161256250197</v>
      </c>
      <c r="BM43">
        <v>3187.2462468390199</v>
      </c>
      <c r="BN43">
        <v>2.720790137076706</v>
      </c>
      <c r="BO43">
        <v>2781.7358361472243</v>
      </c>
      <c r="BP43">
        <v>2.1224783412829518</v>
      </c>
      <c r="BQ43">
        <v>2170.0218561276897</v>
      </c>
      <c r="BR43">
        <v>5.2472381215050756</v>
      </c>
      <c r="BS43">
        <v>5364.7762554267892</v>
      </c>
      <c r="BT43">
        <v>0</v>
      </c>
      <c r="BU43">
        <v>0</v>
      </c>
      <c r="BV43">
        <v>7.8213915363802098</v>
      </c>
      <c r="BW43">
        <v>7996.5907067951266</v>
      </c>
      <c r="BX43">
        <v>0</v>
      </c>
      <c r="BY43">
        <v>0</v>
      </c>
      <c r="BZ43">
        <v>1.9967677952304552</v>
      </c>
      <c r="CA43">
        <v>2041.4953938436174</v>
      </c>
      <c r="CB43">
        <v>2.3198315905601388</v>
      </c>
      <c r="CC43">
        <v>2371.7958181886856</v>
      </c>
      <c r="CD43">
        <v>4.3672425906691794</v>
      </c>
      <c r="CE43">
        <v>4465.068824700169</v>
      </c>
      <c r="CF43">
        <v>0</v>
      </c>
      <c r="CG43">
        <v>0</v>
      </c>
      <c r="CH43">
        <v>2.1138074706169649</v>
      </c>
      <c r="CI43">
        <v>2161.156757958785</v>
      </c>
      <c r="CJ43">
        <v>3.1671952254353992</v>
      </c>
      <c r="CK43">
        <v>3238.1403984851522</v>
      </c>
      <c r="CL43">
        <v>3.1541196488166294</v>
      </c>
      <c r="CM43">
        <v>3224.7719289501219</v>
      </c>
      <c r="CN43">
        <v>1.8689809280837868</v>
      </c>
      <c r="CO43">
        <v>1910.8461008728636</v>
      </c>
      <c r="CP43">
        <v>5.3634795900313978</v>
      </c>
      <c r="CQ43">
        <v>5483.6215328481012</v>
      </c>
      <c r="CR43">
        <v>0</v>
      </c>
      <c r="CS43">
        <v>0</v>
      </c>
      <c r="CT43">
        <v>4.3672425906691794</v>
      </c>
      <c r="CU43">
        <v>4465.068824700169</v>
      </c>
    </row>
    <row r="44" spans="2:99" x14ac:dyDescent="0.2">
      <c r="C44" s="105" t="s">
        <v>210</v>
      </c>
      <c r="D44">
        <v>13</v>
      </c>
      <c r="E44">
        <v>13291.199999999999</v>
      </c>
      <c r="F44">
        <v>8</v>
      </c>
      <c r="G44">
        <v>8179.2</v>
      </c>
      <c r="H44">
        <v>13</v>
      </c>
      <c r="I44">
        <v>13291.199999999999</v>
      </c>
      <c r="J44">
        <v>14</v>
      </c>
      <c r="K44">
        <v>14313.6</v>
      </c>
      <c r="L44">
        <v>3.9241146789594348</v>
      </c>
      <c r="M44">
        <v>4012.0148477681259</v>
      </c>
      <c r="N44">
        <v>5.5223833223078937</v>
      </c>
      <c r="O44">
        <v>5646.0847087275906</v>
      </c>
      <c r="P44">
        <v>0</v>
      </c>
      <c r="Q44">
        <v>0</v>
      </c>
      <c r="R44">
        <v>4.1322000206852474</v>
      </c>
      <c r="S44">
        <v>4224.7613011485964</v>
      </c>
      <c r="T44">
        <v>0</v>
      </c>
      <c r="U44">
        <v>0</v>
      </c>
      <c r="V44">
        <v>5.1268652922233766</v>
      </c>
      <c r="W44">
        <v>5241.7070747691805</v>
      </c>
      <c r="X44">
        <v>0</v>
      </c>
      <c r="Y44">
        <v>0</v>
      </c>
      <c r="Z44">
        <v>4.5052947414626203</v>
      </c>
      <c r="AA44">
        <v>4606.213343671383</v>
      </c>
      <c r="AB44">
        <v>0</v>
      </c>
      <c r="AC44">
        <v>0</v>
      </c>
      <c r="AD44">
        <v>3.4123974364368497</v>
      </c>
      <c r="AE44">
        <v>3488.8351390130351</v>
      </c>
      <c r="AF44">
        <v>1.8256662813283933</v>
      </c>
      <c r="AG44">
        <v>1866.5612060301492</v>
      </c>
      <c r="AH44">
        <v>2.7289576121598631</v>
      </c>
      <c r="AI44">
        <v>2790.0862626722442</v>
      </c>
      <c r="AJ44">
        <v>0</v>
      </c>
      <c r="AK44">
        <v>0</v>
      </c>
      <c r="AL44">
        <v>7.1179925822155816</v>
      </c>
      <c r="AM44">
        <v>7277.4356160572106</v>
      </c>
      <c r="AN44">
        <v>2.8974788989665483</v>
      </c>
      <c r="AO44">
        <v>2962.3824263033989</v>
      </c>
      <c r="AP44">
        <v>6.2057588758305524</v>
      </c>
      <c r="AQ44">
        <v>6344.7678746491565</v>
      </c>
      <c r="AR44">
        <v>0</v>
      </c>
      <c r="AS44">
        <v>0</v>
      </c>
      <c r="AT44">
        <v>5.9368751317600283</v>
      </c>
      <c r="AU44">
        <v>6069.8611347114529</v>
      </c>
      <c r="AV44">
        <v>0</v>
      </c>
      <c r="AW44">
        <v>0</v>
      </c>
      <c r="AX44">
        <v>7.8865050096577285</v>
      </c>
      <c r="AY44">
        <v>8063.1627218740614</v>
      </c>
      <c r="AZ44">
        <v>0</v>
      </c>
      <c r="BA44">
        <v>0</v>
      </c>
      <c r="BB44">
        <v>4.3265570768728976</v>
      </c>
      <c r="BC44">
        <v>4423.4719553948507</v>
      </c>
      <c r="BD44">
        <v>0</v>
      </c>
      <c r="BE44">
        <v>0</v>
      </c>
      <c r="BF44">
        <v>6.4022167918251878</v>
      </c>
      <c r="BG44">
        <v>6545.6264479620722</v>
      </c>
      <c r="BH44">
        <v>0</v>
      </c>
      <c r="BI44">
        <v>0</v>
      </c>
      <c r="BJ44">
        <v>2.7996664635261608</v>
      </c>
      <c r="BK44">
        <v>2862.3789923091467</v>
      </c>
      <c r="BL44">
        <v>2.5978467713541828</v>
      </c>
      <c r="BM44">
        <v>2656.0385390325164</v>
      </c>
      <c r="BN44">
        <v>2.720790137076706</v>
      </c>
      <c r="BO44">
        <v>2781.7358361472243</v>
      </c>
      <c r="BP44">
        <v>2.3347261754112476</v>
      </c>
      <c r="BQ44">
        <v>2387.0240417404593</v>
      </c>
      <c r="BR44">
        <v>5.2472381215050756</v>
      </c>
      <c r="BS44">
        <v>5364.7762554267892</v>
      </c>
      <c r="BT44">
        <v>0</v>
      </c>
      <c r="BU44">
        <v>0</v>
      </c>
      <c r="BV44">
        <v>7.3325545653564461</v>
      </c>
      <c r="BW44">
        <v>7496.8037876204307</v>
      </c>
      <c r="BX44">
        <v>0</v>
      </c>
      <c r="BY44">
        <v>0</v>
      </c>
      <c r="BZ44">
        <v>2.2186308835893946</v>
      </c>
      <c r="CA44">
        <v>2268.3282153817972</v>
      </c>
      <c r="CB44">
        <v>2.3198315905601388</v>
      </c>
      <c r="CC44">
        <v>2371.7958181886856</v>
      </c>
      <c r="CD44">
        <v>4.3672425906691794</v>
      </c>
      <c r="CE44">
        <v>4465.068824700169</v>
      </c>
      <c r="CF44">
        <v>0</v>
      </c>
      <c r="CG44">
        <v>0</v>
      </c>
      <c r="CH44">
        <v>2.1138074706169649</v>
      </c>
      <c r="CI44">
        <v>2161.156757958785</v>
      </c>
      <c r="CJ44">
        <v>3.431128160888349</v>
      </c>
      <c r="CK44">
        <v>3507.9854316922479</v>
      </c>
      <c r="CL44">
        <v>3.1541196488166294</v>
      </c>
      <c r="CM44">
        <v>3224.7719289501219</v>
      </c>
      <c r="CN44">
        <v>1.8689809280837868</v>
      </c>
      <c r="CO44">
        <v>1910.8461008728636</v>
      </c>
      <c r="CP44">
        <v>5.3634795900313978</v>
      </c>
      <c r="CQ44">
        <v>5483.6215328481012</v>
      </c>
      <c r="CR44">
        <v>0</v>
      </c>
      <c r="CS44">
        <v>0</v>
      </c>
      <c r="CT44">
        <v>4.8524917674101991</v>
      </c>
      <c r="CU44">
        <v>4961.1875830001873</v>
      </c>
    </row>
    <row r="45" spans="2:99" x14ac:dyDescent="0.2">
      <c r="C45" s="105" t="s">
        <v>211</v>
      </c>
      <c r="D45">
        <v>15</v>
      </c>
      <c r="E45">
        <v>18738</v>
      </c>
      <c r="F45">
        <v>8</v>
      </c>
      <c r="G45">
        <v>9993.6</v>
      </c>
      <c r="H45">
        <v>13</v>
      </c>
      <c r="I45">
        <v>16239.6</v>
      </c>
      <c r="J45">
        <v>14</v>
      </c>
      <c r="K45">
        <v>17488.8</v>
      </c>
      <c r="L45">
        <v>3.9241146789594348</v>
      </c>
      <c r="M45">
        <v>4902.0040569561261</v>
      </c>
      <c r="N45">
        <v>5.5223833223078937</v>
      </c>
      <c r="O45">
        <v>6898.561246227021</v>
      </c>
      <c r="P45">
        <v>0</v>
      </c>
      <c r="Q45">
        <v>0</v>
      </c>
      <c r="R45">
        <v>4.7225143093545681</v>
      </c>
      <c r="S45">
        <v>5899.3648752457266</v>
      </c>
      <c r="T45">
        <v>0</v>
      </c>
      <c r="U45">
        <v>0</v>
      </c>
      <c r="V45">
        <v>4.6996265178714287</v>
      </c>
      <c r="W45">
        <v>5870.7734461249893</v>
      </c>
      <c r="X45">
        <v>0</v>
      </c>
      <c r="Y45">
        <v>0</v>
      </c>
      <c r="Z45">
        <v>4.9558242156088825</v>
      </c>
      <c r="AA45">
        <v>6190.8156101386166</v>
      </c>
      <c r="AB45">
        <v>0</v>
      </c>
      <c r="AC45">
        <v>0</v>
      </c>
      <c r="AD45">
        <v>3.4123974364368497</v>
      </c>
      <c r="AE45">
        <v>4262.7668775969132</v>
      </c>
      <c r="AF45">
        <v>2.0864757500895923</v>
      </c>
      <c r="AG45">
        <v>2606.4255070119189</v>
      </c>
      <c r="AH45">
        <v>2.4808705565089668</v>
      </c>
      <c r="AI45">
        <v>3099.1034991910014</v>
      </c>
      <c r="AJ45">
        <v>0</v>
      </c>
      <c r="AK45">
        <v>0</v>
      </c>
      <c r="AL45">
        <v>6.5704546912759207</v>
      </c>
      <c r="AM45">
        <v>8207.8120003418808</v>
      </c>
      <c r="AN45">
        <v>3.1608860715998706</v>
      </c>
      <c r="AO45">
        <v>3948.5788806425585</v>
      </c>
      <c r="AP45">
        <v>7.1604910105737138</v>
      </c>
      <c r="AQ45">
        <v>8944.8853704086832</v>
      </c>
      <c r="AR45">
        <v>0</v>
      </c>
      <c r="AS45">
        <v>0</v>
      </c>
      <c r="AT45">
        <v>5.9368751317600283</v>
      </c>
      <c r="AU45">
        <v>7416.3444145946278</v>
      </c>
      <c r="AV45">
        <v>0</v>
      </c>
      <c r="AW45">
        <v>0</v>
      </c>
      <c r="AX45">
        <v>7.8865050096577285</v>
      </c>
      <c r="AY45">
        <v>9851.8220580644356</v>
      </c>
      <c r="AZ45">
        <v>0</v>
      </c>
      <c r="BA45">
        <v>0</v>
      </c>
      <c r="BB45">
        <v>4.3265570768728976</v>
      </c>
      <c r="BC45">
        <v>5404.7351004296243</v>
      </c>
      <c r="BD45">
        <v>0</v>
      </c>
      <c r="BE45">
        <v>0</v>
      </c>
      <c r="BF45">
        <v>5.4172603623136206</v>
      </c>
      <c r="BG45">
        <v>6767.2416446021753</v>
      </c>
      <c r="BH45">
        <v>0</v>
      </c>
      <c r="BI45">
        <v>0</v>
      </c>
      <c r="BJ45">
        <v>2.7996664635261608</v>
      </c>
      <c r="BK45">
        <v>3497.3433462368803</v>
      </c>
      <c r="BL45">
        <v>2.8576314484896015</v>
      </c>
      <c r="BM45">
        <v>3569.7532054532103</v>
      </c>
      <c r="BN45">
        <v>2.720790137076706</v>
      </c>
      <c r="BO45">
        <v>3398.8110392362214</v>
      </c>
      <c r="BP45">
        <v>2.1224783412829518</v>
      </c>
      <c r="BQ45">
        <v>2651.3999439306635</v>
      </c>
      <c r="BR45">
        <v>4.7225143093545681</v>
      </c>
      <c r="BS45">
        <v>5899.3648752457266</v>
      </c>
      <c r="BT45">
        <v>0</v>
      </c>
      <c r="BU45">
        <v>0</v>
      </c>
      <c r="BV45">
        <v>6.3548806233089197</v>
      </c>
      <c r="BW45">
        <v>7938.516874637503</v>
      </c>
      <c r="BX45">
        <v>0</v>
      </c>
      <c r="BY45">
        <v>0</v>
      </c>
      <c r="BZ45">
        <v>1.9967677952304552</v>
      </c>
      <c r="CA45">
        <v>2494.3623298018847</v>
      </c>
      <c r="CB45">
        <v>2.0298526417401215</v>
      </c>
      <c r="CC45">
        <v>2535.6919200617599</v>
      </c>
      <c r="CD45">
        <v>4.3672425906691794</v>
      </c>
      <c r="CE45">
        <v>5455.5594442639394</v>
      </c>
      <c r="CF45">
        <v>0</v>
      </c>
      <c r="CG45">
        <v>0</v>
      </c>
      <c r="CH45">
        <v>2.3486749673521832</v>
      </c>
      <c r="CI45">
        <v>2933.9647692163471</v>
      </c>
      <c r="CJ45">
        <v>2.9032622899824494</v>
      </c>
      <c r="CK45">
        <v>3626.7552526460759</v>
      </c>
      <c r="CL45">
        <v>3.6393688255576491</v>
      </c>
      <c r="CM45">
        <v>4546.299536886615</v>
      </c>
      <c r="CN45">
        <v>2.1026035440942601</v>
      </c>
      <c r="CO45">
        <v>2626.5723472825498</v>
      </c>
      <c r="CP45">
        <v>4.9509042369520593</v>
      </c>
      <c r="CQ45">
        <v>6184.6695728005125</v>
      </c>
      <c r="CR45">
        <v>0</v>
      </c>
      <c r="CS45">
        <v>0</v>
      </c>
      <c r="CT45">
        <v>3.8819934139281593</v>
      </c>
      <c r="CU45">
        <v>4849.3861726790565</v>
      </c>
    </row>
    <row r="46" spans="2:99" x14ac:dyDescent="0.2">
      <c r="C46" s="105" t="s">
        <v>212</v>
      </c>
      <c r="D46">
        <v>13</v>
      </c>
      <c r="E46">
        <v>15756</v>
      </c>
      <c r="F46">
        <v>8</v>
      </c>
      <c r="G46">
        <v>9696</v>
      </c>
      <c r="H46">
        <v>14</v>
      </c>
      <c r="I46">
        <v>16968</v>
      </c>
      <c r="J46">
        <v>13</v>
      </c>
      <c r="K46">
        <v>15756</v>
      </c>
      <c r="L46">
        <v>3.2106392827849923</v>
      </c>
      <c r="M46">
        <v>3891.2948107354109</v>
      </c>
      <c r="N46">
        <v>4.9087851753847946</v>
      </c>
      <c r="O46">
        <v>5949.4476325663709</v>
      </c>
      <c r="P46">
        <v>0</v>
      </c>
      <c r="Q46">
        <v>0</v>
      </c>
      <c r="R46">
        <v>4.7225143093545681</v>
      </c>
      <c r="S46">
        <v>5723.6873429377365</v>
      </c>
      <c r="T46">
        <v>0</v>
      </c>
      <c r="U46">
        <v>0</v>
      </c>
      <c r="V46">
        <v>4.2723877435194808</v>
      </c>
      <c r="W46">
        <v>5178.1339451456106</v>
      </c>
      <c r="X46">
        <v>0</v>
      </c>
      <c r="Y46">
        <v>0</v>
      </c>
      <c r="Z46">
        <v>4.5052947414626203</v>
      </c>
      <c r="AA46">
        <v>5460.4172266526957</v>
      </c>
      <c r="AB46">
        <v>0</v>
      </c>
      <c r="AC46">
        <v>0</v>
      </c>
      <c r="AD46">
        <v>3.6967638894732535</v>
      </c>
      <c r="AE46">
        <v>4480.4778340415833</v>
      </c>
      <c r="AF46">
        <v>2.0864757500895923</v>
      </c>
      <c r="AG46">
        <v>2528.8086091085856</v>
      </c>
      <c r="AH46">
        <v>2.4808705565089668</v>
      </c>
      <c r="AI46">
        <v>3006.8151144888679</v>
      </c>
      <c r="AJ46">
        <v>0</v>
      </c>
      <c r="AK46">
        <v>0</v>
      </c>
      <c r="AL46">
        <v>7.1179925822155816</v>
      </c>
      <c r="AM46">
        <v>8627.0070096452855</v>
      </c>
      <c r="AN46">
        <v>2.6340717263332252</v>
      </c>
      <c r="AO46">
        <v>3192.4949323158689</v>
      </c>
      <c r="AP46">
        <v>6.2057588758305524</v>
      </c>
      <c r="AQ46">
        <v>7521.3797575066292</v>
      </c>
      <c r="AR46">
        <v>0</v>
      </c>
      <c r="AS46">
        <v>0</v>
      </c>
      <c r="AT46">
        <v>5.9368751317600283</v>
      </c>
      <c r="AU46">
        <v>7195.4926596931546</v>
      </c>
      <c r="AV46">
        <v>0</v>
      </c>
      <c r="AW46">
        <v>0</v>
      </c>
      <c r="AX46">
        <v>7.8865050096577285</v>
      </c>
      <c r="AY46">
        <v>9558.4440717051675</v>
      </c>
      <c r="AZ46">
        <v>0</v>
      </c>
      <c r="BA46">
        <v>0</v>
      </c>
      <c r="BB46">
        <v>4.8673767114820095</v>
      </c>
      <c r="BC46">
        <v>5899.2605743161957</v>
      </c>
      <c r="BD46">
        <v>0</v>
      </c>
      <c r="BE46">
        <v>0</v>
      </c>
      <c r="BF46">
        <v>5.9097385770694046</v>
      </c>
      <c r="BG46">
        <v>7162.6031554081183</v>
      </c>
      <c r="BH46">
        <v>0</v>
      </c>
      <c r="BI46">
        <v>0</v>
      </c>
      <c r="BJ46">
        <v>2.5843075047933795</v>
      </c>
      <c r="BK46">
        <v>3132.1806958095758</v>
      </c>
      <c r="BL46">
        <v>2.8576314484896015</v>
      </c>
      <c r="BM46">
        <v>3463.4493155693972</v>
      </c>
      <c r="BN46">
        <v>2.720790137076706</v>
      </c>
      <c r="BO46">
        <v>3297.5976461369678</v>
      </c>
      <c r="BP46">
        <v>2.1224783412829518</v>
      </c>
      <c r="BQ46">
        <v>2572.4437496349374</v>
      </c>
      <c r="BR46">
        <v>5.7719619336555832</v>
      </c>
      <c r="BS46">
        <v>6995.6178635905671</v>
      </c>
      <c r="BT46">
        <v>0</v>
      </c>
      <c r="BU46">
        <v>0</v>
      </c>
      <c r="BV46">
        <v>6.8437175943326833</v>
      </c>
      <c r="BW46">
        <v>8294.585724331213</v>
      </c>
      <c r="BX46">
        <v>0</v>
      </c>
      <c r="BY46">
        <v>0</v>
      </c>
      <c r="BZ46">
        <v>1.9967677952304552</v>
      </c>
      <c r="CA46">
        <v>2420.0825678193119</v>
      </c>
      <c r="CB46">
        <v>2.3198315905601388</v>
      </c>
      <c r="CC46">
        <v>2811.6358877588882</v>
      </c>
      <c r="CD46">
        <v>4.3672425906691794</v>
      </c>
      <c r="CE46">
        <v>5293.0980198910456</v>
      </c>
      <c r="CF46">
        <v>0</v>
      </c>
      <c r="CG46">
        <v>0</v>
      </c>
      <c r="CH46">
        <v>2.1138074706169649</v>
      </c>
      <c r="CI46">
        <v>2561.9346543877614</v>
      </c>
      <c r="CJ46">
        <v>2.9032622899824494</v>
      </c>
      <c r="CK46">
        <v>3518.7538954587285</v>
      </c>
      <c r="CL46">
        <v>3.3967442371871392</v>
      </c>
      <c r="CM46">
        <v>4116.8540154708126</v>
      </c>
      <c r="CN46">
        <v>1.8689809280837868</v>
      </c>
      <c r="CO46">
        <v>2265.2048848375498</v>
      </c>
      <c r="CP46">
        <v>4.9509042369520593</v>
      </c>
      <c r="CQ46">
        <v>6000.4959351858961</v>
      </c>
      <c r="CR46">
        <v>0</v>
      </c>
      <c r="CS46">
        <v>0</v>
      </c>
      <c r="CT46">
        <v>4.3672425906691794</v>
      </c>
      <c r="CU46">
        <v>5293.0980198910456</v>
      </c>
    </row>
    <row r="47" spans="2:99" x14ac:dyDescent="0.2">
      <c r="C47" s="105" t="s">
        <v>213</v>
      </c>
      <c r="D47">
        <v>13</v>
      </c>
      <c r="E47">
        <v>19858.8</v>
      </c>
      <c r="F47">
        <v>8</v>
      </c>
      <c r="G47">
        <v>12220.8</v>
      </c>
      <c r="H47">
        <v>13</v>
      </c>
      <c r="I47">
        <v>19858.8</v>
      </c>
      <c r="J47">
        <v>14</v>
      </c>
      <c r="K47">
        <v>21386.399999999998</v>
      </c>
      <c r="L47">
        <v>3.9241146789594348</v>
      </c>
      <c r="M47">
        <v>5994.4775835784321</v>
      </c>
      <c r="N47">
        <v>4.9087851753847946</v>
      </c>
      <c r="O47">
        <v>7498.6602339178116</v>
      </c>
      <c r="P47">
        <v>0</v>
      </c>
      <c r="Q47">
        <v>0</v>
      </c>
      <c r="R47">
        <v>4.7225143093545681</v>
      </c>
      <c r="S47">
        <v>7214.1128589700375</v>
      </c>
      <c r="T47">
        <v>0</v>
      </c>
      <c r="U47">
        <v>0</v>
      </c>
      <c r="V47">
        <v>4.6996265178714287</v>
      </c>
      <c r="W47">
        <v>7179.1494687003942</v>
      </c>
      <c r="X47">
        <v>0</v>
      </c>
      <c r="Y47">
        <v>0</v>
      </c>
      <c r="Z47">
        <v>4.0547652673163581</v>
      </c>
      <c r="AA47">
        <v>6194.0594223524686</v>
      </c>
      <c r="AB47">
        <v>0</v>
      </c>
      <c r="AC47">
        <v>0</v>
      </c>
      <c r="AD47">
        <v>3.1280309834004454</v>
      </c>
      <c r="AE47">
        <v>4778.38013024252</v>
      </c>
      <c r="AF47">
        <v>1.8256662813283933</v>
      </c>
      <c r="AG47">
        <v>2788.8878113572532</v>
      </c>
      <c r="AH47">
        <v>2.7289576121598631</v>
      </c>
      <c r="AI47">
        <v>4168.7556483354065</v>
      </c>
      <c r="AJ47">
        <v>0</v>
      </c>
      <c r="AK47">
        <v>0</v>
      </c>
      <c r="AL47">
        <v>7.1179925822155816</v>
      </c>
      <c r="AM47">
        <v>10873.445468592521</v>
      </c>
      <c r="AN47">
        <v>2.8974788989665483</v>
      </c>
      <c r="AO47">
        <v>4426.1887660612992</v>
      </c>
      <c r="AP47">
        <v>7.1604910105737138</v>
      </c>
      <c r="AQ47">
        <v>10938.366067752404</v>
      </c>
      <c r="AR47">
        <v>0</v>
      </c>
      <c r="AS47">
        <v>0</v>
      </c>
      <c r="AT47">
        <v>5.9368751317600283</v>
      </c>
      <c r="AU47">
        <v>9069.1704512766191</v>
      </c>
      <c r="AV47">
        <v>0</v>
      </c>
      <c r="AW47">
        <v>0</v>
      </c>
      <c r="AX47">
        <v>7.3607380090138808</v>
      </c>
      <c r="AY47">
        <v>11244.263382569603</v>
      </c>
      <c r="AZ47">
        <v>0</v>
      </c>
      <c r="BA47">
        <v>0</v>
      </c>
      <c r="BB47">
        <v>4.8673767114820095</v>
      </c>
      <c r="BC47">
        <v>7435.4046644599175</v>
      </c>
      <c r="BD47">
        <v>0</v>
      </c>
      <c r="BE47">
        <v>0</v>
      </c>
      <c r="BF47">
        <v>5.4172603623136206</v>
      </c>
      <c r="BG47">
        <v>8275.4069294702858</v>
      </c>
      <c r="BH47">
        <v>0</v>
      </c>
      <c r="BI47">
        <v>0</v>
      </c>
      <c r="BJ47">
        <v>2.7996664635261608</v>
      </c>
      <c r="BK47">
        <v>4276.7704896825626</v>
      </c>
      <c r="BL47">
        <v>2.5978467713541828</v>
      </c>
      <c r="BM47">
        <v>3968.4707279206496</v>
      </c>
      <c r="BN47">
        <v>2.4487111233690353</v>
      </c>
      <c r="BO47">
        <v>3740.6511120585383</v>
      </c>
      <c r="BP47">
        <v>1.9102305071546568</v>
      </c>
      <c r="BQ47">
        <v>2918.0681227294535</v>
      </c>
      <c r="BR47">
        <v>5.2472381215050756</v>
      </c>
      <c r="BS47">
        <v>8015.6809544111529</v>
      </c>
      <c r="BT47">
        <v>0</v>
      </c>
      <c r="BU47">
        <v>0</v>
      </c>
      <c r="BV47">
        <v>7.3325545653564461</v>
      </c>
      <c r="BW47">
        <v>11201.210354038507</v>
      </c>
      <c r="BX47">
        <v>0</v>
      </c>
      <c r="BY47">
        <v>0</v>
      </c>
      <c r="BZ47">
        <v>1.7749047068715156</v>
      </c>
      <c r="CA47">
        <v>2711.3444302169269</v>
      </c>
      <c r="CB47">
        <v>2.3198315905601388</v>
      </c>
      <c r="CC47">
        <v>3543.7747377396677</v>
      </c>
      <c r="CD47">
        <v>4.8524917674101991</v>
      </c>
      <c r="CE47">
        <v>7412.6664238958192</v>
      </c>
      <c r="CF47">
        <v>0</v>
      </c>
      <c r="CG47">
        <v>0</v>
      </c>
      <c r="CH47">
        <v>2.3486749673521832</v>
      </c>
      <c r="CI47">
        <v>3587.8358801271947</v>
      </c>
      <c r="CJ47">
        <v>3.1671952254353992</v>
      </c>
      <c r="CK47">
        <v>4838.2074263751156</v>
      </c>
      <c r="CL47">
        <v>3.1541196488166294</v>
      </c>
      <c r="CM47">
        <v>4818.233175532283</v>
      </c>
      <c r="CN47">
        <v>1.6353583120733133</v>
      </c>
      <c r="CO47">
        <v>2498.1733575231933</v>
      </c>
      <c r="CP47">
        <v>5.3634795900313978</v>
      </c>
      <c r="CQ47">
        <v>8193.2514217319622</v>
      </c>
      <c r="CR47">
        <v>0</v>
      </c>
      <c r="CS47">
        <v>0</v>
      </c>
      <c r="CT47">
        <v>3.8819934139281593</v>
      </c>
      <c r="CU47">
        <v>5930.1331391166559</v>
      </c>
    </row>
    <row r="48" spans="2:99" x14ac:dyDescent="0.2">
      <c r="C48" s="105" t="s">
        <v>214</v>
      </c>
      <c r="D48">
        <v>15</v>
      </c>
      <c r="E48">
        <v>13014</v>
      </c>
      <c r="F48">
        <v>8</v>
      </c>
      <c r="G48">
        <v>6940.8</v>
      </c>
      <c r="H48">
        <v>14</v>
      </c>
      <c r="I48">
        <v>12146.4</v>
      </c>
      <c r="J48">
        <v>15</v>
      </c>
      <c r="K48">
        <v>13014</v>
      </c>
      <c r="L48">
        <v>3.5673769808722131</v>
      </c>
      <c r="M48">
        <v>3095.0562686047324</v>
      </c>
      <c r="N48">
        <v>6.1359814692309937</v>
      </c>
      <c r="O48">
        <v>5323.5775227048107</v>
      </c>
      <c r="P48">
        <v>0</v>
      </c>
      <c r="Q48">
        <v>0</v>
      </c>
      <c r="R48">
        <v>4.7225143093545681</v>
      </c>
      <c r="S48">
        <v>4097.2534147960232</v>
      </c>
      <c r="T48">
        <v>0</v>
      </c>
      <c r="U48">
        <v>0</v>
      </c>
      <c r="V48">
        <v>4.6996265178714287</v>
      </c>
      <c r="W48">
        <v>4077.3959669052515</v>
      </c>
      <c r="X48">
        <v>0</v>
      </c>
      <c r="Y48">
        <v>0</v>
      </c>
      <c r="Z48">
        <v>4.5052947414626203</v>
      </c>
      <c r="AA48">
        <v>3908.7937176929695</v>
      </c>
      <c r="AB48">
        <v>0</v>
      </c>
      <c r="AC48">
        <v>0</v>
      </c>
      <c r="AD48">
        <v>3.4123974364368497</v>
      </c>
      <c r="AE48">
        <v>2960.5960158526109</v>
      </c>
      <c r="AF48">
        <v>2.0864757500895923</v>
      </c>
      <c r="AG48">
        <v>1810.2263607777304</v>
      </c>
      <c r="AH48">
        <v>2.7289576121598631</v>
      </c>
      <c r="AI48">
        <v>2367.6436243098974</v>
      </c>
      <c r="AJ48">
        <v>0</v>
      </c>
      <c r="AK48">
        <v>0</v>
      </c>
      <c r="AL48">
        <v>7.6655304731552416</v>
      </c>
      <c r="AM48">
        <v>6650.6142385094881</v>
      </c>
      <c r="AN48">
        <v>2.8974788989665483</v>
      </c>
      <c r="AO48">
        <v>2513.8526927433772</v>
      </c>
      <c r="AP48">
        <v>6.2057588758305524</v>
      </c>
      <c r="AQ48">
        <v>5384.1164006705876</v>
      </c>
      <c r="AR48">
        <v>0</v>
      </c>
      <c r="AS48">
        <v>0</v>
      </c>
      <c r="AT48">
        <v>5.9368751317600283</v>
      </c>
      <c r="AU48">
        <v>5150.8328643150007</v>
      </c>
      <c r="AV48">
        <v>0</v>
      </c>
      <c r="AW48">
        <v>0</v>
      </c>
      <c r="AX48">
        <v>6.8349710083700312</v>
      </c>
      <c r="AY48">
        <v>5930.0208468618393</v>
      </c>
      <c r="AZ48">
        <v>0</v>
      </c>
      <c r="BA48">
        <v>0</v>
      </c>
      <c r="BB48">
        <v>4.3265570768728976</v>
      </c>
      <c r="BC48">
        <v>3753.7209198949258</v>
      </c>
      <c r="BD48">
        <v>0</v>
      </c>
      <c r="BE48">
        <v>0</v>
      </c>
      <c r="BF48">
        <v>5.9097385770694046</v>
      </c>
      <c r="BG48">
        <v>5127.2891894654158</v>
      </c>
      <c r="BH48">
        <v>0</v>
      </c>
      <c r="BI48">
        <v>0</v>
      </c>
      <c r="BJ48">
        <v>2.7996664635261608</v>
      </c>
      <c r="BK48">
        <v>2428.9906237552973</v>
      </c>
      <c r="BL48">
        <v>2.5978467713541828</v>
      </c>
      <c r="BM48">
        <v>2253.8918588268889</v>
      </c>
      <c r="BN48">
        <v>2.720790137076706</v>
      </c>
      <c r="BO48">
        <v>2360.5575229277501</v>
      </c>
      <c r="BP48">
        <v>2.3347261754112476</v>
      </c>
      <c r="BQ48">
        <v>2025.6084297867985</v>
      </c>
      <c r="BR48">
        <v>5.7719619336555832</v>
      </c>
      <c r="BS48">
        <v>5007.7541736395842</v>
      </c>
      <c r="BT48">
        <v>0</v>
      </c>
      <c r="BU48">
        <v>0</v>
      </c>
      <c r="BV48">
        <v>7.3325545653564461</v>
      </c>
      <c r="BW48">
        <v>6361.7243409032526</v>
      </c>
      <c r="BX48">
        <v>0</v>
      </c>
      <c r="BY48">
        <v>0</v>
      </c>
      <c r="BZ48">
        <v>1.9967677952304552</v>
      </c>
      <c r="CA48">
        <v>1732.3957391419431</v>
      </c>
      <c r="CB48">
        <v>2.0298526417401215</v>
      </c>
      <c r="CC48">
        <v>1761.1001519737295</v>
      </c>
      <c r="CD48">
        <v>4.8524917674101991</v>
      </c>
      <c r="CE48">
        <v>4210.0218574050887</v>
      </c>
      <c r="CF48">
        <v>0</v>
      </c>
      <c r="CG48">
        <v>0</v>
      </c>
      <c r="CH48">
        <v>2.1138074706169649</v>
      </c>
      <c r="CI48">
        <v>1833.9393615072788</v>
      </c>
      <c r="CJ48">
        <v>2.9032622899824494</v>
      </c>
      <c r="CK48">
        <v>2518.870362788773</v>
      </c>
      <c r="CL48">
        <v>3.1541196488166294</v>
      </c>
      <c r="CM48">
        <v>2736.5142073133079</v>
      </c>
      <c r="CN48">
        <v>2.1026035440942601</v>
      </c>
      <c r="CO48">
        <v>1824.2188348561801</v>
      </c>
      <c r="CP48">
        <v>5.7760549431107364</v>
      </c>
      <c r="CQ48">
        <v>5011.3052686428755</v>
      </c>
      <c r="CR48">
        <v>0</v>
      </c>
      <c r="CS48">
        <v>0</v>
      </c>
      <c r="CT48">
        <v>4.3672425906691794</v>
      </c>
      <c r="CU48">
        <v>3789.0196716645801</v>
      </c>
    </row>
    <row r="49" spans="2:99" x14ac:dyDescent="0.2">
      <c r="B49" s="105" t="s">
        <v>129</v>
      </c>
      <c r="C49" s="105" t="s">
        <v>215</v>
      </c>
      <c r="D49">
        <v>0</v>
      </c>
      <c r="E49">
        <v>0</v>
      </c>
      <c r="F49">
        <v>7</v>
      </c>
      <c r="G49">
        <v>6896.4</v>
      </c>
      <c r="H49">
        <v>6</v>
      </c>
      <c r="I49">
        <v>5911.2</v>
      </c>
      <c r="J49">
        <v>7</v>
      </c>
      <c r="K49">
        <v>6896.4</v>
      </c>
      <c r="L49">
        <v>9</v>
      </c>
      <c r="M49">
        <v>8866.7999999999993</v>
      </c>
      <c r="N49">
        <v>8</v>
      </c>
      <c r="O49">
        <v>7881.5999999999995</v>
      </c>
      <c r="P49">
        <v>6</v>
      </c>
      <c r="Q49">
        <v>5911.2</v>
      </c>
      <c r="R49">
        <v>10</v>
      </c>
      <c r="S49">
        <v>9852</v>
      </c>
      <c r="T49">
        <v>6</v>
      </c>
      <c r="U49">
        <v>5911.2</v>
      </c>
      <c r="V49">
        <v>10</v>
      </c>
      <c r="W49">
        <v>9852</v>
      </c>
      <c r="X49">
        <v>6</v>
      </c>
      <c r="Y49">
        <v>5911.2</v>
      </c>
      <c r="Z49">
        <v>10</v>
      </c>
      <c r="AA49">
        <v>9852</v>
      </c>
      <c r="AB49">
        <v>10</v>
      </c>
      <c r="AC49">
        <v>9852</v>
      </c>
      <c r="AD49">
        <v>7</v>
      </c>
      <c r="AE49">
        <v>6896.4</v>
      </c>
      <c r="AF49">
        <v>7</v>
      </c>
      <c r="AG49">
        <v>6896.4</v>
      </c>
      <c r="AH49">
        <v>7</v>
      </c>
      <c r="AI49">
        <v>6896.4</v>
      </c>
      <c r="AJ49">
        <v>10</v>
      </c>
      <c r="AK49">
        <v>9852</v>
      </c>
      <c r="AL49">
        <v>7</v>
      </c>
      <c r="AM49">
        <v>6896.4</v>
      </c>
      <c r="AN49">
        <v>7</v>
      </c>
      <c r="AO49">
        <v>6896.4</v>
      </c>
      <c r="AP49">
        <v>9</v>
      </c>
      <c r="AQ49">
        <v>8866.7999999999993</v>
      </c>
      <c r="AR49">
        <v>6</v>
      </c>
      <c r="AS49">
        <v>5911.2</v>
      </c>
      <c r="AT49">
        <v>9</v>
      </c>
      <c r="AU49">
        <v>8866.7999999999993</v>
      </c>
      <c r="AV49">
        <v>8</v>
      </c>
      <c r="AW49">
        <v>7881.5999999999995</v>
      </c>
      <c r="AX49">
        <v>7</v>
      </c>
      <c r="AY49">
        <v>6896.4</v>
      </c>
      <c r="AZ49">
        <v>10</v>
      </c>
      <c r="BA49">
        <v>9852</v>
      </c>
      <c r="BB49">
        <v>9</v>
      </c>
      <c r="BC49">
        <v>8866.7999999999993</v>
      </c>
      <c r="BD49">
        <v>9</v>
      </c>
      <c r="BE49">
        <v>8866.7999999999993</v>
      </c>
      <c r="BF49">
        <v>6</v>
      </c>
      <c r="BG49">
        <v>5911.2</v>
      </c>
      <c r="BH49">
        <v>8</v>
      </c>
      <c r="BI49">
        <v>7881.5999999999995</v>
      </c>
      <c r="BJ49">
        <v>9</v>
      </c>
      <c r="BK49">
        <v>8866.7999999999993</v>
      </c>
      <c r="BL49">
        <v>7</v>
      </c>
      <c r="BM49">
        <v>6896.4</v>
      </c>
      <c r="BN49">
        <v>6</v>
      </c>
      <c r="BO49">
        <v>5911.2</v>
      </c>
      <c r="BP49">
        <v>9</v>
      </c>
      <c r="BQ49">
        <v>8866.7999999999993</v>
      </c>
      <c r="BR49">
        <v>9</v>
      </c>
      <c r="BS49">
        <v>8866.7999999999993</v>
      </c>
      <c r="BT49">
        <v>9</v>
      </c>
      <c r="BU49">
        <v>8866.7999999999993</v>
      </c>
      <c r="BV49">
        <v>5</v>
      </c>
      <c r="BW49">
        <v>4926</v>
      </c>
      <c r="BX49">
        <v>9</v>
      </c>
      <c r="BY49">
        <v>8866.7999999999993</v>
      </c>
      <c r="BZ49">
        <v>10</v>
      </c>
      <c r="CA49">
        <v>9852</v>
      </c>
      <c r="CB49">
        <v>6</v>
      </c>
      <c r="CC49">
        <v>5911.2</v>
      </c>
      <c r="CD49">
        <v>6</v>
      </c>
      <c r="CE49">
        <v>5911.2</v>
      </c>
      <c r="CF49">
        <v>8</v>
      </c>
      <c r="CG49">
        <v>7881.5999999999995</v>
      </c>
      <c r="CH49">
        <v>7</v>
      </c>
      <c r="CI49">
        <v>6896.4</v>
      </c>
      <c r="CJ49">
        <v>6</v>
      </c>
      <c r="CK49">
        <v>5911.2</v>
      </c>
      <c r="CL49">
        <v>6</v>
      </c>
      <c r="CM49">
        <v>5911.2</v>
      </c>
      <c r="CN49">
        <v>7</v>
      </c>
      <c r="CO49">
        <v>6896.4</v>
      </c>
      <c r="CP49">
        <v>8</v>
      </c>
      <c r="CQ49">
        <v>7881.5999999999995</v>
      </c>
      <c r="CR49">
        <v>8</v>
      </c>
      <c r="CS49">
        <v>7881.5999999999995</v>
      </c>
      <c r="CT49">
        <v>8</v>
      </c>
      <c r="CU49">
        <v>7881.5999999999995</v>
      </c>
    </row>
    <row r="50" spans="2:99" x14ac:dyDescent="0.2">
      <c r="C50" s="105" t="s">
        <v>216</v>
      </c>
      <c r="D50">
        <v>7</v>
      </c>
      <c r="E50">
        <v>1974</v>
      </c>
      <c r="F50">
        <v>6</v>
      </c>
      <c r="G50">
        <v>1692</v>
      </c>
      <c r="H50">
        <v>6</v>
      </c>
      <c r="I50">
        <v>1692</v>
      </c>
      <c r="J50">
        <v>8</v>
      </c>
      <c r="K50">
        <v>2256</v>
      </c>
      <c r="L50">
        <v>2.8539015846977707</v>
      </c>
      <c r="M50">
        <v>804.80024688477135</v>
      </c>
      <c r="N50">
        <v>4.2951870284616955</v>
      </c>
      <c r="O50">
        <v>1211.2427420261981</v>
      </c>
      <c r="P50">
        <v>0</v>
      </c>
      <c r="Q50">
        <v>0</v>
      </c>
      <c r="R50">
        <v>5.9031428866932103</v>
      </c>
      <c r="S50">
        <v>1664.6862940474853</v>
      </c>
      <c r="T50">
        <v>0</v>
      </c>
      <c r="U50">
        <v>0</v>
      </c>
      <c r="V50">
        <v>3.8451489691675325</v>
      </c>
      <c r="W50">
        <v>1084.3320093052441</v>
      </c>
      <c r="X50">
        <v>0</v>
      </c>
      <c r="Y50">
        <v>0</v>
      </c>
      <c r="Z50">
        <v>4.5052947414626203</v>
      </c>
      <c r="AA50">
        <v>1270.493117092459</v>
      </c>
      <c r="AB50">
        <v>0</v>
      </c>
      <c r="AC50">
        <v>0</v>
      </c>
      <c r="AD50">
        <v>2.274931624291233</v>
      </c>
      <c r="AE50">
        <v>641.53071805012769</v>
      </c>
      <c r="AF50">
        <v>2.0864757500895923</v>
      </c>
      <c r="AG50">
        <v>588.38616152526504</v>
      </c>
      <c r="AH50">
        <v>1.9846964452071731</v>
      </c>
      <c r="AI50">
        <v>559.68439754842279</v>
      </c>
      <c r="AJ50">
        <v>0</v>
      </c>
      <c r="AK50">
        <v>0</v>
      </c>
      <c r="AL50">
        <v>3.8327652365776208</v>
      </c>
      <c r="AM50">
        <v>1080.839796714889</v>
      </c>
      <c r="AN50">
        <v>1.8438502084332578</v>
      </c>
      <c r="AO50">
        <v>519.96575877817872</v>
      </c>
      <c r="AP50">
        <v>4.2962946063442278</v>
      </c>
      <c r="AQ50">
        <v>1211.5550789890722</v>
      </c>
      <c r="AR50">
        <v>0</v>
      </c>
      <c r="AS50">
        <v>0</v>
      </c>
      <c r="AT50">
        <v>4.3177273685527489</v>
      </c>
      <c r="AU50">
        <v>1217.5991179318751</v>
      </c>
      <c r="AV50">
        <v>0</v>
      </c>
      <c r="AW50">
        <v>0</v>
      </c>
      <c r="AX50">
        <v>3.1546020038630913</v>
      </c>
      <c r="AY50">
        <v>889.59776508939171</v>
      </c>
      <c r="AZ50">
        <v>0</v>
      </c>
      <c r="BA50">
        <v>0</v>
      </c>
      <c r="BB50">
        <v>5.9490159807002341</v>
      </c>
      <c r="BC50">
        <v>1677.6225065574661</v>
      </c>
      <c r="BD50">
        <v>0</v>
      </c>
      <c r="BE50">
        <v>0</v>
      </c>
      <c r="BF50">
        <v>2.9548692885347023</v>
      </c>
      <c r="BG50">
        <v>833.27313936678604</v>
      </c>
      <c r="BH50">
        <v>0</v>
      </c>
      <c r="BI50">
        <v>0</v>
      </c>
      <c r="BJ50">
        <v>1.9382306285950346</v>
      </c>
      <c r="BK50">
        <v>546.58103726379977</v>
      </c>
      <c r="BL50">
        <v>2.3380620942187647</v>
      </c>
      <c r="BM50">
        <v>659.33351056969161</v>
      </c>
      <c r="BN50">
        <v>1.6324740822460235</v>
      </c>
      <c r="BO50">
        <v>460.35769119337863</v>
      </c>
      <c r="BP50">
        <v>2.1224783412829518</v>
      </c>
      <c r="BQ50">
        <v>598.53889224179238</v>
      </c>
      <c r="BR50">
        <v>4.7225143093545681</v>
      </c>
      <c r="BS50">
        <v>1331.7490352379882</v>
      </c>
      <c r="BT50">
        <v>0</v>
      </c>
      <c r="BU50">
        <v>0</v>
      </c>
      <c r="BV50">
        <v>2.9330218261425784</v>
      </c>
      <c r="BW50">
        <v>827.11215497220712</v>
      </c>
      <c r="BX50">
        <v>0</v>
      </c>
      <c r="BY50">
        <v>0</v>
      </c>
      <c r="BZ50">
        <v>1.9967677952304552</v>
      </c>
      <c r="CA50">
        <v>563.08851825498834</v>
      </c>
      <c r="CB50">
        <v>1.739873692920104</v>
      </c>
      <c r="CC50">
        <v>490.64438140346931</v>
      </c>
      <c r="CD50">
        <v>3.8819934139281593</v>
      </c>
      <c r="CE50">
        <v>1094.7221427277409</v>
      </c>
      <c r="CF50">
        <v>0</v>
      </c>
      <c r="CG50">
        <v>0</v>
      </c>
      <c r="CH50">
        <v>1.8789399738817467</v>
      </c>
      <c r="CI50">
        <v>529.8610726346526</v>
      </c>
      <c r="CJ50">
        <v>1.5835976127176996</v>
      </c>
      <c r="CK50">
        <v>446.57452678639129</v>
      </c>
      <c r="CL50">
        <v>1.4557475302230598</v>
      </c>
      <c r="CM50">
        <v>410.52080352290284</v>
      </c>
      <c r="CN50">
        <v>1.6353583120733133</v>
      </c>
      <c r="CO50">
        <v>461.17104400467434</v>
      </c>
      <c r="CP50">
        <v>3.3006028246347063</v>
      </c>
      <c r="CQ50">
        <v>930.76999654698716</v>
      </c>
      <c r="CR50">
        <v>0</v>
      </c>
      <c r="CS50">
        <v>0</v>
      </c>
      <c r="CT50">
        <v>4.3672425906691794</v>
      </c>
      <c r="CU50">
        <v>1231.5624105687086</v>
      </c>
    </row>
    <row r="51" spans="2:99" x14ac:dyDescent="0.2">
      <c r="C51" s="105" t="s">
        <v>217</v>
      </c>
      <c r="D51">
        <v>6</v>
      </c>
      <c r="E51">
        <v>5126.3999999999996</v>
      </c>
      <c r="F51">
        <v>7</v>
      </c>
      <c r="G51">
        <v>5980.8</v>
      </c>
      <c r="H51">
        <v>7</v>
      </c>
      <c r="I51">
        <v>5980.8</v>
      </c>
      <c r="J51">
        <v>7</v>
      </c>
      <c r="K51">
        <v>5980.8</v>
      </c>
      <c r="L51">
        <v>3.2106392827849923</v>
      </c>
      <c r="M51">
        <v>2743.1702032114972</v>
      </c>
      <c r="N51">
        <v>4.2951870284616955</v>
      </c>
      <c r="O51">
        <v>3669.8077971176726</v>
      </c>
      <c r="P51">
        <v>0</v>
      </c>
      <c r="Q51">
        <v>0</v>
      </c>
      <c r="R51">
        <v>5.9031428866932103</v>
      </c>
      <c r="S51">
        <v>5043.6452823906784</v>
      </c>
      <c r="T51">
        <v>0</v>
      </c>
      <c r="U51">
        <v>0</v>
      </c>
      <c r="V51">
        <v>3.8451489691675325</v>
      </c>
      <c r="W51">
        <v>3285.2952792567398</v>
      </c>
      <c r="X51">
        <v>0</v>
      </c>
      <c r="Y51">
        <v>0</v>
      </c>
      <c r="Z51">
        <v>4.5052947414626203</v>
      </c>
      <c r="AA51">
        <v>3849.3238271056625</v>
      </c>
      <c r="AB51">
        <v>0</v>
      </c>
      <c r="AC51">
        <v>0</v>
      </c>
      <c r="AD51">
        <v>1.9905651712548289</v>
      </c>
      <c r="AE51">
        <v>1700.7388823201259</v>
      </c>
      <c r="AF51">
        <v>1.8256662813283933</v>
      </c>
      <c r="AG51">
        <v>1559.8492707669791</v>
      </c>
      <c r="AH51">
        <v>1.9846964452071731</v>
      </c>
      <c r="AI51">
        <v>1695.7246427850087</v>
      </c>
      <c r="AJ51">
        <v>0</v>
      </c>
      <c r="AK51">
        <v>0</v>
      </c>
      <c r="AL51">
        <v>3.8327652365776208</v>
      </c>
      <c r="AM51">
        <v>3274.714618131919</v>
      </c>
      <c r="AN51">
        <v>1.8438502084332578</v>
      </c>
      <c r="AO51">
        <v>1575.3856180853754</v>
      </c>
      <c r="AP51">
        <v>4.2962946063442278</v>
      </c>
      <c r="AQ51">
        <v>3670.754111660508</v>
      </c>
      <c r="AR51">
        <v>0</v>
      </c>
      <c r="AS51">
        <v>0</v>
      </c>
      <c r="AT51">
        <v>4.857443289621842</v>
      </c>
      <c r="AU51">
        <v>4150.1995466529015</v>
      </c>
      <c r="AV51">
        <v>0</v>
      </c>
      <c r="AW51">
        <v>0</v>
      </c>
      <c r="AX51">
        <v>4.2061360051507881</v>
      </c>
      <c r="AY51">
        <v>3593.7226028008331</v>
      </c>
      <c r="AZ51">
        <v>0</v>
      </c>
      <c r="BA51">
        <v>0</v>
      </c>
      <c r="BB51">
        <v>4.8673767114820095</v>
      </c>
      <c r="BC51">
        <v>4158.6866622902289</v>
      </c>
      <c r="BD51">
        <v>0</v>
      </c>
      <c r="BE51">
        <v>0</v>
      </c>
      <c r="BF51">
        <v>2.9548692885347023</v>
      </c>
      <c r="BG51">
        <v>2524.6403201240496</v>
      </c>
      <c r="BH51">
        <v>0</v>
      </c>
      <c r="BI51">
        <v>0</v>
      </c>
      <c r="BJ51">
        <v>1.722871669862253</v>
      </c>
      <c r="BK51">
        <v>1472.0215547303089</v>
      </c>
      <c r="BL51">
        <v>2.0782774170833465</v>
      </c>
      <c r="BM51">
        <v>1775.6802251560111</v>
      </c>
      <c r="BN51">
        <v>1.6324740822460235</v>
      </c>
      <c r="BO51">
        <v>1394.7858558710025</v>
      </c>
      <c r="BP51">
        <v>1.9102305071546568</v>
      </c>
      <c r="BQ51">
        <v>1632.1009453129388</v>
      </c>
      <c r="BR51">
        <v>4.1977904972040605</v>
      </c>
      <c r="BS51">
        <v>3586.5922008111493</v>
      </c>
      <c r="BT51">
        <v>0</v>
      </c>
      <c r="BU51">
        <v>0</v>
      </c>
      <c r="BV51">
        <v>2.9330218261425784</v>
      </c>
      <c r="BW51">
        <v>2505.9738482562188</v>
      </c>
      <c r="BX51">
        <v>0</v>
      </c>
      <c r="BY51">
        <v>0</v>
      </c>
      <c r="BZ51">
        <v>2.2186308835893946</v>
      </c>
      <c r="CA51">
        <v>1895.5982269387787</v>
      </c>
      <c r="CB51">
        <v>1.739873692920104</v>
      </c>
      <c r="CC51">
        <v>1486.5480832309368</v>
      </c>
      <c r="CD51">
        <v>2.9114950604461196</v>
      </c>
      <c r="CE51">
        <v>2487.5813796451644</v>
      </c>
      <c r="CF51">
        <v>0</v>
      </c>
      <c r="CG51">
        <v>0</v>
      </c>
      <c r="CH51">
        <v>1.8789399738817467</v>
      </c>
      <c r="CI51">
        <v>1605.3663136845644</v>
      </c>
      <c r="CJ51">
        <v>1.8475305481706494</v>
      </c>
      <c r="CK51">
        <v>1578.5301003570028</v>
      </c>
      <c r="CL51">
        <v>1.4557475302230598</v>
      </c>
      <c r="CM51">
        <v>1243.7906898225822</v>
      </c>
      <c r="CN51">
        <v>1.6353583120733133</v>
      </c>
      <c r="CO51">
        <v>1397.2501418354389</v>
      </c>
      <c r="CP51">
        <v>3.3006028246347063</v>
      </c>
      <c r="CQ51">
        <v>2820.0350533678929</v>
      </c>
      <c r="CR51">
        <v>0</v>
      </c>
      <c r="CS51">
        <v>0</v>
      </c>
      <c r="CT51">
        <v>4.8524917674101991</v>
      </c>
      <c r="CU51">
        <v>4145.9689660752738</v>
      </c>
    </row>
    <row r="52" spans="2:99" x14ac:dyDescent="0.2">
      <c r="C52" s="105" t="s">
        <v>218</v>
      </c>
      <c r="D52">
        <v>6</v>
      </c>
      <c r="E52">
        <v>3240</v>
      </c>
      <c r="F52">
        <v>6</v>
      </c>
      <c r="G52">
        <v>3240</v>
      </c>
      <c r="H52">
        <v>7</v>
      </c>
      <c r="I52">
        <v>3780</v>
      </c>
      <c r="J52">
        <v>7</v>
      </c>
      <c r="K52">
        <v>3780</v>
      </c>
      <c r="L52">
        <v>3.2106392827849923</v>
      </c>
      <c r="M52">
        <v>1733.745212703896</v>
      </c>
      <c r="N52">
        <v>4.9087851753847946</v>
      </c>
      <c r="O52">
        <v>2650.7439947077892</v>
      </c>
      <c r="P52">
        <v>0</v>
      </c>
      <c r="Q52">
        <v>0</v>
      </c>
      <c r="R52">
        <v>5.9031428866932103</v>
      </c>
      <c r="S52">
        <v>3187.6971588143338</v>
      </c>
      <c r="T52">
        <v>0</v>
      </c>
      <c r="U52">
        <v>0</v>
      </c>
      <c r="V52">
        <v>4.2723877435194808</v>
      </c>
      <c r="W52">
        <v>2307.0893815005197</v>
      </c>
      <c r="X52">
        <v>0</v>
      </c>
      <c r="Y52">
        <v>0</v>
      </c>
      <c r="Z52">
        <v>4.5052947414626203</v>
      </c>
      <c r="AA52">
        <v>2432.8591603898149</v>
      </c>
      <c r="AB52">
        <v>0</v>
      </c>
      <c r="AC52">
        <v>0</v>
      </c>
      <c r="AD52">
        <v>1.9905651712548289</v>
      </c>
      <c r="AE52">
        <v>1074.9051924776077</v>
      </c>
      <c r="AF52">
        <v>2.0864757500895923</v>
      </c>
      <c r="AG52">
        <v>1126.6969050483799</v>
      </c>
      <c r="AH52">
        <v>1.7366093895562766</v>
      </c>
      <c r="AI52">
        <v>937.76907036038938</v>
      </c>
      <c r="AJ52">
        <v>0</v>
      </c>
      <c r="AK52">
        <v>0</v>
      </c>
      <c r="AL52">
        <v>3.8327652365776208</v>
      </c>
      <c r="AM52">
        <v>2069.6932277519154</v>
      </c>
      <c r="AN52">
        <v>1.8438502084332578</v>
      </c>
      <c r="AO52">
        <v>995.67911255395916</v>
      </c>
      <c r="AP52">
        <v>3.8189285389726475</v>
      </c>
      <c r="AQ52">
        <v>2062.2214110452296</v>
      </c>
      <c r="AR52">
        <v>0</v>
      </c>
      <c r="AS52">
        <v>0</v>
      </c>
      <c r="AT52">
        <v>5.3971592106909352</v>
      </c>
      <c r="AU52">
        <v>2914.4659737731049</v>
      </c>
      <c r="AV52">
        <v>0</v>
      </c>
      <c r="AW52">
        <v>0</v>
      </c>
      <c r="AX52">
        <v>3.6803690045069404</v>
      </c>
      <c r="AY52">
        <v>1987.3992624337477</v>
      </c>
      <c r="AZ52">
        <v>0</v>
      </c>
      <c r="BA52">
        <v>0</v>
      </c>
      <c r="BB52">
        <v>5.9490159807002341</v>
      </c>
      <c r="BC52">
        <v>3212.4686295781262</v>
      </c>
      <c r="BD52">
        <v>0</v>
      </c>
      <c r="BE52">
        <v>0</v>
      </c>
      <c r="BF52">
        <v>2.9548692885347023</v>
      </c>
      <c r="BG52">
        <v>1595.6294158087392</v>
      </c>
      <c r="BH52">
        <v>0</v>
      </c>
      <c r="BI52">
        <v>0</v>
      </c>
      <c r="BJ52">
        <v>1.9382306285950346</v>
      </c>
      <c r="BK52">
        <v>1046.6445394413188</v>
      </c>
      <c r="BL52">
        <v>2.3380620942187647</v>
      </c>
      <c r="BM52">
        <v>1262.553530878133</v>
      </c>
      <c r="BN52">
        <v>1.6324740822460235</v>
      </c>
      <c r="BO52">
        <v>881.53600441285266</v>
      </c>
      <c r="BP52">
        <v>2.3347261754112476</v>
      </c>
      <c r="BQ52">
        <v>1260.7521347220736</v>
      </c>
      <c r="BR52">
        <v>4.7225143093545681</v>
      </c>
      <c r="BS52">
        <v>2550.1577270514667</v>
      </c>
      <c r="BT52">
        <v>0</v>
      </c>
      <c r="BU52">
        <v>0</v>
      </c>
      <c r="BV52">
        <v>2.9330218261425784</v>
      </c>
      <c r="BW52">
        <v>1583.8317861169924</v>
      </c>
      <c r="BX52">
        <v>0</v>
      </c>
      <c r="BY52">
        <v>0</v>
      </c>
      <c r="BZ52">
        <v>2.2186308835893946</v>
      </c>
      <c r="CA52">
        <v>1198.0606771382731</v>
      </c>
      <c r="CB52">
        <v>1.739873692920104</v>
      </c>
      <c r="CC52">
        <v>939.53179417685612</v>
      </c>
      <c r="CD52">
        <v>3.3967442371871392</v>
      </c>
      <c r="CE52">
        <v>1834.2418880810551</v>
      </c>
      <c r="CF52">
        <v>0</v>
      </c>
      <c r="CG52">
        <v>0</v>
      </c>
      <c r="CH52">
        <v>1.6440724771465283</v>
      </c>
      <c r="CI52">
        <v>887.79913765912522</v>
      </c>
      <c r="CJ52">
        <v>1.5835976127176996</v>
      </c>
      <c r="CK52">
        <v>855.14271086755775</v>
      </c>
      <c r="CL52">
        <v>1.4557475302230598</v>
      </c>
      <c r="CM52">
        <v>786.10366632045225</v>
      </c>
      <c r="CN52">
        <v>1.4017356960628402</v>
      </c>
      <c r="CO52">
        <v>756.93727587393369</v>
      </c>
      <c r="CP52">
        <v>2.8880274715553682</v>
      </c>
      <c r="CQ52">
        <v>1559.5348346398989</v>
      </c>
      <c r="CR52">
        <v>0</v>
      </c>
      <c r="CS52">
        <v>0</v>
      </c>
      <c r="CT52">
        <v>4.3672425906691794</v>
      </c>
      <c r="CU52">
        <v>2358.3109989613567</v>
      </c>
    </row>
    <row r="53" spans="2:99" x14ac:dyDescent="0.2">
      <c r="C53" s="105" t="s">
        <v>219</v>
      </c>
      <c r="D53">
        <v>6</v>
      </c>
      <c r="E53">
        <v>2440.8000000000002</v>
      </c>
      <c r="F53">
        <v>7</v>
      </c>
      <c r="G53">
        <v>2847.6</v>
      </c>
      <c r="H53">
        <v>7</v>
      </c>
      <c r="I53">
        <v>2847.6</v>
      </c>
      <c r="J53">
        <v>7</v>
      </c>
      <c r="K53">
        <v>2847.6</v>
      </c>
      <c r="L53">
        <v>2.8539015846977707</v>
      </c>
      <c r="M53">
        <v>1160.9671646550532</v>
      </c>
      <c r="N53">
        <v>4.9087851753847946</v>
      </c>
      <c r="O53">
        <v>1996.8938093465345</v>
      </c>
      <c r="P53">
        <v>0</v>
      </c>
      <c r="Q53">
        <v>0</v>
      </c>
      <c r="R53">
        <v>5.3128285980238896</v>
      </c>
      <c r="S53">
        <v>2161.2586736761182</v>
      </c>
      <c r="T53">
        <v>0</v>
      </c>
      <c r="U53">
        <v>0</v>
      </c>
      <c r="V53">
        <v>3.8451489691675325</v>
      </c>
      <c r="W53">
        <v>1564.2066006573523</v>
      </c>
      <c r="X53">
        <v>0</v>
      </c>
      <c r="Y53">
        <v>0</v>
      </c>
      <c r="Z53">
        <v>4.5052947414626203</v>
      </c>
      <c r="AA53">
        <v>1832.7539008269939</v>
      </c>
      <c r="AB53">
        <v>0</v>
      </c>
      <c r="AC53">
        <v>0</v>
      </c>
      <c r="AD53">
        <v>1.9905651712548289</v>
      </c>
      <c r="AE53">
        <v>809.76191166646447</v>
      </c>
      <c r="AF53">
        <v>2.0864757500895923</v>
      </c>
      <c r="AG53">
        <v>848.77833513644612</v>
      </c>
      <c r="AH53">
        <v>1.9846964452071731</v>
      </c>
      <c r="AI53">
        <v>807.3745139102781</v>
      </c>
      <c r="AJ53">
        <v>0</v>
      </c>
      <c r="AK53">
        <v>0</v>
      </c>
      <c r="AL53">
        <v>4.3803031275172808</v>
      </c>
      <c r="AM53">
        <v>1781.9073122740299</v>
      </c>
      <c r="AN53">
        <v>2.1072573810665802</v>
      </c>
      <c r="AO53">
        <v>857.2323026178849</v>
      </c>
      <c r="AP53">
        <v>4.2962946063442278</v>
      </c>
      <c r="AQ53">
        <v>1747.732645860832</v>
      </c>
      <c r="AR53">
        <v>0</v>
      </c>
      <c r="AS53">
        <v>0</v>
      </c>
      <c r="AT53">
        <v>4.3177273685527489</v>
      </c>
      <c r="AU53">
        <v>1756.4514935272582</v>
      </c>
      <c r="AV53">
        <v>0</v>
      </c>
      <c r="AW53">
        <v>0</v>
      </c>
      <c r="AX53">
        <v>3.6803690045069404</v>
      </c>
      <c r="AY53">
        <v>1497.1741110334233</v>
      </c>
      <c r="AZ53">
        <v>0</v>
      </c>
      <c r="BA53">
        <v>0</v>
      </c>
      <c r="BB53">
        <v>5.9490159807002341</v>
      </c>
      <c r="BC53">
        <v>2420.0597009488552</v>
      </c>
      <c r="BD53">
        <v>0</v>
      </c>
      <c r="BE53">
        <v>0</v>
      </c>
      <c r="BF53">
        <v>2.9548692885347023</v>
      </c>
      <c r="BG53">
        <v>1202.040826575917</v>
      </c>
      <c r="BH53">
        <v>0</v>
      </c>
      <c r="BI53">
        <v>0</v>
      </c>
      <c r="BJ53">
        <v>1.9382306285950346</v>
      </c>
      <c r="BK53">
        <v>788.47221971246006</v>
      </c>
      <c r="BL53">
        <v>2.0782774170833465</v>
      </c>
      <c r="BM53">
        <v>845.44325326950536</v>
      </c>
      <c r="BN53">
        <v>1.6324740822460235</v>
      </c>
      <c r="BO53">
        <v>664.09045665768235</v>
      </c>
      <c r="BP53">
        <v>2.3347261754112476</v>
      </c>
      <c r="BQ53">
        <v>949.76660815729554</v>
      </c>
      <c r="BR53">
        <v>5.2472381215050756</v>
      </c>
      <c r="BS53">
        <v>2134.5764678282649</v>
      </c>
      <c r="BT53">
        <v>0</v>
      </c>
      <c r="BU53">
        <v>0</v>
      </c>
      <c r="BV53">
        <v>2.9330218261425784</v>
      </c>
      <c r="BW53">
        <v>1193.1532788748009</v>
      </c>
      <c r="BX53">
        <v>0</v>
      </c>
      <c r="BY53">
        <v>0</v>
      </c>
      <c r="BZ53">
        <v>2.2186308835893946</v>
      </c>
      <c r="CA53">
        <v>902.53904344416571</v>
      </c>
      <c r="CB53">
        <v>2.0298526417401215</v>
      </c>
      <c r="CC53">
        <v>825.74405465988139</v>
      </c>
      <c r="CD53">
        <v>3.8819934139281593</v>
      </c>
      <c r="CE53">
        <v>1579.1949207859752</v>
      </c>
      <c r="CF53">
        <v>0</v>
      </c>
      <c r="CG53">
        <v>0</v>
      </c>
      <c r="CH53">
        <v>1.8789399738817467</v>
      </c>
      <c r="CI53">
        <v>764.35278137509454</v>
      </c>
      <c r="CJ53">
        <v>1.5835976127176996</v>
      </c>
      <c r="CK53">
        <v>644.20750885356017</v>
      </c>
      <c r="CL53">
        <v>1.4557475302230598</v>
      </c>
      <c r="CM53">
        <v>592.19809529474071</v>
      </c>
      <c r="CN53">
        <v>1.4017356960628402</v>
      </c>
      <c r="CO53">
        <v>570.2260811583634</v>
      </c>
      <c r="CP53">
        <v>3.7131781777140445</v>
      </c>
      <c r="CQ53">
        <v>1510.5208826940734</v>
      </c>
      <c r="CR53">
        <v>0</v>
      </c>
      <c r="CS53">
        <v>0</v>
      </c>
      <c r="CT53">
        <v>4.3672425906691794</v>
      </c>
      <c r="CU53">
        <v>1776.5942858842222</v>
      </c>
    </row>
    <row r="54" spans="2:99" x14ac:dyDescent="0.2">
      <c r="C54" s="105" t="s">
        <v>220</v>
      </c>
      <c r="D54">
        <v>6</v>
      </c>
      <c r="E54">
        <v>2008.8000000000002</v>
      </c>
      <c r="F54">
        <v>6</v>
      </c>
      <c r="G54">
        <v>2008.8000000000002</v>
      </c>
      <c r="H54">
        <v>7</v>
      </c>
      <c r="I54">
        <v>2343.6</v>
      </c>
      <c r="J54">
        <v>7</v>
      </c>
      <c r="K54">
        <v>2343.6</v>
      </c>
      <c r="L54">
        <v>3.2106392827849923</v>
      </c>
      <c r="M54">
        <v>1074.9220318764155</v>
      </c>
      <c r="N54">
        <v>4.2951870284616955</v>
      </c>
      <c r="O54">
        <v>1438.0286171289756</v>
      </c>
      <c r="P54">
        <v>0</v>
      </c>
      <c r="Q54">
        <v>0</v>
      </c>
      <c r="R54">
        <v>5.3128285980238896</v>
      </c>
      <c r="S54">
        <v>1778.7350146183983</v>
      </c>
      <c r="T54">
        <v>0</v>
      </c>
      <c r="U54">
        <v>0</v>
      </c>
      <c r="V54">
        <v>4.6996265178714287</v>
      </c>
      <c r="W54">
        <v>1573.4349581833544</v>
      </c>
      <c r="X54">
        <v>0</v>
      </c>
      <c r="Y54">
        <v>0</v>
      </c>
      <c r="Z54">
        <v>4.9558242156088825</v>
      </c>
      <c r="AA54">
        <v>1659.2099473858539</v>
      </c>
      <c r="AB54">
        <v>0</v>
      </c>
      <c r="AC54">
        <v>0</v>
      </c>
      <c r="AD54">
        <v>1.7061987182184248</v>
      </c>
      <c r="AE54">
        <v>571.23533085952863</v>
      </c>
      <c r="AF54">
        <v>1.8256662813283933</v>
      </c>
      <c r="AG54">
        <v>611.23307098874614</v>
      </c>
      <c r="AH54">
        <v>1.9846964452071731</v>
      </c>
      <c r="AI54">
        <v>664.47636985536155</v>
      </c>
      <c r="AJ54">
        <v>0</v>
      </c>
      <c r="AK54">
        <v>0</v>
      </c>
      <c r="AL54">
        <v>3.8327652365776208</v>
      </c>
      <c r="AM54">
        <v>1283.2098012061874</v>
      </c>
      <c r="AN54">
        <v>2.1072573810665802</v>
      </c>
      <c r="AO54">
        <v>705.50977118109108</v>
      </c>
      <c r="AP54">
        <v>4.2962946063442278</v>
      </c>
      <c r="AQ54">
        <v>1438.3994342040476</v>
      </c>
      <c r="AR54">
        <v>0</v>
      </c>
      <c r="AS54">
        <v>0</v>
      </c>
      <c r="AT54">
        <v>4.3177273685527489</v>
      </c>
      <c r="AU54">
        <v>1445.5751229914604</v>
      </c>
      <c r="AV54">
        <v>0</v>
      </c>
      <c r="AW54">
        <v>0</v>
      </c>
      <c r="AX54">
        <v>3.6803690045069404</v>
      </c>
      <c r="AY54">
        <v>1232.1875427089237</v>
      </c>
      <c r="AZ54">
        <v>0</v>
      </c>
      <c r="BA54">
        <v>0</v>
      </c>
      <c r="BB54">
        <v>5.9490159807002341</v>
      </c>
      <c r="BC54">
        <v>1991.7305503384384</v>
      </c>
      <c r="BD54">
        <v>0</v>
      </c>
      <c r="BE54">
        <v>0</v>
      </c>
      <c r="BF54">
        <v>3.4473475032904859</v>
      </c>
      <c r="BG54">
        <v>1154.1719441016546</v>
      </c>
      <c r="BH54">
        <v>0</v>
      </c>
      <c r="BI54">
        <v>0</v>
      </c>
      <c r="BJ54">
        <v>1.722871669862253</v>
      </c>
      <c r="BK54">
        <v>576.81743506988232</v>
      </c>
      <c r="BL54">
        <v>2.0782774170833465</v>
      </c>
      <c r="BM54">
        <v>695.8072792395044</v>
      </c>
      <c r="BN54">
        <v>1.6324740822460235</v>
      </c>
      <c r="BO54">
        <v>546.55232273596869</v>
      </c>
      <c r="BP54">
        <v>2.3347261754112476</v>
      </c>
      <c r="BQ54">
        <v>781.66632352768568</v>
      </c>
      <c r="BR54">
        <v>5.2472381215050756</v>
      </c>
      <c r="BS54">
        <v>1756.7753230798994</v>
      </c>
      <c r="BT54">
        <v>0</v>
      </c>
      <c r="BU54">
        <v>0</v>
      </c>
      <c r="BV54">
        <v>2.9330218261425784</v>
      </c>
      <c r="BW54">
        <v>981.97570739253524</v>
      </c>
      <c r="BX54">
        <v>0</v>
      </c>
      <c r="BY54">
        <v>0</v>
      </c>
      <c r="BZ54">
        <v>1.9967677952304552</v>
      </c>
      <c r="CA54">
        <v>668.51785784315643</v>
      </c>
      <c r="CB54">
        <v>1.739873692920104</v>
      </c>
      <c r="CC54">
        <v>582.50971238965087</v>
      </c>
      <c r="CD54">
        <v>3.3967442371871392</v>
      </c>
      <c r="CE54">
        <v>1137.2299706102542</v>
      </c>
      <c r="CF54">
        <v>0</v>
      </c>
      <c r="CG54">
        <v>0</v>
      </c>
      <c r="CH54">
        <v>1.8789399738817467</v>
      </c>
      <c r="CI54">
        <v>629.06910325560887</v>
      </c>
      <c r="CJ54">
        <v>1.5835976127176996</v>
      </c>
      <c r="CK54">
        <v>530.18848073788581</v>
      </c>
      <c r="CL54">
        <v>1.4557475302230598</v>
      </c>
      <c r="CM54">
        <v>487.38427311868043</v>
      </c>
      <c r="CN54">
        <v>1.6353583120733133</v>
      </c>
      <c r="CO54">
        <v>547.5179628821453</v>
      </c>
      <c r="CP54">
        <v>2.8880274715553682</v>
      </c>
      <c r="CQ54">
        <v>966.91159747673726</v>
      </c>
      <c r="CR54">
        <v>0</v>
      </c>
      <c r="CS54">
        <v>0</v>
      </c>
      <c r="CT54">
        <v>4.3672425906691794</v>
      </c>
      <c r="CU54">
        <v>1462.1528193560414</v>
      </c>
    </row>
    <row r="55" spans="2:99" x14ac:dyDescent="0.2">
      <c r="C55" s="105" t="s">
        <v>221</v>
      </c>
      <c r="D55">
        <v>6</v>
      </c>
      <c r="E55">
        <v>3981.6000000000004</v>
      </c>
      <c r="F55">
        <v>6</v>
      </c>
      <c r="G55">
        <v>3981.6000000000004</v>
      </c>
      <c r="H55">
        <v>7</v>
      </c>
      <c r="I55">
        <v>4645.2</v>
      </c>
      <c r="J55">
        <v>8</v>
      </c>
      <c r="K55">
        <v>5308.8</v>
      </c>
      <c r="L55">
        <v>3.2106392827849923</v>
      </c>
      <c r="M55">
        <v>2130.5802280561211</v>
      </c>
      <c r="N55">
        <v>4.2951870284616955</v>
      </c>
      <c r="O55">
        <v>2850.2861120871812</v>
      </c>
      <c r="P55">
        <v>0</v>
      </c>
      <c r="Q55">
        <v>0</v>
      </c>
      <c r="R55">
        <v>5.9031428866932103</v>
      </c>
      <c r="S55">
        <v>3917.3256196096145</v>
      </c>
      <c r="T55">
        <v>0</v>
      </c>
      <c r="U55">
        <v>0</v>
      </c>
      <c r="V55">
        <v>4.2723877435194808</v>
      </c>
      <c r="W55">
        <v>2835.1565065995273</v>
      </c>
      <c r="X55">
        <v>0</v>
      </c>
      <c r="Y55">
        <v>0</v>
      </c>
      <c r="Z55">
        <v>4.5052947414626203</v>
      </c>
      <c r="AA55">
        <v>2989.7135904345951</v>
      </c>
      <c r="AB55">
        <v>0</v>
      </c>
      <c r="AC55">
        <v>0</v>
      </c>
      <c r="AD55">
        <v>1.9905651712548289</v>
      </c>
      <c r="AE55">
        <v>1320.9390476447045</v>
      </c>
      <c r="AF55">
        <v>1.8256662813283933</v>
      </c>
      <c r="AG55">
        <v>1211.5121442895218</v>
      </c>
      <c r="AH55">
        <v>1.9846964452071731</v>
      </c>
      <c r="AI55">
        <v>1317.0445610394802</v>
      </c>
      <c r="AJ55">
        <v>0</v>
      </c>
      <c r="AK55">
        <v>0</v>
      </c>
      <c r="AL55">
        <v>3.8327652365776208</v>
      </c>
      <c r="AM55">
        <v>2543.4230109929094</v>
      </c>
      <c r="AN55">
        <v>2.1072573810665802</v>
      </c>
      <c r="AO55">
        <v>1398.3759980757827</v>
      </c>
      <c r="AP55">
        <v>3.8189285389726475</v>
      </c>
      <c r="AQ55">
        <v>2534.2409784622491</v>
      </c>
      <c r="AR55">
        <v>0</v>
      </c>
      <c r="AS55">
        <v>0</v>
      </c>
      <c r="AT55">
        <v>4.3177273685527489</v>
      </c>
      <c r="AU55">
        <v>2865.2438817716043</v>
      </c>
      <c r="AV55">
        <v>0</v>
      </c>
      <c r="AW55">
        <v>0</v>
      </c>
      <c r="AX55">
        <v>3.6803690045069404</v>
      </c>
      <c r="AY55">
        <v>2442.2928713908059</v>
      </c>
      <c r="AZ55">
        <v>0</v>
      </c>
      <c r="BA55">
        <v>0</v>
      </c>
      <c r="BB55">
        <v>5.4081963460911213</v>
      </c>
      <c r="BC55">
        <v>3588.8790952660684</v>
      </c>
      <c r="BD55">
        <v>0</v>
      </c>
      <c r="BE55">
        <v>0</v>
      </c>
      <c r="BF55">
        <v>2.9548692885347023</v>
      </c>
      <c r="BG55">
        <v>1960.8512598716286</v>
      </c>
      <c r="BH55">
        <v>0</v>
      </c>
      <c r="BI55">
        <v>0</v>
      </c>
      <c r="BJ55">
        <v>1.9382306285950346</v>
      </c>
      <c r="BK55">
        <v>1286.2098451356651</v>
      </c>
      <c r="BL55">
        <v>2.0782774170833465</v>
      </c>
      <c r="BM55">
        <v>1379.1448939765087</v>
      </c>
      <c r="BN55">
        <v>1.6324740822460235</v>
      </c>
      <c r="BO55">
        <v>1083.3098009784612</v>
      </c>
      <c r="BP55">
        <v>2.1224783412829518</v>
      </c>
      <c r="BQ55">
        <v>1408.4766272753668</v>
      </c>
      <c r="BR55">
        <v>4.1977904972040605</v>
      </c>
      <c r="BS55">
        <v>2785.6537739446148</v>
      </c>
      <c r="BT55">
        <v>0</v>
      </c>
      <c r="BU55">
        <v>0</v>
      </c>
      <c r="BV55">
        <v>2.9330218261425784</v>
      </c>
      <c r="BW55">
        <v>1946.3532838282151</v>
      </c>
      <c r="BX55">
        <v>0</v>
      </c>
      <c r="BY55">
        <v>0</v>
      </c>
      <c r="BZ55">
        <v>2.2186308835893946</v>
      </c>
      <c r="CA55">
        <v>1472.2834543499223</v>
      </c>
      <c r="CB55">
        <v>1.739873692920104</v>
      </c>
      <c r="CC55">
        <v>1154.580182621781</v>
      </c>
      <c r="CD55">
        <v>2.9114950604461196</v>
      </c>
      <c r="CE55">
        <v>1932.0681221120451</v>
      </c>
      <c r="CF55">
        <v>0</v>
      </c>
      <c r="CG55">
        <v>0</v>
      </c>
      <c r="CH55">
        <v>1.8789399738817467</v>
      </c>
      <c r="CI55">
        <v>1246.8645666679272</v>
      </c>
      <c r="CJ55">
        <v>1.8475305481706494</v>
      </c>
      <c r="CK55">
        <v>1226.0212717660429</v>
      </c>
      <c r="CL55">
        <v>1.4557475302230598</v>
      </c>
      <c r="CM55">
        <v>966.03406105602255</v>
      </c>
      <c r="CN55">
        <v>1.6353583120733133</v>
      </c>
      <c r="CO55">
        <v>1085.2237758918507</v>
      </c>
      <c r="CP55">
        <v>2.8880274715553682</v>
      </c>
      <c r="CQ55">
        <v>1916.4950301241424</v>
      </c>
      <c r="CR55">
        <v>0</v>
      </c>
      <c r="CS55">
        <v>0</v>
      </c>
      <c r="CT55">
        <v>3.8819934139281593</v>
      </c>
      <c r="CU55">
        <v>2576.0908294827268</v>
      </c>
    </row>
    <row r="56" spans="2:99" x14ac:dyDescent="0.2">
      <c r="C56" s="105" t="s">
        <v>222</v>
      </c>
      <c r="D56">
        <v>0</v>
      </c>
      <c r="E56">
        <v>0</v>
      </c>
      <c r="F56">
        <v>7</v>
      </c>
      <c r="G56">
        <v>8055.5999999999995</v>
      </c>
      <c r="H56">
        <v>7</v>
      </c>
      <c r="I56">
        <v>8055.5999999999995</v>
      </c>
      <c r="J56">
        <v>7</v>
      </c>
      <c r="K56">
        <v>8055.5999999999995</v>
      </c>
      <c r="L56">
        <v>9</v>
      </c>
      <c r="M56">
        <v>10357.199999999999</v>
      </c>
      <c r="N56">
        <v>7</v>
      </c>
      <c r="O56">
        <v>8055.5999999999995</v>
      </c>
      <c r="P56">
        <v>6</v>
      </c>
      <c r="Q56">
        <v>6904.7999999999993</v>
      </c>
      <c r="R56">
        <v>10</v>
      </c>
      <c r="S56">
        <v>11508</v>
      </c>
      <c r="T56">
        <v>5</v>
      </c>
      <c r="U56">
        <v>5754</v>
      </c>
      <c r="V56">
        <v>10</v>
      </c>
      <c r="W56">
        <v>11508</v>
      </c>
      <c r="X56">
        <v>6</v>
      </c>
      <c r="Y56">
        <v>6904.7999999999993</v>
      </c>
      <c r="Z56">
        <v>10</v>
      </c>
      <c r="AA56">
        <v>11508</v>
      </c>
      <c r="AB56">
        <v>9</v>
      </c>
      <c r="AC56">
        <v>10357.199999999999</v>
      </c>
      <c r="AD56">
        <v>6</v>
      </c>
      <c r="AE56">
        <v>6904.7999999999993</v>
      </c>
      <c r="AF56">
        <v>8</v>
      </c>
      <c r="AG56">
        <v>9206.4</v>
      </c>
      <c r="AH56">
        <v>7</v>
      </c>
      <c r="AI56">
        <v>8055.5999999999995</v>
      </c>
      <c r="AJ56">
        <v>8</v>
      </c>
      <c r="AK56">
        <v>9206.4</v>
      </c>
      <c r="AL56">
        <v>7</v>
      </c>
      <c r="AM56">
        <v>8055.5999999999995</v>
      </c>
      <c r="AN56">
        <v>6</v>
      </c>
      <c r="AO56">
        <v>6904.7999999999993</v>
      </c>
      <c r="AP56">
        <v>9</v>
      </c>
      <c r="AQ56">
        <v>10357.199999999999</v>
      </c>
      <c r="AR56">
        <v>5</v>
      </c>
      <c r="AS56">
        <v>5754</v>
      </c>
      <c r="AT56">
        <v>8</v>
      </c>
      <c r="AU56">
        <v>9206.4</v>
      </c>
      <c r="AV56">
        <v>9</v>
      </c>
      <c r="AW56">
        <v>10357.199999999999</v>
      </c>
      <c r="AX56">
        <v>7</v>
      </c>
      <c r="AY56">
        <v>8055.5999999999995</v>
      </c>
      <c r="AZ56">
        <v>9</v>
      </c>
      <c r="BA56">
        <v>10357.199999999999</v>
      </c>
      <c r="BB56">
        <v>11</v>
      </c>
      <c r="BC56">
        <v>12658.8</v>
      </c>
      <c r="BD56">
        <v>9</v>
      </c>
      <c r="BE56">
        <v>10357.199999999999</v>
      </c>
      <c r="BF56">
        <v>6</v>
      </c>
      <c r="BG56">
        <v>6904.7999999999993</v>
      </c>
      <c r="BH56">
        <v>9</v>
      </c>
      <c r="BI56">
        <v>10357.199999999999</v>
      </c>
      <c r="BJ56">
        <v>8</v>
      </c>
      <c r="BK56">
        <v>9206.4</v>
      </c>
      <c r="BL56">
        <v>8</v>
      </c>
      <c r="BM56">
        <v>9206.4</v>
      </c>
      <c r="BN56">
        <v>6</v>
      </c>
      <c r="BO56">
        <v>6904.7999999999993</v>
      </c>
      <c r="BP56">
        <v>10</v>
      </c>
      <c r="BQ56">
        <v>11508</v>
      </c>
      <c r="BR56">
        <v>9</v>
      </c>
      <c r="BS56">
        <v>10357.199999999999</v>
      </c>
      <c r="BT56">
        <v>9</v>
      </c>
      <c r="BU56">
        <v>10357.199999999999</v>
      </c>
      <c r="BV56">
        <v>6</v>
      </c>
      <c r="BW56">
        <v>6904.7999999999993</v>
      </c>
      <c r="BX56">
        <v>10</v>
      </c>
      <c r="BY56">
        <v>11508</v>
      </c>
      <c r="BZ56">
        <v>9</v>
      </c>
      <c r="CA56">
        <v>10357.199999999999</v>
      </c>
      <c r="CB56">
        <v>7</v>
      </c>
      <c r="CC56">
        <v>8055.5999999999995</v>
      </c>
      <c r="CD56">
        <v>7</v>
      </c>
      <c r="CE56">
        <v>8055.5999999999995</v>
      </c>
      <c r="CF56">
        <v>8</v>
      </c>
      <c r="CG56">
        <v>9206.4</v>
      </c>
      <c r="CH56">
        <v>7</v>
      </c>
      <c r="CI56">
        <v>8055.5999999999995</v>
      </c>
      <c r="CJ56">
        <v>6</v>
      </c>
      <c r="CK56">
        <v>6904.7999999999993</v>
      </c>
      <c r="CL56">
        <v>5</v>
      </c>
      <c r="CM56">
        <v>5754</v>
      </c>
      <c r="CN56">
        <v>7</v>
      </c>
      <c r="CO56">
        <v>8055.5999999999995</v>
      </c>
      <c r="CP56">
        <v>7</v>
      </c>
      <c r="CQ56">
        <v>8055.5999999999995</v>
      </c>
      <c r="CR56">
        <v>8</v>
      </c>
      <c r="CS56">
        <v>9206.4</v>
      </c>
      <c r="CT56">
        <v>8</v>
      </c>
      <c r="CU56">
        <v>9206.4</v>
      </c>
    </row>
    <row r="57" spans="2:99" x14ac:dyDescent="0.2">
      <c r="C57" s="105" t="s">
        <v>223</v>
      </c>
      <c r="D57">
        <v>6</v>
      </c>
      <c r="E57">
        <v>8467.2000000000007</v>
      </c>
      <c r="F57">
        <v>6</v>
      </c>
      <c r="G57">
        <v>8467.2000000000007</v>
      </c>
      <c r="H57">
        <v>6</v>
      </c>
      <c r="I57">
        <v>8467.2000000000007</v>
      </c>
      <c r="J57">
        <v>7</v>
      </c>
      <c r="K57">
        <v>9878.4</v>
      </c>
      <c r="L57">
        <v>2.8539015846977707</v>
      </c>
      <c r="M57">
        <v>4027.4259163254942</v>
      </c>
      <c r="N57">
        <v>4.2951870284616955</v>
      </c>
      <c r="O57">
        <v>6061.3679345651453</v>
      </c>
      <c r="P57">
        <v>0</v>
      </c>
      <c r="Q57">
        <v>0</v>
      </c>
      <c r="R57">
        <v>4.7225143093545681</v>
      </c>
      <c r="S57">
        <v>6664.4121933611668</v>
      </c>
      <c r="T57">
        <v>0</v>
      </c>
      <c r="U57">
        <v>0</v>
      </c>
      <c r="V57">
        <v>4.2723877435194808</v>
      </c>
      <c r="W57">
        <v>6029.1935836546918</v>
      </c>
      <c r="X57">
        <v>0</v>
      </c>
      <c r="Y57">
        <v>0</v>
      </c>
      <c r="Z57">
        <v>4.5052947414626203</v>
      </c>
      <c r="AA57">
        <v>6357.8719391520499</v>
      </c>
      <c r="AB57">
        <v>0</v>
      </c>
      <c r="AC57">
        <v>0</v>
      </c>
      <c r="AD57">
        <v>1.9905651712548289</v>
      </c>
      <c r="AE57">
        <v>2809.0855696748145</v>
      </c>
      <c r="AF57">
        <v>1.8256662813283933</v>
      </c>
      <c r="AG57">
        <v>2576.3802562106284</v>
      </c>
      <c r="AH57">
        <v>1.9846964452071731</v>
      </c>
      <c r="AI57">
        <v>2800.8036234763626</v>
      </c>
      <c r="AJ57">
        <v>0</v>
      </c>
      <c r="AK57">
        <v>0</v>
      </c>
      <c r="AL57">
        <v>3.8327652365776208</v>
      </c>
      <c r="AM57">
        <v>5408.7983018583391</v>
      </c>
      <c r="AN57">
        <v>1.8438502084332578</v>
      </c>
      <c r="AO57">
        <v>2602.0414141410133</v>
      </c>
      <c r="AP57">
        <v>3.8189285389726475</v>
      </c>
      <c r="AQ57">
        <v>5389.2719541982005</v>
      </c>
      <c r="AR57">
        <v>0</v>
      </c>
      <c r="AS57">
        <v>0</v>
      </c>
      <c r="AT57">
        <v>4.3177273685527489</v>
      </c>
      <c r="AU57">
        <v>6093.1768625016393</v>
      </c>
      <c r="AV57">
        <v>0</v>
      </c>
      <c r="AW57">
        <v>0</v>
      </c>
      <c r="AX57">
        <v>3.6803690045069404</v>
      </c>
      <c r="AY57">
        <v>5193.7367391601947</v>
      </c>
      <c r="AZ57">
        <v>0</v>
      </c>
      <c r="BA57">
        <v>0</v>
      </c>
      <c r="BB57">
        <v>4.8673767114820095</v>
      </c>
      <c r="BC57">
        <v>6868.8420152434119</v>
      </c>
      <c r="BD57">
        <v>0</v>
      </c>
      <c r="BE57">
        <v>0</v>
      </c>
      <c r="BF57">
        <v>2.9548692885347023</v>
      </c>
      <c r="BG57">
        <v>4169.9115399801722</v>
      </c>
      <c r="BH57">
        <v>0</v>
      </c>
      <c r="BI57">
        <v>0</v>
      </c>
      <c r="BJ57">
        <v>1.722871669862253</v>
      </c>
      <c r="BK57">
        <v>2431.3165005096116</v>
      </c>
      <c r="BL57">
        <v>1.8184927399479283</v>
      </c>
      <c r="BM57">
        <v>2566.2569546145164</v>
      </c>
      <c r="BN57">
        <v>1.360395068538353</v>
      </c>
      <c r="BO57">
        <v>1919.7895207213239</v>
      </c>
      <c r="BP57">
        <v>1.9102305071546568</v>
      </c>
      <c r="BQ57">
        <v>2695.717291696652</v>
      </c>
      <c r="BR57">
        <v>4.1977904972040605</v>
      </c>
      <c r="BS57">
        <v>5923.9219496543701</v>
      </c>
      <c r="BT57">
        <v>0</v>
      </c>
      <c r="BU57">
        <v>0</v>
      </c>
      <c r="BV57">
        <v>2.4441848551188157</v>
      </c>
      <c r="BW57">
        <v>3449.2336675436727</v>
      </c>
      <c r="BX57">
        <v>0</v>
      </c>
      <c r="BY57">
        <v>0</v>
      </c>
      <c r="BZ57">
        <v>1.9967677952304552</v>
      </c>
      <c r="CA57">
        <v>2817.8387126292187</v>
      </c>
      <c r="CB57">
        <v>1.739873692920104</v>
      </c>
      <c r="CC57">
        <v>2455.3097554488509</v>
      </c>
      <c r="CD57">
        <v>2.9114950604461196</v>
      </c>
      <c r="CE57">
        <v>4108.7018293015644</v>
      </c>
      <c r="CF57">
        <v>0</v>
      </c>
      <c r="CG57">
        <v>0</v>
      </c>
      <c r="CH57">
        <v>1.6440724771465283</v>
      </c>
      <c r="CI57">
        <v>2320.1150797491809</v>
      </c>
      <c r="CJ57">
        <v>1.3196646772647496</v>
      </c>
      <c r="CK57">
        <v>1862.3107925560146</v>
      </c>
      <c r="CL57">
        <v>1.2131229418525498</v>
      </c>
      <c r="CM57">
        <v>1711.9590955423182</v>
      </c>
      <c r="CN57">
        <v>1.6353583120733133</v>
      </c>
      <c r="CO57">
        <v>2307.8176499978599</v>
      </c>
      <c r="CP57">
        <v>3.3006028246347063</v>
      </c>
      <c r="CQ57">
        <v>4657.8107061244973</v>
      </c>
      <c r="CR57">
        <v>0</v>
      </c>
      <c r="CS57">
        <v>0</v>
      </c>
      <c r="CT57">
        <v>4.3672425906691794</v>
      </c>
      <c r="CU57">
        <v>6163.0527439523457</v>
      </c>
    </row>
    <row r="58" spans="2:99" x14ac:dyDescent="0.2">
      <c r="C58" s="105" t="s">
        <v>224</v>
      </c>
      <c r="D58">
        <v>0</v>
      </c>
      <c r="E58">
        <v>0</v>
      </c>
      <c r="F58">
        <v>6</v>
      </c>
      <c r="G58">
        <v>7063.2000000000007</v>
      </c>
      <c r="H58">
        <v>6</v>
      </c>
      <c r="I58">
        <v>7063.2000000000007</v>
      </c>
      <c r="J58">
        <v>7</v>
      </c>
      <c r="K58">
        <v>8240.4</v>
      </c>
      <c r="L58">
        <v>9</v>
      </c>
      <c r="M58">
        <v>10594.800000000001</v>
      </c>
      <c r="N58">
        <v>8</v>
      </c>
      <c r="O58">
        <v>9417.6</v>
      </c>
      <c r="P58">
        <v>6</v>
      </c>
      <c r="Q58">
        <v>7063.2000000000007</v>
      </c>
      <c r="R58">
        <v>8</v>
      </c>
      <c r="S58">
        <v>9417.6</v>
      </c>
      <c r="T58">
        <v>5</v>
      </c>
      <c r="U58">
        <v>5886</v>
      </c>
      <c r="V58">
        <v>9</v>
      </c>
      <c r="W58">
        <v>10594.800000000001</v>
      </c>
      <c r="X58">
        <v>6</v>
      </c>
      <c r="Y58">
        <v>7063.2000000000007</v>
      </c>
      <c r="Z58">
        <v>9</v>
      </c>
      <c r="AA58">
        <v>10594.800000000001</v>
      </c>
      <c r="AB58">
        <v>10</v>
      </c>
      <c r="AC58">
        <v>11772</v>
      </c>
      <c r="AD58">
        <v>7</v>
      </c>
      <c r="AE58">
        <v>8240.4</v>
      </c>
      <c r="AF58">
        <v>8</v>
      </c>
      <c r="AG58">
        <v>9417.6</v>
      </c>
      <c r="AH58">
        <v>7</v>
      </c>
      <c r="AI58">
        <v>8240.4</v>
      </c>
      <c r="AJ58">
        <v>9</v>
      </c>
      <c r="AK58">
        <v>10594.800000000001</v>
      </c>
      <c r="AL58">
        <v>8</v>
      </c>
      <c r="AM58">
        <v>9417.6</v>
      </c>
      <c r="AN58">
        <v>7</v>
      </c>
      <c r="AO58">
        <v>8240.4</v>
      </c>
      <c r="AP58">
        <v>9</v>
      </c>
      <c r="AQ58">
        <v>10594.800000000001</v>
      </c>
      <c r="AR58">
        <v>6</v>
      </c>
      <c r="AS58">
        <v>7063.2000000000007</v>
      </c>
      <c r="AT58">
        <v>9</v>
      </c>
      <c r="AU58">
        <v>10594.800000000001</v>
      </c>
      <c r="AV58">
        <v>9</v>
      </c>
      <c r="AW58">
        <v>10594.800000000001</v>
      </c>
      <c r="AX58">
        <v>7</v>
      </c>
      <c r="AY58">
        <v>8240.4</v>
      </c>
      <c r="AZ58">
        <v>10</v>
      </c>
      <c r="BA58">
        <v>11772</v>
      </c>
      <c r="BB58">
        <v>10</v>
      </c>
      <c r="BC58">
        <v>11772</v>
      </c>
      <c r="BD58">
        <v>8</v>
      </c>
      <c r="BE58">
        <v>9417.6</v>
      </c>
      <c r="BF58">
        <v>7</v>
      </c>
      <c r="BG58">
        <v>8240.4</v>
      </c>
      <c r="BH58">
        <v>9</v>
      </c>
      <c r="BI58">
        <v>10594.800000000001</v>
      </c>
      <c r="BJ58">
        <v>8</v>
      </c>
      <c r="BK58">
        <v>9417.6</v>
      </c>
      <c r="BL58">
        <v>7</v>
      </c>
      <c r="BM58">
        <v>8240.4</v>
      </c>
      <c r="BN58">
        <v>6</v>
      </c>
      <c r="BO58">
        <v>7063.2000000000007</v>
      </c>
      <c r="BP58">
        <v>9</v>
      </c>
      <c r="BQ58">
        <v>10594.800000000001</v>
      </c>
      <c r="BR58">
        <v>9</v>
      </c>
      <c r="BS58">
        <v>10594.800000000001</v>
      </c>
      <c r="BT58">
        <v>9</v>
      </c>
      <c r="BU58">
        <v>10594.800000000001</v>
      </c>
      <c r="BV58">
        <v>6</v>
      </c>
      <c r="BW58">
        <v>7063.2000000000007</v>
      </c>
      <c r="BX58">
        <v>11</v>
      </c>
      <c r="BY58">
        <v>12949.2</v>
      </c>
      <c r="BZ58">
        <v>9</v>
      </c>
      <c r="CA58">
        <v>10594.800000000001</v>
      </c>
      <c r="CB58">
        <v>6</v>
      </c>
      <c r="CC58">
        <v>7063.2000000000007</v>
      </c>
      <c r="CD58">
        <v>6</v>
      </c>
      <c r="CE58">
        <v>7063.2000000000007</v>
      </c>
      <c r="CF58">
        <v>8</v>
      </c>
      <c r="CG58">
        <v>9417.6</v>
      </c>
      <c r="CH58">
        <v>7</v>
      </c>
      <c r="CI58">
        <v>8240.4</v>
      </c>
      <c r="CJ58">
        <v>6</v>
      </c>
      <c r="CK58">
        <v>7063.2000000000007</v>
      </c>
      <c r="CL58">
        <v>5</v>
      </c>
      <c r="CM58">
        <v>5886</v>
      </c>
      <c r="CN58">
        <v>7</v>
      </c>
      <c r="CO58">
        <v>8240.4</v>
      </c>
      <c r="CP58">
        <v>8</v>
      </c>
      <c r="CQ58">
        <v>9417.6</v>
      </c>
      <c r="CR58">
        <v>7</v>
      </c>
      <c r="CS58">
        <v>8240.4</v>
      </c>
      <c r="CT58">
        <v>8</v>
      </c>
      <c r="CU58">
        <v>9417.6</v>
      </c>
    </row>
    <row r="59" spans="2:99" x14ac:dyDescent="0.2">
      <c r="C59" s="105" t="s">
        <v>225</v>
      </c>
      <c r="D59">
        <v>7</v>
      </c>
      <c r="E59">
        <v>2125.1999999999998</v>
      </c>
      <c r="F59">
        <v>7</v>
      </c>
      <c r="G59">
        <v>2125.1999999999998</v>
      </c>
      <c r="H59">
        <v>7</v>
      </c>
      <c r="I59">
        <v>2125.1999999999998</v>
      </c>
      <c r="J59">
        <v>7</v>
      </c>
      <c r="K59">
        <v>2125.1999999999998</v>
      </c>
      <c r="L59">
        <v>3.2106392827849923</v>
      </c>
      <c r="M59">
        <v>974.75008625352359</v>
      </c>
      <c r="N59">
        <v>4.2951870284616955</v>
      </c>
      <c r="O59">
        <v>1304.0187818409706</v>
      </c>
      <c r="P59">
        <v>0</v>
      </c>
      <c r="Q59">
        <v>0</v>
      </c>
      <c r="R59">
        <v>5.9031428866932103</v>
      </c>
      <c r="S59">
        <v>1792.1941804000585</v>
      </c>
      <c r="T59">
        <v>0</v>
      </c>
      <c r="U59">
        <v>0</v>
      </c>
      <c r="V59">
        <v>4.2723877435194808</v>
      </c>
      <c r="W59">
        <v>1297.0969189325142</v>
      </c>
      <c r="X59">
        <v>0</v>
      </c>
      <c r="Y59">
        <v>0</v>
      </c>
      <c r="Z59">
        <v>4.5052947414626203</v>
      </c>
      <c r="AA59">
        <v>1367.8074835080513</v>
      </c>
      <c r="AB59">
        <v>0</v>
      </c>
      <c r="AC59">
        <v>0</v>
      </c>
      <c r="AD59">
        <v>1.9905651712548289</v>
      </c>
      <c r="AE59">
        <v>604.335585992966</v>
      </c>
      <c r="AF59">
        <v>2.0864757500895923</v>
      </c>
      <c r="AG59">
        <v>633.4540377272001</v>
      </c>
      <c r="AH59">
        <v>1.9846964452071731</v>
      </c>
      <c r="AI59">
        <v>602.5538407648977</v>
      </c>
      <c r="AJ59">
        <v>0</v>
      </c>
      <c r="AK59">
        <v>0</v>
      </c>
      <c r="AL59">
        <v>4.3803031275172808</v>
      </c>
      <c r="AM59">
        <v>1329.8600295142462</v>
      </c>
      <c r="AN59">
        <v>2.1072573810665802</v>
      </c>
      <c r="AO59">
        <v>639.76334089181364</v>
      </c>
      <c r="AP59">
        <v>4.2962946063442278</v>
      </c>
      <c r="AQ59">
        <v>1304.3550424861073</v>
      </c>
      <c r="AR59">
        <v>0</v>
      </c>
      <c r="AS59">
        <v>0</v>
      </c>
      <c r="AT59">
        <v>5.3971592106909352</v>
      </c>
      <c r="AU59">
        <v>1638.5775363657676</v>
      </c>
      <c r="AV59">
        <v>0</v>
      </c>
      <c r="AW59">
        <v>0</v>
      </c>
      <c r="AX59">
        <v>3.6803690045069404</v>
      </c>
      <c r="AY59">
        <v>1117.360029768307</v>
      </c>
      <c r="AZ59">
        <v>0</v>
      </c>
      <c r="BA59">
        <v>0</v>
      </c>
      <c r="BB59">
        <v>5.4081963460911213</v>
      </c>
      <c r="BC59">
        <v>1641.9284106732644</v>
      </c>
      <c r="BD59">
        <v>0</v>
      </c>
      <c r="BE59">
        <v>0</v>
      </c>
      <c r="BF59">
        <v>2.9548692885347023</v>
      </c>
      <c r="BG59">
        <v>897.09831599913548</v>
      </c>
      <c r="BH59">
        <v>0</v>
      </c>
      <c r="BI59">
        <v>0</v>
      </c>
      <c r="BJ59">
        <v>1.9382306285950346</v>
      </c>
      <c r="BK59">
        <v>588.44681884145245</v>
      </c>
      <c r="BL59">
        <v>2.3380620942187647</v>
      </c>
      <c r="BM59">
        <v>709.83565180481685</v>
      </c>
      <c r="BN59">
        <v>1.6324740822460235</v>
      </c>
      <c r="BO59">
        <v>495.61913136989267</v>
      </c>
      <c r="BP59">
        <v>2.1224783412829518</v>
      </c>
      <c r="BQ59">
        <v>644.38442441350412</v>
      </c>
      <c r="BR59">
        <v>4.7225143093545681</v>
      </c>
      <c r="BS59">
        <v>1433.7553443200468</v>
      </c>
      <c r="BT59">
        <v>0</v>
      </c>
      <c r="BU59">
        <v>0</v>
      </c>
      <c r="BV59">
        <v>2.9330218261425784</v>
      </c>
      <c r="BW59">
        <v>890.46542641688677</v>
      </c>
      <c r="BX59">
        <v>0</v>
      </c>
      <c r="BY59">
        <v>0</v>
      </c>
      <c r="BZ59">
        <v>2.4404939719483343</v>
      </c>
      <c r="CA59">
        <v>740.93396988351424</v>
      </c>
      <c r="CB59">
        <v>2.0298526417401215</v>
      </c>
      <c r="CC59">
        <v>616.26326203230076</v>
      </c>
      <c r="CD59">
        <v>3.3967442371871392</v>
      </c>
      <c r="CE59">
        <v>1031.2515504100154</v>
      </c>
      <c r="CF59">
        <v>0</v>
      </c>
      <c r="CG59">
        <v>0</v>
      </c>
      <c r="CH59">
        <v>1.8789399738817467</v>
      </c>
      <c r="CI59">
        <v>570.44617607049827</v>
      </c>
      <c r="CJ59">
        <v>1.8475305481706494</v>
      </c>
      <c r="CK59">
        <v>560.91027442460916</v>
      </c>
      <c r="CL59">
        <v>1.4557475302230598</v>
      </c>
      <c r="CM59">
        <v>441.9649501757209</v>
      </c>
      <c r="CN59">
        <v>1.8689809280837868</v>
      </c>
      <c r="CO59">
        <v>567.42260976623766</v>
      </c>
      <c r="CP59">
        <v>3.3006028246347063</v>
      </c>
      <c r="CQ59">
        <v>1002.0630175590967</v>
      </c>
      <c r="CR59">
        <v>0</v>
      </c>
      <c r="CS59">
        <v>0</v>
      </c>
      <c r="CT59">
        <v>4.3672425906691794</v>
      </c>
      <c r="CU59">
        <v>1325.8948505271628</v>
      </c>
    </row>
    <row r="60" spans="2:99" x14ac:dyDescent="0.2">
      <c r="C60" s="105" t="s">
        <v>226</v>
      </c>
      <c r="D60">
        <v>7</v>
      </c>
      <c r="E60">
        <v>4561.2</v>
      </c>
      <c r="F60">
        <v>7</v>
      </c>
      <c r="G60">
        <v>4561.2</v>
      </c>
      <c r="H60">
        <v>6</v>
      </c>
      <c r="I60">
        <v>3909.6000000000004</v>
      </c>
      <c r="J60">
        <v>7</v>
      </c>
      <c r="K60">
        <v>4561.2</v>
      </c>
      <c r="L60">
        <v>2.8539015846977707</v>
      </c>
      <c r="M60">
        <v>1859.6022725890675</v>
      </c>
      <c r="N60">
        <v>4.9087851753847946</v>
      </c>
      <c r="O60">
        <v>3198.5644202807325</v>
      </c>
      <c r="P60">
        <v>0</v>
      </c>
      <c r="Q60">
        <v>0</v>
      </c>
      <c r="R60">
        <v>5.9031428866932103</v>
      </c>
      <c r="S60">
        <v>3846.4879049692959</v>
      </c>
      <c r="T60">
        <v>0</v>
      </c>
      <c r="U60">
        <v>0</v>
      </c>
      <c r="V60">
        <v>4.6996265178714287</v>
      </c>
      <c r="W60">
        <v>3062.2766390450229</v>
      </c>
      <c r="X60">
        <v>0</v>
      </c>
      <c r="Y60">
        <v>0</v>
      </c>
      <c r="Z60">
        <v>4.5052947414626203</v>
      </c>
      <c r="AA60">
        <v>2935.6500535370437</v>
      </c>
      <c r="AB60">
        <v>0</v>
      </c>
      <c r="AC60">
        <v>0</v>
      </c>
      <c r="AD60">
        <v>1.9905651712548289</v>
      </c>
      <c r="AE60">
        <v>1297.0522655896466</v>
      </c>
      <c r="AF60">
        <v>2.0864757500895923</v>
      </c>
      <c r="AG60">
        <v>1359.5475987583784</v>
      </c>
      <c r="AH60">
        <v>1.9846964452071731</v>
      </c>
      <c r="AI60">
        <v>1293.2282036969941</v>
      </c>
      <c r="AJ60">
        <v>0</v>
      </c>
      <c r="AK60">
        <v>0</v>
      </c>
      <c r="AL60">
        <v>4.3803031275172808</v>
      </c>
      <c r="AM60">
        <v>2854.2055178902601</v>
      </c>
      <c r="AN60">
        <v>2.1072573810665802</v>
      </c>
      <c r="AO60">
        <v>1373.0889095029838</v>
      </c>
      <c r="AP60">
        <v>3.8189285389726475</v>
      </c>
      <c r="AQ60">
        <v>2488.4138359945773</v>
      </c>
      <c r="AR60">
        <v>0</v>
      </c>
      <c r="AS60">
        <v>0</v>
      </c>
      <c r="AT60">
        <v>4.3177273685527489</v>
      </c>
      <c r="AU60">
        <v>2813.4311533489713</v>
      </c>
      <c r="AV60">
        <v>0</v>
      </c>
      <c r="AW60">
        <v>0</v>
      </c>
      <c r="AX60">
        <v>3.6803690045069404</v>
      </c>
      <c r="AY60">
        <v>2398.1284433367223</v>
      </c>
      <c r="AZ60">
        <v>0</v>
      </c>
      <c r="BA60">
        <v>0</v>
      </c>
      <c r="BB60">
        <v>5.9490159807002341</v>
      </c>
      <c r="BC60">
        <v>3876.3788130242729</v>
      </c>
      <c r="BD60">
        <v>0</v>
      </c>
      <c r="BE60">
        <v>0</v>
      </c>
      <c r="BF60">
        <v>2.9548692885347023</v>
      </c>
      <c r="BG60">
        <v>1925.3928284092121</v>
      </c>
      <c r="BH60">
        <v>0</v>
      </c>
      <c r="BI60">
        <v>0</v>
      </c>
      <c r="BJ60">
        <v>1.722871669862253</v>
      </c>
      <c r="BK60">
        <v>1122.6231800822441</v>
      </c>
      <c r="BL60">
        <v>2.0782774170833465</v>
      </c>
      <c r="BM60">
        <v>1354.2055649715087</v>
      </c>
      <c r="BN60">
        <v>1.360395068538353</v>
      </c>
      <c r="BO60">
        <v>886.43342665959085</v>
      </c>
      <c r="BP60">
        <v>1.9102305071546568</v>
      </c>
      <c r="BQ60">
        <v>1244.7061984619745</v>
      </c>
      <c r="BR60">
        <v>4.7225143093545681</v>
      </c>
      <c r="BS60">
        <v>3077.1903239754365</v>
      </c>
      <c r="BT60">
        <v>0</v>
      </c>
      <c r="BU60">
        <v>0</v>
      </c>
      <c r="BV60">
        <v>2.9330218261425784</v>
      </c>
      <c r="BW60">
        <v>1911.1570219145042</v>
      </c>
      <c r="BX60">
        <v>0</v>
      </c>
      <c r="BY60">
        <v>0</v>
      </c>
      <c r="BZ60">
        <v>1.9967677952304552</v>
      </c>
      <c r="CA60">
        <v>1301.0938953721648</v>
      </c>
      <c r="CB60">
        <v>1.739873692920104</v>
      </c>
      <c r="CC60">
        <v>1133.7016983067397</v>
      </c>
      <c r="CD60">
        <v>3.3967442371871392</v>
      </c>
      <c r="CE60">
        <v>2213.3185449511402</v>
      </c>
      <c r="CF60">
        <v>0</v>
      </c>
      <c r="CG60">
        <v>0</v>
      </c>
      <c r="CH60">
        <v>1.6440724771465283</v>
      </c>
      <c r="CI60">
        <v>1071.2776261086779</v>
      </c>
      <c r="CJ60">
        <v>1.5835976127176996</v>
      </c>
      <c r="CK60">
        <v>1031.8722044468532</v>
      </c>
      <c r="CL60">
        <v>1.2131229418525498</v>
      </c>
      <c r="CM60">
        <v>790.47090891112146</v>
      </c>
      <c r="CN60">
        <v>1.6353583120733133</v>
      </c>
      <c r="CO60">
        <v>1065.599476146971</v>
      </c>
      <c r="CP60">
        <v>3.3006028246347063</v>
      </c>
      <c r="CQ60">
        <v>2150.6728005319746</v>
      </c>
      <c r="CR60">
        <v>0</v>
      </c>
      <c r="CS60">
        <v>0</v>
      </c>
      <c r="CT60">
        <v>3.8819934139281593</v>
      </c>
      <c r="CU60">
        <v>2529.5069085155887</v>
      </c>
    </row>
    <row r="61" spans="2:99" x14ac:dyDescent="0.2">
      <c r="C61" s="105" t="s">
        <v>227</v>
      </c>
      <c r="D61">
        <v>6</v>
      </c>
      <c r="E61">
        <v>5709.5999999999995</v>
      </c>
      <c r="F61">
        <v>7</v>
      </c>
      <c r="G61">
        <v>6661.1999999999989</v>
      </c>
      <c r="H61">
        <v>6</v>
      </c>
      <c r="I61">
        <v>5709.5999999999995</v>
      </c>
      <c r="J61">
        <v>7</v>
      </c>
      <c r="K61">
        <v>6661.1999999999989</v>
      </c>
      <c r="L61">
        <v>3.2106392827849923</v>
      </c>
      <c r="M61">
        <v>3055.2443414981985</v>
      </c>
      <c r="N61">
        <v>4.9087851753847946</v>
      </c>
      <c r="O61">
        <v>4671.19997289617</v>
      </c>
      <c r="P61">
        <v>0</v>
      </c>
      <c r="Q61">
        <v>0</v>
      </c>
      <c r="R61">
        <v>5.3128285980238896</v>
      </c>
      <c r="S61">
        <v>5055.6876938795331</v>
      </c>
      <c r="T61">
        <v>0</v>
      </c>
      <c r="U61">
        <v>0</v>
      </c>
      <c r="V61">
        <v>4.2723877435194808</v>
      </c>
      <c r="W61">
        <v>4065.6041767331376</v>
      </c>
      <c r="X61">
        <v>0</v>
      </c>
      <c r="Y61">
        <v>0</v>
      </c>
      <c r="Z61">
        <v>4.0547652673163581</v>
      </c>
      <c r="AA61">
        <v>3858.514628378246</v>
      </c>
      <c r="AB61">
        <v>0</v>
      </c>
      <c r="AC61">
        <v>0</v>
      </c>
      <c r="AD61">
        <v>1.9905651712548289</v>
      </c>
      <c r="AE61">
        <v>1894.221816966095</v>
      </c>
      <c r="AF61">
        <v>1.8256662813283933</v>
      </c>
      <c r="AG61">
        <v>1737.3040333120989</v>
      </c>
      <c r="AH61">
        <v>1.7366093895562766</v>
      </c>
      <c r="AI61">
        <v>1652.5574951017527</v>
      </c>
      <c r="AJ61">
        <v>0</v>
      </c>
      <c r="AK61">
        <v>0</v>
      </c>
      <c r="AL61">
        <v>3.8327652365776208</v>
      </c>
      <c r="AM61">
        <v>3647.2593991272638</v>
      </c>
      <c r="AN61">
        <v>1.8438502084332578</v>
      </c>
      <c r="AO61">
        <v>1754.6078583450878</v>
      </c>
      <c r="AP61">
        <v>3.8189285389726475</v>
      </c>
      <c r="AQ61">
        <v>3634.092397686371</v>
      </c>
      <c r="AR61">
        <v>0</v>
      </c>
      <c r="AS61">
        <v>0</v>
      </c>
      <c r="AT61">
        <v>5.3971592106909352</v>
      </c>
      <c r="AU61">
        <v>5135.9367048934937</v>
      </c>
      <c r="AV61">
        <v>0</v>
      </c>
      <c r="AW61">
        <v>0</v>
      </c>
      <c r="AX61">
        <v>3.6803690045069404</v>
      </c>
      <c r="AY61">
        <v>3502.2391446888041</v>
      </c>
      <c r="AZ61">
        <v>0</v>
      </c>
      <c r="BA61">
        <v>0</v>
      </c>
      <c r="BB61">
        <v>5.9490159807002341</v>
      </c>
      <c r="BC61">
        <v>5661.0836072343418</v>
      </c>
      <c r="BD61">
        <v>0</v>
      </c>
      <c r="BE61">
        <v>0</v>
      </c>
      <c r="BF61">
        <v>3.4473475032904859</v>
      </c>
      <c r="BG61">
        <v>3280.4958841312259</v>
      </c>
      <c r="BH61">
        <v>0</v>
      </c>
      <c r="BI61">
        <v>0</v>
      </c>
      <c r="BJ61">
        <v>1.9382306285950346</v>
      </c>
      <c r="BK61">
        <v>1844.4202661710347</v>
      </c>
      <c r="BL61">
        <v>1.8184927399479283</v>
      </c>
      <c r="BM61">
        <v>1730.4776913344483</v>
      </c>
      <c r="BN61">
        <v>1.6324740822460235</v>
      </c>
      <c r="BO61">
        <v>1553.4623366653159</v>
      </c>
      <c r="BP61">
        <v>1.9102305071546568</v>
      </c>
      <c r="BQ61">
        <v>1817.7753506083714</v>
      </c>
      <c r="BR61">
        <v>4.7225143093545681</v>
      </c>
      <c r="BS61">
        <v>4493.9446167818069</v>
      </c>
      <c r="BT61">
        <v>0</v>
      </c>
      <c r="BU61">
        <v>0</v>
      </c>
      <c r="BV61">
        <v>2.4441848551188157</v>
      </c>
      <c r="BW61">
        <v>2325.8863081310647</v>
      </c>
      <c r="BX61">
        <v>0</v>
      </c>
      <c r="BY61">
        <v>0</v>
      </c>
      <c r="BZ61">
        <v>1.9967677952304552</v>
      </c>
      <c r="CA61">
        <v>1900.1242339413011</v>
      </c>
      <c r="CB61">
        <v>1.739873692920104</v>
      </c>
      <c r="CC61">
        <v>1655.6638061827707</v>
      </c>
      <c r="CD61">
        <v>3.3967442371871392</v>
      </c>
      <c r="CE61">
        <v>3232.3418161072814</v>
      </c>
      <c r="CF61">
        <v>0</v>
      </c>
      <c r="CG61">
        <v>0</v>
      </c>
      <c r="CH61">
        <v>1.8789399738817467</v>
      </c>
      <c r="CI61">
        <v>1787.9992791458701</v>
      </c>
      <c r="CJ61">
        <v>1.5835976127176996</v>
      </c>
      <c r="CK61">
        <v>1506.9514882621629</v>
      </c>
      <c r="CL61">
        <v>1.2131229418525498</v>
      </c>
      <c r="CM61">
        <v>1154.4077914668862</v>
      </c>
      <c r="CN61">
        <v>1.4017356960628402</v>
      </c>
      <c r="CO61">
        <v>1333.8916883733987</v>
      </c>
      <c r="CP61">
        <v>2.8880274715553682</v>
      </c>
      <c r="CQ61">
        <v>2748.2469419320882</v>
      </c>
      <c r="CR61">
        <v>0</v>
      </c>
      <c r="CS61">
        <v>0</v>
      </c>
      <c r="CT61">
        <v>4.3672425906691794</v>
      </c>
      <c r="CU61">
        <v>4155.8680492807907</v>
      </c>
    </row>
    <row r="62" spans="2:99" x14ac:dyDescent="0.2">
      <c r="C62" s="105" t="s">
        <v>228</v>
      </c>
      <c r="D62">
        <v>5</v>
      </c>
      <c r="E62">
        <v>8526</v>
      </c>
      <c r="F62">
        <v>6</v>
      </c>
      <c r="G62">
        <v>10231.200000000001</v>
      </c>
      <c r="H62">
        <v>6</v>
      </c>
      <c r="I62">
        <v>10231.200000000001</v>
      </c>
      <c r="J62">
        <v>7</v>
      </c>
      <c r="K62">
        <v>11936.4</v>
      </c>
      <c r="L62">
        <v>2.4971638866105494</v>
      </c>
      <c r="M62">
        <v>4258.1638594483093</v>
      </c>
      <c r="N62">
        <v>4.2951870284616955</v>
      </c>
      <c r="O62">
        <v>7324.1529209328837</v>
      </c>
      <c r="P62">
        <v>0</v>
      </c>
      <c r="Q62">
        <v>0</v>
      </c>
      <c r="R62">
        <v>5.9031428866932103</v>
      </c>
      <c r="S62">
        <v>10066.039250389262</v>
      </c>
      <c r="T62">
        <v>0</v>
      </c>
      <c r="U62">
        <v>0</v>
      </c>
      <c r="V62">
        <v>3.8451489691675325</v>
      </c>
      <c r="W62">
        <v>6556.7480222244767</v>
      </c>
      <c r="X62">
        <v>0</v>
      </c>
      <c r="Y62">
        <v>0</v>
      </c>
      <c r="Z62">
        <v>4.5052947414626203</v>
      </c>
      <c r="AA62">
        <v>7682.42859314206</v>
      </c>
      <c r="AB62">
        <v>0</v>
      </c>
      <c r="AC62">
        <v>0</v>
      </c>
      <c r="AD62">
        <v>1.9905651712548289</v>
      </c>
      <c r="AE62">
        <v>3394.3117300237345</v>
      </c>
      <c r="AF62">
        <v>2.0864757500895923</v>
      </c>
      <c r="AG62">
        <v>3557.8584490527728</v>
      </c>
      <c r="AH62">
        <v>1.7366093895562766</v>
      </c>
      <c r="AI62">
        <v>2961.2663310713629</v>
      </c>
      <c r="AJ62">
        <v>0</v>
      </c>
      <c r="AK62">
        <v>0</v>
      </c>
      <c r="AL62">
        <v>3.8327652365776208</v>
      </c>
      <c r="AM62">
        <v>6535.6312814121593</v>
      </c>
      <c r="AN62">
        <v>1.8438502084332578</v>
      </c>
      <c r="AO62">
        <v>3144.1333754203911</v>
      </c>
      <c r="AP62">
        <v>3.3415624716010663</v>
      </c>
      <c r="AQ62">
        <v>5698.0323265741381</v>
      </c>
      <c r="AR62">
        <v>0</v>
      </c>
      <c r="AS62">
        <v>0</v>
      </c>
      <c r="AT62">
        <v>4.3177273685527489</v>
      </c>
      <c r="AU62">
        <v>7362.5887088561476</v>
      </c>
      <c r="AV62">
        <v>0</v>
      </c>
      <c r="AW62">
        <v>0</v>
      </c>
      <c r="AX62">
        <v>3.6803690045069404</v>
      </c>
      <c r="AY62">
        <v>6275.765226485235</v>
      </c>
      <c r="AZ62">
        <v>0</v>
      </c>
      <c r="BA62">
        <v>0</v>
      </c>
      <c r="BB62">
        <v>5.4081963460911213</v>
      </c>
      <c r="BC62">
        <v>9222.05640935458</v>
      </c>
      <c r="BD62">
        <v>0</v>
      </c>
      <c r="BE62">
        <v>0</v>
      </c>
      <c r="BF62">
        <v>2.9548692885347023</v>
      </c>
      <c r="BG62">
        <v>5038.6431108093748</v>
      </c>
      <c r="BH62">
        <v>0</v>
      </c>
      <c r="BI62">
        <v>0</v>
      </c>
      <c r="BJ62">
        <v>1.5075127111294713</v>
      </c>
      <c r="BK62">
        <v>2570.6106750179747</v>
      </c>
      <c r="BL62">
        <v>2.0782774170833465</v>
      </c>
      <c r="BM62">
        <v>3543.8786516105224</v>
      </c>
      <c r="BN62">
        <v>1.360395068538353</v>
      </c>
      <c r="BO62">
        <v>2319.7456708715995</v>
      </c>
      <c r="BP62">
        <v>1.6979826730263616</v>
      </c>
      <c r="BQ62">
        <v>2895.4000540445518</v>
      </c>
      <c r="BR62">
        <v>4.1977904972040605</v>
      </c>
      <c r="BS62">
        <v>7158.0723558323643</v>
      </c>
      <c r="BT62">
        <v>0</v>
      </c>
      <c r="BU62">
        <v>0</v>
      </c>
      <c r="BV62">
        <v>2.4441848551188157</v>
      </c>
      <c r="BW62">
        <v>4167.8240149486046</v>
      </c>
      <c r="BX62">
        <v>0</v>
      </c>
      <c r="BY62">
        <v>0</v>
      </c>
      <c r="BZ62">
        <v>1.7749047068715156</v>
      </c>
      <c r="CA62">
        <v>3026.5675061573083</v>
      </c>
      <c r="CB62">
        <v>1.739873692920104</v>
      </c>
      <c r="CC62">
        <v>2966.8326211673611</v>
      </c>
      <c r="CD62">
        <v>3.3967442371871392</v>
      </c>
      <c r="CE62">
        <v>5792.1282732515101</v>
      </c>
      <c r="CF62">
        <v>0</v>
      </c>
      <c r="CG62">
        <v>0</v>
      </c>
      <c r="CH62">
        <v>1.6440724771465283</v>
      </c>
      <c r="CI62">
        <v>2803.4723880302599</v>
      </c>
      <c r="CJ62">
        <v>1.5835976127176996</v>
      </c>
      <c r="CK62">
        <v>2700.3506492062215</v>
      </c>
      <c r="CL62">
        <v>1.2131229418525498</v>
      </c>
      <c r="CM62">
        <v>2068.617240446968</v>
      </c>
      <c r="CN62">
        <v>1.4017356960628402</v>
      </c>
      <c r="CO62">
        <v>2390.239708926355</v>
      </c>
      <c r="CP62">
        <v>2.8880274715553682</v>
      </c>
      <c r="CQ62">
        <v>4924.6644444962139</v>
      </c>
      <c r="CR62">
        <v>0</v>
      </c>
      <c r="CS62">
        <v>0</v>
      </c>
      <c r="CT62">
        <v>4.3672425906691794</v>
      </c>
      <c r="CU62">
        <v>7447.0220656090851</v>
      </c>
    </row>
    <row r="63" spans="2:99" x14ac:dyDescent="0.2">
      <c r="C63" s="105" t="s">
        <v>229</v>
      </c>
      <c r="D63">
        <v>7</v>
      </c>
      <c r="E63">
        <v>5569.2</v>
      </c>
      <c r="F63">
        <v>6</v>
      </c>
      <c r="G63">
        <v>4773.6000000000004</v>
      </c>
      <c r="H63">
        <v>7</v>
      </c>
      <c r="I63">
        <v>5569.2</v>
      </c>
      <c r="J63">
        <v>7</v>
      </c>
      <c r="K63">
        <v>5569.2</v>
      </c>
      <c r="L63">
        <v>2.8539015846977707</v>
      </c>
      <c r="M63">
        <v>2270.5641007855465</v>
      </c>
      <c r="N63">
        <v>4.9087851753847946</v>
      </c>
      <c r="O63">
        <v>3905.4294855361427</v>
      </c>
      <c r="P63">
        <v>0</v>
      </c>
      <c r="Q63">
        <v>0</v>
      </c>
      <c r="R63">
        <v>5.3128285980238896</v>
      </c>
      <c r="S63">
        <v>4226.8864325878067</v>
      </c>
      <c r="T63">
        <v>0</v>
      </c>
      <c r="U63">
        <v>0</v>
      </c>
      <c r="V63">
        <v>3.8451489691675325</v>
      </c>
      <c r="W63">
        <v>3059.2005198696888</v>
      </c>
      <c r="X63">
        <v>0</v>
      </c>
      <c r="Y63">
        <v>0</v>
      </c>
      <c r="Z63">
        <v>4.0547652673163581</v>
      </c>
      <c r="AA63">
        <v>3225.9712466768947</v>
      </c>
      <c r="AB63">
        <v>0</v>
      </c>
      <c r="AC63">
        <v>0</v>
      </c>
      <c r="AD63">
        <v>1.9905651712548289</v>
      </c>
      <c r="AE63">
        <v>1583.693650250342</v>
      </c>
      <c r="AF63">
        <v>2.0864757500895923</v>
      </c>
      <c r="AG63">
        <v>1660.0001067712797</v>
      </c>
      <c r="AH63">
        <v>1.9846964452071731</v>
      </c>
      <c r="AI63">
        <v>1579.024491806827</v>
      </c>
      <c r="AJ63">
        <v>0</v>
      </c>
      <c r="AK63">
        <v>0</v>
      </c>
      <c r="AL63">
        <v>4.3803031275172808</v>
      </c>
      <c r="AM63">
        <v>3484.9691682527487</v>
      </c>
      <c r="AN63">
        <v>1.8438502084332578</v>
      </c>
      <c r="AO63">
        <v>1466.9672258295</v>
      </c>
      <c r="AP63">
        <v>4.2962946063442278</v>
      </c>
      <c r="AQ63">
        <v>3418.1319888074677</v>
      </c>
      <c r="AR63">
        <v>0</v>
      </c>
      <c r="AS63">
        <v>0</v>
      </c>
      <c r="AT63">
        <v>5.3971592106909352</v>
      </c>
      <c r="AU63">
        <v>4293.9798680257081</v>
      </c>
      <c r="AV63">
        <v>0</v>
      </c>
      <c r="AW63">
        <v>0</v>
      </c>
      <c r="AX63">
        <v>3.6803690045069404</v>
      </c>
      <c r="AY63">
        <v>2928.1015799857219</v>
      </c>
      <c r="AZ63">
        <v>0</v>
      </c>
      <c r="BA63">
        <v>0</v>
      </c>
      <c r="BB63">
        <v>5.9490159807002341</v>
      </c>
      <c r="BC63">
        <v>4733.0371142451067</v>
      </c>
      <c r="BD63">
        <v>0</v>
      </c>
      <c r="BE63">
        <v>0</v>
      </c>
      <c r="BF63">
        <v>2.9548692885347023</v>
      </c>
      <c r="BG63">
        <v>2350.8940059582092</v>
      </c>
      <c r="BH63">
        <v>0</v>
      </c>
      <c r="BI63">
        <v>0</v>
      </c>
      <c r="BJ63">
        <v>1.9382306285950346</v>
      </c>
      <c r="BK63">
        <v>1542.0562881102096</v>
      </c>
      <c r="BL63">
        <v>2.0782774170833465</v>
      </c>
      <c r="BM63">
        <v>1653.4775130315104</v>
      </c>
      <c r="BN63">
        <v>1.6324740822460235</v>
      </c>
      <c r="BO63">
        <v>1298.7963798349363</v>
      </c>
      <c r="BP63">
        <v>2.1224783412829518</v>
      </c>
      <c r="BQ63">
        <v>1688.6437683247166</v>
      </c>
      <c r="BR63">
        <v>4.7225143093545681</v>
      </c>
      <c r="BS63">
        <v>3757.2323845224946</v>
      </c>
      <c r="BT63">
        <v>0</v>
      </c>
      <c r="BU63">
        <v>0</v>
      </c>
      <c r="BV63">
        <v>2.9330218261425784</v>
      </c>
      <c r="BW63">
        <v>2333.5121648790355</v>
      </c>
      <c r="BX63">
        <v>0</v>
      </c>
      <c r="BY63">
        <v>0</v>
      </c>
      <c r="BZ63">
        <v>1.9967677952304552</v>
      </c>
      <c r="CA63">
        <v>1588.6284578853501</v>
      </c>
      <c r="CB63">
        <v>1.739873692920104</v>
      </c>
      <c r="CC63">
        <v>1384.2435100872347</v>
      </c>
      <c r="CD63">
        <v>3.3967442371871392</v>
      </c>
      <c r="CE63">
        <v>2702.4497151060882</v>
      </c>
      <c r="CF63">
        <v>0</v>
      </c>
      <c r="CG63">
        <v>0</v>
      </c>
      <c r="CH63">
        <v>1.6440724771465283</v>
      </c>
      <c r="CI63">
        <v>1308.024062817778</v>
      </c>
      <c r="CJ63">
        <v>1.5835976127176996</v>
      </c>
      <c r="CK63">
        <v>1259.9102606782019</v>
      </c>
      <c r="CL63">
        <v>1.2131229418525498</v>
      </c>
      <c r="CM63">
        <v>965.1606125378886</v>
      </c>
      <c r="CN63">
        <v>1.4017356960628402</v>
      </c>
      <c r="CO63">
        <v>1115.2209197875957</v>
      </c>
      <c r="CP63">
        <v>3.3006028246347063</v>
      </c>
      <c r="CQ63">
        <v>2625.9596072793724</v>
      </c>
      <c r="CR63">
        <v>0</v>
      </c>
      <c r="CS63">
        <v>0</v>
      </c>
      <c r="CT63">
        <v>4.3672425906691794</v>
      </c>
      <c r="CU63">
        <v>3474.5782051363994</v>
      </c>
    </row>
    <row r="64" spans="2:99" x14ac:dyDescent="0.2">
      <c r="C64" s="105" t="s">
        <v>230</v>
      </c>
      <c r="D64">
        <v>6</v>
      </c>
      <c r="E64">
        <v>6055.1999999999989</v>
      </c>
      <c r="F64">
        <v>7</v>
      </c>
      <c r="G64">
        <v>7064.3999999999987</v>
      </c>
      <c r="H64">
        <v>7</v>
      </c>
      <c r="I64">
        <v>7064.3999999999987</v>
      </c>
      <c r="J64">
        <v>7</v>
      </c>
      <c r="K64">
        <v>7064.3999999999987</v>
      </c>
      <c r="L64">
        <v>2.8539015846977707</v>
      </c>
      <c r="M64">
        <v>2880.1574792769898</v>
      </c>
      <c r="N64">
        <v>4.9087851753847946</v>
      </c>
      <c r="O64">
        <v>4953.9459989983343</v>
      </c>
      <c r="P64">
        <v>0</v>
      </c>
      <c r="Q64">
        <v>0</v>
      </c>
      <c r="R64">
        <v>5.3128285980238896</v>
      </c>
      <c r="S64">
        <v>5361.7066211257088</v>
      </c>
      <c r="T64">
        <v>0</v>
      </c>
      <c r="U64">
        <v>0</v>
      </c>
      <c r="V64">
        <v>4.2723877435194808</v>
      </c>
      <c r="W64">
        <v>4311.6937107598596</v>
      </c>
      <c r="X64">
        <v>0</v>
      </c>
      <c r="Y64">
        <v>0</v>
      </c>
      <c r="Z64">
        <v>4.5052947414626203</v>
      </c>
      <c r="AA64">
        <v>4546.7434530840756</v>
      </c>
      <c r="AB64">
        <v>0</v>
      </c>
      <c r="AC64">
        <v>0</v>
      </c>
      <c r="AD64">
        <v>1.9905651712548289</v>
      </c>
      <c r="AE64">
        <v>2008.8783708303729</v>
      </c>
      <c r="AF64">
        <v>2.0864757500895923</v>
      </c>
      <c r="AG64">
        <v>2105.6713269904162</v>
      </c>
      <c r="AH64">
        <v>1.9846964452071731</v>
      </c>
      <c r="AI64">
        <v>2002.9556525030787</v>
      </c>
      <c r="AJ64">
        <v>0</v>
      </c>
      <c r="AK64">
        <v>0</v>
      </c>
      <c r="AL64">
        <v>4.3803031275172808</v>
      </c>
      <c r="AM64">
        <v>4420.6019162904386</v>
      </c>
      <c r="AN64">
        <v>1.8438502084332578</v>
      </c>
      <c r="AO64">
        <v>1860.8136303508434</v>
      </c>
      <c r="AP64">
        <v>3.8189285389726475</v>
      </c>
      <c r="AQ64">
        <v>3854.0626815311953</v>
      </c>
      <c r="AR64">
        <v>0</v>
      </c>
      <c r="AS64">
        <v>0</v>
      </c>
      <c r="AT64">
        <v>4.857443289621842</v>
      </c>
      <c r="AU64">
        <v>4902.1317678863625</v>
      </c>
      <c r="AV64">
        <v>0</v>
      </c>
      <c r="AW64">
        <v>0</v>
      </c>
      <c r="AX64">
        <v>3.6803690045069404</v>
      </c>
      <c r="AY64">
        <v>3714.2283993484034</v>
      </c>
      <c r="AZ64">
        <v>0</v>
      </c>
      <c r="BA64">
        <v>0</v>
      </c>
      <c r="BB64">
        <v>5.4081963460911213</v>
      </c>
      <c r="BC64">
        <v>5457.9517524751591</v>
      </c>
      <c r="BD64">
        <v>0</v>
      </c>
      <c r="BE64">
        <v>0</v>
      </c>
      <c r="BF64">
        <v>3.4473475032904859</v>
      </c>
      <c r="BG64">
        <v>3479.0631003207577</v>
      </c>
      <c r="BH64">
        <v>0</v>
      </c>
      <c r="BI64">
        <v>0</v>
      </c>
      <c r="BJ64">
        <v>1.9382306285950346</v>
      </c>
      <c r="BK64">
        <v>1956.0623503781085</v>
      </c>
      <c r="BL64">
        <v>2.0782774170833465</v>
      </c>
      <c r="BM64">
        <v>2097.397569320513</v>
      </c>
      <c r="BN64">
        <v>1.6324740822460235</v>
      </c>
      <c r="BO64">
        <v>1647.4928438026866</v>
      </c>
      <c r="BP64">
        <v>1.9102305071546568</v>
      </c>
      <c r="BQ64">
        <v>1927.8046278204793</v>
      </c>
      <c r="BR64">
        <v>4.1977904972040605</v>
      </c>
      <c r="BS64">
        <v>4236.4101697783371</v>
      </c>
      <c r="BT64">
        <v>0</v>
      </c>
      <c r="BU64">
        <v>0</v>
      </c>
      <c r="BV64">
        <v>2.9330218261425784</v>
      </c>
      <c r="BW64">
        <v>2960.0056269430897</v>
      </c>
      <c r="BX64">
        <v>0</v>
      </c>
      <c r="BY64">
        <v>0</v>
      </c>
      <c r="BZ64">
        <v>2.2186308835893946</v>
      </c>
      <c r="CA64">
        <v>2239.0422877184164</v>
      </c>
      <c r="CB64">
        <v>2.0298526417401215</v>
      </c>
      <c r="CC64">
        <v>2048.5272860441301</v>
      </c>
      <c r="CD64">
        <v>3.3967442371871392</v>
      </c>
      <c r="CE64">
        <v>3427.9942841692605</v>
      </c>
      <c r="CF64">
        <v>0</v>
      </c>
      <c r="CG64">
        <v>0</v>
      </c>
      <c r="CH64">
        <v>1.6440724771465283</v>
      </c>
      <c r="CI64">
        <v>1659.197943936276</v>
      </c>
      <c r="CJ64">
        <v>1.5835976127176996</v>
      </c>
      <c r="CK64">
        <v>1598.1667107547021</v>
      </c>
      <c r="CL64">
        <v>1.4557475302230598</v>
      </c>
      <c r="CM64">
        <v>1469.1404075011117</v>
      </c>
      <c r="CN64">
        <v>1.6353583120733133</v>
      </c>
      <c r="CO64">
        <v>1650.4036085443875</v>
      </c>
      <c r="CP64">
        <v>3.3006028246347063</v>
      </c>
      <c r="CQ64">
        <v>3330.968370621345</v>
      </c>
      <c r="CR64">
        <v>0</v>
      </c>
      <c r="CS64">
        <v>0</v>
      </c>
      <c r="CT64">
        <v>4.3672425906691794</v>
      </c>
      <c r="CU64">
        <v>4407.4212225033352</v>
      </c>
    </row>
    <row r="65" spans="2:99" x14ac:dyDescent="0.2">
      <c r="C65" s="105" t="s">
        <v>231</v>
      </c>
      <c r="D65">
        <v>6</v>
      </c>
      <c r="E65">
        <v>6156</v>
      </c>
      <c r="F65">
        <v>7</v>
      </c>
      <c r="G65">
        <v>7182</v>
      </c>
      <c r="H65">
        <v>6</v>
      </c>
      <c r="I65">
        <v>6156</v>
      </c>
      <c r="J65">
        <v>6</v>
      </c>
      <c r="K65">
        <v>6156</v>
      </c>
      <c r="L65">
        <v>3.2106392827849923</v>
      </c>
      <c r="M65">
        <v>3294.1159041374021</v>
      </c>
      <c r="N65">
        <v>4.2951870284616955</v>
      </c>
      <c r="O65">
        <v>4406.8618912017</v>
      </c>
      <c r="P65">
        <v>0</v>
      </c>
      <c r="Q65">
        <v>0</v>
      </c>
      <c r="R65">
        <v>5.3128285980238896</v>
      </c>
      <c r="S65">
        <v>5450.9621415725105</v>
      </c>
      <c r="T65">
        <v>0</v>
      </c>
      <c r="U65">
        <v>0</v>
      </c>
      <c r="V65">
        <v>4.2723877435194808</v>
      </c>
      <c r="W65">
        <v>4383.4698248509876</v>
      </c>
      <c r="X65">
        <v>0</v>
      </c>
      <c r="Y65">
        <v>0</v>
      </c>
      <c r="Z65">
        <v>4.5052947414626203</v>
      </c>
      <c r="AA65">
        <v>4622.4324047406481</v>
      </c>
      <c r="AB65">
        <v>0</v>
      </c>
      <c r="AC65">
        <v>0</v>
      </c>
      <c r="AD65">
        <v>1.9905651712548289</v>
      </c>
      <c r="AE65">
        <v>2042.3198657074545</v>
      </c>
      <c r="AF65">
        <v>1.8256662813283933</v>
      </c>
      <c r="AG65">
        <v>1873.1336046429315</v>
      </c>
      <c r="AH65">
        <v>1.9846964452071731</v>
      </c>
      <c r="AI65">
        <v>2036.2985527825597</v>
      </c>
      <c r="AJ65">
        <v>0</v>
      </c>
      <c r="AK65">
        <v>0</v>
      </c>
      <c r="AL65">
        <v>3.8327652365776208</v>
      </c>
      <c r="AM65">
        <v>3932.417132728639</v>
      </c>
      <c r="AN65">
        <v>1.8438502084332578</v>
      </c>
      <c r="AO65">
        <v>1891.7903138525226</v>
      </c>
      <c r="AP65">
        <v>3.8189285389726475</v>
      </c>
      <c r="AQ65">
        <v>3918.2206809859363</v>
      </c>
      <c r="AR65">
        <v>0</v>
      </c>
      <c r="AS65">
        <v>0</v>
      </c>
      <c r="AT65">
        <v>4.857443289621842</v>
      </c>
      <c r="AU65">
        <v>4983.7368151520095</v>
      </c>
      <c r="AV65">
        <v>0</v>
      </c>
      <c r="AW65">
        <v>0</v>
      </c>
      <c r="AX65">
        <v>3.6803690045069404</v>
      </c>
      <c r="AY65">
        <v>3776.0585986241208</v>
      </c>
      <c r="AZ65">
        <v>0</v>
      </c>
      <c r="BA65">
        <v>0</v>
      </c>
      <c r="BB65">
        <v>4.8673767114820095</v>
      </c>
      <c r="BC65">
        <v>4993.9285059805416</v>
      </c>
      <c r="BD65">
        <v>0</v>
      </c>
      <c r="BE65">
        <v>0</v>
      </c>
      <c r="BF65">
        <v>2.9548692885347023</v>
      </c>
      <c r="BG65">
        <v>3031.6958900366044</v>
      </c>
      <c r="BH65">
        <v>0</v>
      </c>
      <c r="BI65">
        <v>0</v>
      </c>
      <c r="BJ65">
        <v>1.722871669862253</v>
      </c>
      <c r="BK65">
        <v>1767.6663332786716</v>
      </c>
      <c r="BL65">
        <v>2.0782774170833465</v>
      </c>
      <c r="BM65">
        <v>2132.3126299275136</v>
      </c>
      <c r="BN65">
        <v>1.6324740822460235</v>
      </c>
      <c r="BO65">
        <v>1674.9184083844202</v>
      </c>
      <c r="BP65">
        <v>1.9102305071546568</v>
      </c>
      <c r="BQ65">
        <v>1959.8965003406779</v>
      </c>
      <c r="BR65">
        <v>4.1977904972040605</v>
      </c>
      <c r="BS65">
        <v>4306.9330501313661</v>
      </c>
      <c r="BT65">
        <v>0</v>
      </c>
      <c r="BU65">
        <v>0</v>
      </c>
      <c r="BV65">
        <v>2.9330218261425784</v>
      </c>
      <c r="BW65">
        <v>3009.2803936222854</v>
      </c>
      <c r="BX65">
        <v>0</v>
      </c>
      <c r="BY65">
        <v>0</v>
      </c>
      <c r="BZ65">
        <v>2.2186308835893946</v>
      </c>
      <c r="CA65">
        <v>2276.3152865627189</v>
      </c>
      <c r="CB65">
        <v>2.0298526417401215</v>
      </c>
      <c r="CC65">
        <v>2082.6288104253645</v>
      </c>
      <c r="CD65">
        <v>3.3967442371871392</v>
      </c>
      <c r="CE65">
        <v>3485.0595873540051</v>
      </c>
      <c r="CF65">
        <v>0</v>
      </c>
      <c r="CG65">
        <v>0</v>
      </c>
      <c r="CH65">
        <v>1.8789399738817467</v>
      </c>
      <c r="CI65">
        <v>1927.7924132026722</v>
      </c>
      <c r="CJ65">
        <v>1.5835976127176996</v>
      </c>
      <c r="CK65">
        <v>1624.7711506483597</v>
      </c>
      <c r="CL65">
        <v>1.2131229418525498</v>
      </c>
      <c r="CM65">
        <v>1244.6641383407161</v>
      </c>
      <c r="CN65">
        <v>1.6353583120733133</v>
      </c>
      <c r="CO65">
        <v>1677.8776281872194</v>
      </c>
      <c r="CP65">
        <v>2.8880274715553682</v>
      </c>
      <c r="CQ65">
        <v>2963.116185815808</v>
      </c>
      <c r="CR65">
        <v>0</v>
      </c>
      <c r="CS65">
        <v>0</v>
      </c>
      <c r="CT65">
        <v>4.3672425906691794</v>
      </c>
      <c r="CU65">
        <v>4480.7908980265784</v>
      </c>
    </row>
    <row r="66" spans="2:99" x14ac:dyDescent="0.2">
      <c r="C66" s="105" t="s">
        <v>232</v>
      </c>
      <c r="D66">
        <v>6</v>
      </c>
      <c r="E66">
        <v>7142.4</v>
      </c>
      <c r="F66">
        <v>6</v>
      </c>
      <c r="G66">
        <v>7142.4</v>
      </c>
      <c r="H66">
        <v>7</v>
      </c>
      <c r="I66">
        <v>8332.7999999999993</v>
      </c>
      <c r="J66">
        <v>6</v>
      </c>
      <c r="K66">
        <v>7142.4</v>
      </c>
      <c r="L66">
        <v>2.8539015846977707</v>
      </c>
      <c r="M66">
        <v>3397.2844464242257</v>
      </c>
      <c r="N66">
        <v>4.9087851753847946</v>
      </c>
      <c r="O66">
        <v>5843.4178727780591</v>
      </c>
      <c r="P66">
        <v>0</v>
      </c>
      <c r="Q66">
        <v>0</v>
      </c>
      <c r="R66">
        <v>5.9031428866932103</v>
      </c>
      <c r="S66">
        <v>7027.1012923195967</v>
      </c>
      <c r="T66">
        <v>0</v>
      </c>
      <c r="U66">
        <v>0</v>
      </c>
      <c r="V66">
        <v>3.8451489691675325</v>
      </c>
      <c r="W66">
        <v>4577.26533289703</v>
      </c>
      <c r="X66">
        <v>0</v>
      </c>
      <c r="Y66">
        <v>0</v>
      </c>
      <c r="Z66">
        <v>4.5052947414626203</v>
      </c>
      <c r="AA66">
        <v>5363.1028602371025</v>
      </c>
      <c r="AB66">
        <v>0</v>
      </c>
      <c r="AC66">
        <v>0</v>
      </c>
      <c r="AD66">
        <v>1.9905651712548289</v>
      </c>
      <c r="AE66">
        <v>2369.5687798617482</v>
      </c>
      <c r="AF66">
        <v>2.0864757500895923</v>
      </c>
      <c r="AG66">
        <v>2483.7407329066505</v>
      </c>
      <c r="AH66">
        <v>1.9846964452071731</v>
      </c>
      <c r="AI66">
        <v>2362.5826483746187</v>
      </c>
      <c r="AJ66">
        <v>0</v>
      </c>
      <c r="AK66">
        <v>0</v>
      </c>
      <c r="AL66">
        <v>4.3803031275172808</v>
      </c>
      <c r="AM66">
        <v>5214.3128429965709</v>
      </c>
      <c r="AN66">
        <v>2.1072573810665802</v>
      </c>
      <c r="AO66">
        <v>2508.4791864216568</v>
      </c>
      <c r="AP66">
        <v>3.8189285389726475</v>
      </c>
      <c r="AQ66">
        <v>4546.0525327930391</v>
      </c>
      <c r="AR66">
        <v>0</v>
      </c>
      <c r="AS66">
        <v>0</v>
      </c>
      <c r="AT66">
        <v>4.3177273685527489</v>
      </c>
      <c r="AU66">
        <v>5139.8226595251917</v>
      </c>
      <c r="AV66">
        <v>0</v>
      </c>
      <c r="AW66">
        <v>0</v>
      </c>
      <c r="AX66">
        <v>3.6803690045069404</v>
      </c>
      <c r="AY66">
        <v>4381.1112629650615</v>
      </c>
      <c r="AZ66">
        <v>0</v>
      </c>
      <c r="BA66">
        <v>0</v>
      </c>
      <c r="BB66">
        <v>5.4081963460911213</v>
      </c>
      <c r="BC66">
        <v>6437.9169303868703</v>
      </c>
      <c r="BD66">
        <v>0</v>
      </c>
      <c r="BE66">
        <v>0</v>
      </c>
      <c r="BF66">
        <v>2.9548692885347023</v>
      </c>
      <c r="BG66">
        <v>3517.4764010717095</v>
      </c>
      <c r="BH66">
        <v>0</v>
      </c>
      <c r="BI66">
        <v>0</v>
      </c>
      <c r="BJ66">
        <v>1.5075127111294713</v>
      </c>
      <c r="BK66">
        <v>1794.5431313285223</v>
      </c>
      <c r="BL66">
        <v>2.0782774170833465</v>
      </c>
      <c r="BM66">
        <v>2473.9814372960154</v>
      </c>
      <c r="BN66">
        <v>1.360395068538353</v>
      </c>
      <c r="BO66">
        <v>1619.4142895880552</v>
      </c>
      <c r="BP66">
        <v>2.1224783412829518</v>
      </c>
      <c r="BQ66">
        <v>2526.5982174632254</v>
      </c>
      <c r="BR66">
        <v>4.7225143093545681</v>
      </c>
      <c r="BS66">
        <v>5621.681033855677</v>
      </c>
      <c r="BT66">
        <v>0</v>
      </c>
      <c r="BU66">
        <v>0</v>
      </c>
      <c r="BV66">
        <v>2.4441848551188157</v>
      </c>
      <c r="BW66">
        <v>2909.5576515334378</v>
      </c>
      <c r="BX66">
        <v>0</v>
      </c>
      <c r="BY66">
        <v>0</v>
      </c>
      <c r="BZ66">
        <v>2.2186308835893946</v>
      </c>
      <c r="CA66">
        <v>2641.0582038248149</v>
      </c>
      <c r="CB66">
        <v>1.739873692920104</v>
      </c>
      <c r="CC66">
        <v>2071.1456440520915</v>
      </c>
      <c r="CD66">
        <v>3.3967442371871392</v>
      </c>
      <c r="CE66">
        <v>4043.4843399475699</v>
      </c>
      <c r="CF66">
        <v>0</v>
      </c>
      <c r="CG66">
        <v>0</v>
      </c>
      <c r="CH66">
        <v>1.8789399738817467</v>
      </c>
      <c r="CI66">
        <v>2236.6901449088309</v>
      </c>
      <c r="CJ66">
        <v>1.5835976127176996</v>
      </c>
      <c r="CK66">
        <v>1885.1145981791494</v>
      </c>
      <c r="CL66">
        <v>1.2131229418525498</v>
      </c>
      <c r="CM66">
        <v>1444.1015499812752</v>
      </c>
      <c r="CN66">
        <v>1.6353583120733133</v>
      </c>
      <c r="CO66">
        <v>1946.7305346920718</v>
      </c>
      <c r="CP66">
        <v>2.8880274715553682</v>
      </c>
      <c r="CQ66">
        <v>3437.90790213951</v>
      </c>
      <c r="CR66">
        <v>0</v>
      </c>
      <c r="CS66">
        <v>0</v>
      </c>
      <c r="CT66">
        <v>3.8819934139281593</v>
      </c>
      <c r="CU66">
        <v>4621.1249599400808</v>
      </c>
    </row>
    <row r="67" spans="2:99" x14ac:dyDescent="0.2">
      <c r="C67" s="105" t="s">
        <v>233</v>
      </c>
      <c r="D67">
        <v>6</v>
      </c>
      <c r="E67">
        <v>6739.2000000000007</v>
      </c>
      <c r="F67">
        <v>6</v>
      </c>
      <c r="G67">
        <v>6739.2000000000007</v>
      </c>
      <c r="H67">
        <v>7</v>
      </c>
      <c r="I67">
        <v>7862.4000000000005</v>
      </c>
      <c r="J67">
        <v>7</v>
      </c>
      <c r="K67">
        <v>7862.4000000000005</v>
      </c>
      <c r="L67">
        <v>3.2106392827849923</v>
      </c>
      <c r="M67">
        <v>3606.1900424241035</v>
      </c>
      <c r="N67">
        <v>4.2951870284616955</v>
      </c>
      <c r="O67">
        <v>4824.3540703681765</v>
      </c>
      <c r="P67">
        <v>0</v>
      </c>
      <c r="Q67">
        <v>0</v>
      </c>
      <c r="R67">
        <v>5.3128285980238896</v>
      </c>
      <c r="S67">
        <v>5967.3690813004332</v>
      </c>
      <c r="T67">
        <v>0</v>
      </c>
      <c r="U67">
        <v>0</v>
      </c>
      <c r="V67">
        <v>4.2723877435194808</v>
      </c>
      <c r="W67">
        <v>4798.7459135210811</v>
      </c>
      <c r="X67">
        <v>0</v>
      </c>
      <c r="Y67">
        <v>0</v>
      </c>
      <c r="Z67">
        <v>4.0547652673163581</v>
      </c>
      <c r="AA67">
        <v>4554.312348249734</v>
      </c>
      <c r="AB67">
        <v>0</v>
      </c>
      <c r="AC67">
        <v>0</v>
      </c>
      <c r="AD67">
        <v>1.7061987182184248</v>
      </c>
      <c r="AE67">
        <v>1916.4024003029349</v>
      </c>
      <c r="AF67">
        <v>1.8256662813283933</v>
      </c>
      <c r="AG67">
        <v>2050.5883671880515</v>
      </c>
      <c r="AH67">
        <v>1.9846964452071731</v>
      </c>
      <c r="AI67">
        <v>2229.2110472566969</v>
      </c>
      <c r="AJ67">
        <v>0</v>
      </c>
      <c r="AK67">
        <v>0</v>
      </c>
      <c r="AL67">
        <v>3.8327652365776208</v>
      </c>
      <c r="AM67">
        <v>4304.9619137239843</v>
      </c>
      <c r="AN67">
        <v>1.8438502084332578</v>
      </c>
      <c r="AO67">
        <v>2071.0125541122352</v>
      </c>
      <c r="AP67">
        <v>3.8189285389726475</v>
      </c>
      <c r="AQ67">
        <v>4289.4205349740778</v>
      </c>
      <c r="AR67">
        <v>0</v>
      </c>
      <c r="AS67">
        <v>0</v>
      </c>
      <c r="AT67">
        <v>4.3177273685527489</v>
      </c>
      <c r="AU67">
        <v>4849.671380358448</v>
      </c>
      <c r="AV67">
        <v>0</v>
      </c>
      <c r="AW67">
        <v>0</v>
      </c>
      <c r="AX67">
        <v>3.6803690045069404</v>
      </c>
      <c r="AY67">
        <v>4133.7904658621956</v>
      </c>
      <c r="AZ67">
        <v>0</v>
      </c>
      <c r="BA67">
        <v>0</v>
      </c>
      <c r="BB67">
        <v>5.4081963460911213</v>
      </c>
      <c r="BC67">
        <v>6074.4861359295473</v>
      </c>
      <c r="BD67">
        <v>0</v>
      </c>
      <c r="BE67">
        <v>0</v>
      </c>
      <c r="BF67">
        <v>2.9548692885347023</v>
      </c>
      <c r="BG67">
        <v>3318.9091848821777</v>
      </c>
      <c r="BH67">
        <v>0</v>
      </c>
      <c r="BI67">
        <v>0</v>
      </c>
      <c r="BJ67">
        <v>1.722871669862253</v>
      </c>
      <c r="BK67">
        <v>1935.1294595892828</v>
      </c>
      <c r="BL67">
        <v>2.0782774170833465</v>
      </c>
      <c r="BM67">
        <v>2334.321194868015</v>
      </c>
      <c r="BN67">
        <v>1.6324740822460235</v>
      </c>
      <c r="BO67">
        <v>1833.5948891787336</v>
      </c>
      <c r="BP67">
        <v>1.9102305071546568</v>
      </c>
      <c r="BQ67">
        <v>2145.5709056361106</v>
      </c>
      <c r="BR67">
        <v>5.2472381215050756</v>
      </c>
      <c r="BS67">
        <v>5893.6978580745008</v>
      </c>
      <c r="BT67">
        <v>0</v>
      </c>
      <c r="BU67">
        <v>0</v>
      </c>
      <c r="BV67">
        <v>2.9330218261425784</v>
      </c>
      <c r="BW67">
        <v>3294.370115123344</v>
      </c>
      <c r="BX67">
        <v>0</v>
      </c>
      <c r="BY67">
        <v>0</v>
      </c>
      <c r="BZ67">
        <v>2.2186308835893946</v>
      </c>
      <c r="CA67">
        <v>2491.9662084476081</v>
      </c>
      <c r="CB67">
        <v>1.739873692920104</v>
      </c>
      <c r="CC67">
        <v>1954.2261318878609</v>
      </c>
      <c r="CD67">
        <v>3.3967442371871392</v>
      </c>
      <c r="CE67">
        <v>3815.2231272085951</v>
      </c>
      <c r="CF67">
        <v>0</v>
      </c>
      <c r="CG67">
        <v>0</v>
      </c>
      <c r="CH67">
        <v>1.6440724771465283</v>
      </c>
      <c r="CI67">
        <v>1846.6222063309806</v>
      </c>
      <c r="CJ67">
        <v>1.3196646772647496</v>
      </c>
      <c r="CK67">
        <v>1482.2473655037668</v>
      </c>
      <c r="CL67">
        <v>1.2131229418525498</v>
      </c>
      <c r="CM67">
        <v>1362.5796882887839</v>
      </c>
      <c r="CN67">
        <v>1.4017356960628402</v>
      </c>
      <c r="CO67">
        <v>1574.4295338177822</v>
      </c>
      <c r="CP67">
        <v>3.3006028246347063</v>
      </c>
      <c r="CQ67">
        <v>3707.2370926297021</v>
      </c>
      <c r="CR67">
        <v>0</v>
      </c>
      <c r="CS67">
        <v>0</v>
      </c>
      <c r="CT67">
        <v>4.3672425906691794</v>
      </c>
      <c r="CU67">
        <v>4905.2868778396223</v>
      </c>
    </row>
    <row r="68" spans="2:99" x14ac:dyDescent="0.2">
      <c r="C68" s="105" t="s">
        <v>234</v>
      </c>
      <c r="D68">
        <v>6</v>
      </c>
      <c r="E68">
        <v>6199.2000000000007</v>
      </c>
      <c r="F68">
        <v>7</v>
      </c>
      <c r="G68">
        <v>7232.4000000000005</v>
      </c>
      <c r="H68">
        <v>7</v>
      </c>
      <c r="I68">
        <v>7232.4000000000005</v>
      </c>
      <c r="J68">
        <v>7</v>
      </c>
      <c r="K68">
        <v>7232.4000000000005</v>
      </c>
      <c r="L68">
        <v>3.2106392827849923</v>
      </c>
      <c r="M68">
        <v>3317.2325069734543</v>
      </c>
      <c r="N68">
        <v>4.2951870284616955</v>
      </c>
      <c r="O68">
        <v>4437.787237806624</v>
      </c>
      <c r="P68">
        <v>0</v>
      </c>
      <c r="Q68">
        <v>0</v>
      </c>
      <c r="R68">
        <v>5.9031428866932103</v>
      </c>
      <c r="S68">
        <v>6099.1272305314251</v>
      </c>
      <c r="T68">
        <v>0</v>
      </c>
      <c r="U68">
        <v>0</v>
      </c>
      <c r="V68">
        <v>3.8451489691675325</v>
      </c>
      <c r="W68">
        <v>3972.8079149438945</v>
      </c>
      <c r="X68">
        <v>0</v>
      </c>
      <c r="Y68">
        <v>0</v>
      </c>
      <c r="Z68">
        <v>4.5052947414626203</v>
      </c>
      <c r="AA68">
        <v>4654.8705268791791</v>
      </c>
      <c r="AB68">
        <v>0</v>
      </c>
      <c r="AC68">
        <v>0</v>
      </c>
      <c r="AD68">
        <v>1.9905651712548289</v>
      </c>
      <c r="AE68">
        <v>2056.6519349404894</v>
      </c>
      <c r="AF68">
        <v>2.0864757500895923</v>
      </c>
      <c r="AG68">
        <v>2155.7467449925671</v>
      </c>
      <c r="AH68">
        <v>1.7366093895562766</v>
      </c>
      <c r="AI68">
        <v>1794.2648212895451</v>
      </c>
      <c r="AJ68">
        <v>0</v>
      </c>
      <c r="AK68">
        <v>0</v>
      </c>
      <c r="AL68">
        <v>4.3803031275172808</v>
      </c>
      <c r="AM68">
        <v>4525.7291913508543</v>
      </c>
      <c r="AN68">
        <v>1.8438502084332578</v>
      </c>
      <c r="AO68">
        <v>1905.0660353532419</v>
      </c>
      <c r="AP68">
        <v>3.8189285389726475</v>
      </c>
      <c r="AQ68">
        <v>3945.7169664665394</v>
      </c>
      <c r="AR68">
        <v>0</v>
      </c>
      <c r="AS68">
        <v>0</v>
      </c>
      <c r="AT68">
        <v>4.3177273685527489</v>
      </c>
      <c r="AU68">
        <v>4461.0759171887003</v>
      </c>
      <c r="AV68">
        <v>0</v>
      </c>
      <c r="AW68">
        <v>0</v>
      </c>
      <c r="AX68">
        <v>3.6803690045069404</v>
      </c>
      <c r="AY68">
        <v>3802.5572554565711</v>
      </c>
      <c r="AZ68">
        <v>0</v>
      </c>
      <c r="BA68">
        <v>0</v>
      </c>
      <c r="BB68">
        <v>5.4081963460911213</v>
      </c>
      <c r="BC68">
        <v>5587.7484647813471</v>
      </c>
      <c r="BD68">
        <v>0</v>
      </c>
      <c r="BE68">
        <v>0</v>
      </c>
      <c r="BF68">
        <v>2.9548692885347023</v>
      </c>
      <c r="BG68">
        <v>3052.9709489140546</v>
      </c>
      <c r="BH68">
        <v>0</v>
      </c>
      <c r="BI68">
        <v>0</v>
      </c>
      <c r="BJ68">
        <v>1.722871669862253</v>
      </c>
      <c r="BK68">
        <v>1780.0710093016799</v>
      </c>
      <c r="BL68">
        <v>1.8184927399479283</v>
      </c>
      <c r="BM68">
        <v>1878.8666989141996</v>
      </c>
      <c r="BN68">
        <v>1.360395068538353</v>
      </c>
      <c r="BO68">
        <v>1405.5601848138265</v>
      </c>
      <c r="BP68">
        <v>1.9102305071546568</v>
      </c>
      <c r="BQ68">
        <v>1973.6501599921914</v>
      </c>
      <c r="BR68">
        <v>4.7225143093545681</v>
      </c>
      <c r="BS68">
        <v>4879.3017844251399</v>
      </c>
      <c r="BT68">
        <v>0</v>
      </c>
      <c r="BU68">
        <v>0</v>
      </c>
      <c r="BV68">
        <v>2.4441848551188157</v>
      </c>
      <c r="BW68">
        <v>2525.3317923087607</v>
      </c>
      <c r="BX68">
        <v>0</v>
      </c>
      <c r="BY68">
        <v>0</v>
      </c>
      <c r="BZ68">
        <v>2.2186308835893946</v>
      </c>
      <c r="CA68">
        <v>2292.2894289245628</v>
      </c>
      <c r="CB68">
        <v>2.0298526417401215</v>
      </c>
      <c r="CC68">
        <v>2097.2437494458936</v>
      </c>
      <c r="CD68">
        <v>3.3967442371871392</v>
      </c>
      <c r="CE68">
        <v>3509.5161458617526</v>
      </c>
      <c r="CF68">
        <v>0</v>
      </c>
      <c r="CG68">
        <v>0</v>
      </c>
      <c r="CH68">
        <v>1.6440724771465283</v>
      </c>
      <c r="CI68">
        <v>1698.655683387793</v>
      </c>
      <c r="CJ68">
        <v>1.5835976127176996</v>
      </c>
      <c r="CK68">
        <v>1636.1730534599274</v>
      </c>
      <c r="CL68">
        <v>1.4557475302230598</v>
      </c>
      <c r="CM68">
        <v>1504.0783482264656</v>
      </c>
      <c r="CN68">
        <v>1.6353583120733133</v>
      </c>
      <c r="CO68">
        <v>1689.6522080341474</v>
      </c>
      <c r="CP68">
        <v>3.3006028246347063</v>
      </c>
      <c r="CQ68">
        <v>3410.1828384125788</v>
      </c>
      <c r="CR68">
        <v>0</v>
      </c>
      <c r="CS68">
        <v>0</v>
      </c>
      <c r="CT68">
        <v>4.3672425906691794</v>
      </c>
      <c r="CU68">
        <v>4512.2350446793962</v>
      </c>
    </row>
    <row r="69" spans="2:99" x14ac:dyDescent="0.2">
      <c r="C69" s="105" t="s">
        <v>235</v>
      </c>
      <c r="D69">
        <v>6</v>
      </c>
      <c r="E69">
        <v>4550.3999999999996</v>
      </c>
      <c r="F69">
        <v>6</v>
      </c>
      <c r="G69">
        <v>4550.3999999999996</v>
      </c>
      <c r="H69">
        <v>6</v>
      </c>
      <c r="I69">
        <v>4550.3999999999996</v>
      </c>
      <c r="J69">
        <v>7</v>
      </c>
      <c r="K69">
        <v>5308.8</v>
      </c>
      <c r="L69">
        <v>3.2106392827849923</v>
      </c>
      <c r="M69">
        <v>2434.9488320641381</v>
      </c>
      <c r="N69">
        <v>4.9087851753847946</v>
      </c>
      <c r="O69">
        <v>3722.8226770118281</v>
      </c>
      <c r="P69">
        <v>0</v>
      </c>
      <c r="Q69">
        <v>0</v>
      </c>
      <c r="R69">
        <v>5.3128285980238896</v>
      </c>
      <c r="S69">
        <v>4029.2492087413179</v>
      </c>
      <c r="T69">
        <v>0</v>
      </c>
      <c r="U69">
        <v>0</v>
      </c>
      <c r="V69">
        <v>4.2723877435194808</v>
      </c>
      <c r="W69">
        <v>3240.1788646851742</v>
      </c>
      <c r="X69">
        <v>0</v>
      </c>
      <c r="Y69">
        <v>0</v>
      </c>
      <c r="Z69">
        <v>4.5052947414626203</v>
      </c>
      <c r="AA69">
        <v>3416.815531925251</v>
      </c>
      <c r="AB69">
        <v>0</v>
      </c>
      <c r="AC69">
        <v>0</v>
      </c>
      <c r="AD69">
        <v>1.9905651712548289</v>
      </c>
      <c r="AE69">
        <v>1509.6446258796623</v>
      </c>
      <c r="AF69">
        <v>2.0864757500895923</v>
      </c>
      <c r="AG69">
        <v>1582.3832088679467</v>
      </c>
      <c r="AH69">
        <v>1.7366093895562766</v>
      </c>
      <c r="AI69">
        <v>1317.0445610394802</v>
      </c>
      <c r="AJ69">
        <v>0</v>
      </c>
      <c r="AK69">
        <v>0</v>
      </c>
      <c r="AL69">
        <v>3.8327652365776208</v>
      </c>
      <c r="AM69">
        <v>2906.7691554204675</v>
      </c>
      <c r="AN69">
        <v>2.1072573810665802</v>
      </c>
      <c r="AO69">
        <v>1598.1439978008943</v>
      </c>
      <c r="AP69">
        <v>3.8189285389726475</v>
      </c>
      <c r="AQ69">
        <v>2896.2754039568558</v>
      </c>
      <c r="AR69">
        <v>0</v>
      </c>
      <c r="AS69">
        <v>0</v>
      </c>
      <c r="AT69">
        <v>4.3177273685527489</v>
      </c>
      <c r="AU69">
        <v>3274.5644363104047</v>
      </c>
      <c r="AV69">
        <v>0</v>
      </c>
      <c r="AW69">
        <v>0</v>
      </c>
      <c r="AX69">
        <v>3.1546020038630913</v>
      </c>
      <c r="AY69">
        <v>2392.4501597297685</v>
      </c>
      <c r="AZ69">
        <v>0</v>
      </c>
      <c r="BA69">
        <v>0</v>
      </c>
      <c r="BB69">
        <v>4.8673767114820095</v>
      </c>
      <c r="BC69">
        <v>3691.418497987956</v>
      </c>
      <c r="BD69">
        <v>0</v>
      </c>
      <c r="BE69">
        <v>0</v>
      </c>
      <c r="BF69">
        <v>2.9548692885347023</v>
      </c>
      <c r="BG69">
        <v>2240.9728684247184</v>
      </c>
      <c r="BH69">
        <v>0</v>
      </c>
      <c r="BI69">
        <v>0</v>
      </c>
      <c r="BJ69">
        <v>1.722871669862253</v>
      </c>
      <c r="BK69">
        <v>1306.6258744235327</v>
      </c>
      <c r="BL69">
        <v>2.0782774170833465</v>
      </c>
      <c r="BM69">
        <v>1576.1655931160099</v>
      </c>
      <c r="BN69">
        <v>1.6324740822460235</v>
      </c>
      <c r="BO69">
        <v>1238.0683439753841</v>
      </c>
      <c r="BP69">
        <v>2.1224783412829518</v>
      </c>
      <c r="BQ69">
        <v>1609.6875740289906</v>
      </c>
      <c r="BR69">
        <v>4.1977904972040605</v>
      </c>
      <c r="BS69">
        <v>3183.6043130795592</v>
      </c>
      <c r="BT69">
        <v>0</v>
      </c>
      <c r="BU69">
        <v>0</v>
      </c>
      <c r="BV69">
        <v>2.4441848551188157</v>
      </c>
      <c r="BW69">
        <v>1853.6697941221098</v>
      </c>
      <c r="BX69">
        <v>0</v>
      </c>
      <c r="BY69">
        <v>0</v>
      </c>
      <c r="BZ69">
        <v>2.2186308835893946</v>
      </c>
      <c r="CA69">
        <v>1682.6096621141969</v>
      </c>
      <c r="CB69">
        <v>2.0298526417401215</v>
      </c>
      <c r="CC69">
        <v>1539.440243495708</v>
      </c>
      <c r="CD69">
        <v>3.3967442371871392</v>
      </c>
      <c r="CE69">
        <v>2576.0908294827263</v>
      </c>
      <c r="CF69">
        <v>0</v>
      </c>
      <c r="CG69">
        <v>0</v>
      </c>
      <c r="CH69">
        <v>1.8789399738817467</v>
      </c>
      <c r="CI69">
        <v>1424.9880761919167</v>
      </c>
      <c r="CJ69">
        <v>1.8475305481706494</v>
      </c>
      <c r="CK69">
        <v>1401.1671677326206</v>
      </c>
      <c r="CL69">
        <v>1.2131229418525498</v>
      </c>
      <c r="CM69">
        <v>920.03243910097376</v>
      </c>
      <c r="CN69">
        <v>1.4017356960628402</v>
      </c>
      <c r="CO69">
        <v>1063.076351894058</v>
      </c>
      <c r="CP69">
        <v>3.3006028246347063</v>
      </c>
      <c r="CQ69">
        <v>2503.1771822029614</v>
      </c>
      <c r="CR69">
        <v>0</v>
      </c>
      <c r="CS69">
        <v>0</v>
      </c>
      <c r="CT69">
        <v>4.3672425906691794</v>
      </c>
      <c r="CU69">
        <v>3312.1167807635056</v>
      </c>
    </row>
    <row r="70" spans="2:99" x14ac:dyDescent="0.2">
      <c r="C70" s="105" t="s">
        <v>236</v>
      </c>
      <c r="D70">
        <v>6</v>
      </c>
      <c r="E70">
        <v>3211.2</v>
      </c>
      <c r="F70">
        <v>7</v>
      </c>
      <c r="G70">
        <v>3746.3999999999996</v>
      </c>
      <c r="H70">
        <v>7</v>
      </c>
      <c r="I70">
        <v>3746.3999999999996</v>
      </c>
      <c r="J70">
        <v>7</v>
      </c>
      <c r="K70">
        <v>3746.3999999999996</v>
      </c>
      <c r="L70">
        <v>2.8539015846977707</v>
      </c>
      <c r="M70">
        <v>1527.4081281302467</v>
      </c>
      <c r="N70">
        <v>4.2951870284616955</v>
      </c>
      <c r="O70">
        <v>2298.7840976326993</v>
      </c>
      <c r="P70">
        <v>0</v>
      </c>
      <c r="Q70">
        <v>0</v>
      </c>
      <c r="R70">
        <v>5.3128285980238896</v>
      </c>
      <c r="S70">
        <v>2843.4258656623851</v>
      </c>
      <c r="T70">
        <v>0</v>
      </c>
      <c r="U70">
        <v>0</v>
      </c>
      <c r="V70">
        <v>3.8451489691675325</v>
      </c>
      <c r="W70">
        <v>2057.9237282984632</v>
      </c>
      <c r="X70">
        <v>0</v>
      </c>
      <c r="Y70">
        <v>0</v>
      </c>
      <c r="Z70">
        <v>4.5052947414626203</v>
      </c>
      <c r="AA70">
        <v>2411.2337456307941</v>
      </c>
      <c r="AB70">
        <v>0</v>
      </c>
      <c r="AC70">
        <v>0</v>
      </c>
      <c r="AD70">
        <v>2.274931624291233</v>
      </c>
      <c r="AE70">
        <v>1217.5434053206677</v>
      </c>
      <c r="AF70">
        <v>2.0864757500895923</v>
      </c>
      <c r="AG70">
        <v>1116.6818214479497</v>
      </c>
      <c r="AH70">
        <v>1.9846964452071731</v>
      </c>
      <c r="AI70">
        <v>1062.209537474879</v>
      </c>
      <c r="AJ70">
        <v>0</v>
      </c>
      <c r="AK70">
        <v>0</v>
      </c>
      <c r="AL70">
        <v>3.8327652365776208</v>
      </c>
      <c r="AM70">
        <v>2051.2959546163424</v>
      </c>
      <c r="AN70">
        <v>2.1072573810665802</v>
      </c>
      <c r="AO70">
        <v>1127.8041503468337</v>
      </c>
      <c r="AP70">
        <v>3.8189285389726475</v>
      </c>
      <c r="AQ70">
        <v>2043.8905540581607</v>
      </c>
      <c r="AR70">
        <v>0</v>
      </c>
      <c r="AS70">
        <v>0</v>
      </c>
      <c r="AT70">
        <v>4.857443289621842</v>
      </c>
      <c r="AU70">
        <v>2599.7036486056095</v>
      </c>
      <c r="AV70">
        <v>0</v>
      </c>
      <c r="AW70">
        <v>0</v>
      </c>
      <c r="AX70">
        <v>3.6803690045069404</v>
      </c>
      <c r="AY70">
        <v>1969.7334912121141</v>
      </c>
      <c r="AZ70">
        <v>0</v>
      </c>
      <c r="BA70">
        <v>0</v>
      </c>
      <c r="BB70">
        <v>5.4081963460911213</v>
      </c>
      <c r="BC70">
        <v>2894.4666844279677</v>
      </c>
      <c r="BD70">
        <v>0</v>
      </c>
      <c r="BE70">
        <v>0</v>
      </c>
      <c r="BF70">
        <v>2.9548692885347023</v>
      </c>
      <c r="BG70">
        <v>1581.4460432237724</v>
      </c>
      <c r="BH70">
        <v>0</v>
      </c>
      <c r="BI70">
        <v>0</v>
      </c>
      <c r="BJ70">
        <v>1.722871669862253</v>
      </c>
      <c r="BK70">
        <v>922.08091771027773</v>
      </c>
      <c r="BL70">
        <v>2.0782774170833465</v>
      </c>
      <c r="BM70">
        <v>1112.2940736230069</v>
      </c>
      <c r="BN70">
        <v>1.6324740822460235</v>
      </c>
      <c r="BO70">
        <v>873.70012881807168</v>
      </c>
      <c r="BP70">
        <v>2.1224783412829518</v>
      </c>
      <c r="BQ70">
        <v>1135.9504082546357</v>
      </c>
      <c r="BR70">
        <v>5.2472381215050756</v>
      </c>
      <c r="BS70">
        <v>2808.3218426295161</v>
      </c>
      <c r="BT70">
        <v>0</v>
      </c>
      <c r="BU70">
        <v>0</v>
      </c>
      <c r="BV70">
        <v>2.9330218261425784</v>
      </c>
      <c r="BW70">
        <v>1569.7532813515079</v>
      </c>
      <c r="BX70">
        <v>0</v>
      </c>
      <c r="BY70">
        <v>0</v>
      </c>
      <c r="BZ70">
        <v>1.9967677952304552</v>
      </c>
      <c r="CA70">
        <v>1068.6701240073396</v>
      </c>
      <c r="CB70">
        <v>2.0298526417401215</v>
      </c>
      <c r="CC70">
        <v>1086.3771338593128</v>
      </c>
      <c r="CD70">
        <v>3.3967442371871392</v>
      </c>
      <c r="CE70">
        <v>1817.9375157425568</v>
      </c>
      <c r="CF70">
        <v>0</v>
      </c>
      <c r="CG70">
        <v>0</v>
      </c>
      <c r="CH70">
        <v>1.8789399738817467</v>
      </c>
      <c r="CI70">
        <v>1005.6086740215108</v>
      </c>
      <c r="CJ70">
        <v>1.8475305481706494</v>
      </c>
      <c r="CK70">
        <v>988.79834938093143</v>
      </c>
      <c r="CL70">
        <v>1.2131229418525498</v>
      </c>
      <c r="CM70">
        <v>649.26339847948452</v>
      </c>
      <c r="CN70">
        <v>1.6353583120733133</v>
      </c>
      <c r="CO70">
        <v>875.24376862163717</v>
      </c>
      <c r="CP70">
        <v>2.8880274715553682</v>
      </c>
      <c r="CQ70">
        <v>1545.6723027764328</v>
      </c>
      <c r="CR70">
        <v>0</v>
      </c>
      <c r="CS70">
        <v>0</v>
      </c>
      <c r="CT70">
        <v>4.3672425906691794</v>
      </c>
      <c r="CU70">
        <v>2337.3482345261446</v>
      </c>
    </row>
    <row r="71" spans="2:99" x14ac:dyDescent="0.2">
      <c r="B71" s="105" t="s">
        <v>130</v>
      </c>
      <c r="C71" s="105" t="s">
        <v>237</v>
      </c>
      <c r="D71">
        <v>0</v>
      </c>
      <c r="E71">
        <v>0</v>
      </c>
      <c r="F71">
        <v>9</v>
      </c>
      <c r="G71">
        <v>5076</v>
      </c>
      <c r="H71">
        <v>12</v>
      </c>
      <c r="I71">
        <v>6768</v>
      </c>
      <c r="J71">
        <v>14</v>
      </c>
      <c r="K71">
        <v>7896</v>
      </c>
      <c r="L71">
        <v>13</v>
      </c>
      <c r="M71">
        <v>7332</v>
      </c>
      <c r="N71">
        <v>13</v>
      </c>
      <c r="O71">
        <v>7332</v>
      </c>
      <c r="P71">
        <v>9</v>
      </c>
      <c r="Q71">
        <v>5076</v>
      </c>
      <c r="R71">
        <v>17</v>
      </c>
      <c r="S71">
        <v>9588</v>
      </c>
      <c r="T71">
        <v>19</v>
      </c>
      <c r="U71">
        <v>10716</v>
      </c>
      <c r="V71">
        <v>16</v>
      </c>
      <c r="W71">
        <v>9024</v>
      </c>
      <c r="X71">
        <v>14</v>
      </c>
      <c r="Y71">
        <v>7896</v>
      </c>
      <c r="Z71">
        <v>12</v>
      </c>
      <c r="AA71">
        <v>6768</v>
      </c>
      <c r="AB71">
        <v>13</v>
      </c>
      <c r="AC71">
        <v>7332</v>
      </c>
      <c r="AD71">
        <v>12</v>
      </c>
      <c r="AE71">
        <v>6768</v>
      </c>
      <c r="AF71">
        <v>19</v>
      </c>
      <c r="AG71">
        <v>10716</v>
      </c>
      <c r="AH71">
        <v>15</v>
      </c>
      <c r="AI71">
        <v>8460</v>
      </c>
      <c r="AJ71">
        <v>15</v>
      </c>
      <c r="AK71">
        <v>8460</v>
      </c>
      <c r="AL71">
        <v>11</v>
      </c>
      <c r="AM71">
        <v>6204</v>
      </c>
      <c r="AN71">
        <v>10</v>
      </c>
      <c r="AO71">
        <v>5640</v>
      </c>
      <c r="AP71">
        <v>14</v>
      </c>
      <c r="AQ71">
        <v>7896</v>
      </c>
      <c r="AR71">
        <v>16</v>
      </c>
      <c r="AS71">
        <v>9024</v>
      </c>
      <c r="AT71">
        <v>15</v>
      </c>
      <c r="AU71">
        <v>8460</v>
      </c>
      <c r="AV71">
        <v>12</v>
      </c>
      <c r="AW71">
        <v>6768</v>
      </c>
      <c r="AX71">
        <v>11</v>
      </c>
      <c r="AY71">
        <v>6204</v>
      </c>
      <c r="AZ71">
        <v>17</v>
      </c>
      <c r="BA71">
        <v>9588</v>
      </c>
      <c r="BB71">
        <v>10</v>
      </c>
      <c r="BC71">
        <v>5640</v>
      </c>
      <c r="BD71">
        <v>9</v>
      </c>
      <c r="BE71">
        <v>5076</v>
      </c>
      <c r="BF71">
        <v>17</v>
      </c>
      <c r="BG71">
        <v>9588</v>
      </c>
      <c r="BH71">
        <v>16</v>
      </c>
      <c r="BI71">
        <v>9024</v>
      </c>
      <c r="BJ71">
        <v>10</v>
      </c>
      <c r="BK71">
        <v>5640</v>
      </c>
      <c r="BL71">
        <v>15</v>
      </c>
      <c r="BM71">
        <v>8460</v>
      </c>
      <c r="BN71">
        <v>11</v>
      </c>
      <c r="BO71">
        <v>6204</v>
      </c>
      <c r="BP71">
        <v>12</v>
      </c>
      <c r="BQ71">
        <v>6768</v>
      </c>
      <c r="BR71">
        <v>15</v>
      </c>
      <c r="BS71">
        <v>8460</v>
      </c>
      <c r="BT71">
        <v>13</v>
      </c>
      <c r="BU71">
        <v>7332</v>
      </c>
      <c r="BV71">
        <v>10</v>
      </c>
      <c r="BW71">
        <v>5640</v>
      </c>
      <c r="BX71">
        <v>10</v>
      </c>
      <c r="BY71">
        <v>5640</v>
      </c>
      <c r="BZ71">
        <v>9</v>
      </c>
      <c r="CA71">
        <v>5076</v>
      </c>
      <c r="CB71">
        <v>17</v>
      </c>
      <c r="CC71">
        <v>9588</v>
      </c>
      <c r="CD71">
        <v>20</v>
      </c>
      <c r="CE71">
        <v>11280</v>
      </c>
      <c r="CF71">
        <v>13</v>
      </c>
      <c r="CG71">
        <v>7332</v>
      </c>
      <c r="CH71">
        <v>15</v>
      </c>
      <c r="CI71">
        <v>8460</v>
      </c>
      <c r="CJ71">
        <v>11</v>
      </c>
      <c r="CK71">
        <v>6204</v>
      </c>
      <c r="CL71">
        <v>11</v>
      </c>
      <c r="CM71">
        <v>6204</v>
      </c>
      <c r="CN71">
        <v>16</v>
      </c>
      <c r="CO71">
        <v>9024</v>
      </c>
      <c r="CP71">
        <v>15</v>
      </c>
      <c r="CQ71">
        <v>8460</v>
      </c>
      <c r="CR71">
        <v>15</v>
      </c>
      <c r="CS71">
        <v>8460</v>
      </c>
      <c r="CT71">
        <v>9</v>
      </c>
      <c r="CU71">
        <v>5076</v>
      </c>
    </row>
    <row r="72" spans="2:99" x14ac:dyDescent="0.2">
      <c r="C72" s="105" t="s">
        <v>238</v>
      </c>
      <c r="D72">
        <v>0</v>
      </c>
      <c r="E72">
        <v>0</v>
      </c>
      <c r="F72">
        <v>11</v>
      </c>
      <c r="G72">
        <v>818.39999999999986</v>
      </c>
      <c r="H72">
        <v>12</v>
      </c>
      <c r="I72">
        <v>892.8</v>
      </c>
      <c r="J72">
        <v>14</v>
      </c>
      <c r="K72">
        <v>1041.5999999999999</v>
      </c>
      <c r="L72">
        <v>14</v>
      </c>
      <c r="M72">
        <v>1041.5999999999999</v>
      </c>
      <c r="N72">
        <v>12</v>
      </c>
      <c r="O72">
        <v>892.8</v>
      </c>
      <c r="P72">
        <v>9</v>
      </c>
      <c r="Q72">
        <v>669.59999999999991</v>
      </c>
      <c r="R72">
        <v>18</v>
      </c>
      <c r="S72">
        <v>1339.1999999999998</v>
      </c>
      <c r="T72">
        <v>16</v>
      </c>
      <c r="U72">
        <v>1190.3999999999999</v>
      </c>
      <c r="V72">
        <v>17</v>
      </c>
      <c r="W72">
        <v>1264.8</v>
      </c>
      <c r="X72">
        <v>16</v>
      </c>
      <c r="Y72">
        <v>1190.3999999999999</v>
      </c>
      <c r="Z72">
        <v>12</v>
      </c>
      <c r="AA72">
        <v>892.8</v>
      </c>
      <c r="AB72">
        <v>14</v>
      </c>
      <c r="AC72">
        <v>1041.5999999999999</v>
      </c>
      <c r="AD72">
        <v>11</v>
      </c>
      <c r="AE72">
        <v>818.39999999999986</v>
      </c>
      <c r="AF72">
        <v>18</v>
      </c>
      <c r="AG72">
        <v>1339.1999999999998</v>
      </c>
      <c r="AH72">
        <v>17</v>
      </c>
      <c r="AI72">
        <v>1264.8</v>
      </c>
      <c r="AJ72">
        <v>16</v>
      </c>
      <c r="AK72">
        <v>1190.3999999999999</v>
      </c>
      <c r="AL72">
        <v>11</v>
      </c>
      <c r="AM72">
        <v>818.39999999999986</v>
      </c>
      <c r="AN72">
        <v>11</v>
      </c>
      <c r="AO72">
        <v>818.39999999999986</v>
      </c>
      <c r="AP72">
        <v>16</v>
      </c>
      <c r="AQ72">
        <v>1190.3999999999999</v>
      </c>
      <c r="AR72">
        <v>17</v>
      </c>
      <c r="AS72">
        <v>1264.8</v>
      </c>
      <c r="AT72">
        <v>14</v>
      </c>
      <c r="AU72">
        <v>1041.5999999999999</v>
      </c>
      <c r="AV72">
        <v>13</v>
      </c>
      <c r="AW72">
        <v>967.19999999999993</v>
      </c>
      <c r="AX72">
        <v>13</v>
      </c>
      <c r="AY72">
        <v>967.19999999999993</v>
      </c>
      <c r="AZ72">
        <v>20</v>
      </c>
      <c r="BA72">
        <v>1487.9999999999998</v>
      </c>
      <c r="BB72">
        <v>10</v>
      </c>
      <c r="BC72">
        <v>743.99999999999989</v>
      </c>
      <c r="BD72">
        <v>9</v>
      </c>
      <c r="BE72">
        <v>669.59999999999991</v>
      </c>
      <c r="BF72">
        <v>16</v>
      </c>
      <c r="BG72">
        <v>1190.3999999999999</v>
      </c>
      <c r="BH72">
        <v>17</v>
      </c>
      <c r="BI72">
        <v>1264.8</v>
      </c>
      <c r="BJ72">
        <v>10</v>
      </c>
      <c r="BK72">
        <v>743.99999999999989</v>
      </c>
      <c r="BL72">
        <v>15</v>
      </c>
      <c r="BM72">
        <v>1115.9999999999998</v>
      </c>
      <c r="BN72">
        <v>13</v>
      </c>
      <c r="BO72">
        <v>967.19999999999993</v>
      </c>
      <c r="BP72">
        <v>13</v>
      </c>
      <c r="BQ72">
        <v>967.19999999999993</v>
      </c>
      <c r="BR72">
        <v>16</v>
      </c>
      <c r="BS72">
        <v>1190.3999999999999</v>
      </c>
      <c r="BT72">
        <v>13</v>
      </c>
      <c r="BU72">
        <v>967.19999999999993</v>
      </c>
      <c r="BV72">
        <v>9</v>
      </c>
      <c r="BW72">
        <v>669.59999999999991</v>
      </c>
      <c r="BX72">
        <v>9</v>
      </c>
      <c r="BY72">
        <v>669.59999999999991</v>
      </c>
      <c r="BZ72">
        <v>10</v>
      </c>
      <c r="CA72">
        <v>743.99999999999989</v>
      </c>
      <c r="CB72">
        <v>18</v>
      </c>
      <c r="CC72">
        <v>1339.1999999999998</v>
      </c>
      <c r="CD72">
        <v>19</v>
      </c>
      <c r="CE72">
        <v>1413.6</v>
      </c>
      <c r="CF72">
        <v>14</v>
      </c>
      <c r="CG72">
        <v>1041.5999999999999</v>
      </c>
      <c r="CH72">
        <v>14</v>
      </c>
      <c r="CI72">
        <v>1041.5999999999999</v>
      </c>
      <c r="CJ72">
        <v>13</v>
      </c>
      <c r="CK72">
        <v>967.19999999999993</v>
      </c>
      <c r="CL72">
        <v>11</v>
      </c>
      <c r="CM72">
        <v>818.39999999999986</v>
      </c>
      <c r="CN72">
        <v>16</v>
      </c>
      <c r="CO72">
        <v>1190.3999999999999</v>
      </c>
      <c r="CP72">
        <v>13</v>
      </c>
      <c r="CQ72">
        <v>967.19999999999993</v>
      </c>
      <c r="CR72">
        <v>16</v>
      </c>
      <c r="CS72">
        <v>1190.3999999999999</v>
      </c>
      <c r="CT72">
        <v>10</v>
      </c>
      <c r="CU72">
        <v>743.99999999999989</v>
      </c>
    </row>
    <row r="73" spans="2:99" x14ac:dyDescent="0.2">
      <c r="C73" s="105" t="s">
        <v>239</v>
      </c>
      <c r="D73">
        <v>0</v>
      </c>
      <c r="E73">
        <v>0</v>
      </c>
      <c r="F73">
        <v>11</v>
      </c>
      <c r="G73">
        <v>6151.1999999999989</v>
      </c>
      <c r="H73">
        <v>11</v>
      </c>
      <c r="I73">
        <v>6151.1999999999989</v>
      </c>
      <c r="J73">
        <v>13</v>
      </c>
      <c r="K73">
        <v>7269.5999999999995</v>
      </c>
      <c r="L73">
        <v>15</v>
      </c>
      <c r="M73">
        <v>8387.9999999999982</v>
      </c>
      <c r="N73">
        <v>12</v>
      </c>
      <c r="O73">
        <v>6710.4</v>
      </c>
      <c r="P73">
        <v>9</v>
      </c>
      <c r="Q73">
        <v>5032.7999999999993</v>
      </c>
      <c r="R73">
        <v>16</v>
      </c>
      <c r="S73">
        <v>8947.1999999999989</v>
      </c>
      <c r="T73">
        <v>19</v>
      </c>
      <c r="U73">
        <v>10624.8</v>
      </c>
      <c r="V73">
        <v>14</v>
      </c>
      <c r="W73">
        <v>7828.7999999999993</v>
      </c>
      <c r="X73">
        <v>13</v>
      </c>
      <c r="Y73">
        <v>7269.5999999999995</v>
      </c>
      <c r="Z73">
        <v>13</v>
      </c>
      <c r="AA73">
        <v>7269.5999999999995</v>
      </c>
      <c r="AB73">
        <v>12</v>
      </c>
      <c r="AC73">
        <v>6710.4</v>
      </c>
      <c r="AD73">
        <v>11</v>
      </c>
      <c r="AE73">
        <v>6151.1999999999989</v>
      </c>
      <c r="AF73">
        <v>17</v>
      </c>
      <c r="AG73">
        <v>9506.4</v>
      </c>
      <c r="AH73">
        <v>15</v>
      </c>
      <c r="AI73">
        <v>8387.9999999999982</v>
      </c>
      <c r="AJ73">
        <v>15</v>
      </c>
      <c r="AK73">
        <v>8387.9999999999982</v>
      </c>
      <c r="AL73">
        <v>10</v>
      </c>
      <c r="AM73">
        <v>5591.9999999999991</v>
      </c>
      <c r="AN73">
        <v>10</v>
      </c>
      <c r="AO73">
        <v>5591.9999999999991</v>
      </c>
      <c r="AP73">
        <v>15</v>
      </c>
      <c r="AQ73">
        <v>8387.9999999999982</v>
      </c>
      <c r="AR73">
        <v>15</v>
      </c>
      <c r="AS73">
        <v>8387.9999999999982</v>
      </c>
      <c r="AT73">
        <v>15</v>
      </c>
      <c r="AU73">
        <v>8387.9999999999982</v>
      </c>
      <c r="AV73">
        <v>11</v>
      </c>
      <c r="AW73">
        <v>6151.1999999999989</v>
      </c>
      <c r="AX73">
        <v>12</v>
      </c>
      <c r="AY73">
        <v>6710.4</v>
      </c>
      <c r="AZ73">
        <v>19</v>
      </c>
      <c r="BA73">
        <v>10624.8</v>
      </c>
      <c r="BB73">
        <v>10</v>
      </c>
      <c r="BC73">
        <v>5591.9999999999991</v>
      </c>
      <c r="BD73">
        <v>9</v>
      </c>
      <c r="BE73">
        <v>5032.7999999999993</v>
      </c>
      <c r="BF73">
        <v>16</v>
      </c>
      <c r="BG73">
        <v>8947.1999999999989</v>
      </c>
      <c r="BH73">
        <v>16</v>
      </c>
      <c r="BI73">
        <v>8947.1999999999989</v>
      </c>
      <c r="BJ73">
        <v>10</v>
      </c>
      <c r="BK73">
        <v>5591.9999999999991</v>
      </c>
      <c r="BL73">
        <v>15</v>
      </c>
      <c r="BM73">
        <v>8387.9999999999982</v>
      </c>
      <c r="BN73">
        <v>13</v>
      </c>
      <c r="BO73">
        <v>7269.5999999999995</v>
      </c>
      <c r="BP73">
        <v>14</v>
      </c>
      <c r="BQ73">
        <v>7828.7999999999993</v>
      </c>
      <c r="BR73">
        <v>15</v>
      </c>
      <c r="BS73">
        <v>8387.9999999999982</v>
      </c>
      <c r="BT73">
        <v>13</v>
      </c>
      <c r="BU73">
        <v>7269.5999999999995</v>
      </c>
      <c r="BV73">
        <v>10</v>
      </c>
      <c r="BW73">
        <v>5591.9999999999991</v>
      </c>
      <c r="BX73">
        <v>10</v>
      </c>
      <c r="BY73">
        <v>5591.9999999999991</v>
      </c>
      <c r="BZ73">
        <v>10</v>
      </c>
      <c r="CA73">
        <v>5591.9999999999991</v>
      </c>
      <c r="CB73">
        <v>18</v>
      </c>
      <c r="CC73">
        <v>10065.599999999999</v>
      </c>
      <c r="CD73">
        <v>18</v>
      </c>
      <c r="CE73">
        <v>10065.599999999999</v>
      </c>
      <c r="CF73">
        <v>13</v>
      </c>
      <c r="CG73">
        <v>7269.5999999999995</v>
      </c>
      <c r="CH73">
        <v>13</v>
      </c>
      <c r="CI73">
        <v>7269.5999999999995</v>
      </c>
      <c r="CJ73">
        <v>10</v>
      </c>
      <c r="CK73">
        <v>5591.9999999999991</v>
      </c>
      <c r="CL73">
        <v>11</v>
      </c>
      <c r="CM73">
        <v>6151.1999999999989</v>
      </c>
      <c r="CN73">
        <v>16</v>
      </c>
      <c r="CO73">
        <v>8947.1999999999989</v>
      </c>
      <c r="CP73">
        <v>13</v>
      </c>
      <c r="CQ73">
        <v>7269.5999999999995</v>
      </c>
      <c r="CR73">
        <v>16</v>
      </c>
      <c r="CS73">
        <v>8947.1999999999989</v>
      </c>
      <c r="CT73">
        <v>9</v>
      </c>
      <c r="CU73">
        <v>5032.7999999999993</v>
      </c>
    </row>
    <row r="74" spans="2:99" x14ac:dyDescent="0.2">
      <c r="C74" s="105" t="s">
        <v>240</v>
      </c>
      <c r="D74">
        <v>0</v>
      </c>
      <c r="E74">
        <v>0</v>
      </c>
      <c r="F74">
        <v>9</v>
      </c>
      <c r="G74">
        <v>3628.7999999999997</v>
      </c>
      <c r="H74">
        <v>13</v>
      </c>
      <c r="I74">
        <v>5241.5999999999995</v>
      </c>
      <c r="J74">
        <v>13</v>
      </c>
      <c r="K74">
        <v>5241.5999999999995</v>
      </c>
      <c r="L74">
        <v>14</v>
      </c>
      <c r="M74">
        <v>5644.8</v>
      </c>
      <c r="N74">
        <v>13</v>
      </c>
      <c r="O74">
        <v>5241.5999999999995</v>
      </c>
      <c r="P74">
        <v>11</v>
      </c>
      <c r="Q74">
        <v>4435.2</v>
      </c>
      <c r="R74">
        <v>18</v>
      </c>
      <c r="S74">
        <v>7257.5999999999995</v>
      </c>
      <c r="T74">
        <v>16</v>
      </c>
      <c r="U74">
        <v>6451.2</v>
      </c>
      <c r="V74">
        <v>16</v>
      </c>
      <c r="W74">
        <v>6451.2</v>
      </c>
      <c r="X74">
        <v>16</v>
      </c>
      <c r="Y74">
        <v>6451.2</v>
      </c>
      <c r="Z74">
        <v>12</v>
      </c>
      <c r="AA74">
        <v>4838.3999999999996</v>
      </c>
      <c r="AB74">
        <v>12</v>
      </c>
      <c r="AC74">
        <v>4838.3999999999996</v>
      </c>
      <c r="AD74">
        <v>11</v>
      </c>
      <c r="AE74">
        <v>4435.2</v>
      </c>
      <c r="AF74">
        <v>17</v>
      </c>
      <c r="AG74">
        <v>6854.4</v>
      </c>
      <c r="AH74">
        <v>17</v>
      </c>
      <c r="AI74">
        <v>6854.4</v>
      </c>
      <c r="AJ74">
        <v>16</v>
      </c>
      <c r="AK74">
        <v>6451.2</v>
      </c>
      <c r="AL74">
        <v>11</v>
      </c>
      <c r="AM74">
        <v>4435.2</v>
      </c>
      <c r="AN74">
        <v>11</v>
      </c>
      <c r="AO74">
        <v>4435.2</v>
      </c>
      <c r="AP74">
        <v>16</v>
      </c>
      <c r="AQ74">
        <v>6451.2</v>
      </c>
      <c r="AR74">
        <v>14</v>
      </c>
      <c r="AS74">
        <v>5644.8</v>
      </c>
      <c r="AT74">
        <v>13</v>
      </c>
      <c r="AU74">
        <v>5241.5999999999995</v>
      </c>
      <c r="AV74">
        <v>12</v>
      </c>
      <c r="AW74">
        <v>4838.3999999999996</v>
      </c>
      <c r="AX74">
        <v>11</v>
      </c>
      <c r="AY74">
        <v>4435.2</v>
      </c>
      <c r="AZ74">
        <v>17</v>
      </c>
      <c r="BA74">
        <v>6854.4</v>
      </c>
      <c r="BB74">
        <v>11</v>
      </c>
      <c r="BC74">
        <v>4435.2</v>
      </c>
      <c r="BD74">
        <v>9</v>
      </c>
      <c r="BE74">
        <v>3628.7999999999997</v>
      </c>
      <c r="BF74">
        <v>17</v>
      </c>
      <c r="BG74">
        <v>6854.4</v>
      </c>
      <c r="BH74">
        <v>16</v>
      </c>
      <c r="BI74">
        <v>6451.2</v>
      </c>
      <c r="BJ74">
        <v>11</v>
      </c>
      <c r="BK74">
        <v>4435.2</v>
      </c>
      <c r="BL74">
        <v>15</v>
      </c>
      <c r="BM74">
        <v>6048</v>
      </c>
      <c r="BN74">
        <v>11</v>
      </c>
      <c r="BO74">
        <v>4435.2</v>
      </c>
      <c r="BP74">
        <v>13</v>
      </c>
      <c r="BQ74">
        <v>5241.5999999999995</v>
      </c>
      <c r="BR74">
        <v>14</v>
      </c>
      <c r="BS74">
        <v>5644.8</v>
      </c>
      <c r="BT74">
        <v>14</v>
      </c>
      <c r="BU74">
        <v>5644.8</v>
      </c>
      <c r="BV74">
        <v>10</v>
      </c>
      <c r="BW74">
        <v>4032</v>
      </c>
      <c r="BX74">
        <v>11</v>
      </c>
      <c r="BY74">
        <v>4435.2</v>
      </c>
      <c r="BZ74">
        <v>10</v>
      </c>
      <c r="CA74">
        <v>4032</v>
      </c>
      <c r="CB74">
        <v>16</v>
      </c>
      <c r="CC74">
        <v>6451.2</v>
      </c>
      <c r="CD74">
        <v>20</v>
      </c>
      <c r="CE74">
        <v>8064</v>
      </c>
      <c r="CF74">
        <v>13</v>
      </c>
      <c r="CG74">
        <v>5241.5999999999995</v>
      </c>
      <c r="CH74">
        <v>13</v>
      </c>
      <c r="CI74">
        <v>5241.5999999999995</v>
      </c>
      <c r="CJ74">
        <v>11</v>
      </c>
      <c r="CK74">
        <v>4435.2</v>
      </c>
      <c r="CL74">
        <v>11</v>
      </c>
      <c r="CM74">
        <v>4435.2</v>
      </c>
      <c r="CN74">
        <v>15</v>
      </c>
      <c r="CO74">
        <v>6048</v>
      </c>
      <c r="CP74">
        <v>15</v>
      </c>
      <c r="CQ74">
        <v>6048</v>
      </c>
      <c r="CR74">
        <v>14</v>
      </c>
      <c r="CS74">
        <v>5644.8</v>
      </c>
      <c r="CT74">
        <v>10</v>
      </c>
      <c r="CU74">
        <v>4032</v>
      </c>
    </row>
    <row r="75" spans="2:99" x14ac:dyDescent="0.2">
      <c r="C75" s="105" t="s">
        <v>241</v>
      </c>
      <c r="D75">
        <v>0</v>
      </c>
      <c r="E75">
        <v>0</v>
      </c>
      <c r="F75">
        <v>11</v>
      </c>
      <c r="G75">
        <v>7075.1999999999989</v>
      </c>
      <c r="H75">
        <v>11</v>
      </c>
      <c r="I75">
        <v>7075.1999999999989</v>
      </c>
      <c r="J75">
        <v>14</v>
      </c>
      <c r="K75">
        <v>9004.7999999999993</v>
      </c>
      <c r="L75">
        <v>15</v>
      </c>
      <c r="M75">
        <v>9647.9999999999982</v>
      </c>
      <c r="N75">
        <v>12</v>
      </c>
      <c r="O75">
        <v>7718.4</v>
      </c>
      <c r="P75">
        <v>10</v>
      </c>
      <c r="Q75">
        <v>6431.9999999999991</v>
      </c>
      <c r="R75">
        <v>16</v>
      </c>
      <c r="S75">
        <v>10291.199999999999</v>
      </c>
      <c r="T75">
        <v>18</v>
      </c>
      <c r="U75">
        <v>11577.599999999999</v>
      </c>
      <c r="V75">
        <v>15</v>
      </c>
      <c r="W75">
        <v>9647.9999999999982</v>
      </c>
      <c r="X75">
        <v>14</v>
      </c>
      <c r="Y75">
        <v>9004.7999999999993</v>
      </c>
      <c r="Z75">
        <v>12</v>
      </c>
      <c r="AA75">
        <v>7718.4</v>
      </c>
      <c r="AB75">
        <v>13</v>
      </c>
      <c r="AC75">
        <v>8361.5999999999985</v>
      </c>
      <c r="AD75">
        <v>11</v>
      </c>
      <c r="AE75">
        <v>7075.1999999999989</v>
      </c>
      <c r="AF75">
        <v>17</v>
      </c>
      <c r="AG75">
        <v>10934.4</v>
      </c>
      <c r="AH75">
        <v>15</v>
      </c>
      <c r="AI75">
        <v>9647.9999999999982</v>
      </c>
      <c r="AJ75">
        <v>14</v>
      </c>
      <c r="AK75">
        <v>9004.7999999999993</v>
      </c>
      <c r="AL75">
        <v>10</v>
      </c>
      <c r="AM75">
        <v>6431.9999999999991</v>
      </c>
      <c r="AN75">
        <v>12</v>
      </c>
      <c r="AO75">
        <v>7718.4</v>
      </c>
      <c r="AP75">
        <v>15</v>
      </c>
      <c r="AQ75">
        <v>9647.9999999999982</v>
      </c>
      <c r="AR75">
        <v>15</v>
      </c>
      <c r="AS75">
        <v>9647.9999999999982</v>
      </c>
      <c r="AT75">
        <v>13</v>
      </c>
      <c r="AU75">
        <v>8361.5999999999985</v>
      </c>
      <c r="AV75">
        <v>12</v>
      </c>
      <c r="AW75">
        <v>7718.4</v>
      </c>
      <c r="AX75">
        <v>11</v>
      </c>
      <c r="AY75">
        <v>7075.1999999999989</v>
      </c>
      <c r="AZ75">
        <v>19</v>
      </c>
      <c r="BA75">
        <v>12220.8</v>
      </c>
      <c r="BB75">
        <v>11</v>
      </c>
      <c r="BC75">
        <v>7075.1999999999989</v>
      </c>
      <c r="BD75">
        <v>9</v>
      </c>
      <c r="BE75">
        <v>5788.7999999999993</v>
      </c>
      <c r="BF75">
        <v>16</v>
      </c>
      <c r="BG75">
        <v>10291.199999999999</v>
      </c>
      <c r="BH75">
        <v>16</v>
      </c>
      <c r="BI75">
        <v>10291.199999999999</v>
      </c>
      <c r="BJ75">
        <v>11</v>
      </c>
      <c r="BK75">
        <v>7075.1999999999989</v>
      </c>
      <c r="BL75">
        <v>14</v>
      </c>
      <c r="BM75">
        <v>9004.7999999999993</v>
      </c>
      <c r="BN75">
        <v>12</v>
      </c>
      <c r="BO75">
        <v>7718.4</v>
      </c>
      <c r="BP75">
        <v>13</v>
      </c>
      <c r="BQ75">
        <v>8361.5999999999985</v>
      </c>
      <c r="BR75">
        <v>15</v>
      </c>
      <c r="BS75">
        <v>9647.9999999999982</v>
      </c>
      <c r="BT75">
        <v>14</v>
      </c>
      <c r="BU75">
        <v>9004.7999999999993</v>
      </c>
      <c r="BV75">
        <v>9</v>
      </c>
      <c r="BW75">
        <v>5788.7999999999993</v>
      </c>
      <c r="BX75">
        <v>9</v>
      </c>
      <c r="BY75">
        <v>5788.7999999999993</v>
      </c>
      <c r="BZ75">
        <v>10</v>
      </c>
      <c r="CA75">
        <v>6431.9999999999991</v>
      </c>
      <c r="CB75">
        <v>18</v>
      </c>
      <c r="CC75">
        <v>11577.599999999999</v>
      </c>
      <c r="CD75">
        <v>17</v>
      </c>
      <c r="CE75">
        <v>10934.4</v>
      </c>
      <c r="CF75">
        <v>14</v>
      </c>
      <c r="CG75">
        <v>9004.7999999999993</v>
      </c>
      <c r="CH75">
        <v>15</v>
      </c>
      <c r="CI75">
        <v>9647.9999999999982</v>
      </c>
      <c r="CJ75">
        <v>11</v>
      </c>
      <c r="CK75">
        <v>7075.1999999999989</v>
      </c>
      <c r="CL75">
        <v>10</v>
      </c>
      <c r="CM75">
        <v>6431.9999999999991</v>
      </c>
      <c r="CN75">
        <v>15</v>
      </c>
      <c r="CO75">
        <v>9647.9999999999982</v>
      </c>
      <c r="CP75">
        <v>15</v>
      </c>
      <c r="CQ75">
        <v>9647.9999999999982</v>
      </c>
      <c r="CR75">
        <v>17</v>
      </c>
      <c r="CS75">
        <v>10934.4</v>
      </c>
      <c r="CT75">
        <v>10</v>
      </c>
      <c r="CU75">
        <v>6431.9999999999991</v>
      </c>
    </row>
    <row r="76" spans="2:99" x14ac:dyDescent="0.2">
      <c r="C76" s="105" t="s">
        <v>242</v>
      </c>
      <c r="D76">
        <v>0</v>
      </c>
      <c r="E76">
        <v>0</v>
      </c>
      <c r="F76">
        <v>10</v>
      </c>
      <c r="G76">
        <v>7788</v>
      </c>
      <c r="H76">
        <v>11</v>
      </c>
      <c r="I76">
        <v>8566.7999999999993</v>
      </c>
      <c r="J76">
        <v>12</v>
      </c>
      <c r="K76">
        <v>9345.5999999999985</v>
      </c>
      <c r="L76">
        <v>13</v>
      </c>
      <c r="M76">
        <v>10124.4</v>
      </c>
      <c r="N76">
        <v>12</v>
      </c>
      <c r="O76">
        <v>9345.5999999999985</v>
      </c>
      <c r="P76">
        <v>10</v>
      </c>
      <c r="Q76">
        <v>7788</v>
      </c>
      <c r="R76">
        <v>15</v>
      </c>
      <c r="S76">
        <v>11682</v>
      </c>
      <c r="T76">
        <v>17</v>
      </c>
      <c r="U76">
        <v>13239.599999999999</v>
      </c>
      <c r="V76">
        <v>15</v>
      </c>
      <c r="W76">
        <v>11682</v>
      </c>
      <c r="X76">
        <v>15</v>
      </c>
      <c r="Y76">
        <v>11682</v>
      </c>
      <c r="Z76">
        <v>11</v>
      </c>
      <c r="AA76">
        <v>8566.7999999999993</v>
      </c>
      <c r="AB76">
        <v>13</v>
      </c>
      <c r="AC76">
        <v>10124.4</v>
      </c>
      <c r="AD76">
        <v>11</v>
      </c>
      <c r="AE76">
        <v>8566.7999999999993</v>
      </c>
      <c r="AF76">
        <v>18</v>
      </c>
      <c r="AG76">
        <v>14018.4</v>
      </c>
      <c r="AH76">
        <v>15</v>
      </c>
      <c r="AI76">
        <v>11682</v>
      </c>
      <c r="AJ76">
        <v>14</v>
      </c>
      <c r="AK76">
        <v>10903.199999999999</v>
      </c>
      <c r="AL76">
        <v>11</v>
      </c>
      <c r="AM76">
        <v>8566.7999999999993</v>
      </c>
      <c r="AN76">
        <v>10</v>
      </c>
      <c r="AO76">
        <v>7788</v>
      </c>
      <c r="AP76">
        <v>13</v>
      </c>
      <c r="AQ76">
        <v>10124.4</v>
      </c>
      <c r="AR76">
        <v>15</v>
      </c>
      <c r="AS76">
        <v>11682</v>
      </c>
      <c r="AT76">
        <v>13</v>
      </c>
      <c r="AU76">
        <v>10124.4</v>
      </c>
      <c r="AV76">
        <v>12</v>
      </c>
      <c r="AW76">
        <v>9345.5999999999985</v>
      </c>
      <c r="AX76">
        <v>12</v>
      </c>
      <c r="AY76">
        <v>9345.5999999999985</v>
      </c>
      <c r="AZ76">
        <v>17</v>
      </c>
      <c r="BA76">
        <v>13239.599999999999</v>
      </c>
      <c r="BB76">
        <v>9</v>
      </c>
      <c r="BC76">
        <v>7009.2</v>
      </c>
      <c r="BD76">
        <v>9</v>
      </c>
      <c r="BE76">
        <v>7009.2</v>
      </c>
      <c r="BF76">
        <v>17</v>
      </c>
      <c r="BG76">
        <v>13239.599999999999</v>
      </c>
      <c r="BH76">
        <v>14</v>
      </c>
      <c r="BI76">
        <v>10903.199999999999</v>
      </c>
      <c r="BJ76">
        <v>11</v>
      </c>
      <c r="BK76">
        <v>8566.7999999999993</v>
      </c>
      <c r="BL76">
        <v>15</v>
      </c>
      <c r="BM76">
        <v>11682</v>
      </c>
      <c r="BN76">
        <v>11</v>
      </c>
      <c r="BO76">
        <v>8566.7999999999993</v>
      </c>
      <c r="BP76">
        <v>13</v>
      </c>
      <c r="BQ76">
        <v>10124.4</v>
      </c>
      <c r="BR76">
        <v>14</v>
      </c>
      <c r="BS76">
        <v>10903.199999999999</v>
      </c>
      <c r="BT76">
        <v>14</v>
      </c>
      <c r="BU76">
        <v>10903.199999999999</v>
      </c>
      <c r="BV76">
        <v>10</v>
      </c>
      <c r="BW76">
        <v>7788</v>
      </c>
      <c r="BX76">
        <v>10</v>
      </c>
      <c r="BY76">
        <v>7788</v>
      </c>
      <c r="BZ76">
        <v>9</v>
      </c>
      <c r="CA76">
        <v>7009.2</v>
      </c>
      <c r="CB76">
        <v>15</v>
      </c>
      <c r="CC76">
        <v>11682</v>
      </c>
      <c r="CD76">
        <v>19</v>
      </c>
      <c r="CE76">
        <v>14797.199999999999</v>
      </c>
      <c r="CF76">
        <v>13</v>
      </c>
      <c r="CG76">
        <v>10124.4</v>
      </c>
      <c r="CH76">
        <v>14</v>
      </c>
      <c r="CI76">
        <v>10903.199999999999</v>
      </c>
      <c r="CJ76">
        <v>11</v>
      </c>
      <c r="CK76">
        <v>8566.7999999999993</v>
      </c>
      <c r="CL76">
        <v>11</v>
      </c>
      <c r="CM76">
        <v>8566.7999999999993</v>
      </c>
      <c r="CN76">
        <v>16</v>
      </c>
      <c r="CO76">
        <v>12460.8</v>
      </c>
      <c r="CP76">
        <v>15</v>
      </c>
      <c r="CQ76">
        <v>11682</v>
      </c>
      <c r="CR76">
        <v>16</v>
      </c>
      <c r="CS76">
        <v>12460.8</v>
      </c>
      <c r="CT76">
        <v>10</v>
      </c>
      <c r="CU76">
        <v>7788</v>
      </c>
    </row>
    <row r="77" spans="2:99" x14ac:dyDescent="0.2">
      <c r="C77" s="105" t="s">
        <v>243</v>
      </c>
      <c r="D77">
        <v>0</v>
      </c>
      <c r="E77">
        <v>0</v>
      </c>
      <c r="F77">
        <v>10</v>
      </c>
      <c r="G77">
        <v>2784</v>
      </c>
      <c r="H77">
        <v>12</v>
      </c>
      <c r="I77">
        <v>3340.7999999999997</v>
      </c>
      <c r="J77">
        <v>15</v>
      </c>
      <c r="K77">
        <v>4176</v>
      </c>
      <c r="L77">
        <v>14</v>
      </c>
      <c r="M77">
        <v>3897.5999999999995</v>
      </c>
      <c r="N77">
        <v>11</v>
      </c>
      <c r="O77">
        <v>3062.3999999999996</v>
      </c>
      <c r="P77">
        <v>10</v>
      </c>
      <c r="Q77">
        <v>2784</v>
      </c>
      <c r="R77">
        <v>19</v>
      </c>
      <c r="S77">
        <v>5289.5999999999995</v>
      </c>
      <c r="T77">
        <v>18</v>
      </c>
      <c r="U77">
        <v>5011.2</v>
      </c>
      <c r="V77">
        <v>16</v>
      </c>
      <c r="W77">
        <v>4454.3999999999996</v>
      </c>
      <c r="X77">
        <v>14</v>
      </c>
      <c r="Y77">
        <v>3897.5999999999995</v>
      </c>
      <c r="Z77">
        <v>11</v>
      </c>
      <c r="AA77">
        <v>3062.3999999999996</v>
      </c>
      <c r="AB77">
        <v>14</v>
      </c>
      <c r="AC77">
        <v>3897.5999999999995</v>
      </c>
      <c r="AD77">
        <v>12</v>
      </c>
      <c r="AE77">
        <v>3340.7999999999997</v>
      </c>
      <c r="AF77">
        <v>17</v>
      </c>
      <c r="AG77">
        <v>4732.7999999999993</v>
      </c>
      <c r="AH77">
        <v>16</v>
      </c>
      <c r="AI77">
        <v>4454.3999999999996</v>
      </c>
      <c r="AJ77">
        <v>16</v>
      </c>
      <c r="AK77">
        <v>4454.3999999999996</v>
      </c>
      <c r="AL77">
        <v>11</v>
      </c>
      <c r="AM77">
        <v>3062.3999999999996</v>
      </c>
      <c r="AN77">
        <v>11</v>
      </c>
      <c r="AO77">
        <v>3062.3999999999996</v>
      </c>
      <c r="AP77">
        <v>14</v>
      </c>
      <c r="AQ77">
        <v>3897.5999999999995</v>
      </c>
      <c r="AR77">
        <v>16</v>
      </c>
      <c r="AS77">
        <v>4454.3999999999996</v>
      </c>
      <c r="AT77">
        <v>14</v>
      </c>
      <c r="AU77">
        <v>3897.5999999999995</v>
      </c>
      <c r="AV77">
        <v>13</v>
      </c>
      <c r="AW77">
        <v>3619.2</v>
      </c>
      <c r="AX77">
        <v>11</v>
      </c>
      <c r="AY77">
        <v>3062.3999999999996</v>
      </c>
      <c r="AZ77">
        <v>19</v>
      </c>
      <c r="BA77">
        <v>5289.5999999999995</v>
      </c>
      <c r="BB77">
        <v>11</v>
      </c>
      <c r="BC77">
        <v>3062.3999999999996</v>
      </c>
      <c r="BD77">
        <v>9</v>
      </c>
      <c r="BE77">
        <v>2505.6</v>
      </c>
      <c r="BF77">
        <v>18</v>
      </c>
      <c r="BG77">
        <v>5011.2</v>
      </c>
      <c r="BH77">
        <v>15</v>
      </c>
      <c r="BI77">
        <v>4176</v>
      </c>
      <c r="BJ77">
        <v>11</v>
      </c>
      <c r="BK77">
        <v>3062.3999999999996</v>
      </c>
      <c r="BL77">
        <v>14</v>
      </c>
      <c r="BM77">
        <v>3897.5999999999995</v>
      </c>
      <c r="BN77">
        <v>13</v>
      </c>
      <c r="BO77">
        <v>3619.2</v>
      </c>
      <c r="BP77">
        <v>15</v>
      </c>
      <c r="BQ77">
        <v>4176</v>
      </c>
      <c r="BR77">
        <v>17</v>
      </c>
      <c r="BS77">
        <v>4732.7999999999993</v>
      </c>
      <c r="BT77">
        <v>14</v>
      </c>
      <c r="BU77">
        <v>3897.5999999999995</v>
      </c>
      <c r="BV77">
        <v>10</v>
      </c>
      <c r="BW77">
        <v>2784</v>
      </c>
      <c r="BX77">
        <v>10</v>
      </c>
      <c r="BY77">
        <v>2784</v>
      </c>
      <c r="BZ77">
        <v>9</v>
      </c>
      <c r="CA77">
        <v>2505.6</v>
      </c>
      <c r="CB77">
        <v>15</v>
      </c>
      <c r="CC77">
        <v>4176</v>
      </c>
      <c r="CD77">
        <v>18</v>
      </c>
      <c r="CE77">
        <v>5011.2</v>
      </c>
      <c r="CF77">
        <v>14</v>
      </c>
      <c r="CG77">
        <v>3897.5999999999995</v>
      </c>
      <c r="CH77">
        <v>15</v>
      </c>
      <c r="CI77">
        <v>4176</v>
      </c>
      <c r="CJ77">
        <v>11</v>
      </c>
      <c r="CK77">
        <v>3062.3999999999996</v>
      </c>
      <c r="CL77">
        <v>11</v>
      </c>
      <c r="CM77">
        <v>3062.3999999999996</v>
      </c>
      <c r="CN77">
        <v>16</v>
      </c>
      <c r="CO77">
        <v>4454.3999999999996</v>
      </c>
      <c r="CP77">
        <v>16</v>
      </c>
      <c r="CQ77">
        <v>4454.3999999999996</v>
      </c>
      <c r="CR77">
        <v>15</v>
      </c>
      <c r="CS77">
        <v>4176</v>
      </c>
      <c r="CT77">
        <v>11</v>
      </c>
      <c r="CU77">
        <v>3062.3999999999996</v>
      </c>
    </row>
    <row r="78" spans="2:99" x14ac:dyDescent="0.2">
      <c r="C78" s="105" t="s">
        <v>244</v>
      </c>
      <c r="D78">
        <v>0</v>
      </c>
      <c r="E78">
        <v>0</v>
      </c>
      <c r="F78">
        <v>11</v>
      </c>
      <c r="G78">
        <v>6072</v>
      </c>
      <c r="H78">
        <v>12</v>
      </c>
      <c r="I78">
        <v>6624</v>
      </c>
      <c r="J78">
        <v>13</v>
      </c>
      <c r="K78">
        <v>7176</v>
      </c>
      <c r="L78">
        <v>15</v>
      </c>
      <c r="M78">
        <v>8280</v>
      </c>
      <c r="N78">
        <v>13</v>
      </c>
      <c r="O78">
        <v>7176</v>
      </c>
      <c r="P78">
        <v>9</v>
      </c>
      <c r="Q78">
        <v>4968</v>
      </c>
      <c r="R78">
        <v>18</v>
      </c>
      <c r="S78">
        <v>9936</v>
      </c>
      <c r="T78">
        <v>19</v>
      </c>
      <c r="U78">
        <v>10488</v>
      </c>
      <c r="V78">
        <v>16</v>
      </c>
      <c r="W78">
        <v>8832</v>
      </c>
      <c r="X78">
        <v>15</v>
      </c>
      <c r="Y78">
        <v>8280</v>
      </c>
      <c r="Z78">
        <v>12</v>
      </c>
      <c r="AA78">
        <v>6624</v>
      </c>
      <c r="AB78">
        <v>12</v>
      </c>
      <c r="AC78">
        <v>6624</v>
      </c>
      <c r="AD78">
        <v>11</v>
      </c>
      <c r="AE78">
        <v>6072</v>
      </c>
      <c r="AF78">
        <v>16</v>
      </c>
      <c r="AG78">
        <v>8832</v>
      </c>
      <c r="AH78">
        <v>16</v>
      </c>
      <c r="AI78">
        <v>8832</v>
      </c>
      <c r="AJ78">
        <v>14</v>
      </c>
      <c r="AK78">
        <v>7728</v>
      </c>
      <c r="AL78">
        <v>9</v>
      </c>
      <c r="AM78">
        <v>4968</v>
      </c>
      <c r="AN78">
        <v>11</v>
      </c>
      <c r="AO78">
        <v>6072</v>
      </c>
      <c r="AP78">
        <v>15</v>
      </c>
      <c r="AQ78">
        <v>8280</v>
      </c>
      <c r="AR78">
        <v>16</v>
      </c>
      <c r="AS78">
        <v>8832</v>
      </c>
      <c r="AT78">
        <v>14</v>
      </c>
      <c r="AU78">
        <v>7728</v>
      </c>
      <c r="AV78">
        <v>12</v>
      </c>
      <c r="AW78">
        <v>6624</v>
      </c>
      <c r="AX78">
        <v>11</v>
      </c>
      <c r="AY78">
        <v>6072</v>
      </c>
      <c r="AZ78">
        <v>18</v>
      </c>
      <c r="BA78">
        <v>9936</v>
      </c>
      <c r="BB78">
        <v>10</v>
      </c>
      <c r="BC78">
        <v>5520</v>
      </c>
      <c r="BD78">
        <v>9</v>
      </c>
      <c r="BE78">
        <v>4968</v>
      </c>
      <c r="BF78">
        <v>15</v>
      </c>
      <c r="BG78">
        <v>8280</v>
      </c>
      <c r="BH78">
        <v>14</v>
      </c>
      <c r="BI78">
        <v>7728</v>
      </c>
      <c r="BJ78">
        <v>11</v>
      </c>
      <c r="BK78">
        <v>6072</v>
      </c>
      <c r="BL78">
        <v>15</v>
      </c>
      <c r="BM78">
        <v>8280</v>
      </c>
      <c r="BN78">
        <v>11</v>
      </c>
      <c r="BO78">
        <v>6072</v>
      </c>
      <c r="BP78">
        <v>14</v>
      </c>
      <c r="BQ78">
        <v>7728</v>
      </c>
      <c r="BR78">
        <v>15</v>
      </c>
      <c r="BS78">
        <v>8280</v>
      </c>
      <c r="BT78">
        <v>13</v>
      </c>
      <c r="BU78">
        <v>7176</v>
      </c>
      <c r="BV78">
        <v>10</v>
      </c>
      <c r="BW78">
        <v>5520</v>
      </c>
      <c r="BX78">
        <v>9</v>
      </c>
      <c r="BY78">
        <v>4968</v>
      </c>
      <c r="BZ78">
        <v>10</v>
      </c>
      <c r="CA78">
        <v>5520</v>
      </c>
      <c r="CB78">
        <v>16</v>
      </c>
      <c r="CC78">
        <v>8832</v>
      </c>
      <c r="CD78">
        <v>18</v>
      </c>
      <c r="CE78">
        <v>9936</v>
      </c>
      <c r="CF78">
        <v>12</v>
      </c>
      <c r="CG78">
        <v>6624</v>
      </c>
      <c r="CH78">
        <v>14</v>
      </c>
      <c r="CI78">
        <v>7728</v>
      </c>
      <c r="CJ78">
        <v>10</v>
      </c>
      <c r="CK78">
        <v>5520</v>
      </c>
      <c r="CL78">
        <v>10</v>
      </c>
      <c r="CM78">
        <v>5520</v>
      </c>
      <c r="CN78">
        <v>17</v>
      </c>
      <c r="CO78">
        <v>9384</v>
      </c>
      <c r="CP78">
        <v>15</v>
      </c>
      <c r="CQ78">
        <v>8280</v>
      </c>
      <c r="CR78">
        <v>17</v>
      </c>
      <c r="CS78">
        <v>9384</v>
      </c>
      <c r="CT78">
        <v>9</v>
      </c>
      <c r="CU78">
        <v>4968</v>
      </c>
    </row>
    <row r="79" spans="2:99" x14ac:dyDescent="0.2">
      <c r="C79" s="105" t="s">
        <v>245</v>
      </c>
      <c r="D79">
        <v>0</v>
      </c>
      <c r="E79">
        <v>0</v>
      </c>
      <c r="F79">
        <v>10</v>
      </c>
      <c r="G79">
        <v>7571.9999999999991</v>
      </c>
      <c r="H79">
        <v>12</v>
      </c>
      <c r="I79">
        <v>9086.4</v>
      </c>
      <c r="J79">
        <v>14</v>
      </c>
      <c r="K79">
        <v>10600.8</v>
      </c>
      <c r="L79">
        <v>15</v>
      </c>
      <c r="M79">
        <v>11357.999999999998</v>
      </c>
      <c r="N79">
        <v>13</v>
      </c>
      <c r="O79">
        <v>9843.5999999999985</v>
      </c>
      <c r="P79">
        <v>10</v>
      </c>
      <c r="Q79">
        <v>7571.9999999999991</v>
      </c>
      <c r="R79">
        <v>16</v>
      </c>
      <c r="S79">
        <v>12115.199999999999</v>
      </c>
      <c r="T79">
        <v>18</v>
      </c>
      <c r="U79">
        <v>13629.599999999999</v>
      </c>
      <c r="V79">
        <v>15</v>
      </c>
      <c r="W79">
        <v>11357.999999999998</v>
      </c>
      <c r="X79">
        <v>14</v>
      </c>
      <c r="Y79">
        <v>10600.8</v>
      </c>
      <c r="Z79">
        <v>12</v>
      </c>
      <c r="AA79">
        <v>9086.4</v>
      </c>
      <c r="AB79">
        <v>13</v>
      </c>
      <c r="AC79">
        <v>9843.5999999999985</v>
      </c>
      <c r="AD79">
        <v>10</v>
      </c>
      <c r="AE79">
        <v>7571.9999999999991</v>
      </c>
      <c r="AF79">
        <v>18</v>
      </c>
      <c r="AG79">
        <v>13629.599999999999</v>
      </c>
      <c r="AH79">
        <v>14</v>
      </c>
      <c r="AI79">
        <v>10600.8</v>
      </c>
      <c r="AJ79">
        <v>15</v>
      </c>
      <c r="AK79">
        <v>11357.999999999998</v>
      </c>
      <c r="AL79">
        <v>9</v>
      </c>
      <c r="AM79">
        <v>6814.7999999999993</v>
      </c>
      <c r="AN79">
        <v>10</v>
      </c>
      <c r="AO79">
        <v>7571.9999999999991</v>
      </c>
      <c r="AP79">
        <v>15</v>
      </c>
      <c r="AQ79">
        <v>11357.999999999998</v>
      </c>
      <c r="AR79">
        <v>16</v>
      </c>
      <c r="AS79">
        <v>12115.199999999999</v>
      </c>
      <c r="AT79">
        <v>14</v>
      </c>
      <c r="AU79">
        <v>10600.8</v>
      </c>
      <c r="AV79">
        <v>12</v>
      </c>
      <c r="AW79">
        <v>9086.4</v>
      </c>
      <c r="AX79">
        <v>11</v>
      </c>
      <c r="AY79">
        <v>8329.1999999999989</v>
      </c>
      <c r="AZ79">
        <v>16</v>
      </c>
      <c r="BA79">
        <v>12115.199999999999</v>
      </c>
      <c r="BB79">
        <v>10</v>
      </c>
      <c r="BC79">
        <v>7571.9999999999991</v>
      </c>
      <c r="BD79">
        <v>9</v>
      </c>
      <c r="BE79">
        <v>6814.7999999999993</v>
      </c>
      <c r="BF79">
        <v>16</v>
      </c>
      <c r="BG79">
        <v>12115.199999999999</v>
      </c>
      <c r="BH79">
        <v>16</v>
      </c>
      <c r="BI79">
        <v>12115.199999999999</v>
      </c>
      <c r="BJ79">
        <v>9</v>
      </c>
      <c r="BK79">
        <v>6814.7999999999993</v>
      </c>
      <c r="BL79">
        <v>13</v>
      </c>
      <c r="BM79">
        <v>9843.5999999999985</v>
      </c>
      <c r="BN79">
        <v>13</v>
      </c>
      <c r="BO79">
        <v>9843.5999999999985</v>
      </c>
      <c r="BP79">
        <v>13</v>
      </c>
      <c r="BQ79">
        <v>9843.5999999999985</v>
      </c>
      <c r="BR79">
        <v>14</v>
      </c>
      <c r="BS79">
        <v>10600.8</v>
      </c>
      <c r="BT79">
        <v>12</v>
      </c>
      <c r="BU79">
        <v>9086.4</v>
      </c>
      <c r="BV79">
        <v>9</v>
      </c>
      <c r="BW79">
        <v>6814.7999999999993</v>
      </c>
      <c r="BX79">
        <v>9</v>
      </c>
      <c r="BY79">
        <v>6814.7999999999993</v>
      </c>
      <c r="BZ79">
        <v>9</v>
      </c>
      <c r="CA79">
        <v>6814.7999999999993</v>
      </c>
      <c r="CB79">
        <v>16</v>
      </c>
      <c r="CC79">
        <v>12115.199999999999</v>
      </c>
      <c r="CD79">
        <v>16</v>
      </c>
      <c r="CE79">
        <v>12115.199999999999</v>
      </c>
      <c r="CF79">
        <v>13</v>
      </c>
      <c r="CG79">
        <v>9843.5999999999985</v>
      </c>
      <c r="CH79">
        <v>14</v>
      </c>
      <c r="CI79">
        <v>10600.8</v>
      </c>
      <c r="CJ79">
        <v>11</v>
      </c>
      <c r="CK79">
        <v>8329.1999999999989</v>
      </c>
      <c r="CL79">
        <v>11</v>
      </c>
      <c r="CM79">
        <v>8329.1999999999989</v>
      </c>
      <c r="CN79">
        <v>16</v>
      </c>
      <c r="CO79">
        <v>12115.199999999999</v>
      </c>
      <c r="CP79">
        <v>14</v>
      </c>
      <c r="CQ79">
        <v>10600.8</v>
      </c>
      <c r="CR79">
        <v>15</v>
      </c>
      <c r="CS79">
        <v>11357.999999999998</v>
      </c>
      <c r="CT79">
        <v>10</v>
      </c>
      <c r="CU79">
        <v>7571.9999999999991</v>
      </c>
    </row>
    <row r="80" spans="2:99" x14ac:dyDescent="0.2">
      <c r="C80" s="105" t="s">
        <v>246</v>
      </c>
      <c r="D80">
        <v>0</v>
      </c>
      <c r="E80">
        <v>0</v>
      </c>
      <c r="F80">
        <v>9</v>
      </c>
      <c r="G80">
        <v>7246.7999999999993</v>
      </c>
      <c r="H80">
        <v>11</v>
      </c>
      <c r="I80">
        <v>8857.1999999999989</v>
      </c>
      <c r="J80">
        <v>13</v>
      </c>
      <c r="K80">
        <v>10467.599999999999</v>
      </c>
      <c r="L80">
        <v>14</v>
      </c>
      <c r="M80">
        <v>11272.8</v>
      </c>
      <c r="N80">
        <v>12</v>
      </c>
      <c r="O80">
        <v>9662.4</v>
      </c>
      <c r="P80">
        <v>10</v>
      </c>
      <c r="Q80">
        <v>8051.9999999999991</v>
      </c>
      <c r="R80">
        <v>15</v>
      </c>
      <c r="S80">
        <v>12077.999999999998</v>
      </c>
      <c r="T80">
        <v>17</v>
      </c>
      <c r="U80">
        <v>13688.4</v>
      </c>
      <c r="V80">
        <v>14</v>
      </c>
      <c r="W80">
        <v>11272.8</v>
      </c>
      <c r="X80">
        <v>13</v>
      </c>
      <c r="Y80">
        <v>10467.599999999999</v>
      </c>
      <c r="Z80">
        <v>13</v>
      </c>
      <c r="AA80">
        <v>10467.599999999999</v>
      </c>
      <c r="AB80">
        <v>11</v>
      </c>
      <c r="AC80">
        <v>8857.1999999999989</v>
      </c>
      <c r="AD80">
        <v>10</v>
      </c>
      <c r="AE80">
        <v>8051.9999999999991</v>
      </c>
      <c r="AF80">
        <v>16</v>
      </c>
      <c r="AG80">
        <v>12883.199999999999</v>
      </c>
      <c r="AH80">
        <v>15</v>
      </c>
      <c r="AI80">
        <v>12077.999999999998</v>
      </c>
      <c r="AJ80">
        <v>13</v>
      </c>
      <c r="AK80">
        <v>10467.599999999999</v>
      </c>
      <c r="AL80">
        <v>10</v>
      </c>
      <c r="AM80">
        <v>8051.9999999999991</v>
      </c>
      <c r="AN80">
        <v>10</v>
      </c>
      <c r="AO80">
        <v>8051.9999999999991</v>
      </c>
      <c r="AP80">
        <v>14</v>
      </c>
      <c r="AQ80">
        <v>11272.8</v>
      </c>
      <c r="AR80">
        <v>16</v>
      </c>
      <c r="AS80">
        <v>12883.199999999999</v>
      </c>
      <c r="AT80">
        <v>13</v>
      </c>
      <c r="AU80">
        <v>10467.599999999999</v>
      </c>
      <c r="AV80">
        <v>11</v>
      </c>
      <c r="AW80">
        <v>8857.1999999999989</v>
      </c>
      <c r="AX80">
        <v>11</v>
      </c>
      <c r="AY80">
        <v>8857.1999999999989</v>
      </c>
      <c r="AZ80">
        <v>18</v>
      </c>
      <c r="BA80">
        <v>14493.599999999999</v>
      </c>
      <c r="BB80">
        <v>10</v>
      </c>
      <c r="BC80">
        <v>8051.9999999999991</v>
      </c>
      <c r="BD80">
        <v>8</v>
      </c>
      <c r="BE80">
        <v>6441.5999999999995</v>
      </c>
      <c r="BF80">
        <v>17</v>
      </c>
      <c r="BG80">
        <v>13688.4</v>
      </c>
      <c r="BH80">
        <v>14</v>
      </c>
      <c r="BI80">
        <v>11272.8</v>
      </c>
      <c r="BJ80">
        <v>10</v>
      </c>
      <c r="BK80">
        <v>8051.9999999999991</v>
      </c>
      <c r="BL80">
        <v>15</v>
      </c>
      <c r="BM80">
        <v>12077.999999999998</v>
      </c>
      <c r="BN80">
        <v>12</v>
      </c>
      <c r="BO80">
        <v>9662.4</v>
      </c>
      <c r="BP80">
        <v>13</v>
      </c>
      <c r="BQ80">
        <v>10467.599999999999</v>
      </c>
      <c r="BR80">
        <v>16</v>
      </c>
      <c r="BS80">
        <v>12883.199999999999</v>
      </c>
      <c r="BT80">
        <v>14</v>
      </c>
      <c r="BU80">
        <v>11272.8</v>
      </c>
      <c r="BV80">
        <v>9</v>
      </c>
      <c r="BW80">
        <v>7246.7999999999993</v>
      </c>
      <c r="BX80">
        <v>10</v>
      </c>
      <c r="BY80">
        <v>8051.9999999999991</v>
      </c>
      <c r="BZ80">
        <v>8</v>
      </c>
      <c r="CA80">
        <v>6441.5999999999995</v>
      </c>
      <c r="CB80">
        <v>15</v>
      </c>
      <c r="CC80">
        <v>12077.999999999998</v>
      </c>
      <c r="CD80">
        <v>19</v>
      </c>
      <c r="CE80">
        <v>15298.8</v>
      </c>
      <c r="CF80">
        <v>13</v>
      </c>
      <c r="CG80">
        <v>10467.599999999999</v>
      </c>
      <c r="CH80">
        <v>13</v>
      </c>
      <c r="CI80">
        <v>10467.599999999999</v>
      </c>
      <c r="CJ80">
        <v>11</v>
      </c>
      <c r="CK80">
        <v>8857.1999999999989</v>
      </c>
      <c r="CL80">
        <v>11</v>
      </c>
      <c r="CM80">
        <v>8857.1999999999989</v>
      </c>
      <c r="CN80">
        <v>15</v>
      </c>
      <c r="CO80">
        <v>12077.999999999998</v>
      </c>
      <c r="CP80">
        <v>15</v>
      </c>
      <c r="CQ80">
        <v>12077.999999999998</v>
      </c>
      <c r="CR80">
        <v>15</v>
      </c>
      <c r="CS80">
        <v>12077.999999999998</v>
      </c>
      <c r="CT80">
        <v>9</v>
      </c>
      <c r="CU80">
        <v>7246.7999999999993</v>
      </c>
    </row>
    <row r="81" spans="2:99" x14ac:dyDescent="0.2">
      <c r="C81" s="105" t="s">
        <v>247</v>
      </c>
      <c r="D81">
        <v>0</v>
      </c>
      <c r="E81">
        <v>0</v>
      </c>
      <c r="F81">
        <v>10</v>
      </c>
      <c r="G81">
        <v>7536</v>
      </c>
      <c r="H81">
        <v>11</v>
      </c>
      <c r="I81">
        <v>8289.6</v>
      </c>
      <c r="J81">
        <v>12</v>
      </c>
      <c r="K81">
        <v>9043.2000000000007</v>
      </c>
      <c r="L81">
        <v>15</v>
      </c>
      <c r="M81">
        <v>11304</v>
      </c>
      <c r="N81">
        <v>11</v>
      </c>
      <c r="O81">
        <v>8289.6</v>
      </c>
      <c r="P81">
        <v>10</v>
      </c>
      <c r="Q81">
        <v>7536</v>
      </c>
      <c r="R81">
        <v>17</v>
      </c>
      <c r="S81">
        <v>12811.2</v>
      </c>
      <c r="T81">
        <v>18</v>
      </c>
      <c r="U81">
        <v>13564.800000000001</v>
      </c>
      <c r="V81">
        <v>15</v>
      </c>
      <c r="W81">
        <v>11304</v>
      </c>
      <c r="X81">
        <v>15</v>
      </c>
      <c r="Y81">
        <v>11304</v>
      </c>
      <c r="Z81">
        <v>12</v>
      </c>
      <c r="AA81">
        <v>9043.2000000000007</v>
      </c>
      <c r="AB81">
        <v>11</v>
      </c>
      <c r="AC81">
        <v>8289.6</v>
      </c>
      <c r="AD81">
        <v>11</v>
      </c>
      <c r="AE81">
        <v>8289.6</v>
      </c>
      <c r="AF81">
        <v>17</v>
      </c>
      <c r="AG81">
        <v>12811.2</v>
      </c>
      <c r="AH81">
        <v>15</v>
      </c>
      <c r="AI81">
        <v>11304</v>
      </c>
      <c r="AJ81">
        <v>16</v>
      </c>
      <c r="AK81">
        <v>12057.6</v>
      </c>
      <c r="AL81">
        <v>10</v>
      </c>
      <c r="AM81">
        <v>7536</v>
      </c>
      <c r="AN81">
        <v>11</v>
      </c>
      <c r="AO81">
        <v>8289.6</v>
      </c>
      <c r="AP81">
        <v>15</v>
      </c>
      <c r="AQ81">
        <v>11304</v>
      </c>
      <c r="AR81">
        <v>16</v>
      </c>
      <c r="AS81">
        <v>12057.6</v>
      </c>
      <c r="AT81">
        <v>14</v>
      </c>
      <c r="AU81">
        <v>10550.4</v>
      </c>
      <c r="AV81">
        <v>12</v>
      </c>
      <c r="AW81">
        <v>9043.2000000000007</v>
      </c>
      <c r="AX81">
        <v>11</v>
      </c>
      <c r="AY81">
        <v>8289.6</v>
      </c>
      <c r="AZ81">
        <v>17</v>
      </c>
      <c r="BA81">
        <v>12811.2</v>
      </c>
      <c r="BB81">
        <v>10</v>
      </c>
      <c r="BC81">
        <v>7536</v>
      </c>
      <c r="BD81">
        <v>9</v>
      </c>
      <c r="BE81">
        <v>6782.4000000000005</v>
      </c>
      <c r="BF81">
        <v>16</v>
      </c>
      <c r="BG81">
        <v>12057.6</v>
      </c>
      <c r="BH81">
        <v>15</v>
      </c>
      <c r="BI81">
        <v>11304</v>
      </c>
      <c r="BJ81">
        <v>10</v>
      </c>
      <c r="BK81">
        <v>7536</v>
      </c>
      <c r="BL81">
        <v>15</v>
      </c>
      <c r="BM81">
        <v>11304</v>
      </c>
      <c r="BN81">
        <v>13</v>
      </c>
      <c r="BO81">
        <v>9796.8000000000011</v>
      </c>
      <c r="BP81">
        <v>12</v>
      </c>
      <c r="BQ81">
        <v>9043.2000000000007</v>
      </c>
      <c r="BR81">
        <v>16</v>
      </c>
      <c r="BS81">
        <v>12057.6</v>
      </c>
      <c r="BT81">
        <v>13</v>
      </c>
      <c r="BU81">
        <v>9796.8000000000011</v>
      </c>
      <c r="BV81">
        <v>8</v>
      </c>
      <c r="BW81">
        <v>6028.8</v>
      </c>
      <c r="BX81">
        <v>9</v>
      </c>
      <c r="BY81">
        <v>6782.4000000000005</v>
      </c>
      <c r="BZ81">
        <v>9</v>
      </c>
      <c r="CA81">
        <v>6782.4000000000005</v>
      </c>
      <c r="CB81">
        <v>17</v>
      </c>
      <c r="CC81">
        <v>12811.2</v>
      </c>
      <c r="CD81">
        <v>19</v>
      </c>
      <c r="CE81">
        <v>14318.4</v>
      </c>
      <c r="CF81">
        <v>13</v>
      </c>
      <c r="CG81">
        <v>9796.8000000000011</v>
      </c>
      <c r="CH81">
        <v>13</v>
      </c>
      <c r="CI81">
        <v>9796.8000000000011</v>
      </c>
      <c r="CJ81">
        <v>11</v>
      </c>
      <c r="CK81">
        <v>8289.6</v>
      </c>
      <c r="CL81">
        <v>10</v>
      </c>
      <c r="CM81">
        <v>7536</v>
      </c>
      <c r="CN81">
        <v>17</v>
      </c>
      <c r="CO81">
        <v>12811.2</v>
      </c>
      <c r="CP81">
        <v>13</v>
      </c>
      <c r="CQ81">
        <v>9796.8000000000011</v>
      </c>
      <c r="CR81">
        <v>17</v>
      </c>
      <c r="CS81">
        <v>12811.2</v>
      </c>
      <c r="CT81">
        <v>10</v>
      </c>
      <c r="CU81">
        <v>7536</v>
      </c>
    </row>
    <row r="82" spans="2:99" x14ac:dyDescent="0.2">
      <c r="C82" s="105" t="s">
        <v>248</v>
      </c>
      <c r="D82">
        <v>0</v>
      </c>
      <c r="E82">
        <v>0</v>
      </c>
      <c r="F82">
        <v>11</v>
      </c>
      <c r="G82">
        <v>5596.7999999999993</v>
      </c>
      <c r="H82">
        <v>13</v>
      </c>
      <c r="I82">
        <v>6614.3999999999987</v>
      </c>
      <c r="J82">
        <v>14</v>
      </c>
      <c r="K82">
        <v>7123.1999999999989</v>
      </c>
      <c r="L82">
        <v>14</v>
      </c>
      <c r="M82">
        <v>7123.1999999999989</v>
      </c>
      <c r="N82">
        <v>12</v>
      </c>
      <c r="O82">
        <v>6105.5999999999985</v>
      </c>
      <c r="P82">
        <v>9</v>
      </c>
      <c r="Q82">
        <v>4579.1999999999989</v>
      </c>
      <c r="R82">
        <v>18</v>
      </c>
      <c r="S82">
        <v>9158.3999999999978</v>
      </c>
      <c r="T82">
        <v>17</v>
      </c>
      <c r="U82">
        <v>8649.5999999999985</v>
      </c>
      <c r="V82">
        <v>15</v>
      </c>
      <c r="W82">
        <v>7631.9999999999982</v>
      </c>
      <c r="X82">
        <v>15</v>
      </c>
      <c r="Y82">
        <v>7631.9999999999982</v>
      </c>
      <c r="Z82">
        <v>11</v>
      </c>
      <c r="AA82">
        <v>5596.7999999999993</v>
      </c>
      <c r="AB82">
        <v>13</v>
      </c>
      <c r="AC82">
        <v>6614.3999999999987</v>
      </c>
      <c r="AD82">
        <v>11</v>
      </c>
      <c r="AE82">
        <v>5596.7999999999993</v>
      </c>
      <c r="AF82">
        <v>16</v>
      </c>
      <c r="AG82">
        <v>8140.7999999999984</v>
      </c>
      <c r="AH82">
        <v>15</v>
      </c>
      <c r="AI82">
        <v>7631.9999999999982</v>
      </c>
      <c r="AJ82">
        <v>15</v>
      </c>
      <c r="AK82">
        <v>7631.9999999999982</v>
      </c>
      <c r="AL82">
        <v>11</v>
      </c>
      <c r="AM82">
        <v>5596.7999999999993</v>
      </c>
      <c r="AN82">
        <v>11</v>
      </c>
      <c r="AO82">
        <v>5596.7999999999993</v>
      </c>
      <c r="AP82">
        <v>15</v>
      </c>
      <c r="AQ82">
        <v>7631.9999999999982</v>
      </c>
      <c r="AR82">
        <v>16</v>
      </c>
      <c r="AS82">
        <v>8140.7999999999984</v>
      </c>
      <c r="AT82">
        <v>13</v>
      </c>
      <c r="AU82">
        <v>6614.3999999999987</v>
      </c>
      <c r="AV82">
        <v>11</v>
      </c>
      <c r="AW82">
        <v>5596.7999999999993</v>
      </c>
      <c r="AX82">
        <v>12</v>
      </c>
      <c r="AY82">
        <v>6105.5999999999985</v>
      </c>
      <c r="AZ82">
        <v>19</v>
      </c>
      <c r="BA82">
        <v>9667.1999999999989</v>
      </c>
      <c r="BB82">
        <v>11</v>
      </c>
      <c r="BC82">
        <v>5596.7999999999993</v>
      </c>
      <c r="BD82">
        <v>10</v>
      </c>
      <c r="BE82">
        <v>5087.9999999999991</v>
      </c>
      <c r="BF82">
        <v>16</v>
      </c>
      <c r="BG82">
        <v>8140.7999999999984</v>
      </c>
      <c r="BH82">
        <v>15</v>
      </c>
      <c r="BI82">
        <v>7631.9999999999982</v>
      </c>
      <c r="BJ82">
        <v>9</v>
      </c>
      <c r="BK82">
        <v>4579.1999999999989</v>
      </c>
      <c r="BL82">
        <v>16</v>
      </c>
      <c r="BM82">
        <v>8140.7999999999984</v>
      </c>
      <c r="BN82">
        <v>12</v>
      </c>
      <c r="BO82">
        <v>6105.5999999999985</v>
      </c>
      <c r="BP82">
        <v>13</v>
      </c>
      <c r="BQ82">
        <v>6614.3999999999987</v>
      </c>
      <c r="BR82">
        <v>15</v>
      </c>
      <c r="BS82">
        <v>7631.9999999999982</v>
      </c>
      <c r="BT82">
        <v>13</v>
      </c>
      <c r="BU82">
        <v>6614.3999999999987</v>
      </c>
      <c r="BV82">
        <v>10</v>
      </c>
      <c r="BW82">
        <v>5087.9999999999991</v>
      </c>
      <c r="BX82">
        <v>10</v>
      </c>
      <c r="BY82">
        <v>5087.9999999999991</v>
      </c>
      <c r="BZ82">
        <v>10</v>
      </c>
      <c r="CA82">
        <v>5087.9999999999991</v>
      </c>
      <c r="CB82">
        <v>16</v>
      </c>
      <c r="CC82">
        <v>8140.7999999999984</v>
      </c>
      <c r="CD82">
        <v>17</v>
      </c>
      <c r="CE82">
        <v>8649.5999999999985</v>
      </c>
      <c r="CF82">
        <v>14</v>
      </c>
      <c r="CG82">
        <v>7123.1999999999989</v>
      </c>
      <c r="CH82">
        <v>16</v>
      </c>
      <c r="CI82">
        <v>8140.7999999999984</v>
      </c>
      <c r="CJ82">
        <v>12</v>
      </c>
      <c r="CK82">
        <v>6105.5999999999985</v>
      </c>
      <c r="CL82">
        <v>11</v>
      </c>
      <c r="CM82">
        <v>5596.7999999999993</v>
      </c>
      <c r="CN82">
        <v>18</v>
      </c>
      <c r="CO82">
        <v>9158.3999999999978</v>
      </c>
      <c r="CP82">
        <v>15</v>
      </c>
      <c r="CQ82">
        <v>7631.9999999999982</v>
      </c>
      <c r="CR82">
        <v>15</v>
      </c>
      <c r="CS82">
        <v>7631.9999999999982</v>
      </c>
      <c r="CT82">
        <v>9</v>
      </c>
      <c r="CU82">
        <v>4579.1999999999989</v>
      </c>
    </row>
    <row r="83" spans="2:99" x14ac:dyDescent="0.2">
      <c r="C83" s="105" t="s">
        <v>249</v>
      </c>
      <c r="D83">
        <v>0</v>
      </c>
      <c r="E83">
        <v>0</v>
      </c>
      <c r="F83">
        <v>9</v>
      </c>
      <c r="G83">
        <v>7743.5999999999995</v>
      </c>
      <c r="H83">
        <v>12</v>
      </c>
      <c r="I83">
        <v>10324.799999999999</v>
      </c>
      <c r="J83">
        <v>14</v>
      </c>
      <c r="K83">
        <v>12045.6</v>
      </c>
      <c r="L83">
        <v>15</v>
      </c>
      <c r="M83">
        <v>12906</v>
      </c>
      <c r="N83">
        <v>11</v>
      </c>
      <c r="O83">
        <v>9464.4</v>
      </c>
      <c r="P83">
        <v>10</v>
      </c>
      <c r="Q83">
        <v>8604</v>
      </c>
      <c r="R83">
        <v>16</v>
      </c>
      <c r="S83">
        <v>13766.4</v>
      </c>
      <c r="T83">
        <v>16</v>
      </c>
      <c r="U83">
        <v>13766.4</v>
      </c>
      <c r="V83">
        <v>17</v>
      </c>
      <c r="W83">
        <v>14626.8</v>
      </c>
      <c r="X83">
        <v>14</v>
      </c>
      <c r="Y83">
        <v>12045.6</v>
      </c>
      <c r="Z83">
        <v>12</v>
      </c>
      <c r="AA83">
        <v>10324.799999999999</v>
      </c>
      <c r="AB83">
        <v>12</v>
      </c>
      <c r="AC83">
        <v>10324.799999999999</v>
      </c>
      <c r="AD83">
        <v>12</v>
      </c>
      <c r="AE83">
        <v>10324.799999999999</v>
      </c>
      <c r="AF83">
        <v>18</v>
      </c>
      <c r="AG83">
        <v>15487.199999999999</v>
      </c>
      <c r="AH83">
        <v>14</v>
      </c>
      <c r="AI83">
        <v>12045.6</v>
      </c>
      <c r="AJ83">
        <v>15</v>
      </c>
      <c r="AK83">
        <v>12906</v>
      </c>
      <c r="AL83">
        <v>9</v>
      </c>
      <c r="AM83">
        <v>7743.5999999999995</v>
      </c>
      <c r="AN83">
        <v>10</v>
      </c>
      <c r="AO83">
        <v>8604</v>
      </c>
      <c r="AP83">
        <v>14</v>
      </c>
      <c r="AQ83">
        <v>12045.6</v>
      </c>
      <c r="AR83">
        <v>15</v>
      </c>
      <c r="AS83">
        <v>12906</v>
      </c>
      <c r="AT83">
        <v>12</v>
      </c>
      <c r="AU83">
        <v>10324.799999999999</v>
      </c>
      <c r="AV83">
        <v>10</v>
      </c>
      <c r="AW83">
        <v>8604</v>
      </c>
      <c r="AX83">
        <v>12</v>
      </c>
      <c r="AY83">
        <v>10324.799999999999</v>
      </c>
      <c r="AZ83">
        <v>16</v>
      </c>
      <c r="BA83">
        <v>13766.4</v>
      </c>
      <c r="BB83">
        <v>10</v>
      </c>
      <c r="BC83">
        <v>8604</v>
      </c>
      <c r="BD83">
        <v>8</v>
      </c>
      <c r="BE83">
        <v>6883.2</v>
      </c>
      <c r="BF83">
        <v>18</v>
      </c>
      <c r="BG83">
        <v>15487.199999999999</v>
      </c>
      <c r="BH83">
        <v>15</v>
      </c>
      <c r="BI83">
        <v>12906</v>
      </c>
      <c r="BJ83">
        <v>10</v>
      </c>
      <c r="BK83">
        <v>8604</v>
      </c>
      <c r="BL83">
        <v>14</v>
      </c>
      <c r="BM83">
        <v>12045.6</v>
      </c>
      <c r="BN83">
        <v>13</v>
      </c>
      <c r="BO83">
        <v>11185.199999999999</v>
      </c>
      <c r="BP83">
        <v>13</v>
      </c>
      <c r="BQ83">
        <v>11185.199999999999</v>
      </c>
      <c r="BR83">
        <v>16</v>
      </c>
      <c r="BS83">
        <v>13766.4</v>
      </c>
      <c r="BT83">
        <v>13</v>
      </c>
      <c r="BU83">
        <v>11185.199999999999</v>
      </c>
      <c r="BV83">
        <v>9</v>
      </c>
      <c r="BW83">
        <v>7743.5999999999995</v>
      </c>
      <c r="BX83">
        <v>9</v>
      </c>
      <c r="BY83">
        <v>7743.5999999999995</v>
      </c>
      <c r="BZ83">
        <v>10</v>
      </c>
      <c r="CA83">
        <v>8604</v>
      </c>
      <c r="CB83">
        <v>16</v>
      </c>
      <c r="CC83">
        <v>13766.4</v>
      </c>
      <c r="CD83">
        <v>18</v>
      </c>
      <c r="CE83">
        <v>15487.199999999999</v>
      </c>
      <c r="CF83">
        <v>11</v>
      </c>
      <c r="CG83">
        <v>9464.4</v>
      </c>
      <c r="CH83">
        <v>15</v>
      </c>
      <c r="CI83">
        <v>12906</v>
      </c>
      <c r="CJ83">
        <v>11</v>
      </c>
      <c r="CK83">
        <v>9464.4</v>
      </c>
      <c r="CL83">
        <v>11</v>
      </c>
      <c r="CM83">
        <v>9464.4</v>
      </c>
      <c r="CN83">
        <v>15</v>
      </c>
      <c r="CO83">
        <v>12906</v>
      </c>
      <c r="CP83">
        <v>13</v>
      </c>
      <c r="CQ83">
        <v>11185.199999999999</v>
      </c>
      <c r="CR83">
        <v>15</v>
      </c>
      <c r="CS83">
        <v>12906</v>
      </c>
      <c r="CT83">
        <v>9</v>
      </c>
      <c r="CU83">
        <v>7743.5999999999995</v>
      </c>
    </row>
    <row r="84" spans="2:99" x14ac:dyDescent="0.2">
      <c r="C84" s="105" t="s">
        <v>250</v>
      </c>
      <c r="D84">
        <v>0</v>
      </c>
      <c r="E84">
        <v>0</v>
      </c>
      <c r="F84">
        <v>10</v>
      </c>
      <c r="G84">
        <v>7811.9999999999991</v>
      </c>
      <c r="H84">
        <v>11</v>
      </c>
      <c r="I84">
        <v>8593.1999999999989</v>
      </c>
      <c r="J84">
        <v>13</v>
      </c>
      <c r="K84">
        <v>10155.599999999999</v>
      </c>
      <c r="L84">
        <v>14</v>
      </c>
      <c r="M84">
        <v>10936.8</v>
      </c>
      <c r="N84">
        <v>13</v>
      </c>
      <c r="O84">
        <v>10155.599999999999</v>
      </c>
      <c r="P84">
        <v>10</v>
      </c>
      <c r="Q84">
        <v>7811.9999999999991</v>
      </c>
      <c r="R84">
        <v>16</v>
      </c>
      <c r="S84">
        <v>12499.199999999999</v>
      </c>
      <c r="T84">
        <v>17</v>
      </c>
      <c r="U84">
        <v>13280.4</v>
      </c>
      <c r="V84">
        <v>16</v>
      </c>
      <c r="W84">
        <v>12499.199999999999</v>
      </c>
      <c r="X84">
        <v>15</v>
      </c>
      <c r="Y84">
        <v>11717.999999999998</v>
      </c>
      <c r="Z84">
        <v>12</v>
      </c>
      <c r="AA84">
        <v>9374.4</v>
      </c>
      <c r="AB84">
        <v>13</v>
      </c>
      <c r="AC84">
        <v>10155.599999999999</v>
      </c>
      <c r="AD84">
        <v>10</v>
      </c>
      <c r="AE84">
        <v>7811.9999999999991</v>
      </c>
      <c r="AF84">
        <v>18</v>
      </c>
      <c r="AG84">
        <v>14061.599999999999</v>
      </c>
      <c r="AH84">
        <v>15</v>
      </c>
      <c r="AI84">
        <v>11717.999999999998</v>
      </c>
      <c r="AJ84">
        <v>15</v>
      </c>
      <c r="AK84">
        <v>11717.999999999998</v>
      </c>
      <c r="AL84">
        <v>10</v>
      </c>
      <c r="AM84">
        <v>7811.9999999999991</v>
      </c>
      <c r="AN84">
        <v>11</v>
      </c>
      <c r="AO84">
        <v>8593.1999999999989</v>
      </c>
      <c r="AP84">
        <v>15</v>
      </c>
      <c r="AQ84">
        <v>11717.999999999998</v>
      </c>
      <c r="AR84">
        <v>15</v>
      </c>
      <c r="AS84">
        <v>11717.999999999998</v>
      </c>
      <c r="AT84">
        <v>13</v>
      </c>
      <c r="AU84">
        <v>10155.599999999999</v>
      </c>
      <c r="AV84">
        <v>11</v>
      </c>
      <c r="AW84">
        <v>8593.1999999999989</v>
      </c>
      <c r="AX84">
        <v>12</v>
      </c>
      <c r="AY84">
        <v>9374.4</v>
      </c>
      <c r="AZ84">
        <v>18</v>
      </c>
      <c r="BA84">
        <v>14061.599999999999</v>
      </c>
      <c r="BB84">
        <v>10</v>
      </c>
      <c r="BC84">
        <v>7811.9999999999991</v>
      </c>
      <c r="BD84">
        <v>8</v>
      </c>
      <c r="BE84">
        <v>6249.5999999999995</v>
      </c>
      <c r="BF84">
        <v>17</v>
      </c>
      <c r="BG84">
        <v>13280.4</v>
      </c>
      <c r="BH84">
        <v>14</v>
      </c>
      <c r="BI84">
        <v>10936.8</v>
      </c>
      <c r="BJ84">
        <v>9</v>
      </c>
      <c r="BK84">
        <v>7030.7999999999993</v>
      </c>
      <c r="BL84">
        <v>14</v>
      </c>
      <c r="BM84">
        <v>10936.8</v>
      </c>
      <c r="BN84">
        <v>13</v>
      </c>
      <c r="BO84">
        <v>10155.599999999999</v>
      </c>
      <c r="BP84">
        <v>13</v>
      </c>
      <c r="BQ84">
        <v>10155.599999999999</v>
      </c>
      <c r="BR84">
        <v>14</v>
      </c>
      <c r="BS84">
        <v>10936.8</v>
      </c>
      <c r="BT84">
        <v>13</v>
      </c>
      <c r="BU84">
        <v>10155.599999999999</v>
      </c>
      <c r="BV84">
        <v>10</v>
      </c>
      <c r="BW84">
        <v>7811.9999999999991</v>
      </c>
      <c r="BX84">
        <v>10</v>
      </c>
      <c r="BY84">
        <v>7811.9999999999991</v>
      </c>
      <c r="BZ84">
        <v>9</v>
      </c>
      <c r="CA84">
        <v>7030.7999999999993</v>
      </c>
      <c r="CB84">
        <v>17</v>
      </c>
      <c r="CC84">
        <v>13280.4</v>
      </c>
      <c r="CD84">
        <v>16</v>
      </c>
      <c r="CE84">
        <v>12499.199999999999</v>
      </c>
      <c r="CF84">
        <v>13</v>
      </c>
      <c r="CG84">
        <v>10155.599999999999</v>
      </c>
      <c r="CH84">
        <v>13</v>
      </c>
      <c r="CI84">
        <v>10155.599999999999</v>
      </c>
      <c r="CJ84">
        <v>10</v>
      </c>
      <c r="CK84">
        <v>7811.9999999999991</v>
      </c>
      <c r="CL84">
        <v>10</v>
      </c>
      <c r="CM84">
        <v>7811.9999999999991</v>
      </c>
      <c r="CN84">
        <v>16</v>
      </c>
      <c r="CO84">
        <v>12499.199999999999</v>
      </c>
      <c r="CP84">
        <v>15</v>
      </c>
      <c r="CQ84">
        <v>11717.999999999998</v>
      </c>
      <c r="CR84">
        <v>15</v>
      </c>
      <c r="CS84">
        <v>11717.999999999998</v>
      </c>
      <c r="CT84">
        <v>10</v>
      </c>
      <c r="CU84">
        <v>7811.9999999999991</v>
      </c>
    </row>
    <row r="85" spans="2:99" x14ac:dyDescent="0.2">
      <c r="C85" s="105" t="s">
        <v>251</v>
      </c>
      <c r="D85">
        <v>0</v>
      </c>
      <c r="E85">
        <v>0</v>
      </c>
      <c r="F85">
        <v>10</v>
      </c>
      <c r="G85">
        <v>1500</v>
      </c>
      <c r="H85">
        <v>12</v>
      </c>
      <c r="I85">
        <v>1800</v>
      </c>
      <c r="J85">
        <v>13</v>
      </c>
      <c r="K85">
        <v>1950</v>
      </c>
      <c r="L85">
        <v>16</v>
      </c>
      <c r="M85">
        <v>2400</v>
      </c>
      <c r="N85">
        <v>13</v>
      </c>
      <c r="O85">
        <v>1950</v>
      </c>
      <c r="P85">
        <v>11</v>
      </c>
      <c r="Q85">
        <v>1650</v>
      </c>
      <c r="R85">
        <v>18</v>
      </c>
      <c r="S85">
        <v>2700</v>
      </c>
      <c r="T85">
        <v>17</v>
      </c>
      <c r="U85">
        <v>2550</v>
      </c>
      <c r="V85">
        <v>17</v>
      </c>
      <c r="W85">
        <v>2550</v>
      </c>
      <c r="X85">
        <v>15</v>
      </c>
      <c r="Y85">
        <v>2250</v>
      </c>
      <c r="Z85">
        <v>13</v>
      </c>
      <c r="AA85">
        <v>1950</v>
      </c>
      <c r="AB85">
        <v>12</v>
      </c>
      <c r="AC85">
        <v>1800</v>
      </c>
      <c r="AD85">
        <v>12</v>
      </c>
      <c r="AE85">
        <v>1800</v>
      </c>
      <c r="AF85">
        <v>19</v>
      </c>
      <c r="AG85">
        <v>2850</v>
      </c>
      <c r="AH85">
        <v>14</v>
      </c>
      <c r="AI85">
        <v>2100</v>
      </c>
      <c r="AJ85">
        <v>16</v>
      </c>
      <c r="AK85">
        <v>2400</v>
      </c>
      <c r="AL85">
        <v>10</v>
      </c>
      <c r="AM85">
        <v>1500</v>
      </c>
      <c r="AN85">
        <v>11</v>
      </c>
      <c r="AO85">
        <v>1650</v>
      </c>
      <c r="AP85">
        <v>15</v>
      </c>
      <c r="AQ85">
        <v>2250</v>
      </c>
      <c r="AR85">
        <v>16</v>
      </c>
      <c r="AS85">
        <v>2400</v>
      </c>
      <c r="AT85">
        <v>15</v>
      </c>
      <c r="AU85">
        <v>2250</v>
      </c>
      <c r="AV85">
        <v>13</v>
      </c>
      <c r="AW85">
        <v>1950</v>
      </c>
      <c r="AX85">
        <v>11</v>
      </c>
      <c r="AY85">
        <v>1650</v>
      </c>
      <c r="AZ85">
        <v>19</v>
      </c>
      <c r="BA85">
        <v>2850</v>
      </c>
      <c r="BB85">
        <v>11</v>
      </c>
      <c r="BC85">
        <v>1650</v>
      </c>
      <c r="BD85">
        <v>10</v>
      </c>
      <c r="BE85">
        <v>1500</v>
      </c>
      <c r="BF85">
        <v>16</v>
      </c>
      <c r="BG85">
        <v>2400</v>
      </c>
      <c r="BH85">
        <v>16</v>
      </c>
      <c r="BI85">
        <v>2400</v>
      </c>
      <c r="BJ85">
        <v>11</v>
      </c>
      <c r="BK85">
        <v>1650</v>
      </c>
      <c r="BL85">
        <v>14</v>
      </c>
      <c r="BM85">
        <v>2100</v>
      </c>
      <c r="BN85">
        <v>11</v>
      </c>
      <c r="BO85">
        <v>1650</v>
      </c>
      <c r="BP85">
        <v>13</v>
      </c>
      <c r="BQ85">
        <v>1950</v>
      </c>
      <c r="BR85">
        <v>15</v>
      </c>
      <c r="BS85">
        <v>2250</v>
      </c>
      <c r="BT85">
        <v>14</v>
      </c>
      <c r="BU85">
        <v>2100</v>
      </c>
      <c r="BV85">
        <v>10</v>
      </c>
      <c r="BW85">
        <v>1500</v>
      </c>
      <c r="BX85">
        <v>10</v>
      </c>
      <c r="BY85">
        <v>1500</v>
      </c>
      <c r="BZ85">
        <v>9</v>
      </c>
      <c r="CA85">
        <v>1350</v>
      </c>
      <c r="CB85">
        <v>18</v>
      </c>
      <c r="CC85">
        <v>2700</v>
      </c>
      <c r="CD85">
        <v>19</v>
      </c>
      <c r="CE85">
        <v>2850</v>
      </c>
      <c r="CF85">
        <v>13</v>
      </c>
      <c r="CG85">
        <v>1950</v>
      </c>
      <c r="CH85">
        <v>16</v>
      </c>
      <c r="CI85">
        <v>2400</v>
      </c>
      <c r="CJ85">
        <v>12</v>
      </c>
      <c r="CK85">
        <v>1800</v>
      </c>
      <c r="CL85">
        <v>11</v>
      </c>
      <c r="CM85">
        <v>1650</v>
      </c>
      <c r="CN85">
        <v>16</v>
      </c>
      <c r="CO85">
        <v>2400</v>
      </c>
      <c r="CP85">
        <v>14</v>
      </c>
      <c r="CQ85">
        <v>2100</v>
      </c>
      <c r="CR85">
        <v>15</v>
      </c>
      <c r="CS85">
        <v>2250</v>
      </c>
      <c r="CT85">
        <v>11</v>
      </c>
      <c r="CU85">
        <v>1650</v>
      </c>
    </row>
    <row r="86" spans="2:99" x14ac:dyDescent="0.2">
      <c r="C86" s="105" t="s">
        <v>252</v>
      </c>
      <c r="D86">
        <v>0</v>
      </c>
      <c r="E86">
        <v>0</v>
      </c>
      <c r="F86">
        <v>10</v>
      </c>
      <c r="G86">
        <v>5400</v>
      </c>
      <c r="H86">
        <v>12</v>
      </c>
      <c r="I86">
        <v>6480</v>
      </c>
      <c r="J86">
        <v>13</v>
      </c>
      <c r="K86">
        <v>7020</v>
      </c>
      <c r="L86">
        <v>13</v>
      </c>
      <c r="M86">
        <v>7020</v>
      </c>
      <c r="N86">
        <v>12</v>
      </c>
      <c r="O86">
        <v>6480</v>
      </c>
      <c r="P86">
        <v>9</v>
      </c>
      <c r="Q86">
        <v>4860</v>
      </c>
      <c r="R86">
        <v>17</v>
      </c>
      <c r="S86">
        <v>9180</v>
      </c>
      <c r="T86">
        <v>18</v>
      </c>
      <c r="U86">
        <v>9720</v>
      </c>
      <c r="V86">
        <v>15</v>
      </c>
      <c r="W86">
        <v>8100</v>
      </c>
      <c r="X86">
        <v>15</v>
      </c>
      <c r="Y86">
        <v>8100</v>
      </c>
      <c r="Z86">
        <v>12</v>
      </c>
      <c r="AA86">
        <v>6480</v>
      </c>
      <c r="AB86">
        <v>13</v>
      </c>
      <c r="AC86">
        <v>7020</v>
      </c>
      <c r="AD86">
        <v>12</v>
      </c>
      <c r="AE86">
        <v>6480</v>
      </c>
      <c r="AF86">
        <v>18</v>
      </c>
      <c r="AG86">
        <v>9720</v>
      </c>
      <c r="AH86">
        <v>14</v>
      </c>
      <c r="AI86">
        <v>7560</v>
      </c>
      <c r="AJ86">
        <v>15</v>
      </c>
      <c r="AK86">
        <v>8100</v>
      </c>
      <c r="AL86">
        <v>10</v>
      </c>
      <c r="AM86">
        <v>5400</v>
      </c>
      <c r="AN86">
        <v>12</v>
      </c>
      <c r="AO86">
        <v>6480</v>
      </c>
      <c r="AP86">
        <v>14</v>
      </c>
      <c r="AQ86">
        <v>7560</v>
      </c>
      <c r="AR86">
        <v>16</v>
      </c>
      <c r="AS86">
        <v>8640</v>
      </c>
      <c r="AT86">
        <v>14</v>
      </c>
      <c r="AU86">
        <v>7560</v>
      </c>
      <c r="AV86">
        <v>12</v>
      </c>
      <c r="AW86">
        <v>6480</v>
      </c>
      <c r="AX86">
        <v>11</v>
      </c>
      <c r="AY86">
        <v>5940</v>
      </c>
      <c r="AZ86">
        <v>18</v>
      </c>
      <c r="BA86">
        <v>9720</v>
      </c>
      <c r="BB86">
        <v>9</v>
      </c>
      <c r="BC86">
        <v>4860</v>
      </c>
      <c r="BD86">
        <v>9</v>
      </c>
      <c r="BE86">
        <v>4860</v>
      </c>
      <c r="BF86">
        <v>17</v>
      </c>
      <c r="BG86">
        <v>9180</v>
      </c>
      <c r="BH86">
        <v>14</v>
      </c>
      <c r="BI86">
        <v>7560</v>
      </c>
      <c r="BJ86">
        <v>11</v>
      </c>
      <c r="BK86">
        <v>5940</v>
      </c>
      <c r="BL86">
        <v>14</v>
      </c>
      <c r="BM86">
        <v>7560</v>
      </c>
      <c r="BN86">
        <v>12</v>
      </c>
      <c r="BO86">
        <v>6480</v>
      </c>
      <c r="BP86">
        <v>14</v>
      </c>
      <c r="BQ86">
        <v>7560</v>
      </c>
      <c r="BR86">
        <v>15</v>
      </c>
      <c r="BS86">
        <v>8100</v>
      </c>
      <c r="BT86">
        <v>13</v>
      </c>
      <c r="BU86">
        <v>7020</v>
      </c>
      <c r="BV86">
        <v>9</v>
      </c>
      <c r="BW86">
        <v>4860</v>
      </c>
      <c r="BX86">
        <v>10</v>
      </c>
      <c r="BY86">
        <v>5400</v>
      </c>
      <c r="BZ86">
        <v>10</v>
      </c>
      <c r="CA86">
        <v>5400</v>
      </c>
      <c r="CB86">
        <v>18</v>
      </c>
      <c r="CC86">
        <v>9720</v>
      </c>
      <c r="CD86">
        <v>18</v>
      </c>
      <c r="CE86">
        <v>9720</v>
      </c>
      <c r="CF86">
        <v>14</v>
      </c>
      <c r="CG86">
        <v>7560</v>
      </c>
      <c r="CH86">
        <v>13</v>
      </c>
      <c r="CI86">
        <v>7020</v>
      </c>
      <c r="CJ86">
        <v>11</v>
      </c>
      <c r="CK86">
        <v>5940</v>
      </c>
      <c r="CL86">
        <v>10</v>
      </c>
      <c r="CM86">
        <v>5400</v>
      </c>
      <c r="CN86">
        <v>17</v>
      </c>
      <c r="CO86">
        <v>9180</v>
      </c>
      <c r="CP86">
        <v>13</v>
      </c>
      <c r="CQ86">
        <v>7020</v>
      </c>
      <c r="CR86">
        <v>16</v>
      </c>
      <c r="CS86">
        <v>8640</v>
      </c>
      <c r="CT86">
        <v>10</v>
      </c>
      <c r="CU86">
        <v>5400</v>
      </c>
    </row>
    <row r="87" spans="2:99" x14ac:dyDescent="0.2">
      <c r="B87" s="105" t="s">
        <v>131</v>
      </c>
      <c r="C87" s="105" t="s">
        <v>253</v>
      </c>
      <c r="D87">
        <v>0</v>
      </c>
      <c r="E87">
        <v>0</v>
      </c>
      <c r="F87">
        <v>9</v>
      </c>
      <c r="G87">
        <v>17593.2</v>
      </c>
      <c r="H87">
        <v>7</v>
      </c>
      <c r="I87">
        <v>13683.6</v>
      </c>
      <c r="J87">
        <v>10</v>
      </c>
      <c r="K87">
        <v>19548</v>
      </c>
      <c r="L87">
        <v>6</v>
      </c>
      <c r="M87">
        <v>11728.8</v>
      </c>
      <c r="N87">
        <v>10</v>
      </c>
      <c r="O87">
        <v>19548</v>
      </c>
      <c r="P87">
        <v>6</v>
      </c>
      <c r="Q87">
        <v>11728.8</v>
      </c>
      <c r="R87">
        <v>10</v>
      </c>
      <c r="S87">
        <v>19548</v>
      </c>
      <c r="T87">
        <v>9</v>
      </c>
      <c r="U87">
        <v>17593.2</v>
      </c>
      <c r="V87">
        <v>9</v>
      </c>
      <c r="W87">
        <v>17593.2</v>
      </c>
      <c r="X87">
        <v>10</v>
      </c>
      <c r="Y87">
        <v>19548</v>
      </c>
      <c r="Z87">
        <v>6</v>
      </c>
      <c r="AA87">
        <v>11728.8</v>
      </c>
      <c r="AB87">
        <v>9</v>
      </c>
      <c r="AC87">
        <v>17593.2</v>
      </c>
      <c r="AD87">
        <v>9</v>
      </c>
      <c r="AE87">
        <v>17593.2</v>
      </c>
      <c r="AF87">
        <v>7</v>
      </c>
      <c r="AG87">
        <v>13683.6</v>
      </c>
      <c r="AH87">
        <v>6</v>
      </c>
      <c r="AI87">
        <v>11728.8</v>
      </c>
      <c r="AJ87">
        <v>7</v>
      </c>
      <c r="AK87">
        <v>13683.6</v>
      </c>
      <c r="AL87">
        <v>7</v>
      </c>
      <c r="AM87">
        <v>13683.6</v>
      </c>
      <c r="AN87">
        <v>8</v>
      </c>
      <c r="AO87">
        <v>15638.4</v>
      </c>
      <c r="AP87">
        <v>10</v>
      </c>
      <c r="AQ87">
        <v>19548</v>
      </c>
      <c r="AR87">
        <v>5</v>
      </c>
      <c r="AS87">
        <v>9774</v>
      </c>
      <c r="AT87">
        <v>8</v>
      </c>
      <c r="AU87">
        <v>15638.4</v>
      </c>
      <c r="AV87">
        <v>6</v>
      </c>
      <c r="AW87">
        <v>11728.8</v>
      </c>
      <c r="AX87">
        <v>11</v>
      </c>
      <c r="AY87">
        <v>21502.799999999999</v>
      </c>
      <c r="AZ87">
        <v>8</v>
      </c>
      <c r="BA87">
        <v>15638.4</v>
      </c>
      <c r="BB87">
        <v>9</v>
      </c>
      <c r="BC87">
        <v>17593.2</v>
      </c>
      <c r="BD87">
        <v>6</v>
      </c>
      <c r="BE87">
        <v>11728.8</v>
      </c>
      <c r="BF87">
        <v>6</v>
      </c>
      <c r="BG87">
        <v>11728.8</v>
      </c>
      <c r="BH87">
        <v>10</v>
      </c>
      <c r="BI87">
        <v>19548</v>
      </c>
      <c r="BJ87">
        <v>8</v>
      </c>
      <c r="BK87">
        <v>15638.4</v>
      </c>
      <c r="BL87">
        <v>7</v>
      </c>
      <c r="BM87">
        <v>13683.6</v>
      </c>
      <c r="BN87">
        <v>9</v>
      </c>
      <c r="BO87">
        <v>17593.2</v>
      </c>
      <c r="BP87">
        <v>10</v>
      </c>
      <c r="BQ87">
        <v>19548</v>
      </c>
      <c r="BR87">
        <v>8</v>
      </c>
      <c r="BS87">
        <v>15638.4</v>
      </c>
      <c r="BT87">
        <v>8</v>
      </c>
      <c r="BU87">
        <v>15638.4</v>
      </c>
      <c r="BV87">
        <v>9</v>
      </c>
      <c r="BW87">
        <v>17593.2</v>
      </c>
      <c r="BX87">
        <v>8</v>
      </c>
      <c r="BY87">
        <v>15638.4</v>
      </c>
      <c r="BZ87">
        <v>8</v>
      </c>
      <c r="CA87">
        <v>15638.4</v>
      </c>
      <c r="CB87">
        <v>10</v>
      </c>
      <c r="CC87">
        <v>19548</v>
      </c>
      <c r="CD87">
        <v>9</v>
      </c>
      <c r="CE87">
        <v>17593.2</v>
      </c>
      <c r="CF87">
        <v>11</v>
      </c>
      <c r="CG87">
        <v>21502.799999999999</v>
      </c>
      <c r="CH87">
        <v>10</v>
      </c>
      <c r="CI87">
        <v>19548</v>
      </c>
      <c r="CJ87">
        <v>7</v>
      </c>
      <c r="CK87">
        <v>13683.6</v>
      </c>
      <c r="CL87">
        <v>6</v>
      </c>
      <c r="CM87">
        <v>11728.8</v>
      </c>
      <c r="CN87">
        <v>9</v>
      </c>
      <c r="CO87">
        <v>17593.2</v>
      </c>
      <c r="CP87">
        <v>9</v>
      </c>
      <c r="CQ87">
        <v>17593.2</v>
      </c>
      <c r="CR87">
        <v>9</v>
      </c>
      <c r="CS87">
        <v>17593.2</v>
      </c>
      <c r="CT87">
        <v>10</v>
      </c>
      <c r="CU87">
        <v>19548</v>
      </c>
    </row>
    <row r="88" spans="2:99" x14ac:dyDescent="0.2">
      <c r="C88" s="105" t="s">
        <v>254</v>
      </c>
      <c r="D88">
        <v>0</v>
      </c>
      <c r="E88">
        <v>0</v>
      </c>
      <c r="F88">
        <v>9</v>
      </c>
      <c r="G88">
        <v>17031.599999999999</v>
      </c>
      <c r="H88">
        <v>7</v>
      </c>
      <c r="I88">
        <v>13246.8</v>
      </c>
      <c r="J88">
        <v>10</v>
      </c>
      <c r="K88">
        <v>18924</v>
      </c>
      <c r="L88">
        <v>7</v>
      </c>
      <c r="M88">
        <v>13246.8</v>
      </c>
      <c r="N88">
        <v>9</v>
      </c>
      <c r="O88">
        <v>17031.599999999999</v>
      </c>
      <c r="P88">
        <v>5</v>
      </c>
      <c r="Q88">
        <v>9462</v>
      </c>
      <c r="R88">
        <v>10</v>
      </c>
      <c r="S88">
        <v>18924</v>
      </c>
      <c r="T88">
        <v>10</v>
      </c>
      <c r="U88">
        <v>18924</v>
      </c>
      <c r="V88">
        <v>9</v>
      </c>
      <c r="W88">
        <v>17031.599999999999</v>
      </c>
      <c r="X88">
        <v>10</v>
      </c>
      <c r="Y88">
        <v>18924</v>
      </c>
      <c r="Z88">
        <v>7</v>
      </c>
      <c r="AA88">
        <v>13246.8</v>
      </c>
      <c r="AB88">
        <v>8</v>
      </c>
      <c r="AC88">
        <v>15139.199999999999</v>
      </c>
      <c r="AD88">
        <v>9</v>
      </c>
      <c r="AE88">
        <v>17031.599999999999</v>
      </c>
      <c r="AF88">
        <v>8</v>
      </c>
      <c r="AG88">
        <v>15139.199999999999</v>
      </c>
      <c r="AH88">
        <v>6</v>
      </c>
      <c r="AI88">
        <v>11354.4</v>
      </c>
      <c r="AJ88">
        <v>8</v>
      </c>
      <c r="AK88">
        <v>15139.199999999999</v>
      </c>
      <c r="AL88">
        <v>6</v>
      </c>
      <c r="AM88">
        <v>11354.4</v>
      </c>
      <c r="AN88">
        <v>8</v>
      </c>
      <c r="AO88">
        <v>15139.199999999999</v>
      </c>
      <c r="AP88">
        <v>10</v>
      </c>
      <c r="AQ88">
        <v>18924</v>
      </c>
      <c r="AR88">
        <v>5</v>
      </c>
      <c r="AS88">
        <v>9462</v>
      </c>
      <c r="AT88">
        <v>7</v>
      </c>
      <c r="AU88">
        <v>13246.8</v>
      </c>
      <c r="AV88">
        <v>7</v>
      </c>
      <c r="AW88">
        <v>13246.8</v>
      </c>
      <c r="AX88">
        <v>12</v>
      </c>
      <c r="AY88">
        <v>22708.799999999999</v>
      </c>
      <c r="AZ88">
        <v>8</v>
      </c>
      <c r="BA88">
        <v>15139.199999999999</v>
      </c>
      <c r="BB88">
        <v>10</v>
      </c>
      <c r="BC88">
        <v>18924</v>
      </c>
      <c r="BD88">
        <v>6</v>
      </c>
      <c r="BE88">
        <v>11354.4</v>
      </c>
      <c r="BF88">
        <v>7</v>
      </c>
      <c r="BG88">
        <v>13246.8</v>
      </c>
      <c r="BH88">
        <v>11</v>
      </c>
      <c r="BI88">
        <v>20816.399999999998</v>
      </c>
      <c r="BJ88">
        <v>8</v>
      </c>
      <c r="BK88">
        <v>15139.199999999999</v>
      </c>
      <c r="BL88">
        <v>7</v>
      </c>
      <c r="BM88">
        <v>13246.8</v>
      </c>
      <c r="BN88">
        <v>8</v>
      </c>
      <c r="BO88">
        <v>15139.199999999999</v>
      </c>
      <c r="BP88">
        <v>11</v>
      </c>
      <c r="BQ88">
        <v>20816.399999999998</v>
      </c>
      <c r="BR88">
        <v>8</v>
      </c>
      <c r="BS88">
        <v>15139.199999999999</v>
      </c>
      <c r="BT88">
        <v>9</v>
      </c>
      <c r="BU88">
        <v>17031.599999999999</v>
      </c>
      <c r="BV88">
        <v>10</v>
      </c>
      <c r="BW88">
        <v>18924</v>
      </c>
      <c r="BX88">
        <v>8</v>
      </c>
      <c r="BY88">
        <v>15139.199999999999</v>
      </c>
      <c r="BZ88">
        <v>8</v>
      </c>
      <c r="CA88">
        <v>15139.199999999999</v>
      </c>
      <c r="CB88">
        <v>9</v>
      </c>
      <c r="CC88">
        <v>17031.599999999999</v>
      </c>
      <c r="CD88">
        <v>8</v>
      </c>
      <c r="CE88">
        <v>15139.199999999999</v>
      </c>
      <c r="CF88">
        <v>11</v>
      </c>
      <c r="CG88">
        <v>20816.399999999998</v>
      </c>
      <c r="CH88">
        <v>11</v>
      </c>
      <c r="CI88">
        <v>20816.399999999998</v>
      </c>
      <c r="CJ88">
        <v>7</v>
      </c>
      <c r="CK88">
        <v>13246.8</v>
      </c>
      <c r="CL88">
        <v>6</v>
      </c>
      <c r="CM88">
        <v>11354.4</v>
      </c>
      <c r="CN88">
        <v>8</v>
      </c>
      <c r="CO88">
        <v>15139.199999999999</v>
      </c>
      <c r="CP88">
        <v>8</v>
      </c>
      <c r="CQ88">
        <v>15139.199999999999</v>
      </c>
      <c r="CR88">
        <v>9</v>
      </c>
      <c r="CS88">
        <v>17031.599999999999</v>
      </c>
      <c r="CT88">
        <v>12</v>
      </c>
      <c r="CU88">
        <v>22708.799999999999</v>
      </c>
    </row>
    <row r="89" spans="2:99" x14ac:dyDescent="0.2">
      <c r="C89" s="105" t="s">
        <v>255</v>
      </c>
      <c r="D89">
        <v>0</v>
      </c>
      <c r="E89">
        <v>0</v>
      </c>
      <c r="F89">
        <v>10</v>
      </c>
      <c r="G89">
        <v>23976</v>
      </c>
      <c r="H89">
        <v>7</v>
      </c>
      <c r="I89">
        <v>16783.2</v>
      </c>
      <c r="J89">
        <v>10</v>
      </c>
      <c r="K89">
        <v>23976</v>
      </c>
      <c r="L89">
        <v>6</v>
      </c>
      <c r="M89">
        <v>14385.599999999999</v>
      </c>
      <c r="N89">
        <v>9</v>
      </c>
      <c r="O89">
        <v>21578.399999999998</v>
      </c>
      <c r="P89">
        <v>5</v>
      </c>
      <c r="Q89">
        <v>11988</v>
      </c>
      <c r="R89">
        <v>10</v>
      </c>
      <c r="S89">
        <v>23976</v>
      </c>
      <c r="T89">
        <v>9</v>
      </c>
      <c r="U89">
        <v>21578.399999999998</v>
      </c>
      <c r="V89">
        <v>8</v>
      </c>
      <c r="W89">
        <v>19180.8</v>
      </c>
      <c r="X89">
        <v>11</v>
      </c>
      <c r="Y89">
        <v>26373.599999999999</v>
      </c>
      <c r="Z89">
        <v>7</v>
      </c>
      <c r="AA89">
        <v>16783.2</v>
      </c>
      <c r="AB89">
        <v>7</v>
      </c>
      <c r="AC89">
        <v>16783.2</v>
      </c>
      <c r="AD89">
        <v>8</v>
      </c>
      <c r="AE89">
        <v>19180.8</v>
      </c>
      <c r="AF89">
        <v>6</v>
      </c>
      <c r="AG89">
        <v>14385.599999999999</v>
      </c>
      <c r="AH89">
        <v>6</v>
      </c>
      <c r="AI89">
        <v>14385.599999999999</v>
      </c>
      <c r="AJ89">
        <v>7</v>
      </c>
      <c r="AK89">
        <v>16783.2</v>
      </c>
      <c r="AL89">
        <v>7</v>
      </c>
      <c r="AM89">
        <v>16783.2</v>
      </c>
      <c r="AN89">
        <v>7</v>
      </c>
      <c r="AO89">
        <v>16783.2</v>
      </c>
      <c r="AP89">
        <v>10</v>
      </c>
      <c r="AQ89">
        <v>23976</v>
      </c>
      <c r="AR89">
        <v>5</v>
      </c>
      <c r="AS89">
        <v>11988</v>
      </c>
      <c r="AT89">
        <v>6</v>
      </c>
      <c r="AU89">
        <v>14385.599999999999</v>
      </c>
      <c r="AV89">
        <v>7</v>
      </c>
      <c r="AW89">
        <v>16783.2</v>
      </c>
      <c r="AX89">
        <v>10</v>
      </c>
      <c r="AY89">
        <v>23976</v>
      </c>
      <c r="AZ89">
        <v>7</v>
      </c>
      <c r="BA89">
        <v>16783.2</v>
      </c>
      <c r="BB89">
        <v>10</v>
      </c>
      <c r="BC89">
        <v>23976</v>
      </c>
      <c r="BD89">
        <v>6</v>
      </c>
      <c r="BE89">
        <v>14385.599999999999</v>
      </c>
      <c r="BF89">
        <v>6</v>
      </c>
      <c r="BG89">
        <v>14385.599999999999</v>
      </c>
      <c r="BH89">
        <v>9</v>
      </c>
      <c r="BI89">
        <v>21578.399999999998</v>
      </c>
      <c r="BJ89">
        <v>8</v>
      </c>
      <c r="BK89">
        <v>19180.8</v>
      </c>
      <c r="BL89">
        <v>7</v>
      </c>
      <c r="BM89">
        <v>16783.2</v>
      </c>
      <c r="BN89">
        <v>9</v>
      </c>
      <c r="BO89">
        <v>21578.399999999998</v>
      </c>
      <c r="BP89">
        <v>9</v>
      </c>
      <c r="BQ89">
        <v>21578.399999999998</v>
      </c>
      <c r="BR89">
        <v>8</v>
      </c>
      <c r="BS89">
        <v>19180.8</v>
      </c>
      <c r="BT89">
        <v>8</v>
      </c>
      <c r="BU89">
        <v>19180.8</v>
      </c>
      <c r="BV89">
        <v>9</v>
      </c>
      <c r="BW89">
        <v>21578.399999999998</v>
      </c>
      <c r="BX89">
        <v>7</v>
      </c>
      <c r="BY89">
        <v>16783.2</v>
      </c>
      <c r="BZ89">
        <v>9</v>
      </c>
      <c r="CA89">
        <v>21578.399999999998</v>
      </c>
      <c r="CB89">
        <v>9</v>
      </c>
      <c r="CC89">
        <v>21578.399999999998</v>
      </c>
      <c r="CD89">
        <v>8</v>
      </c>
      <c r="CE89">
        <v>19180.8</v>
      </c>
      <c r="CF89">
        <v>11</v>
      </c>
      <c r="CG89">
        <v>26373.599999999999</v>
      </c>
      <c r="CH89">
        <v>12</v>
      </c>
      <c r="CI89">
        <v>28771.199999999997</v>
      </c>
      <c r="CJ89">
        <v>7</v>
      </c>
      <c r="CK89">
        <v>16783.2</v>
      </c>
      <c r="CL89">
        <v>5</v>
      </c>
      <c r="CM89">
        <v>11988</v>
      </c>
      <c r="CN89">
        <v>8</v>
      </c>
      <c r="CO89">
        <v>19180.8</v>
      </c>
      <c r="CP89">
        <v>9</v>
      </c>
      <c r="CQ89">
        <v>21578.399999999998</v>
      </c>
      <c r="CR89">
        <v>9</v>
      </c>
      <c r="CS89">
        <v>21578.399999999998</v>
      </c>
      <c r="CT89">
        <v>11</v>
      </c>
      <c r="CU89">
        <v>26373.599999999999</v>
      </c>
    </row>
    <row r="90" spans="2:99" x14ac:dyDescent="0.2">
      <c r="C90" s="105" t="s">
        <v>256</v>
      </c>
      <c r="D90">
        <v>0</v>
      </c>
      <c r="E90">
        <v>0</v>
      </c>
      <c r="F90">
        <v>10</v>
      </c>
      <c r="G90">
        <v>21972</v>
      </c>
      <c r="H90">
        <v>7</v>
      </c>
      <c r="I90">
        <v>15380.399999999998</v>
      </c>
      <c r="J90">
        <v>10</v>
      </c>
      <c r="K90">
        <v>21972</v>
      </c>
      <c r="L90">
        <v>6</v>
      </c>
      <c r="M90">
        <v>13183.199999999999</v>
      </c>
      <c r="N90">
        <v>9</v>
      </c>
      <c r="O90">
        <v>19774.8</v>
      </c>
      <c r="P90">
        <v>6</v>
      </c>
      <c r="Q90">
        <v>13183.199999999999</v>
      </c>
      <c r="R90">
        <v>10</v>
      </c>
      <c r="S90">
        <v>21972</v>
      </c>
      <c r="T90">
        <v>9</v>
      </c>
      <c r="U90">
        <v>19774.8</v>
      </c>
      <c r="V90">
        <v>8</v>
      </c>
      <c r="W90">
        <v>17577.599999999999</v>
      </c>
      <c r="X90">
        <v>11</v>
      </c>
      <c r="Y90">
        <v>24169.199999999997</v>
      </c>
      <c r="Z90">
        <v>6</v>
      </c>
      <c r="AA90">
        <v>13183.199999999999</v>
      </c>
      <c r="AB90">
        <v>7</v>
      </c>
      <c r="AC90">
        <v>15380.399999999998</v>
      </c>
      <c r="AD90">
        <v>9</v>
      </c>
      <c r="AE90">
        <v>19774.8</v>
      </c>
      <c r="AF90">
        <v>7</v>
      </c>
      <c r="AG90">
        <v>15380.399999999998</v>
      </c>
      <c r="AH90">
        <v>5</v>
      </c>
      <c r="AI90">
        <v>10986</v>
      </c>
      <c r="AJ90">
        <v>8</v>
      </c>
      <c r="AK90">
        <v>17577.599999999999</v>
      </c>
      <c r="AL90">
        <v>6</v>
      </c>
      <c r="AM90">
        <v>13183.199999999999</v>
      </c>
      <c r="AN90">
        <v>8</v>
      </c>
      <c r="AO90">
        <v>17577.599999999999</v>
      </c>
      <c r="AP90">
        <v>10</v>
      </c>
      <c r="AQ90">
        <v>21972</v>
      </c>
      <c r="AR90">
        <v>5</v>
      </c>
      <c r="AS90">
        <v>10986</v>
      </c>
      <c r="AT90">
        <v>8</v>
      </c>
      <c r="AU90">
        <v>17577.599999999999</v>
      </c>
      <c r="AV90">
        <v>6</v>
      </c>
      <c r="AW90">
        <v>13183.199999999999</v>
      </c>
      <c r="AX90">
        <v>12</v>
      </c>
      <c r="AY90">
        <v>26366.399999999998</v>
      </c>
      <c r="AZ90">
        <v>8</v>
      </c>
      <c r="BA90">
        <v>17577.599999999999</v>
      </c>
      <c r="BB90">
        <v>10</v>
      </c>
      <c r="BC90">
        <v>21972</v>
      </c>
      <c r="BD90">
        <v>6</v>
      </c>
      <c r="BE90">
        <v>13183.199999999999</v>
      </c>
      <c r="BF90">
        <v>7</v>
      </c>
      <c r="BG90">
        <v>15380.399999999998</v>
      </c>
      <c r="BH90">
        <v>10</v>
      </c>
      <c r="BI90">
        <v>21972</v>
      </c>
      <c r="BJ90">
        <v>9</v>
      </c>
      <c r="BK90">
        <v>19774.8</v>
      </c>
      <c r="BL90">
        <v>6</v>
      </c>
      <c r="BM90">
        <v>13183.199999999999</v>
      </c>
      <c r="BN90">
        <v>8</v>
      </c>
      <c r="BO90">
        <v>17577.599999999999</v>
      </c>
      <c r="BP90">
        <v>9</v>
      </c>
      <c r="BQ90">
        <v>19774.8</v>
      </c>
      <c r="BR90">
        <v>7</v>
      </c>
      <c r="BS90">
        <v>15380.399999999998</v>
      </c>
      <c r="BT90">
        <v>9</v>
      </c>
      <c r="BU90">
        <v>19774.8</v>
      </c>
      <c r="BV90">
        <v>9</v>
      </c>
      <c r="BW90">
        <v>19774.8</v>
      </c>
      <c r="BX90">
        <v>7</v>
      </c>
      <c r="BY90">
        <v>15380.399999999998</v>
      </c>
      <c r="BZ90">
        <v>9</v>
      </c>
      <c r="CA90">
        <v>19774.8</v>
      </c>
      <c r="CB90">
        <v>9</v>
      </c>
      <c r="CC90">
        <v>19774.8</v>
      </c>
      <c r="CD90">
        <v>9</v>
      </c>
      <c r="CE90">
        <v>19774.8</v>
      </c>
      <c r="CF90">
        <v>12</v>
      </c>
      <c r="CG90">
        <v>26366.399999999998</v>
      </c>
      <c r="CH90">
        <v>11</v>
      </c>
      <c r="CI90">
        <v>24169.199999999997</v>
      </c>
      <c r="CJ90">
        <v>8</v>
      </c>
      <c r="CK90">
        <v>17577.599999999999</v>
      </c>
      <c r="CL90">
        <v>6</v>
      </c>
      <c r="CM90">
        <v>13183.199999999999</v>
      </c>
      <c r="CN90">
        <v>9</v>
      </c>
      <c r="CO90">
        <v>19774.8</v>
      </c>
      <c r="CP90">
        <v>8</v>
      </c>
      <c r="CQ90">
        <v>17577.599999999999</v>
      </c>
      <c r="CR90">
        <v>9</v>
      </c>
      <c r="CS90">
        <v>19774.8</v>
      </c>
      <c r="CT90">
        <v>11</v>
      </c>
      <c r="CU90">
        <v>24169.199999999997</v>
      </c>
    </row>
    <row r="91" spans="2:99" x14ac:dyDescent="0.2">
      <c r="C91" s="105" t="s">
        <v>257</v>
      </c>
      <c r="D91">
        <v>0</v>
      </c>
      <c r="E91">
        <v>0</v>
      </c>
      <c r="F91">
        <v>8</v>
      </c>
      <c r="G91">
        <v>18374.399999999998</v>
      </c>
      <c r="H91">
        <v>7</v>
      </c>
      <c r="I91">
        <v>16077.599999999999</v>
      </c>
      <c r="J91">
        <v>10</v>
      </c>
      <c r="K91">
        <v>22967.999999999996</v>
      </c>
      <c r="L91">
        <v>7</v>
      </c>
      <c r="M91">
        <v>16077.599999999999</v>
      </c>
      <c r="N91">
        <v>9</v>
      </c>
      <c r="O91">
        <v>20671.199999999997</v>
      </c>
      <c r="P91">
        <v>6</v>
      </c>
      <c r="Q91">
        <v>13780.8</v>
      </c>
      <c r="R91">
        <v>10</v>
      </c>
      <c r="S91">
        <v>22967.999999999996</v>
      </c>
      <c r="T91">
        <v>10</v>
      </c>
      <c r="U91">
        <v>22967.999999999996</v>
      </c>
      <c r="V91">
        <v>7</v>
      </c>
      <c r="W91">
        <v>16077.599999999999</v>
      </c>
      <c r="X91">
        <v>10</v>
      </c>
      <c r="Y91">
        <v>22967.999999999996</v>
      </c>
      <c r="Z91">
        <v>7</v>
      </c>
      <c r="AA91">
        <v>16077.599999999999</v>
      </c>
      <c r="AB91">
        <v>8</v>
      </c>
      <c r="AC91">
        <v>18374.399999999998</v>
      </c>
      <c r="AD91">
        <v>9</v>
      </c>
      <c r="AE91">
        <v>20671.199999999997</v>
      </c>
      <c r="AF91">
        <v>6</v>
      </c>
      <c r="AG91">
        <v>13780.8</v>
      </c>
      <c r="AH91">
        <v>5</v>
      </c>
      <c r="AI91">
        <v>11483.999999999998</v>
      </c>
      <c r="AJ91">
        <v>7</v>
      </c>
      <c r="AK91">
        <v>16077.599999999999</v>
      </c>
      <c r="AL91">
        <v>6</v>
      </c>
      <c r="AM91">
        <v>13780.8</v>
      </c>
      <c r="AN91">
        <v>9</v>
      </c>
      <c r="AO91">
        <v>20671.199999999997</v>
      </c>
      <c r="AP91">
        <v>11</v>
      </c>
      <c r="AQ91">
        <v>25264.799999999996</v>
      </c>
      <c r="AR91">
        <v>5</v>
      </c>
      <c r="AS91">
        <v>11483.999999999998</v>
      </c>
      <c r="AT91">
        <v>7</v>
      </c>
      <c r="AU91">
        <v>16077.599999999999</v>
      </c>
      <c r="AV91">
        <v>7</v>
      </c>
      <c r="AW91">
        <v>16077.599999999999</v>
      </c>
      <c r="AX91">
        <v>12</v>
      </c>
      <c r="AY91">
        <v>27561.599999999999</v>
      </c>
      <c r="AZ91">
        <v>8</v>
      </c>
      <c r="BA91">
        <v>18374.399999999998</v>
      </c>
      <c r="BB91">
        <v>10</v>
      </c>
      <c r="BC91">
        <v>22967.999999999996</v>
      </c>
      <c r="BD91">
        <v>6</v>
      </c>
      <c r="BE91">
        <v>13780.8</v>
      </c>
      <c r="BF91">
        <v>5</v>
      </c>
      <c r="BG91">
        <v>11483.999999999998</v>
      </c>
      <c r="BH91">
        <v>11</v>
      </c>
      <c r="BI91">
        <v>25264.799999999996</v>
      </c>
      <c r="BJ91">
        <v>9</v>
      </c>
      <c r="BK91">
        <v>20671.199999999997</v>
      </c>
      <c r="BL91">
        <v>7</v>
      </c>
      <c r="BM91">
        <v>16077.599999999999</v>
      </c>
      <c r="BN91">
        <v>9</v>
      </c>
      <c r="BO91">
        <v>20671.199999999997</v>
      </c>
      <c r="BP91">
        <v>10</v>
      </c>
      <c r="BQ91">
        <v>22967.999999999996</v>
      </c>
      <c r="BR91">
        <v>8</v>
      </c>
      <c r="BS91">
        <v>18374.399999999998</v>
      </c>
      <c r="BT91">
        <v>10</v>
      </c>
      <c r="BU91">
        <v>22967.999999999996</v>
      </c>
      <c r="BV91">
        <v>9</v>
      </c>
      <c r="BW91">
        <v>20671.199999999997</v>
      </c>
      <c r="BX91">
        <v>7</v>
      </c>
      <c r="BY91">
        <v>16077.599999999999</v>
      </c>
      <c r="BZ91">
        <v>9</v>
      </c>
      <c r="CA91">
        <v>20671.199999999997</v>
      </c>
      <c r="CB91">
        <v>10</v>
      </c>
      <c r="CC91">
        <v>22967.999999999996</v>
      </c>
      <c r="CD91">
        <v>9</v>
      </c>
      <c r="CE91">
        <v>20671.199999999997</v>
      </c>
      <c r="CF91">
        <v>10</v>
      </c>
      <c r="CG91">
        <v>22967.999999999996</v>
      </c>
      <c r="CH91">
        <v>10</v>
      </c>
      <c r="CI91">
        <v>22967.999999999996</v>
      </c>
      <c r="CJ91">
        <v>7</v>
      </c>
      <c r="CK91">
        <v>16077.599999999999</v>
      </c>
      <c r="CL91">
        <v>6</v>
      </c>
      <c r="CM91">
        <v>13780.8</v>
      </c>
      <c r="CN91">
        <v>9</v>
      </c>
      <c r="CO91">
        <v>20671.199999999997</v>
      </c>
      <c r="CP91">
        <v>9</v>
      </c>
      <c r="CQ91">
        <v>20671.199999999997</v>
      </c>
      <c r="CR91">
        <v>8</v>
      </c>
      <c r="CS91">
        <v>18374.399999999998</v>
      </c>
      <c r="CT91">
        <v>11</v>
      </c>
      <c r="CU91">
        <v>25264.799999999996</v>
      </c>
    </row>
    <row r="92" spans="2:99" x14ac:dyDescent="0.2">
      <c r="C92" s="105" t="s">
        <v>258</v>
      </c>
      <c r="D92">
        <v>0</v>
      </c>
      <c r="E92">
        <v>0</v>
      </c>
      <c r="F92">
        <v>10</v>
      </c>
      <c r="G92">
        <v>14208</v>
      </c>
      <c r="H92">
        <v>8</v>
      </c>
      <c r="I92">
        <v>11366.4</v>
      </c>
      <c r="J92">
        <v>10</v>
      </c>
      <c r="K92">
        <v>14208</v>
      </c>
      <c r="L92">
        <v>6</v>
      </c>
      <c r="M92">
        <v>8524.7999999999993</v>
      </c>
      <c r="N92">
        <v>9</v>
      </c>
      <c r="O92">
        <v>12787.199999999999</v>
      </c>
      <c r="P92">
        <v>6</v>
      </c>
      <c r="Q92">
        <v>8524.7999999999993</v>
      </c>
      <c r="R92">
        <v>10</v>
      </c>
      <c r="S92">
        <v>14208</v>
      </c>
      <c r="T92">
        <v>10</v>
      </c>
      <c r="U92">
        <v>14208</v>
      </c>
      <c r="V92">
        <v>8</v>
      </c>
      <c r="W92">
        <v>11366.4</v>
      </c>
      <c r="X92">
        <v>11</v>
      </c>
      <c r="Y92">
        <v>15628.8</v>
      </c>
      <c r="Z92">
        <v>7</v>
      </c>
      <c r="AA92">
        <v>9945.6</v>
      </c>
      <c r="AB92">
        <v>9</v>
      </c>
      <c r="AC92">
        <v>12787.199999999999</v>
      </c>
      <c r="AD92">
        <v>9</v>
      </c>
      <c r="AE92">
        <v>12787.199999999999</v>
      </c>
      <c r="AF92">
        <v>8</v>
      </c>
      <c r="AG92">
        <v>11366.4</v>
      </c>
      <c r="AH92">
        <v>6</v>
      </c>
      <c r="AI92">
        <v>8524.7999999999993</v>
      </c>
      <c r="AJ92">
        <v>8</v>
      </c>
      <c r="AK92">
        <v>11366.4</v>
      </c>
      <c r="AL92">
        <v>7</v>
      </c>
      <c r="AM92">
        <v>9945.6</v>
      </c>
      <c r="AN92">
        <v>8</v>
      </c>
      <c r="AO92">
        <v>11366.4</v>
      </c>
      <c r="AP92">
        <v>10</v>
      </c>
      <c r="AQ92">
        <v>14208</v>
      </c>
      <c r="AR92">
        <v>6</v>
      </c>
      <c r="AS92">
        <v>8524.7999999999993</v>
      </c>
      <c r="AT92">
        <v>7</v>
      </c>
      <c r="AU92">
        <v>9945.6</v>
      </c>
      <c r="AV92">
        <v>7</v>
      </c>
      <c r="AW92">
        <v>9945.6</v>
      </c>
      <c r="AX92">
        <v>11</v>
      </c>
      <c r="AY92">
        <v>15628.8</v>
      </c>
      <c r="AZ92">
        <v>8</v>
      </c>
      <c r="BA92">
        <v>11366.4</v>
      </c>
      <c r="BB92">
        <v>10</v>
      </c>
      <c r="BC92">
        <v>14208</v>
      </c>
      <c r="BD92">
        <v>6</v>
      </c>
      <c r="BE92">
        <v>8524.7999999999993</v>
      </c>
      <c r="BF92">
        <v>7</v>
      </c>
      <c r="BG92">
        <v>9945.6</v>
      </c>
      <c r="BH92">
        <v>10</v>
      </c>
      <c r="BI92">
        <v>14208</v>
      </c>
      <c r="BJ92">
        <v>10</v>
      </c>
      <c r="BK92">
        <v>14208</v>
      </c>
      <c r="BL92">
        <v>8</v>
      </c>
      <c r="BM92">
        <v>11366.4</v>
      </c>
      <c r="BN92">
        <v>9</v>
      </c>
      <c r="BO92">
        <v>12787.199999999999</v>
      </c>
      <c r="BP92">
        <v>11</v>
      </c>
      <c r="BQ92">
        <v>15628.8</v>
      </c>
      <c r="BR92">
        <v>9</v>
      </c>
      <c r="BS92">
        <v>12787.199999999999</v>
      </c>
      <c r="BT92">
        <v>9</v>
      </c>
      <c r="BU92">
        <v>12787.199999999999</v>
      </c>
      <c r="BV92">
        <v>9</v>
      </c>
      <c r="BW92">
        <v>12787.199999999999</v>
      </c>
      <c r="BX92">
        <v>9</v>
      </c>
      <c r="BY92">
        <v>12787.199999999999</v>
      </c>
      <c r="BZ92">
        <v>8</v>
      </c>
      <c r="CA92">
        <v>11366.4</v>
      </c>
      <c r="CB92">
        <v>10</v>
      </c>
      <c r="CC92">
        <v>14208</v>
      </c>
      <c r="CD92">
        <v>9</v>
      </c>
      <c r="CE92">
        <v>12787.199999999999</v>
      </c>
      <c r="CF92">
        <v>11</v>
      </c>
      <c r="CG92">
        <v>15628.8</v>
      </c>
      <c r="CH92">
        <v>11</v>
      </c>
      <c r="CI92">
        <v>15628.8</v>
      </c>
      <c r="CJ92">
        <v>7</v>
      </c>
      <c r="CK92">
        <v>9945.6</v>
      </c>
      <c r="CL92">
        <v>7</v>
      </c>
      <c r="CM92">
        <v>9945.6</v>
      </c>
      <c r="CN92">
        <v>9</v>
      </c>
      <c r="CO92">
        <v>12787.199999999999</v>
      </c>
      <c r="CP92">
        <v>8</v>
      </c>
      <c r="CQ92">
        <v>11366.4</v>
      </c>
      <c r="CR92">
        <v>10</v>
      </c>
      <c r="CS92">
        <v>14208</v>
      </c>
      <c r="CT92">
        <v>11</v>
      </c>
      <c r="CU92">
        <v>15628.8</v>
      </c>
    </row>
    <row r="93" spans="2:99" x14ac:dyDescent="0.2">
      <c r="C93" s="105" t="s">
        <v>259</v>
      </c>
      <c r="D93">
        <v>0</v>
      </c>
      <c r="E93">
        <v>0</v>
      </c>
      <c r="F93">
        <v>9</v>
      </c>
      <c r="G93">
        <v>15951.599999999999</v>
      </c>
      <c r="H93">
        <v>7</v>
      </c>
      <c r="I93">
        <v>12406.8</v>
      </c>
      <c r="J93">
        <v>11</v>
      </c>
      <c r="K93">
        <v>19496.399999999998</v>
      </c>
      <c r="L93">
        <v>7</v>
      </c>
      <c r="M93">
        <v>12406.8</v>
      </c>
      <c r="N93">
        <v>10</v>
      </c>
      <c r="O93">
        <v>17724</v>
      </c>
      <c r="P93">
        <v>6</v>
      </c>
      <c r="Q93">
        <v>10634.4</v>
      </c>
      <c r="R93">
        <v>11</v>
      </c>
      <c r="S93">
        <v>19496.399999999998</v>
      </c>
      <c r="T93">
        <v>10</v>
      </c>
      <c r="U93">
        <v>17724</v>
      </c>
      <c r="V93">
        <v>8</v>
      </c>
      <c r="W93">
        <v>14179.199999999999</v>
      </c>
      <c r="X93">
        <v>9</v>
      </c>
      <c r="Y93">
        <v>15951.599999999999</v>
      </c>
      <c r="Z93">
        <v>7</v>
      </c>
      <c r="AA93">
        <v>12406.8</v>
      </c>
      <c r="AB93">
        <v>8</v>
      </c>
      <c r="AC93">
        <v>14179.199999999999</v>
      </c>
      <c r="AD93">
        <v>9</v>
      </c>
      <c r="AE93">
        <v>15951.599999999999</v>
      </c>
      <c r="AF93">
        <v>8</v>
      </c>
      <c r="AG93">
        <v>14179.199999999999</v>
      </c>
      <c r="AH93">
        <v>6</v>
      </c>
      <c r="AI93">
        <v>10634.4</v>
      </c>
      <c r="AJ93">
        <v>7</v>
      </c>
      <c r="AK93">
        <v>12406.8</v>
      </c>
      <c r="AL93">
        <v>7</v>
      </c>
      <c r="AM93">
        <v>12406.8</v>
      </c>
      <c r="AN93">
        <v>8</v>
      </c>
      <c r="AO93">
        <v>14179.199999999999</v>
      </c>
      <c r="AP93">
        <v>10</v>
      </c>
      <c r="AQ93">
        <v>17724</v>
      </c>
      <c r="AR93">
        <v>5</v>
      </c>
      <c r="AS93">
        <v>8862</v>
      </c>
      <c r="AT93">
        <v>8</v>
      </c>
      <c r="AU93">
        <v>14179.199999999999</v>
      </c>
      <c r="AV93">
        <v>7</v>
      </c>
      <c r="AW93">
        <v>12406.8</v>
      </c>
      <c r="AX93">
        <v>11</v>
      </c>
      <c r="AY93">
        <v>19496.399999999998</v>
      </c>
      <c r="AZ93">
        <v>8</v>
      </c>
      <c r="BA93">
        <v>14179.199999999999</v>
      </c>
      <c r="BB93">
        <v>10</v>
      </c>
      <c r="BC93">
        <v>17724</v>
      </c>
      <c r="BD93">
        <v>6</v>
      </c>
      <c r="BE93">
        <v>10634.4</v>
      </c>
      <c r="BF93">
        <v>6</v>
      </c>
      <c r="BG93">
        <v>10634.4</v>
      </c>
      <c r="BH93">
        <v>11</v>
      </c>
      <c r="BI93">
        <v>19496.399999999998</v>
      </c>
      <c r="BJ93">
        <v>10</v>
      </c>
      <c r="BK93">
        <v>17724</v>
      </c>
      <c r="BL93">
        <v>7</v>
      </c>
      <c r="BM93">
        <v>12406.8</v>
      </c>
      <c r="BN93">
        <v>8</v>
      </c>
      <c r="BO93">
        <v>14179.199999999999</v>
      </c>
      <c r="BP93">
        <v>10</v>
      </c>
      <c r="BQ93">
        <v>17724</v>
      </c>
      <c r="BR93">
        <v>9</v>
      </c>
      <c r="BS93">
        <v>15951.599999999999</v>
      </c>
      <c r="BT93">
        <v>9</v>
      </c>
      <c r="BU93">
        <v>15951.599999999999</v>
      </c>
      <c r="BV93">
        <v>10</v>
      </c>
      <c r="BW93">
        <v>17724</v>
      </c>
      <c r="BX93">
        <v>8</v>
      </c>
      <c r="BY93">
        <v>14179.199999999999</v>
      </c>
      <c r="BZ93">
        <v>9</v>
      </c>
      <c r="CA93">
        <v>15951.599999999999</v>
      </c>
      <c r="CB93">
        <v>10</v>
      </c>
      <c r="CC93">
        <v>17724</v>
      </c>
      <c r="CD93">
        <v>10</v>
      </c>
      <c r="CE93">
        <v>17724</v>
      </c>
      <c r="CF93">
        <v>10</v>
      </c>
      <c r="CG93">
        <v>17724</v>
      </c>
      <c r="CH93">
        <v>11</v>
      </c>
      <c r="CI93">
        <v>19496.399999999998</v>
      </c>
      <c r="CJ93">
        <v>8</v>
      </c>
      <c r="CK93">
        <v>14179.199999999999</v>
      </c>
      <c r="CL93">
        <v>6</v>
      </c>
      <c r="CM93">
        <v>10634.4</v>
      </c>
      <c r="CN93">
        <v>10</v>
      </c>
      <c r="CO93">
        <v>17724</v>
      </c>
      <c r="CP93">
        <v>9</v>
      </c>
      <c r="CQ93">
        <v>15951.599999999999</v>
      </c>
      <c r="CR93">
        <v>8</v>
      </c>
      <c r="CS93">
        <v>14179.199999999999</v>
      </c>
      <c r="CT93">
        <v>10</v>
      </c>
      <c r="CU93">
        <v>17724</v>
      </c>
    </row>
    <row r="94" spans="2:99" x14ac:dyDescent="0.2">
      <c r="C94" s="105" t="s">
        <v>260</v>
      </c>
      <c r="D94">
        <v>0</v>
      </c>
      <c r="E94">
        <v>0</v>
      </c>
      <c r="F94">
        <v>9</v>
      </c>
      <c r="G94">
        <v>21556.799999999999</v>
      </c>
      <c r="H94">
        <v>6</v>
      </c>
      <c r="I94">
        <v>14371.199999999999</v>
      </c>
      <c r="J94">
        <v>10</v>
      </c>
      <c r="K94">
        <v>23952</v>
      </c>
      <c r="L94">
        <v>6</v>
      </c>
      <c r="M94">
        <v>14371.199999999999</v>
      </c>
      <c r="N94">
        <v>10</v>
      </c>
      <c r="O94">
        <v>23952</v>
      </c>
      <c r="P94">
        <v>5</v>
      </c>
      <c r="Q94">
        <v>11976</v>
      </c>
      <c r="R94">
        <v>10</v>
      </c>
      <c r="S94">
        <v>23952</v>
      </c>
      <c r="T94">
        <v>10</v>
      </c>
      <c r="U94">
        <v>23952</v>
      </c>
      <c r="V94">
        <v>7</v>
      </c>
      <c r="W94">
        <v>16766.399999999998</v>
      </c>
      <c r="X94">
        <v>11</v>
      </c>
      <c r="Y94">
        <v>26347.199999999997</v>
      </c>
      <c r="Z94">
        <v>6</v>
      </c>
      <c r="AA94">
        <v>14371.199999999999</v>
      </c>
      <c r="AB94">
        <v>8</v>
      </c>
      <c r="AC94">
        <v>19161.599999999999</v>
      </c>
      <c r="AD94">
        <v>8</v>
      </c>
      <c r="AE94">
        <v>19161.599999999999</v>
      </c>
      <c r="AF94">
        <v>6</v>
      </c>
      <c r="AG94">
        <v>14371.199999999999</v>
      </c>
      <c r="AH94">
        <v>5</v>
      </c>
      <c r="AI94">
        <v>11976</v>
      </c>
      <c r="AJ94">
        <v>8</v>
      </c>
      <c r="AK94">
        <v>19161.599999999999</v>
      </c>
      <c r="AL94">
        <v>6</v>
      </c>
      <c r="AM94">
        <v>14371.199999999999</v>
      </c>
      <c r="AN94">
        <v>8</v>
      </c>
      <c r="AO94">
        <v>19161.599999999999</v>
      </c>
      <c r="AP94">
        <v>10</v>
      </c>
      <c r="AQ94">
        <v>23952</v>
      </c>
      <c r="AR94">
        <v>6</v>
      </c>
      <c r="AS94">
        <v>14371.199999999999</v>
      </c>
      <c r="AT94">
        <v>8</v>
      </c>
      <c r="AU94">
        <v>19161.599999999999</v>
      </c>
      <c r="AV94">
        <v>7</v>
      </c>
      <c r="AW94">
        <v>16766.399999999998</v>
      </c>
      <c r="AX94">
        <v>12</v>
      </c>
      <c r="AY94">
        <v>28742.399999999998</v>
      </c>
      <c r="AZ94">
        <v>8</v>
      </c>
      <c r="BA94">
        <v>19161.599999999999</v>
      </c>
      <c r="BB94">
        <v>10</v>
      </c>
      <c r="BC94">
        <v>23952</v>
      </c>
      <c r="BD94">
        <v>6</v>
      </c>
      <c r="BE94">
        <v>14371.199999999999</v>
      </c>
      <c r="BF94">
        <v>6</v>
      </c>
      <c r="BG94">
        <v>14371.199999999999</v>
      </c>
      <c r="BH94">
        <v>11</v>
      </c>
      <c r="BI94">
        <v>26347.199999999997</v>
      </c>
      <c r="BJ94">
        <v>9</v>
      </c>
      <c r="BK94">
        <v>21556.799999999999</v>
      </c>
      <c r="BL94">
        <v>7</v>
      </c>
      <c r="BM94">
        <v>16766.399999999998</v>
      </c>
      <c r="BN94">
        <v>8</v>
      </c>
      <c r="BO94">
        <v>19161.599999999999</v>
      </c>
      <c r="BP94">
        <v>10</v>
      </c>
      <c r="BQ94">
        <v>23952</v>
      </c>
      <c r="BR94">
        <v>9</v>
      </c>
      <c r="BS94">
        <v>21556.799999999999</v>
      </c>
      <c r="BT94">
        <v>10</v>
      </c>
      <c r="BU94">
        <v>23952</v>
      </c>
      <c r="BV94">
        <v>9</v>
      </c>
      <c r="BW94">
        <v>21556.799999999999</v>
      </c>
      <c r="BX94">
        <v>8</v>
      </c>
      <c r="BY94">
        <v>19161.599999999999</v>
      </c>
      <c r="BZ94">
        <v>8</v>
      </c>
      <c r="CA94">
        <v>19161.599999999999</v>
      </c>
      <c r="CB94">
        <v>9</v>
      </c>
      <c r="CC94">
        <v>21556.799999999999</v>
      </c>
      <c r="CD94">
        <v>8</v>
      </c>
      <c r="CE94">
        <v>19161.599999999999</v>
      </c>
      <c r="CF94">
        <v>10</v>
      </c>
      <c r="CG94">
        <v>23952</v>
      </c>
      <c r="CH94">
        <v>11</v>
      </c>
      <c r="CI94">
        <v>26347.199999999997</v>
      </c>
      <c r="CJ94">
        <v>7</v>
      </c>
      <c r="CK94">
        <v>16766.399999999998</v>
      </c>
      <c r="CL94">
        <v>6</v>
      </c>
      <c r="CM94">
        <v>14371.199999999999</v>
      </c>
      <c r="CN94">
        <v>8</v>
      </c>
      <c r="CO94">
        <v>19161.599999999999</v>
      </c>
      <c r="CP94">
        <v>8</v>
      </c>
      <c r="CQ94">
        <v>19161.599999999999</v>
      </c>
      <c r="CR94">
        <v>8</v>
      </c>
      <c r="CS94">
        <v>19161.599999999999</v>
      </c>
      <c r="CT94">
        <v>10</v>
      </c>
      <c r="CU94">
        <v>23952</v>
      </c>
    </row>
    <row r="95" spans="2:99" x14ac:dyDescent="0.2">
      <c r="B95" s="105" t="s">
        <v>132</v>
      </c>
      <c r="C95" s="105" t="s">
        <v>261</v>
      </c>
      <c r="D95">
        <v>0</v>
      </c>
      <c r="E95">
        <v>0</v>
      </c>
      <c r="F95">
        <v>9</v>
      </c>
      <c r="G95">
        <v>15595.199999999999</v>
      </c>
      <c r="H95">
        <v>7</v>
      </c>
      <c r="I95">
        <v>12129.6</v>
      </c>
      <c r="J95">
        <v>8</v>
      </c>
      <c r="K95">
        <v>13862.4</v>
      </c>
      <c r="L95">
        <v>6</v>
      </c>
      <c r="M95">
        <v>10396.799999999999</v>
      </c>
      <c r="N95">
        <v>6</v>
      </c>
      <c r="O95">
        <v>10396.799999999999</v>
      </c>
      <c r="P95">
        <v>7</v>
      </c>
      <c r="Q95">
        <v>12129.6</v>
      </c>
      <c r="R95">
        <v>8</v>
      </c>
      <c r="S95">
        <v>13862.4</v>
      </c>
      <c r="T95">
        <v>6</v>
      </c>
      <c r="U95">
        <v>10396.799999999999</v>
      </c>
      <c r="V95">
        <v>9</v>
      </c>
      <c r="W95">
        <v>15595.199999999999</v>
      </c>
      <c r="X95">
        <v>6</v>
      </c>
      <c r="Y95">
        <v>10396.799999999999</v>
      </c>
      <c r="Z95">
        <v>6</v>
      </c>
      <c r="AA95">
        <v>10396.799999999999</v>
      </c>
      <c r="AB95">
        <v>7</v>
      </c>
      <c r="AC95">
        <v>12129.6</v>
      </c>
      <c r="AD95">
        <v>8</v>
      </c>
      <c r="AE95">
        <v>13862.4</v>
      </c>
      <c r="AF95">
        <v>8</v>
      </c>
      <c r="AG95">
        <v>13862.4</v>
      </c>
      <c r="AH95">
        <v>6</v>
      </c>
      <c r="AI95">
        <v>10396.799999999999</v>
      </c>
      <c r="AJ95">
        <v>8</v>
      </c>
      <c r="AK95">
        <v>13862.4</v>
      </c>
      <c r="AL95">
        <v>6</v>
      </c>
      <c r="AM95">
        <v>10396.799999999999</v>
      </c>
      <c r="AN95">
        <v>6</v>
      </c>
      <c r="AO95">
        <v>10396.799999999999</v>
      </c>
      <c r="AP95">
        <v>10</v>
      </c>
      <c r="AQ95">
        <v>17328</v>
      </c>
      <c r="AR95">
        <v>9</v>
      </c>
      <c r="AS95">
        <v>15595.199999999999</v>
      </c>
      <c r="AT95">
        <v>8</v>
      </c>
      <c r="AU95">
        <v>13862.4</v>
      </c>
      <c r="AV95">
        <v>7</v>
      </c>
      <c r="AW95">
        <v>12129.6</v>
      </c>
      <c r="AX95">
        <v>6</v>
      </c>
      <c r="AY95">
        <v>10396.799999999999</v>
      </c>
      <c r="AZ95">
        <v>7</v>
      </c>
      <c r="BA95">
        <v>12129.6</v>
      </c>
      <c r="BB95">
        <v>7</v>
      </c>
      <c r="BC95">
        <v>12129.6</v>
      </c>
      <c r="BD95">
        <v>8</v>
      </c>
      <c r="BE95">
        <v>13862.4</v>
      </c>
      <c r="BF95">
        <v>9</v>
      </c>
      <c r="BG95">
        <v>15595.199999999999</v>
      </c>
      <c r="BH95">
        <v>9</v>
      </c>
      <c r="BI95">
        <v>15595.199999999999</v>
      </c>
      <c r="BJ95">
        <v>7</v>
      </c>
      <c r="BK95">
        <v>12129.6</v>
      </c>
      <c r="BL95">
        <v>7</v>
      </c>
      <c r="BM95">
        <v>12129.6</v>
      </c>
      <c r="BN95">
        <v>6</v>
      </c>
      <c r="BO95">
        <v>10396.799999999999</v>
      </c>
      <c r="BP95">
        <v>6</v>
      </c>
      <c r="BQ95">
        <v>10396.799999999999</v>
      </c>
      <c r="BR95">
        <v>8</v>
      </c>
      <c r="BS95">
        <v>13862.4</v>
      </c>
      <c r="BT95">
        <v>8</v>
      </c>
      <c r="BU95">
        <v>13862.4</v>
      </c>
      <c r="BV95">
        <v>7</v>
      </c>
      <c r="BW95">
        <v>12129.6</v>
      </c>
      <c r="BX95">
        <v>9</v>
      </c>
      <c r="BY95">
        <v>15595.199999999999</v>
      </c>
      <c r="BZ95">
        <v>11</v>
      </c>
      <c r="CA95">
        <v>19060.8</v>
      </c>
      <c r="CB95">
        <v>11</v>
      </c>
      <c r="CC95">
        <v>19060.8</v>
      </c>
      <c r="CD95">
        <v>10</v>
      </c>
      <c r="CE95">
        <v>17328</v>
      </c>
      <c r="CF95">
        <v>6</v>
      </c>
      <c r="CG95">
        <v>10396.799999999999</v>
      </c>
      <c r="CH95">
        <v>6</v>
      </c>
      <c r="CI95">
        <v>10396.799999999999</v>
      </c>
      <c r="CJ95">
        <v>5</v>
      </c>
      <c r="CK95">
        <v>8664</v>
      </c>
      <c r="CL95">
        <v>7</v>
      </c>
      <c r="CM95">
        <v>12129.6</v>
      </c>
      <c r="CN95">
        <v>7</v>
      </c>
      <c r="CO95">
        <v>12129.6</v>
      </c>
      <c r="CP95">
        <v>5</v>
      </c>
      <c r="CQ95">
        <v>8664</v>
      </c>
      <c r="CR95">
        <v>7</v>
      </c>
      <c r="CS95">
        <v>12129.6</v>
      </c>
      <c r="CT95">
        <v>10</v>
      </c>
      <c r="CU95">
        <v>17328</v>
      </c>
    </row>
    <row r="96" spans="2:99" x14ac:dyDescent="0.2">
      <c r="C96" s="105" t="s">
        <v>262</v>
      </c>
      <c r="D96">
        <v>0</v>
      </c>
      <c r="E96">
        <v>0</v>
      </c>
      <c r="F96">
        <v>11</v>
      </c>
      <c r="G96">
        <v>9055.1999999999989</v>
      </c>
      <c r="H96">
        <v>7</v>
      </c>
      <c r="I96">
        <v>5762.4</v>
      </c>
      <c r="J96">
        <v>8</v>
      </c>
      <c r="K96">
        <v>6585.5999999999995</v>
      </c>
      <c r="L96">
        <v>7</v>
      </c>
      <c r="M96">
        <v>5762.4</v>
      </c>
      <c r="N96">
        <v>7</v>
      </c>
      <c r="O96">
        <v>5762.4</v>
      </c>
      <c r="P96">
        <v>7</v>
      </c>
      <c r="Q96">
        <v>5762.4</v>
      </c>
      <c r="R96">
        <v>7</v>
      </c>
      <c r="S96">
        <v>5762.4</v>
      </c>
      <c r="T96">
        <v>7</v>
      </c>
      <c r="U96">
        <v>5762.4</v>
      </c>
      <c r="V96">
        <v>9</v>
      </c>
      <c r="W96">
        <v>7408.7999999999993</v>
      </c>
      <c r="X96">
        <v>5</v>
      </c>
      <c r="Y96">
        <v>4116</v>
      </c>
      <c r="Z96">
        <v>7</v>
      </c>
      <c r="AA96">
        <v>5762.4</v>
      </c>
      <c r="AB96">
        <v>8</v>
      </c>
      <c r="AC96">
        <v>6585.5999999999995</v>
      </c>
      <c r="AD96">
        <v>8</v>
      </c>
      <c r="AE96">
        <v>6585.5999999999995</v>
      </c>
      <c r="AF96">
        <v>8</v>
      </c>
      <c r="AG96">
        <v>6585.5999999999995</v>
      </c>
      <c r="AH96">
        <v>7</v>
      </c>
      <c r="AI96">
        <v>5762.4</v>
      </c>
      <c r="AJ96">
        <v>8</v>
      </c>
      <c r="AK96">
        <v>6585.5999999999995</v>
      </c>
      <c r="AL96">
        <v>7</v>
      </c>
      <c r="AM96">
        <v>5762.4</v>
      </c>
      <c r="AN96">
        <v>6</v>
      </c>
      <c r="AO96">
        <v>4939.2</v>
      </c>
      <c r="AP96">
        <v>10</v>
      </c>
      <c r="AQ96">
        <v>8232</v>
      </c>
      <c r="AR96">
        <v>9</v>
      </c>
      <c r="AS96">
        <v>7408.7999999999993</v>
      </c>
      <c r="AT96">
        <v>8</v>
      </c>
      <c r="AU96">
        <v>6585.5999999999995</v>
      </c>
      <c r="AV96">
        <v>8</v>
      </c>
      <c r="AW96">
        <v>6585.5999999999995</v>
      </c>
      <c r="AX96">
        <v>7</v>
      </c>
      <c r="AY96">
        <v>5762.4</v>
      </c>
      <c r="AZ96">
        <v>7</v>
      </c>
      <c r="BA96">
        <v>5762.4</v>
      </c>
      <c r="BB96">
        <v>7</v>
      </c>
      <c r="BC96">
        <v>5762.4</v>
      </c>
      <c r="BD96">
        <v>10</v>
      </c>
      <c r="BE96">
        <v>8232</v>
      </c>
      <c r="BF96">
        <v>9</v>
      </c>
      <c r="BG96">
        <v>7408.7999999999993</v>
      </c>
      <c r="BH96">
        <v>10</v>
      </c>
      <c r="BI96">
        <v>8232</v>
      </c>
      <c r="BJ96">
        <v>8</v>
      </c>
      <c r="BK96">
        <v>6585.5999999999995</v>
      </c>
      <c r="BL96">
        <v>7</v>
      </c>
      <c r="BM96">
        <v>5762.4</v>
      </c>
      <c r="BN96">
        <v>7</v>
      </c>
      <c r="BO96">
        <v>5762.4</v>
      </c>
      <c r="BP96">
        <v>7</v>
      </c>
      <c r="BQ96">
        <v>5762.4</v>
      </c>
      <c r="BR96">
        <v>9</v>
      </c>
      <c r="BS96">
        <v>7408.7999999999993</v>
      </c>
      <c r="BT96">
        <v>10</v>
      </c>
      <c r="BU96">
        <v>8232</v>
      </c>
      <c r="BV96">
        <v>7</v>
      </c>
      <c r="BW96">
        <v>5762.4</v>
      </c>
      <c r="BX96">
        <v>9</v>
      </c>
      <c r="BY96">
        <v>7408.7999999999993</v>
      </c>
      <c r="BZ96">
        <v>10</v>
      </c>
      <c r="CA96">
        <v>8232</v>
      </c>
      <c r="CB96">
        <v>11</v>
      </c>
      <c r="CC96">
        <v>9055.1999999999989</v>
      </c>
      <c r="CD96">
        <v>10</v>
      </c>
      <c r="CE96">
        <v>8232</v>
      </c>
      <c r="CF96">
        <v>7</v>
      </c>
      <c r="CG96">
        <v>5762.4</v>
      </c>
      <c r="CH96">
        <v>7</v>
      </c>
      <c r="CI96">
        <v>5762.4</v>
      </c>
      <c r="CJ96">
        <v>5</v>
      </c>
      <c r="CK96">
        <v>4116</v>
      </c>
      <c r="CL96">
        <v>6</v>
      </c>
      <c r="CM96">
        <v>4939.2</v>
      </c>
      <c r="CN96">
        <v>8</v>
      </c>
      <c r="CO96">
        <v>6585.5999999999995</v>
      </c>
      <c r="CP96">
        <v>6</v>
      </c>
      <c r="CQ96">
        <v>4939.2</v>
      </c>
      <c r="CR96">
        <v>8</v>
      </c>
      <c r="CS96">
        <v>6585.5999999999995</v>
      </c>
      <c r="CT96">
        <v>10</v>
      </c>
      <c r="CU96">
        <v>8232</v>
      </c>
    </row>
    <row r="97" spans="2:99" x14ac:dyDescent="0.2">
      <c r="C97" s="105" t="s">
        <v>263</v>
      </c>
      <c r="D97">
        <v>0</v>
      </c>
      <c r="E97">
        <v>0</v>
      </c>
      <c r="F97">
        <v>9</v>
      </c>
      <c r="G97">
        <v>16459.2</v>
      </c>
      <c r="H97">
        <v>6</v>
      </c>
      <c r="I97">
        <v>10972.8</v>
      </c>
      <c r="J97">
        <v>7</v>
      </c>
      <c r="K97">
        <v>12801.6</v>
      </c>
      <c r="L97">
        <v>7</v>
      </c>
      <c r="M97">
        <v>12801.6</v>
      </c>
      <c r="N97">
        <v>6</v>
      </c>
      <c r="O97">
        <v>10972.8</v>
      </c>
      <c r="P97">
        <v>7</v>
      </c>
      <c r="Q97">
        <v>12801.6</v>
      </c>
      <c r="R97">
        <v>7</v>
      </c>
      <c r="S97">
        <v>12801.6</v>
      </c>
      <c r="T97">
        <v>6</v>
      </c>
      <c r="U97">
        <v>10972.8</v>
      </c>
      <c r="V97">
        <v>8</v>
      </c>
      <c r="W97">
        <v>14630.4</v>
      </c>
      <c r="X97">
        <v>6</v>
      </c>
      <c r="Y97">
        <v>10972.8</v>
      </c>
      <c r="Z97">
        <v>6</v>
      </c>
      <c r="AA97">
        <v>10972.8</v>
      </c>
      <c r="AB97">
        <v>8</v>
      </c>
      <c r="AC97">
        <v>14630.4</v>
      </c>
      <c r="AD97">
        <v>8</v>
      </c>
      <c r="AE97">
        <v>14630.4</v>
      </c>
      <c r="AF97">
        <v>8</v>
      </c>
      <c r="AG97">
        <v>14630.4</v>
      </c>
      <c r="AH97">
        <v>6</v>
      </c>
      <c r="AI97">
        <v>10972.8</v>
      </c>
      <c r="AJ97">
        <v>8</v>
      </c>
      <c r="AK97">
        <v>14630.4</v>
      </c>
      <c r="AL97">
        <v>7</v>
      </c>
      <c r="AM97">
        <v>12801.6</v>
      </c>
      <c r="AN97">
        <v>6</v>
      </c>
      <c r="AO97">
        <v>10972.8</v>
      </c>
      <c r="AP97">
        <v>10</v>
      </c>
      <c r="AQ97">
        <v>18288</v>
      </c>
      <c r="AR97">
        <v>9</v>
      </c>
      <c r="AS97">
        <v>16459.2</v>
      </c>
      <c r="AT97">
        <v>9</v>
      </c>
      <c r="AU97">
        <v>16459.2</v>
      </c>
      <c r="AV97">
        <v>6</v>
      </c>
      <c r="AW97">
        <v>10972.8</v>
      </c>
      <c r="AX97">
        <v>7</v>
      </c>
      <c r="AY97">
        <v>12801.6</v>
      </c>
      <c r="AZ97">
        <v>7</v>
      </c>
      <c r="BA97">
        <v>12801.6</v>
      </c>
      <c r="BB97">
        <v>7</v>
      </c>
      <c r="BC97">
        <v>12801.6</v>
      </c>
      <c r="BD97">
        <v>10</v>
      </c>
      <c r="BE97">
        <v>18288</v>
      </c>
      <c r="BF97">
        <v>8</v>
      </c>
      <c r="BG97">
        <v>14630.4</v>
      </c>
      <c r="BH97">
        <v>10</v>
      </c>
      <c r="BI97">
        <v>18288</v>
      </c>
      <c r="BJ97">
        <v>8</v>
      </c>
      <c r="BK97">
        <v>14630.4</v>
      </c>
      <c r="BL97">
        <v>6</v>
      </c>
      <c r="BM97">
        <v>10972.8</v>
      </c>
      <c r="BN97">
        <v>6</v>
      </c>
      <c r="BO97">
        <v>10972.8</v>
      </c>
      <c r="BP97">
        <v>6</v>
      </c>
      <c r="BQ97">
        <v>10972.8</v>
      </c>
      <c r="BR97">
        <v>9</v>
      </c>
      <c r="BS97">
        <v>16459.2</v>
      </c>
      <c r="BT97">
        <v>8</v>
      </c>
      <c r="BU97">
        <v>14630.4</v>
      </c>
      <c r="BV97">
        <v>7</v>
      </c>
      <c r="BW97">
        <v>12801.6</v>
      </c>
      <c r="BX97">
        <v>8</v>
      </c>
      <c r="BY97">
        <v>14630.4</v>
      </c>
      <c r="BZ97">
        <v>9</v>
      </c>
      <c r="CA97">
        <v>16459.2</v>
      </c>
      <c r="CB97">
        <v>9</v>
      </c>
      <c r="CC97">
        <v>16459.2</v>
      </c>
      <c r="CD97">
        <v>8</v>
      </c>
      <c r="CE97">
        <v>14630.4</v>
      </c>
      <c r="CF97">
        <v>6</v>
      </c>
      <c r="CG97">
        <v>10972.8</v>
      </c>
      <c r="CH97">
        <v>6</v>
      </c>
      <c r="CI97">
        <v>10972.8</v>
      </c>
      <c r="CJ97">
        <v>6</v>
      </c>
      <c r="CK97">
        <v>10972.8</v>
      </c>
      <c r="CL97">
        <v>6</v>
      </c>
      <c r="CM97">
        <v>10972.8</v>
      </c>
      <c r="CN97">
        <v>7</v>
      </c>
      <c r="CO97">
        <v>12801.6</v>
      </c>
      <c r="CP97">
        <v>6</v>
      </c>
      <c r="CQ97">
        <v>10972.8</v>
      </c>
      <c r="CR97">
        <v>8</v>
      </c>
      <c r="CS97">
        <v>14630.4</v>
      </c>
      <c r="CT97">
        <v>10</v>
      </c>
      <c r="CU97">
        <v>18288</v>
      </c>
    </row>
    <row r="98" spans="2:99" x14ac:dyDescent="0.2">
      <c r="C98" s="105" t="s">
        <v>264</v>
      </c>
      <c r="D98">
        <v>0</v>
      </c>
      <c r="E98">
        <v>0</v>
      </c>
      <c r="F98">
        <v>9</v>
      </c>
      <c r="G98">
        <v>11372.4</v>
      </c>
      <c r="H98">
        <v>6</v>
      </c>
      <c r="I98">
        <v>7581.5999999999995</v>
      </c>
      <c r="J98">
        <v>7</v>
      </c>
      <c r="K98">
        <v>8845.1999999999989</v>
      </c>
      <c r="L98">
        <v>6</v>
      </c>
      <c r="M98">
        <v>7581.5999999999995</v>
      </c>
      <c r="N98">
        <v>6</v>
      </c>
      <c r="O98">
        <v>7581.5999999999995</v>
      </c>
      <c r="P98">
        <v>7</v>
      </c>
      <c r="Q98">
        <v>8845.1999999999989</v>
      </c>
      <c r="R98">
        <v>7</v>
      </c>
      <c r="S98">
        <v>8845.1999999999989</v>
      </c>
      <c r="T98">
        <v>6</v>
      </c>
      <c r="U98">
        <v>7581.5999999999995</v>
      </c>
      <c r="V98">
        <v>10</v>
      </c>
      <c r="W98">
        <v>12636</v>
      </c>
      <c r="X98">
        <v>6</v>
      </c>
      <c r="Y98">
        <v>7581.5999999999995</v>
      </c>
      <c r="Z98">
        <v>6</v>
      </c>
      <c r="AA98">
        <v>7581.5999999999995</v>
      </c>
      <c r="AB98">
        <v>9</v>
      </c>
      <c r="AC98">
        <v>11372.4</v>
      </c>
      <c r="AD98">
        <v>9</v>
      </c>
      <c r="AE98">
        <v>11372.4</v>
      </c>
      <c r="AF98">
        <v>9</v>
      </c>
      <c r="AG98">
        <v>11372.4</v>
      </c>
      <c r="AH98">
        <v>6</v>
      </c>
      <c r="AI98">
        <v>7581.5999999999995</v>
      </c>
      <c r="AJ98">
        <v>8</v>
      </c>
      <c r="AK98">
        <v>10108.799999999999</v>
      </c>
      <c r="AL98">
        <v>7</v>
      </c>
      <c r="AM98">
        <v>8845.1999999999989</v>
      </c>
      <c r="AN98">
        <v>6</v>
      </c>
      <c r="AO98">
        <v>7581.5999999999995</v>
      </c>
      <c r="AP98">
        <v>10</v>
      </c>
      <c r="AQ98">
        <v>12636</v>
      </c>
      <c r="AR98">
        <v>10</v>
      </c>
      <c r="AS98">
        <v>12636</v>
      </c>
      <c r="AT98">
        <v>9</v>
      </c>
      <c r="AU98">
        <v>11372.4</v>
      </c>
      <c r="AV98">
        <v>7</v>
      </c>
      <c r="AW98">
        <v>8845.1999999999989</v>
      </c>
      <c r="AX98">
        <v>7</v>
      </c>
      <c r="AY98">
        <v>8845.1999999999989</v>
      </c>
      <c r="AZ98">
        <v>7</v>
      </c>
      <c r="BA98">
        <v>8845.1999999999989</v>
      </c>
      <c r="BB98">
        <v>7</v>
      </c>
      <c r="BC98">
        <v>8845.1999999999989</v>
      </c>
      <c r="BD98">
        <v>10</v>
      </c>
      <c r="BE98">
        <v>12636</v>
      </c>
      <c r="BF98">
        <v>8</v>
      </c>
      <c r="BG98">
        <v>10108.799999999999</v>
      </c>
      <c r="BH98">
        <v>11</v>
      </c>
      <c r="BI98">
        <v>13899.599999999999</v>
      </c>
      <c r="BJ98">
        <v>7</v>
      </c>
      <c r="BK98">
        <v>8845.1999999999989</v>
      </c>
      <c r="BL98">
        <v>6</v>
      </c>
      <c r="BM98">
        <v>7581.5999999999995</v>
      </c>
      <c r="BN98">
        <v>7</v>
      </c>
      <c r="BO98">
        <v>8845.1999999999989</v>
      </c>
      <c r="BP98">
        <v>6</v>
      </c>
      <c r="BQ98">
        <v>7581.5999999999995</v>
      </c>
      <c r="BR98">
        <v>9</v>
      </c>
      <c r="BS98">
        <v>11372.4</v>
      </c>
      <c r="BT98">
        <v>10</v>
      </c>
      <c r="BU98">
        <v>12636</v>
      </c>
      <c r="BV98">
        <v>7</v>
      </c>
      <c r="BW98">
        <v>8845.1999999999989</v>
      </c>
      <c r="BX98">
        <v>8</v>
      </c>
      <c r="BY98">
        <v>10108.799999999999</v>
      </c>
      <c r="BZ98">
        <v>11</v>
      </c>
      <c r="CA98">
        <v>13899.599999999999</v>
      </c>
      <c r="CB98">
        <v>9</v>
      </c>
      <c r="CC98">
        <v>11372.4</v>
      </c>
      <c r="CD98">
        <v>10</v>
      </c>
      <c r="CE98">
        <v>12636</v>
      </c>
      <c r="CF98">
        <v>6</v>
      </c>
      <c r="CG98">
        <v>7581.5999999999995</v>
      </c>
      <c r="CH98">
        <v>6</v>
      </c>
      <c r="CI98">
        <v>7581.5999999999995</v>
      </c>
      <c r="CJ98">
        <v>5</v>
      </c>
      <c r="CK98">
        <v>6318</v>
      </c>
      <c r="CL98">
        <v>6</v>
      </c>
      <c r="CM98">
        <v>7581.5999999999995</v>
      </c>
      <c r="CN98">
        <v>7</v>
      </c>
      <c r="CO98">
        <v>8845.1999999999989</v>
      </c>
      <c r="CP98">
        <v>6</v>
      </c>
      <c r="CQ98">
        <v>7581.5999999999995</v>
      </c>
      <c r="CR98">
        <v>7</v>
      </c>
      <c r="CS98">
        <v>8845.1999999999989</v>
      </c>
      <c r="CT98">
        <v>10</v>
      </c>
      <c r="CU98">
        <v>12636</v>
      </c>
    </row>
    <row r="99" spans="2:99" x14ac:dyDescent="0.2">
      <c r="C99" s="105" t="s">
        <v>265</v>
      </c>
      <c r="D99">
        <v>0</v>
      </c>
      <c r="E99">
        <v>0</v>
      </c>
      <c r="F99">
        <v>8</v>
      </c>
      <c r="G99">
        <v>43852.799999999996</v>
      </c>
      <c r="H99">
        <v>5</v>
      </c>
      <c r="I99">
        <v>27407.999999999996</v>
      </c>
      <c r="J99">
        <v>6</v>
      </c>
      <c r="K99">
        <v>32889.599999999999</v>
      </c>
      <c r="L99">
        <v>5</v>
      </c>
      <c r="M99">
        <v>27407.999999999996</v>
      </c>
      <c r="N99">
        <v>5</v>
      </c>
      <c r="O99">
        <v>27407.999999999996</v>
      </c>
      <c r="P99">
        <v>5</v>
      </c>
      <c r="Q99">
        <v>27407.999999999996</v>
      </c>
      <c r="R99">
        <v>6</v>
      </c>
      <c r="S99">
        <v>32889.599999999999</v>
      </c>
      <c r="T99">
        <v>5</v>
      </c>
      <c r="U99">
        <v>27407.999999999996</v>
      </c>
      <c r="V99">
        <v>7</v>
      </c>
      <c r="W99">
        <v>38371.199999999997</v>
      </c>
      <c r="X99">
        <v>4</v>
      </c>
      <c r="Y99">
        <v>21926.399999999998</v>
      </c>
      <c r="Z99">
        <v>4</v>
      </c>
      <c r="AA99">
        <v>21926.399999999998</v>
      </c>
      <c r="AB99">
        <v>7</v>
      </c>
      <c r="AC99">
        <v>38371.199999999997</v>
      </c>
      <c r="AD99">
        <v>7</v>
      </c>
      <c r="AE99">
        <v>38371.199999999997</v>
      </c>
      <c r="AF99">
        <v>7</v>
      </c>
      <c r="AG99">
        <v>38371.199999999997</v>
      </c>
      <c r="AH99">
        <v>5</v>
      </c>
      <c r="AI99">
        <v>27407.999999999996</v>
      </c>
      <c r="AJ99">
        <v>7</v>
      </c>
      <c r="AK99">
        <v>38371.199999999997</v>
      </c>
      <c r="AL99">
        <v>5</v>
      </c>
      <c r="AM99">
        <v>27407.999999999996</v>
      </c>
      <c r="AN99">
        <v>5</v>
      </c>
      <c r="AO99">
        <v>27407.999999999996</v>
      </c>
      <c r="AP99">
        <v>8</v>
      </c>
      <c r="AQ99">
        <v>43852.799999999996</v>
      </c>
      <c r="AR99">
        <v>7</v>
      </c>
      <c r="AS99">
        <v>38371.199999999997</v>
      </c>
      <c r="AT99">
        <v>6</v>
      </c>
      <c r="AU99">
        <v>32889.599999999999</v>
      </c>
      <c r="AV99">
        <v>6</v>
      </c>
      <c r="AW99">
        <v>32889.599999999999</v>
      </c>
      <c r="AX99">
        <v>5</v>
      </c>
      <c r="AY99">
        <v>27407.999999999996</v>
      </c>
      <c r="AZ99">
        <v>5</v>
      </c>
      <c r="BA99">
        <v>27407.999999999996</v>
      </c>
      <c r="BB99">
        <v>5</v>
      </c>
      <c r="BC99">
        <v>27407.999999999996</v>
      </c>
      <c r="BD99">
        <v>7</v>
      </c>
      <c r="BE99">
        <v>38371.199999999997</v>
      </c>
      <c r="BF99">
        <v>7</v>
      </c>
      <c r="BG99">
        <v>38371.199999999997</v>
      </c>
      <c r="BH99">
        <v>8</v>
      </c>
      <c r="BI99">
        <v>43852.799999999996</v>
      </c>
      <c r="BJ99">
        <v>5</v>
      </c>
      <c r="BK99">
        <v>27407.999999999996</v>
      </c>
      <c r="BL99">
        <v>5</v>
      </c>
      <c r="BM99">
        <v>27407.999999999996</v>
      </c>
      <c r="BN99">
        <v>5</v>
      </c>
      <c r="BO99">
        <v>27407.999999999996</v>
      </c>
      <c r="BP99">
        <v>4</v>
      </c>
      <c r="BQ99">
        <v>21926.399999999998</v>
      </c>
      <c r="BR99">
        <v>8</v>
      </c>
      <c r="BS99">
        <v>43852.799999999996</v>
      </c>
      <c r="BT99">
        <v>7</v>
      </c>
      <c r="BU99">
        <v>38371.199999999997</v>
      </c>
      <c r="BV99">
        <v>6</v>
      </c>
      <c r="BW99">
        <v>32889.599999999999</v>
      </c>
      <c r="BX99">
        <v>6</v>
      </c>
      <c r="BY99">
        <v>32889.599999999999</v>
      </c>
      <c r="BZ99">
        <v>9</v>
      </c>
      <c r="CA99">
        <v>49334.399999999994</v>
      </c>
      <c r="CB99">
        <v>7</v>
      </c>
      <c r="CC99">
        <v>38371.199999999997</v>
      </c>
      <c r="CD99">
        <v>7</v>
      </c>
      <c r="CE99">
        <v>38371.199999999997</v>
      </c>
      <c r="CF99">
        <v>5</v>
      </c>
      <c r="CG99">
        <v>27407.999999999996</v>
      </c>
      <c r="CH99">
        <v>5</v>
      </c>
      <c r="CI99">
        <v>27407.999999999996</v>
      </c>
      <c r="CJ99">
        <v>4</v>
      </c>
      <c r="CK99">
        <v>21926.399999999998</v>
      </c>
      <c r="CL99">
        <v>5</v>
      </c>
      <c r="CM99">
        <v>27407.999999999996</v>
      </c>
      <c r="CN99">
        <v>6</v>
      </c>
      <c r="CO99">
        <v>32889.599999999999</v>
      </c>
      <c r="CP99">
        <v>4</v>
      </c>
      <c r="CQ99">
        <v>21926.399999999998</v>
      </c>
      <c r="CR99">
        <v>5</v>
      </c>
      <c r="CS99">
        <v>27407.999999999996</v>
      </c>
      <c r="CT99">
        <v>8</v>
      </c>
      <c r="CU99">
        <v>43852.799999999996</v>
      </c>
    </row>
    <row r="100" spans="2:99" x14ac:dyDescent="0.2">
      <c r="C100" s="105" t="s">
        <v>266</v>
      </c>
      <c r="D100">
        <v>0</v>
      </c>
      <c r="E100">
        <v>0</v>
      </c>
      <c r="F100">
        <v>10</v>
      </c>
      <c r="G100">
        <v>16223.999999999998</v>
      </c>
      <c r="H100">
        <v>6</v>
      </c>
      <c r="I100">
        <v>9734.4</v>
      </c>
      <c r="J100">
        <v>8</v>
      </c>
      <c r="K100">
        <v>12979.199999999999</v>
      </c>
      <c r="L100">
        <v>6</v>
      </c>
      <c r="M100">
        <v>9734.4</v>
      </c>
      <c r="N100">
        <v>6</v>
      </c>
      <c r="O100">
        <v>9734.4</v>
      </c>
      <c r="P100">
        <v>8</v>
      </c>
      <c r="Q100">
        <v>12979.199999999999</v>
      </c>
      <c r="R100">
        <v>7</v>
      </c>
      <c r="S100">
        <v>11356.8</v>
      </c>
      <c r="T100">
        <v>6</v>
      </c>
      <c r="U100">
        <v>9734.4</v>
      </c>
      <c r="V100">
        <v>8</v>
      </c>
      <c r="W100">
        <v>12979.199999999999</v>
      </c>
      <c r="X100">
        <v>5</v>
      </c>
      <c r="Y100">
        <v>8111.9999999999991</v>
      </c>
      <c r="Z100">
        <v>6</v>
      </c>
      <c r="AA100">
        <v>9734.4</v>
      </c>
      <c r="AB100">
        <v>9</v>
      </c>
      <c r="AC100">
        <v>14601.599999999999</v>
      </c>
      <c r="AD100">
        <v>9</v>
      </c>
      <c r="AE100">
        <v>14601.599999999999</v>
      </c>
      <c r="AF100">
        <v>8</v>
      </c>
      <c r="AG100">
        <v>12979.199999999999</v>
      </c>
      <c r="AH100">
        <v>7</v>
      </c>
      <c r="AI100">
        <v>11356.8</v>
      </c>
      <c r="AJ100">
        <v>9</v>
      </c>
      <c r="AK100">
        <v>14601.599999999999</v>
      </c>
      <c r="AL100">
        <v>7</v>
      </c>
      <c r="AM100">
        <v>11356.8</v>
      </c>
      <c r="AN100">
        <v>6</v>
      </c>
      <c r="AO100">
        <v>9734.4</v>
      </c>
      <c r="AP100">
        <v>10</v>
      </c>
      <c r="AQ100">
        <v>16223.999999999998</v>
      </c>
      <c r="AR100">
        <v>9</v>
      </c>
      <c r="AS100">
        <v>14601.599999999999</v>
      </c>
      <c r="AT100">
        <v>8</v>
      </c>
      <c r="AU100">
        <v>12979.199999999999</v>
      </c>
      <c r="AV100">
        <v>7</v>
      </c>
      <c r="AW100">
        <v>11356.8</v>
      </c>
      <c r="AX100">
        <v>6</v>
      </c>
      <c r="AY100">
        <v>9734.4</v>
      </c>
      <c r="AZ100">
        <v>7</v>
      </c>
      <c r="BA100">
        <v>11356.8</v>
      </c>
      <c r="BB100">
        <v>7</v>
      </c>
      <c r="BC100">
        <v>11356.8</v>
      </c>
      <c r="BD100">
        <v>10</v>
      </c>
      <c r="BE100">
        <v>16223.999999999998</v>
      </c>
      <c r="BF100">
        <v>7</v>
      </c>
      <c r="BG100">
        <v>11356.8</v>
      </c>
      <c r="BH100">
        <v>9</v>
      </c>
      <c r="BI100">
        <v>14601.599999999999</v>
      </c>
      <c r="BJ100">
        <v>6</v>
      </c>
      <c r="BK100">
        <v>9734.4</v>
      </c>
      <c r="BL100">
        <v>7</v>
      </c>
      <c r="BM100">
        <v>11356.8</v>
      </c>
      <c r="BN100">
        <v>6</v>
      </c>
      <c r="BO100">
        <v>9734.4</v>
      </c>
      <c r="BP100">
        <v>6</v>
      </c>
      <c r="BQ100">
        <v>9734.4</v>
      </c>
      <c r="BR100">
        <v>9</v>
      </c>
      <c r="BS100">
        <v>14601.599999999999</v>
      </c>
      <c r="BT100">
        <v>9</v>
      </c>
      <c r="BU100">
        <v>14601.599999999999</v>
      </c>
      <c r="BV100">
        <v>7</v>
      </c>
      <c r="BW100">
        <v>11356.8</v>
      </c>
      <c r="BX100">
        <v>9</v>
      </c>
      <c r="BY100">
        <v>14601.599999999999</v>
      </c>
      <c r="BZ100">
        <v>10</v>
      </c>
      <c r="CA100">
        <v>16223.999999999998</v>
      </c>
      <c r="CB100">
        <v>10</v>
      </c>
      <c r="CC100">
        <v>16223.999999999998</v>
      </c>
      <c r="CD100">
        <v>9</v>
      </c>
      <c r="CE100">
        <v>14601.599999999999</v>
      </c>
      <c r="CF100">
        <v>6</v>
      </c>
      <c r="CG100">
        <v>9734.4</v>
      </c>
      <c r="CH100">
        <v>7</v>
      </c>
      <c r="CI100">
        <v>11356.8</v>
      </c>
      <c r="CJ100">
        <v>5</v>
      </c>
      <c r="CK100">
        <v>8111.9999999999991</v>
      </c>
      <c r="CL100">
        <v>6</v>
      </c>
      <c r="CM100">
        <v>9734.4</v>
      </c>
      <c r="CN100">
        <v>7</v>
      </c>
      <c r="CO100">
        <v>11356.8</v>
      </c>
      <c r="CP100">
        <v>6</v>
      </c>
      <c r="CQ100">
        <v>9734.4</v>
      </c>
      <c r="CR100">
        <v>7</v>
      </c>
      <c r="CS100">
        <v>11356.8</v>
      </c>
      <c r="CT100">
        <v>11</v>
      </c>
      <c r="CU100">
        <v>17846.399999999998</v>
      </c>
    </row>
    <row r="101" spans="2:99" x14ac:dyDescent="0.2">
      <c r="C101" s="105" t="s">
        <v>267</v>
      </c>
      <c r="D101">
        <v>0</v>
      </c>
      <c r="E101">
        <v>0</v>
      </c>
      <c r="F101">
        <v>9</v>
      </c>
      <c r="G101">
        <v>10713.599999999999</v>
      </c>
      <c r="H101">
        <v>7</v>
      </c>
      <c r="I101">
        <v>8332.7999999999993</v>
      </c>
      <c r="J101">
        <v>8</v>
      </c>
      <c r="K101">
        <v>9523.1999999999989</v>
      </c>
      <c r="L101">
        <v>6</v>
      </c>
      <c r="M101">
        <v>7142.4</v>
      </c>
      <c r="N101">
        <v>6</v>
      </c>
      <c r="O101">
        <v>7142.4</v>
      </c>
      <c r="P101">
        <v>7</v>
      </c>
      <c r="Q101">
        <v>8332.7999999999993</v>
      </c>
      <c r="R101">
        <v>8</v>
      </c>
      <c r="S101">
        <v>9523.1999999999989</v>
      </c>
      <c r="T101">
        <v>7</v>
      </c>
      <c r="U101">
        <v>8332.7999999999993</v>
      </c>
      <c r="V101">
        <v>8</v>
      </c>
      <c r="W101">
        <v>9523.1999999999989</v>
      </c>
      <c r="X101">
        <v>5</v>
      </c>
      <c r="Y101">
        <v>5951.9999999999991</v>
      </c>
      <c r="Z101">
        <v>6</v>
      </c>
      <c r="AA101">
        <v>7142.4</v>
      </c>
      <c r="AB101">
        <v>8</v>
      </c>
      <c r="AC101">
        <v>9523.1999999999989</v>
      </c>
      <c r="AD101">
        <v>9</v>
      </c>
      <c r="AE101">
        <v>10713.599999999999</v>
      </c>
      <c r="AF101">
        <v>8</v>
      </c>
      <c r="AG101">
        <v>9523.1999999999989</v>
      </c>
      <c r="AH101">
        <v>6</v>
      </c>
      <c r="AI101">
        <v>7142.4</v>
      </c>
      <c r="AJ101">
        <v>8</v>
      </c>
      <c r="AK101">
        <v>9523.1999999999989</v>
      </c>
      <c r="AL101">
        <v>7</v>
      </c>
      <c r="AM101">
        <v>8332.7999999999993</v>
      </c>
      <c r="AN101">
        <v>6</v>
      </c>
      <c r="AO101">
        <v>7142.4</v>
      </c>
      <c r="AP101">
        <v>9</v>
      </c>
      <c r="AQ101">
        <v>10713.599999999999</v>
      </c>
      <c r="AR101">
        <v>8</v>
      </c>
      <c r="AS101">
        <v>9523.1999999999989</v>
      </c>
      <c r="AT101">
        <v>8</v>
      </c>
      <c r="AU101">
        <v>9523.1999999999989</v>
      </c>
      <c r="AV101">
        <v>7</v>
      </c>
      <c r="AW101">
        <v>8332.7999999999993</v>
      </c>
      <c r="AX101">
        <v>6</v>
      </c>
      <c r="AY101">
        <v>7142.4</v>
      </c>
      <c r="AZ101">
        <v>8</v>
      </c>
      <c r="BA101">
        <v>9523.1999999999989</v>
      </c>
      <c r="BB101">
        <v>7</v>
      </c>
      <c r="BC101">
        <v>8332.7999999999993</v>
      </c>
      <c r="BD101">
        <v>10</v>
      </c>
      <c r="BE101">
        <v>11903.999999999998</v>
      </c>
      <c r="BF101">
        <v>8</v>
      </c>
      <c r="BG101">
        <v>9523.1999999999989</v>
      </c>
      <c r="BH101">
        <v>11</v>
      </c>
      <c r="BI101">
        <v>13094.399999999998</v>
      </c>
      <c r="BJ101">
        <v>8</v>
      </c>
      <c r="BK101">
        <v>9523.1999999999989</v>
      </c>
      <c r="BL101">
        <v>7</v>
      </c>
      <c r="BM101">
        <v>8332.7999999999993</v>
      </c>
      <c r="BN101">
        <v>6</v>
      </c>
      <c r="BO101">
        <v>7142.4</v>
      </c>
      <c r="BP101">
        <v>6</v>
      </c>
      <c r="BQ101">
        <v>7142.4</v>
      </c>
      <c r="BR101">
        <v>10</v>
      </c>
      <c r="BS101">
        <v>11903.999999999998</v>
      </c>
      <c r="BT101">
        <v>9</v>
      </c>
      <c r="BU101">
        <v>10713.599999999999</v>
      </c>
      <c r="BV101">
        <v>7</v>
      </c>
      <c r="BW101">
        <v>8332.7999999999993</v>
      </c>
      <c r="BX101">
        <v>8</v>
      </c>
      <c r="BY101">
        <v>9523.1999999999989</v>
      </c>
      <c r="BZ101">
        <v>11</v>
      </c>
      <c r="CA101">
        <v>13094.399999999998</v>
      </c>
      <c r="CB101">
        <v>9</v>
      </c>
      <c r="CC101">
        <v>10713.599999999999</v>
      </c>
      <c r="CD101">
        <v>10</v>
      </c>
      <c r="CE101">
        <v>11903.999999999998</v>
      </c>
      <c r="CF101">
        <v>6</v>
      </c>
      <c r="CG101">
        <v>7142.4</v>
      </c>
      <c r="CH101">
        <v>7</v>
      </c>
      <c r="CI101">
        <v>8332.7999999999993</v>
      </c>
      <c r="CJ101">
        <v>5</v>
      </c>
      <c r="CK101">
        <v>5951.9999999999991</v>
      </c>
      <c r="CL101">
        <v>7</v>
      </c>
      <c r="CM101">
        <v>8332.7999999999993</v>
      </c>
      <c r="CN101">
        <v>7</v>
      </c>
      <c r="CO101">
        <v>8332.7999999999993</v>
      </c>
      <c r="CP101">
        <v>6</v>
      </c>
      <c r="CQ101">
        <v>7142.4</v>
      </c>
      <c r="CR101">
        <v>8</v>
      </c>
      <c r="CS101">
        <v>9523.1999999999989</v>
      </c>
      <c r="CT101">
        <v>10</v>
      </c>
      <c r="CU101">
        <v>11903.999999999998</v>
      </c>
    </row>
    <row r="102" spans="2:99" x14ac:dyDescent="0.2">
      <c r="C102" s="105" t="s">
        <v>268</v>
      </c>
      <c r="D102">
        <v>0</v>
      </c>
      <c r="E102">
        <v>0</v>
      </c>
      <c r="F102">
        <v>9</v>
      </c>
      <c r="G102">
        <v>17452.8</v>
      </c>
      <c r="H102">
        <v>6</v>
      </c>
      <c r="I102">
        <v>11635.199999999999</v>
      </c>
      <c r="J102">
        <v>7</v>
      </c>
      <c r="K102">
        <v>13574.399999999998</v>
      </c>
      <c r="L102">
        <v>6</v>
      </c>
      <c r="M102">
        <v>11635.199999999999</v>
      </c>
      <c r="N102">
        <v>6</v>
      </c>
      <c r="O102">
        <v>11635.199999999999</v>
      </c>
      <c r="P102">
        <v>6</v>
      </c>
      <c r="Q102">
        <v>11635.199999999999</v>
      </c>
      <c r="R102">
        <v>7</v>
      </c>
      <c r="S102">
        <v>13574.399999999998</v>
      </c>
      <c r="T102">
        <v>6</v>
      </c>
      <c r="U102">
        <v>11635.199999999999</v>
      </c>
      <c r="V102">
        <v>8</v>
      </c>
      <c r="W102">
        <v>15513.599999999999</v>
      </c>
      <c r="X102">
        <v>6</v>
      </c>
      <c r="Y102">
        <v>11635.199999999999</v>
      </c>
      <c r="Z102">
        <v>7</v>
      </c>
      <c r="AA102">
        <v>13574.399999999998</v>
      </c>
      <c r="AB102">
        <v>8</v>
      </c>
      <c r="AC102">
        <v>15513.599999999999</v>
      </c>
      <c r="AD102">
        <v>8</v>
      </c>
      <c r="AE102">
        <v>15513.599999999999</v>
      </c>
      <c r="AF102">
        <v>8</v>
      </c>
      <c r="AG102">
        <v>15513.599999999999</v>
      </c>
      <c r="AH102">
        <v>6</v>
      </c>
      <c r="AI102">
        <v>11635.199999999999</v>
      </c>
      <c r="AJ102">
        <v>8</v>
      </c>
      <c r="AK102">
        <v>15513.599999999999</v>
      </c>
      <c r="AL102">
        <v>6</v>
      </c>
      <c r="AM102">
        <v>11635.199999999999</v>
      </c>
      <c r="AN102">
        <v>6</v>
      </c>
      <c r="AO102">
        <v>11635.199999999999</v>
      </c>
      <c r="AP102">
        <v>10</v>
      </c>
      <c r="AQ102">
        <v>19392</v>
      </c>
      <c r="AR102">
        <v>9</v>
      </c>
      <c r="AS102">
        <v>17452.8</v>
      </c>
      <c r="AT102">
        <v>8</v>
      </c>
      <c r="AU102">
        <v>15513.599999999999</v>
      </c>
      <c r="AV102">
        <v>7</v>
      </c>
      <c r="AW102">
        <v>13574.399999999998</v>
      </c>
      <c r="AX102">
        <v>6</v>
      </c>
      <c r="AY102">
        <v>11635.199999999999</v>
      </c>
      <c r="AZ102">
        <v>7</v>
      </c>
      <c r="BA102">
        <v>13574.399999999998</v>
      </c>
      <c r="BB102">
        <v>6</v>
      </c>
      <c r="BC102">
        <v>11635.199999999999</v>
      </c>
      <c r="BD102">
        <v>8</v>
      </c>
      <c r="BE102">
        <v>15513.599999999999</v>
      </c>
      <c r="BF102">
        <v>7</v>
      </c>
      <c r="BG102">
        <v>13574.399999999998</v>
      </c>
      <c r="BH102">
        <v>9</v>
      </c>
      <c r="BI102">
        <v>17452.8</v>
      </c>
      <c r="BJ102">
        <v>7</v>
      </c>
      <c r="BK102">
        <v>13574.399999999998</v>
      </c>
      <c r="BL102">
        <v>6</v>
      </c>
      <c r="BM102">
        <v>11635.199999999999</v>
      </c>
      <c r="BN102">
        <v>6</v>
      </c>
      <c r="BO102">
        <v>11635.199999999999</v>
      </c>
      <c r="BP102">
        <v>6</v>
      </c>
      <c r="BQ102">
        <v>11635.199999999999</v>
      </c>
      <c r="BR102">
        <v>8</v>
      </c>
      <c r="BS102">
        <v>15513.599999999999</v>
      </c>
      <c r="BT102">
        <v>8</v>
      </c>
      <c r="BU102">
        <v>15513.599999999999</v>
      </c>
      <c r="BV102">
        <v>7</v>
      </c>
      <c r="BW102">
        <v>13574.399999999998</v>
      </c>
      <c r="BX102">
        <v>8</v>
      </c>
      <c r="BY102">
        <v>15513.599999999999</v>
      </c>
      <c r="BZ102">
        <v>9</v>
      </c>
      <c r="CA102">
        <v>17452.8</v>
      </c>
      <c r="CB102">
        <v>10</v>
      </c>
      <c r="CC102">
        <v>19392</v>
      </c>
      <c r="CD102">
        <v>9</v>
      </c>
      <c r="CE102">
        <v>17452.8</v>
      </c>
      <c r="CF102">
        <v>6</v>
      </c>
      <c r="CG102">
        <v>11635.199999999999</v>
      </c>
      <c r="CH102">
        <v>7</v>
      </c>
      <c r="CI102">
        <v>13574.399999999998</v>
      </c>
      <c r="CJ102">
        <v>5</v>
      </c>
      <c r="CK102">
        <v>9696</v>
      </c>
      <c r="CL102">
        <v>7</v>
      </c>
      <c r="CM102">
        <v>13574.399999999998</v>
      </c>
      <c r="CN102">
        <v>7</v>
      </c>
      <c r="CO102">
        <v>13574.399999999998</v>
      </c>
      <c r="CP102">
        <v>5</v>
      </c>
      <c r="CQ102">
        <v>9696</v>
      </c>
      <c r="CR102">
        <v>7</v>
      </c>
      <c r="CS102">
        <v>13574.399999999998</v>
      </c>
      <c r="CT102">
        <v>9</v>
      </c>
      <c r="CU102">
        <v>17452.8</v>
      </c>
    </row>
    <row r="103" spans="2:99" x14ac:dyDescent="0.2">
      <c r="C103" s="105" t="s">
        <v>269</v>
      </c>
      <c r="D103">
        <v>0</v>
      </c>
      <c r="E103">
        <v>0</v>
      </c>
      <c r="F103">
        <v>10</v>
      </c>
      <c r="G103">
        <v>20280</v>
      </c>
      <c r="H103">
        <v>6</v>
      </c>
      <c r="I103">
        <v>12168</v>
      </c>
      <c r="J103">
        <v>7</v>
      </c>
      <c r="K103">
        <v>14196</v>
      </c>
      <c r="L103">
        <v>6</v>
      </c>
      <c r="M103">
        <v>12168</v>
      </c>
      <c r="N103">
        <v>6</v>
      </c>
      <c r="O103">
        <v>12168</v>
      </c>
      <c r="P103">
        <v>8</v>
      </c>
      <c r="Q103">
        <v>16224</v>
      </c>
      <c r="R103">
        <v>7</v>
      </c>
      <c r="S103">
        <v>14196</v>
      </c>
      <c r="T103">
        <v>5</v>
      </c>
      <c r="U103">
        <v>10140</v>
      </c>
      <c r="V103">
        <v>8</v>
      </c>
      <c r="W103">
        <v>16224</v>
      </c>
      <c r="X103">
        <v>5</v>
      </c>
      <c r="Y103">
        <v>10140</v>
      </c>
      <c r="Z103">
        <v>6</v>
      </c>
      <c r="AA103">
        <v>12168</v>
      </c>
      <c r="AB103">
        <v>8</v>
      </c>
      <c r="AC103">
        <v>16224</v>
      </c>
      <c r="AD103">
        <v>8</v>
      </c>
      <c r="AE103">
        <v>16224</v>
      </c>
      <c r="AF103">
        <v>8</v>
      </c>
      <c r="AG103">
        <v>16224</v>
      </c>
      <c r="AH103">
        <v>6</v>
      </c>
      <c r="AI103">
        <v>12168</v>
      </c>
      <c r="AJ103">
        <v>8</v>
      </c>
      <c r="AK103">
        <v>16224</v>
      </c>
      <c r="AL103">
        <v>6</v>
      </c>
      <c r="AM103">
        <v>12168</v>
      </c>
      <c r="AN103">
        <v>6</v>
      </c>
      <c r="AO103">
        <v>12168</v>
      </c>
      <c r="AP103">
        <v>9</v>
      </c>
      <c r="AQ103">
        <v>18252</v>
      </c>
      <c r="AR103">
        <v>8</v>
      </c>
      <c r="AS103">
        <v>16224</v>
      </c>
      <c r="AT103">
        <v>7</v>
      </c>
      <c r="AU103">
        <v>14196</v>
      </c>
      <c r="AV103">
        <v>7</v>
      </c>
      <c r="AW103">
        <v>14196</v>
      </c>
      <c r="AX103">
        <v>6</v>
      </c>
      <c r="AY103">
        <v>12168</v>
      </c>
      <c r="AZ103">
        <v>7</v>
      </c>
      <c r="BA103">
        <v>14196</v>
      </c>
      <c r="BB103">
        <v>6</v>
      </c>
      <c r="BC103">
        <v>12168</v>
      </c>
      <c r="BD103">
        <v>10</v>
      </c>
      <c r="BE103">
        <v>20280</v>
      </c>
      <c r="BF103">
        <v>7</v>
      </c>
      <c r="BG103">
        <v>14196</v>
      </c>
      <c r="BH103">
        <v>9</v>
      </c>
      <c r="BI103">
        <v>18252</v>
      </c>
      <c r="BJ103">
        <v>7</v>
      </c>
      <c r="BK103">
        <v>14196</v>
      </c>
      <c r="BL103">
        <v>7</v>
      </c>
      <c r="BM103">
        <v>14196</v>
      </c>
      <c r="BN103">
        <v>7</v>
      </c>
      <c r="BO103">
        <v>14196</v>
      </c>
      <c r="BP103">
        <v>6</v>
      </c>
      <c r="BQ103">
        <v>12168</v>
      </c>
      <c r="BR103">
        <v>9</v>
      </c>
      <c r="BS103">
        <v>18252</v>
      </c>
      <c r="BT103">
        <v>8</v>
      </c>
      <c r="BU103">
        <v>16224</v>
      </c>
      <c r="BV103">
        <v>7</v>
      </c>
      <c r="BW103">
        <v>14196</v>
      </c>
      <c r="BX103">
        <v>9</v>
      </c>
      <c r="BY103">
        <v>18252</v>
      </c>
      <c r="BZ103">
        <v>10</v>
      </c>
      <c r="CA103">
        <v>20280</v>
      </c>
      <c r="CB103">
        <v>9</v>
      </c>
      <c r="CC103">
        <v>18252</v>
      </c>
      <c r="CD103">
        <v>8</v>
      </c>
      <c r="CE103">
        <v>16224</v>
      </c>
      <c r="CF103">
        <v>5</v>
      </c>
      <c r="CG103">
        <v>10140</v>
      </c>
      <c r="CH103">
        <v>6</v>
      </c>
      <c r="CI103">
        <v>12168</v>
      </c>
      <c r="CJ103">
        <v>5</v>
      </c>
      <c r="CK103">
        <v>10140</v>
      </c>
      <c r="CL103">
        <v>6</v>
      </c>
      <c r="CM103">
        <v>12168</v>
      </c>
      <c r="CN103">
        <v>6</v>
      </c>
      <c r="CO103">
        <v>12168</v>
      </c>
      <c r="CP103">
        <v>5</v>
      </c>
      <c r="CQ103">
        <v>10140</v>
      </c>
      <c r="CR103">
        <v>8</v>
      </c>
      <c r="CS103">
        <v>16224</v>
      </c>
      <c r="CT103">
        <v>10</v>
      </c>
      <c r="CU103">
        <v>20280</v>
      </c>
    </row>
    <row r="104" spans="2:99" x14ac:dyDescent="0.2">
      <c r="C104" s="105" t="s">
        <v>270</v>
      </c>
      <c r="D104">
        <v>0</v>
      </c>
      <c r="E104">
        <v>0</v>
      </c>
      <c r="F104">
        <v>9</v>
      </c>
      <c r="G104">
        <v>18651.600000000002</v>
      </c>
      <c r="H104">
        <v>6</v>
      </c>
      <c r="I104">
        <v>12434.400000000001</v>
      </c>
      <c r="J104">
        <v>7</v>
      </c>
      <c r="K104">
        <v>14506.800000000001</v>
      </c>
      <c r="L104">
        <v>6</v>
      </c>
      <c r="M104">
        <v>12434.400000000001</v>
      </c>
      <c r="N104">
        <v>6</v>
      </c>
      <c r="O104">
        <v>12434.400000000001</v>
      </c>
      <c r="P104">
        <v>7</v>
      </c>
      <c r="Q104">
        <v>14506.800000000001</v>
      </c>
      <c r="R104">
        <v>7</v>
      </c>
      <c r="S104">
        <v>14506.800000000001</v>
      </c>
      <c r="T104">
        <v>6</v>
      </c>
      <c r="U104">
        <v>12434.400000000001</v>
      </c>
      <c r="V104">
        <v>8</v>
      </c>
      <c r="W104">
        <v>16579.2</v>
      </c>
      <c r="X104">
        <v>5</v>
      </c>
      <c r="Y104">
        <v>10362</v>
      </c>
      <c r="Z104">
        <v>6</v>
      </c>
      <c r="AA104">
        <v>12434.400000000001</v>
      </c>
      <c r="AB104">
        <v>8</v>
      </c>
      <c r="AC104">
        <v>16579.2</v>
      </c>
      <c r="AD104">
        <v>8</v>
      </c>
      <c r="AE104">
        <v>16579.2</v>
      </c>
      <c r="AF104">
        <v>8</v>
      </c>
      <c r="AG104">
        <v>16579.2</v>
      </c>
      <c r="AH104">
        <v>6</v>
      </c>
      <c r="AI104">
        <v>12434.400000000001</v>
      </c>
      <c r="AJ104">
        <v>7</v>
      </c>
      <c r="AK104">
        <v>14506.800000000001</v>
      </c>
      <c r="AL104">
        <v>6</v>
      </c>
      <c r="AM104">
        <v>12434.400000000001</v>
      </c>
      <c r="AN104">
        <v>6</v>
      </c>
      <c r="AO104">
        <v>12434.400000000001</v>
      </c>
      <c r="AP104">
        <v>9</v>
      </c>
      <c r="AQ104">
        <v>18651.600000000002</v>
      </c>
      <c r="AR104">
        <v>8</v>
      </c>
      <c r="AS104">
        <v>16579.2</v>
      </c>
      <c r="AT104">
        <v>8</v>
      </c>
      <c r="AU104">
        <v>16579.2</v>
      </c>
      <c r="AV104">
        <v>6</v>
      </c>
      <c r="AW104">
        <v>12434.400000000001</v>
      </c>
      <c r="AX104">
        <v>6</v>
      </c>
      <c r="AY104">
        <v>12434.400000000001</v>
      </c>
      <c r="AZ104">
        <v>7</v>
      </c>
      <c r="BA104">
        <v>14506.800000000001</v>
      </c>
      <c r="BB104">
        <v>6</v>
      </c>
      <c r="BC104">
        <v>12434.400000000001</v>
      </c>
      <c r="BD104">
        <v>10</v>
      </c>
      <c r="BE104">
        <v>20724</v>
      </c>
      <c r="BF104">
        <v>8</v>
      </c>
      <c r="BG104">
        <v>16579.2</v>
      </c>
      <c r="BH104">
        <v>9</v>
      </c>
      <c r="BI104">
        <v>18651.600000000002</v>
      </c>
      <c r="BJ104">
        <v>8</v>
      </c>
      <c r="BK104">
        <v>16579.2</v>
      </c>
      <c r="BL104">
        <v>7</v>
      </c>
      <c r="BM104">
        <v>14506.800000000001</v>
      </c>
      <c r="BN104">
        <v>6</v>
      </c>
      <c r="BO104">
        <v>12434.400000000001</v>
      </c>
      <c r="BP104">
        <v>6</v>
      </c>
      <c r="BQ104">
        <v>12434.400000000001</v>
      </c>
      <c r="BR104">
        <v>9</v>
      </c>
      <c r="BS104">
        <v>18651.600000000002</v>
      </c>
      <c r="BT104">
        <v>9</v>
      </c>
      <c r="BU104">
        <v>18651.600000000002</v>
      </c>
      <c r="BV104">
        <v>7</v>
      </c>
      <c r="BW104">
        <v>14506.800000000001</v>
      </c>
      <c r="BX104">
        <v>8</v>
      </c>
      <c r="BY104">
        <v>16579.2</v>
      </c>
      <c r="BZ104">
        <v>10</v>
      </c>
      <c r="CA104">
        <v>20724</v>
      </c>
      <c r="CB104">
        <v>10</v>
      </c>
      <c r="CC104">
        <v>20724</v>
      </c>
      <c r="CD104">
        <v>8</v>
      </c>
      <c r="CE104">
        <v>16579.2</v>
      </c>
      <c r="CF104">
        <v>6</v>
      </c>
      <c r="CG104">
        <v>12434.400000000001</v>
      </c>
      <c r="CH104">
        <v>5</v>
      </c>
      <c r="CI104">
        <v>10362</v>
      </c>
      <c r="CJ104">
        <v>5</v>
      </c>
      <c r="CK104">
        <v>10362</v>
      </c>
      <c r="CL104">
        <v>6</v>
      </c>
      <c r="CM104">
        <v>12434.400000000001</v>
      </c>
      <c r="CN104">
        <v>6</v>
      </c>
      <c r="CO104">
        <v>12434.400000000001</v>
      </c>
      <c r="CP104">
        <v>5</v>
      </c>
      <c r="CQ104">
        <v>10362</v>
      </c>
      <c r="CR104">
        <v>7</v>
      </c>
      <c r="CS104">
        <v>14506.800000000001</v>
      </c>
      <c r="CT104">
        <v>10</v>
      </c>
      <c r="CU104">
        <v>20724</v>
      </c>
    </row>
    <row r="105" spans="2:99" x14ac:dyDescent="0.2">
      <c r="C105" s="105" t="s">
        <v>271</v>
      </c>
      <c r="D105">
        <v>0</v>
      </c>
      <c r="E105">
        <v>0</v>
      </c>
      <c r="F105">
        <v>10</v>
      </c>
      <c r="G105">
        <v>19980</v>
      </c>
      <c r="H105">
        <v>6</v>
      </c>
      <c r="I105">
        <v>11988</v>
      </c>
      <c r="J105">
        <v>7</v>
      </c>
      <c r="K105">
        <v>13986</v>
      </c>
      <c r="L105">
        <v>6</v>
      </c>
      <c r="M105">
        <v>11988</v>
      </c>
      <c r="N105">
        <v>6</v>
      </c>
      <c r="O105">
        <v>11988</v>
      </c>
      <c r="P105">
        <v>7</v>
      </c>
      <c r="Q105">
        <v>13986</v>
      </c>
      <c r="R105">
        <v>8</v>
      </c>
      <c r="S105">
        <v>15984</v>
      </c>
      <c r="T105">
        <v>6</v>
      </c>
      <c r="U105">
        <v>11988</v>
      </c>
      <c r="V105">
        <v>8</v>
      </c>
      <c r="W105">
        <v>15984</v>
      </c>
      <c r="X105">
        <v>5</v>
      </c>
      <c r="Y105">
        <v>9990</v>
      </c>
      <c r="Z105">
        <v>6</v>
      </c>
      <c r="AA105">
        <v>11988</v>
      </c>
      <c r="AB105">
        <v>7</v>
      </c>
      <c r="AC105">
        <v>13986</v>
      </c>
      <c r="AD105">
        <v>8</v>
      </c>
      <c r="AE105">
        <v>15984</v>
      </c>
      <c r="AF105">
        <v>8</v>
      </c>
      <c r="AG105">
        <v>15984</v>
      </c>
      <c r="AH105">
        <v>6</v>
      </c>
      <c r="AI105">
        <v>11988</v>
      </c>
      <c r="AJ105">
        <v>7</v>
      </c>
      <c r="AK105">
        <v>13986</v>
      </c>
      <c r="AL105">
        <v>7</v>
      </c>
      <c r="AM105">
        <v>13986</v>
      </c>
      <c r="AN105">
        <v>6</v>
      </c>
      <c r="AO105">
        <v>11988</v>
      </c>
      <c r="AP105">
        <v>9</v>
      </c>
      <c r="AQ105">
        <v>17982</v>
      </c>
      <c r="AR105">
        <v>8</v>
      </c>
      <c r="AS105">
        <v>15984</v>
      </c>
      <c r="AT105">
        <v>9</v>
      </c>
      <c r="AU105">
        <v>17982</v>
      </c>
      <c r="AV105">
        <v>6</v>
      </c>
      <c r="AW105">
        <v>11988</v>
      </c>
      <c r="AX105">
        <v>6</v>
      </c>
      <c r="AY105">
        <v>11988</v>
      </c>
      <c r="AZ105">
        <v>6</v>
      </c>
      <c r="BA105">
        <v>11988</v>
      </c>
      <c r="BB105">
        <v>6</v>
      </c>
      <c r="BC105">
        <v>11988</v>
      </c>
      <c r="BD105">
        <v>8</v>
      </c>
      <c r="BE105">
        <v>15984</v>
      </c>
      <c r="BF105">
        <v>7</v>
      </c>
      <c r="BG105">
        <v>13986</v>
      </c>
      <c r="BH105">
        <v>9</v>
      </c>
      <c r="BI105">
        <v>17982</v>
      </c>
      <c r="BJ105">
        <v>7</v>
      </c>
      <c r="BK105">
        <v>13986</v>
      </c>
      <c r="BL105">
        <v>6</v>
      </c>
      <c r="BM105">
        <v>11988</v>
      </c>
      <c r="BN105">
        <v>7</v>
      </c>
      <c r="BO105">
        <v>13986</v>
      </c>
      <c r="BP105">
        <v>5</v>
      </c>
      <c r="BQ105">
        <v>9990</v>
      </c>
      <c r="BR105">
        <v>8</v>
      </c>
      <c r="BS105">
        <v>15984</v>
      </c>
      <c r="BT105">
        <v>9</v>
      </c>
      <c r="BU105">
        <v>17982</v>
      </c>
      <c r="BV105">
        <v>7</v>
      </c>
      <c r="BW105">
        <v>13986</v>
      </c>
      <c r="BX105">
        <v>9</v>
      </c>
      <c r="BY105">
        <v>17982</v>
      </c>
      <c r="BZ105">
        <v>10</v>
      </c>
      <c r="CA105">
        <v>19980</v>
      </c>
      <c r="CB105">
        <v>10</v>
      </c>
      <c r="CC105">
        <v>19980</v>
      </c>
      <c r="CD105">
        <v>9</v>
      </c>
      <c r="CE105">
        <v>17982</v>
      </c>
      <c r="CF105">
        <v>6</v>
      </c>
      <c r="CG105">
        <v>11988</v>
      </c>
      <c r="CH105">
        <v>6</v>
      </c>
      <c r="CI105">
        <v>11988</v>
      </c>
      <c r="CJ105">
        <v>5</v>
      </c>
      <c r="CK105">
        <v>9990</v>
      </c>
      <c r="CL105">
        <v>6</v>
      </c>
      <c r="CM105">
        <v>11988</v>
      </c>
      <c r="CN105">
        <v>6</v>
      </c>
      <c r="CO105">
        <v>11988</v>
      </c>
      <c r="CP105">
        <v>6</v>
      </c>
      <c r="CQ105">
        <v>11988</v>
      </c>
      <c r="CR105">
        <v>7</v>
      </c>
      <c r="CS105">
        <v>13986</v>
      </c>
      <c r="CT105">
        <v>10</v>
      </c>
      <c r="CU105">
        <v>19980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268</v>
      </c>
      <c r="E109">
        <f>SUM(L$6:L$19)+SUM(N$6:N$19)+SUM(P$6:P$19)+SUM(R$6:R$19)</f>
        <v>82.958571909428741</v>
      </c>
      <c r="F109">
        <f>SUM(T$6:T$19)+SUM(V$6:V$19)+SUM(X$6:X$19)+SUM(Z$6:Z$19)</f>
        <v>71.83725217808734</v>
      </c>
      <c r="G109">
        <f>SUM(AB$6:AB$19)+SUM(AD$6:AD$19)+SUM(AF$6:AF$19)+SUM(AH$6:AH$19)</f>
        <v>54.021787428839147</v>
      </c>
      <c r="H109">
        <f>SUM(AJ$6:AJ$19)+SUM(AL$6:AL$19)+SUM(AN$6:AN$19)+SUM(AP$6:AP$19)</f>
        <v>96.231028611655844</v>
      </c>
      <c r="I109">
        <f>SUM(AR$6:AR$19)+SUM(AT$6:AT$19)+SUM(AV$6:AV$19)+SUM(AX$6:AX$19)</f>
        <v>63.817383939374579</v>
      </c>
      <c r="J109">
        <f>SUM(AZ$6:AZ$19)+SUM(BB$6:BB$19)+SUM(BD$6:BD$19)+SUM(BF$6:BF$19)</f>
        <v>68.998312824403882</v>
      </c>
      <c r="K109">
        <f>SUM(BH$6:BH$19)+SUM(BJ$6:BJ$19)+SUM(BL$6:BL$19)+SUM(BN$6:BN$19)</f>
        <v>54.597562519862613</v>
      </c>
      <c r="L109">
        <f>SUM(BP$6:BP$19)+SUM(BR$6:BR$19)+SUM(BT$6:BT$19)+SUM(BV$6:BV$19)</f>
        <v>102.20814286657242</v>
      </c>
      <c r="M109">
        <f>SUM(BX$6:BX$19)+SUM(BZ$6:BZ$19)+SUM(CB$6:CB$19)+SUM(CD$6:CD$19)</f>
        <v>83.660228345643844</v>
      </c>
      <c r="N109">
        <f>SUM(CF$6:CF$19)+SUM(CH$6:CH$19)+SUM(CJ$6:CJ$19)+SUM(CL$6:CL$19)</f>
        <v>49.826597734831957</v>
      </c>
      <c r="O109">
        <f>SUM(CN$6:CN$19)+SUM(CP$6:CP$19)+SUM(CR$6:CR$19)+SUM(CT$6:CT$19)</f>
        <v>112.8588248878257</v>
      </c>
    </row>
    <row r="110" spans="2:99" x14ac:dyDescent="0.2">
      <c r="C110" s="105" t="s">
        <v>127</v>
      </c>
      <c r="D110">
        <f>SUM(D$20:D$36)+SUM(F$20:F$36)+SUM(H$20:H$36)+SUM(J$20:J$36)</f>
        <v>713</v>
      </c>
      <c r="E110">
        <f>SUM(L$20:L$36)+SUM(N$20:N$36)+SUM(P$20:P$36)+SUM(R$20:R$36)</f>
        <v>193.96374789114168</v>
      </c>
      <c r="F110">
        <f>SUM(T$20:T$36)+SUM(V$20:V$36)+SUM(X$20:X$36)+SUM(Z$20:Z$36)</f>
        <v>183.81093061109488</v>
      </c>
      <c r="G110">
        <f>SUM(AB$20:AB$36)+SUM(AD$20:AD$36)+SUM(AF$20:AF$36)+SUM(AH$20:AH$36)</f>
        <v>132.59824256098483</v>
      </c>
      <c r="H110">
        <f>SUM(AJ$20:AJ$36)+SUM(AL$20:AL$36)+SUM(AN$20:AN$36)+SUM(AP$20:AP$36)</f>
        <v>171.87780386042073</v>
      </c>
      <c r="I110">
        <f>SUM(AR$20:AR$36)+SUM(AT$20:AT$36)+SUM(AV$20:AV$36)+SUM(AX$20:AX$36)</f>
        <v>145.00331979593687</v>
      </c>
      <c r="J110">
        <f>SUM(AZ$20:AZ$36)+SUM(BB$20:BB$36)+SUM(BD$20:BD$36)+SUM(BF$20:BF$36)</f>
        <v>169.23726822902131</v>
      </c>
      <c r="K110">
        <f>SUM(BH$20:BH$36)+SUM(BJ$20:BJ$36)+SUM(BL$20:BL$36)+SUM(BN$20:BN$36)</f>
        <v>140.41151989290171</v>
      </c>
      <c r="L110">
        <f>SUM(BP$20:BP$36)+SUM(BR$20:BR$36)+SUM(BT$20:BT$36)+SUM(BV$20:BV$36)</f>
        <v>202.43580725213565</v>
      </c>
      <c r="M110">
        <f>SUM(BX$20:BX$36)+SUM(BZ$20:BZ$36)+SUM(CB$20:CB$36)+SUM(CD$20:CD$36)</f>
        <v>199.92634960806592</v>
      </c>
      <c r="N110">
        <f>SUM(CF$20:CF$36)+SUM(CH$20:CH$36)+SUM(CJ$20:CJ$36)+SUM(CL$20:CL$36)</f>
        <v>150.91091381816113</v>
      </c>
      <c r="O110">
        <f>SUM(CN$20:CN$36)+SUM(CP$20:CP$36)+SUM(CR$20:CR$36)+SUM(CT$20:CT$36)</f>
        <v>236.10371835289038</v>
      </c>
    </row>
    <row r="111" spans="2:99" x14ac:dyDescent="0.2">
      <c r="C111" s="105" t="s">
        <v>128</v>
      </c>
      <c r="D111">
        <f>SUM(D$37:D$48)+SUM(F$37:F$48)+SUM(H$37:H$48)+SUM(J$37:J$48)</f>
        <v>598</v>
      </c>
      <c r="E111">
        <f>SUM(L$37:L$48)+SUM(N$37:N$48)+SUM(P$37:P$48)+SUM(R$37:R$48)</f>
        <v>165.76678279108046</v>
      </c>
      <c r="F111">
        <f>SUM(T$37:T$48)+SUM(V$37:V$48)+SUM(X$37:X$48)+SUM(Z$37:Z$48)</f>
        <v>109.9619442382737</v>
      </c>
      <c r="G111">
        <f>SUM(AB$37:AB$48)+SUM(AD$37:AD$48)+SUM(AF$37:AF$48)+SUM(AH$37:AH$48)</f>
        <v>97.964263591062362</v>
      </c>
      <c r="H111">
        <f>SUM(AJ$37:AJ$48)+SUM(AL$37:AL$48)+SUM(AN$37:AN$48)+SUM(AP$37:AP$48)</f>
        <v>204.3009821873739</v>
      </c>
      <c r="I111">
        <f>SUM(AR$37:AR$48)+SUM(AT$37:AT$48)+SUM(AV$37:AV$48)+SUM(AX$37:AX$48)</f>
        <v>162.1862437720809</v>
      </c>
      <c r="J111">
        <f>SUM(AZ$37:AZ$48)+SUM(BB$37:BB$48)+SUM(BD$37:BD$48)+SUM(BF$37:BF$48)</f>
        <v>128.6878809883012</v>
      </c>
      <c r="K111">
        <f>SUM(BH$37:BH$48)+SUM(BJ$37:BJ$48)+SUM(BL$37:BL$48)+SUM(BN$37:BN$48)</f>
        <v>98.511520674520284</v>
      </c>
      <c r="L111">
        <f>SUM(BP$37:BP$48)+SUM(BR$37:BR$48)+SUM(BT$37:BT$48)+SUM(BV$37:BV$48)</f>
        <v>176.71870623360181</v>
      </c>
      <c r="M111">
        <f>SUM(BX$37:BX$48)+SUM(BZ$37:BZ$48)+SUM(CB$37:CB$48)+SUM(CD$37:CD$48)</f>
        <v>105.8155984756382</v>
      </c>
      <c r="N111">
        <f>SUM(CF$37:CF$48)+SUM(CH$37:CH$48)+SUM(CJ$37:CJ$48)+SUM(CL$37:CL$48)</f>
        <v>106.01966026439109</v>
      </c>
      <c r="O111">
        <f>SUM(CN$37:CN$48)+SUM(CP$37:CP$48)+SUM(CR$37:CR$48)+SUM(CT$37:CT$48)</f>
        <v>140.68885076985694</v>
      </c>
    </row>
    <row r="112" spans="2:99" x14ac:dyDescent="0.2">
      <c r="C112" s="105" t="s">
        <v>129</v>
      </c>
      <c r="D112">
        <f>SUM(D$49:D$70)+SUM(F$49:F$70)+SUM(H$49:H$70)+SUM(J$49:J$70)</f>
        <v>559</v>
      </c>
      <c r="E112">
        <f>SUM(L$49:L$70)+SUM(N$49:N$70)+SUM(P$49:P$70)+SUM(R$49:R$70)</f>
        <v>345.61836578000816</v>
      </c>
      <c r="F112">
        <f>SUM(T$49:T$70)+SUM(V$49:V$70)+SUM(X$49:X$70)+SUM(Z$49:Z$70)</f>
        <v>255.31147562025572</v>
      </c>
      <c r="G112">
        <f>SUM(AB$49:AB$70)+SUM(AD$49:AD$70)+SUM(AF$49:AF$70)+SUM(AH$49:AH$70)</f>
        <v>205.10690840489741</v>
      </c>
      <c r="H112">
        <f>SUM(AJ$49:AJ$70)+SUM(AL$49:AL$70)+SUM(AN$49:AN$70)+SUM(AP$49:AP$70)</f>
        <v>284.74218865018906</v>
      </c>
      <c r="I112">
        <f>SUM(AR$49:AR$70)+SUM(AT$49:AT$70)+SUM(AV$49:AV$70)+SUM(AX$49:AX$70)</f>
        <v>247.91465514031938</v>
      </c>
      <c r="J112">
        <f>SUM(AZ$49:AZ$70)+SUM(BB$49:BB$70)+SUM(BD$49:BD$70)+SUM(BF$49:BF$70)</f>
        <v>265.99814060598533</v>
      </c>
      <c r="K112">
        <f>SUM(BH$49:BH$70)+SUM(BJ$49:BJ$70)+SUM(BL$49:BL$70)+SUM(BN$49:BN$70)</f>
        <v>194.17059889849918</v>
      </c>
      <c r="L112">
        <f>SUM(BP$49:BP$70)+SUM(BR$49:BR$70)+SUM(BT$49:BT$70)+SUM(BV$49:BV$70)</f>
        <v>278.78934695732971</v>
      </c>
      <c r="M112">
        <f>SUM(BX$49:BX$70)+SUM(BZ$49:BZ$70)+SUM(CB$49:CB$70)+SUM(CD$49:CD$70)</f>
        <v>235.51942621836372</v>
      </c>
      <c r="N112">
        <f>SUM(CF$49:CF$70)+SUM(CH$49:CH$70)+SUM(CJ$49:CJ$70)+SUM(CL$49:CL$70)</f>
        <v>168.9340301683996</v>
      </c>
      <c r="O112">
        <f>SUM(CN$49:CN$70)+SUM(CP$49:CP$70)+SUM(CR$49:CR$70)+SUM(CT$49:CT$70)</f>
        <v>262.50060929906658</v>
      </c>
    </row>
    <row r="113" spans="2:15" x14ac:dyDescent="0.2">
      <c r="C113" s="105" t="s">
        <v>130</v>
      </c>
      <c r="D113">
        <f>SUM(D$71:D$86)+SUM(F$71:F$86)+SUM(H$71:H$86)+SUM(J$71:J$86)</f>
        <v>563</v>
      </c>
      <c r="E113">
        <f>SUM(L$71:L$86)+SUM(N$71:N$86)+SUM(P$71:P$86)+SUM(R$71:R$86)</f>
        <v>850</v>
      </c>
      <c r="F113">
        <f>SUM(T$71:T$86)+SUM(V$71:V$86)+SUM(X$71:X$86)+SUM(Z$71:Z$86)</f>
        <v>954</v>
      </c>
      <c r="G113">
        <f>SUM(AB$71:AB$86)+SUM(AD$71:AD$86)+SUM(AF$71:AF$86)+SUM(AH$71:AH$86)</f>
        <v>900</v>
      </c>
      <c r="H113">
        <f>SUM(AJ$71:AJ$86)+SUM(AL$71:AL$86)+SUM(AN$71:AN$86)+SUM(AP$71:AP$86)</f>
        <v>810</v>
      </c>
      <c r="I113">
        <f>SUM(AR$71:AR$86)+SUM(AT$71:AT$86)+SUM(AV$71:AV$86)+SUM(AX$71:AX$86)</f>
        <v>841</v>
      </c>
      <c r="J113">
        <f>SUM(AZ$71:AZ$86)+SUM(BB$71:BB$86)+SUM(BD$71:BD$86)+SUM(BF$71:BF$86)</f>
        <v>858</v>
      </c>
      <c r="K113">
        <f>SUM(BH$71:BH$86)+SUM(BJ$71:BJ$86)+SUM(BL$71:BL$86)+SUM(BN$71:BN$86)</f>
        <v>834</v>
      </c>
      <c r="L113">
        <f>SUM(BP$71:BP$86)+SUM(BR$71:BR$86)+SUM(BT$71:BT$86)+SUM(BV$71:BV$86)</f>
        <v>818</v>
      </c>
      <c r="M113">
        <f>SUM(BX$71:BX$86)+SUM(BZ$71:BZ$86)+SUM(CB$71:CB$86)+SUM(CD$71:CD$86)</f>
        <v>863</v>
      </c>
      <c r="N113">
        <f>SUM(CF$71:CF$86)+SUM(CH$71:CH$86)+SUM(CJ$71:CJ$86)+SUM(CL$71:CL$86)</f>
        <v>784</v>
      </c>
      <c r="O113">
        <f>SUM(CN$71:CN$86)+SUM(CP$71:CP$86)+SUM(CR$71:CR$86)+SUM(CT$71:CT$86)</f>
        <v>891</v>
      </c>
    </row>
    <row r="114" spans="2:15" x14ac:dyDescent="0.2">
      <c r="C114" s="105" t="s">
        <v>131</v>
      </c>
      <c r="D114">
        <f>SUM(D$87:D$94)+SUM(F$87:F$94)+SUM(H$87:H$94)+SUM(J$87:J$94)</f>
        <v>211</v>
      </c>
      <c r="E114">
        <f>SUM(L$87:L$94)+SUM(N$87:N$94)+SUM(P$87:P$94)+SUM(R$87:R$94)</f>
        <v>252</v>
      </c>
      <c r="F114">
        <f>SUM(T$87:T$94)+SUM(V$87:V$94)+SUM(X$87:X$94)+SUM(Z$87:Z$94)</f>
        <v>277</v>
      </c>
      <c r="G114">
        <f>SUM(AB$87:AB$94)+SUM(AD$87:AD$94)+SUM(AF$87:AF$94)+SUM(AH$87:AH$94)</f>
        <v>235</v>
      </c>
      <c r="H114">
        <f>SUM(AJ$87:AJ$94)+SUM(AL$87:AL$94)+SUM(AN$87:AN$94)+SUM(AP$87:AP$94)</f>
        <v>257</v>
      </c>
      <c r="I114">
        <f>SUM(AR$87:AR$94)+SUM(AT$87:AT$94)+SUM(AV$87:AV$94)+SUM(AX$87:AX$94)</f>
        <v>246</v>
      </c>
      <c r="J114">
        <f>SUM(AZ$87:AZ$94)+SUM(BB$87:BB$94)+SUM(BD$87:BD$94)+SUM(BF$87:BF$94)</f>
        <v>240</v>
      </c>
      <c r="K114">
        <f>SUM(BH$87:BH$94)+SUM(BJ$87:BJ$94)+SUM(BL$87:BL$94)+SUM(BN$87:BN$94)</f>
        <v>278</v>
      </c>
      <c r="L114">
        <f>SUM(BP$87:BP$94)+SUM(BR$87:BR$94)+SUM(BT$87:BT$94)+SUM(BV$87:BV$94)</f>
        <v>292</v>
      </c>
      <c r="M114">
        <f>SUM(BX$87:BX$94)+SUM(BZ$87:BZ$94)+SUM(CB$87:CB$94)+SUM(CD$87:CD$94)</f>
        <v>276</v>
      </c>
      <c r="N114">
        <f>SUM(CF$87:CF$94)+SUM(CH$87:CH$94)+SUM(CJ$87:CJ$94)+SUM(CL$87:CL$94)</f>
        <v>279</v>
      </c>
      <c r="O114">
        <f>SUM(CN$87:CN$94)+SUM(CP$87:CP$94)+SUM(CR$87:CR$94)+SUM(CT$87:CT$94)</f>
        <v>294</v>
      </c>
    </row>
    <row r="115" spans="2:15" x14ac:dyDescent="0.2">
      <c r="C115" s="105" t="s">
        <v>132</v>
      </c>
      <c r="D115">
        <f>SUM(D$95:D$105)+SUM(F$95:F$105)+SUM(H$95:H$105)+SUM(J$95:J$105)</f>
        <v>251</v>
      </c>
      <c r="E115">
        <f>SUM(L$95:L$105)+SUM(N$95:N$105)+SUM(P$95:P$105)+SUM(R$95:R$105)</f>
        <v>288</v>
      </c>
      <c r="F115">
        <f>SUM(T$95:T$105)+SUM(V$95:V$105)+SUM(X$95:X$105)+SUM(Z$95:Z$105)</f>
        <v>281</v>
      </c>
      <c r="G115">
        <f>SUM(AB$95:AB$105)+SUM(AD$95:AD$105)+SUM(AF$95:AF$105)+SUM(AH$95:AH$105)</f>
        <v>332</v>
      </c>
      <c r="H115">
        <f>SUM(AJ$95:AJ$105)+SUM(AL$95:AL$105)+SUM(AN$95:AN$105)+SUM(AP$95:AP$105)</f>
        <v>326</v>
      </c>
      <c r="I115">
        <f>SUM(AR$95:AR$105)+SUM(AT$95:AT$105)+SUM(AV$95:AV$105)+SUM(AX$95:AX$105)</f>
        <v>324</v>
      </c>
      <c r="J115">
        <f>SUM(AZ$95:AZ$105)+SUM(BB$95:BB$105)+SUM(BD$95:BD$105)+SUM(BF$95:BF$105)</f>
        <v>332</v>
      </c>
      <c r="K115">
        <f>SUM(BH$95:BH$105)+SUM(BJ$95:BJ$105)+SUM(BL$95:BL$105)+SUM(BN$95:BN$105)</f>
        <v>322</v>
      </c>
      <c r="L115">
        <f>SUM(BP$95:BP$105)+SUM(BR$95:BR$105)+SUM(BT$95:BT$105)+SUM(BV$95:BV$105)</f>
        <v>331</v>
      </c>
      <c r="M115">
        <f>SUM(BX$95:BX$105)+SUM(BZ$95:BZ$105)+SUM(CB$95:CB$105)+SUM(CD$95:CD$105)</f>
        <v>404</v>
      </c>
      <c r="N115">
        <f>SUM(CF$95:CF$105)+SUM(CH$95:CH$105)+SUM(CJ$95:CJ$105)+SUM(CL$95:CL$105)</f>
        <v>256</v>
      </c>
      <c r="O115">
        <f>SUM(CN$95:CN$105)+SUM(CP$95:CP$105)+SUM(CR$95:CR$105)+SUM(CT$95:CT$105)</f>
        <v>321</v>
      </c>
    </row>
    <row r="116" spans="2:15" x14ac:dyDescent="0.2">
      <c r="C116" s="105" t="s">
        <v>278</v>
      </c>
      <c r="D116">
        <f t="shared" ref="D116:O116" si="0">SUM(D$109:D$115)</f>
        <v>3163</v>
      </c>
      <c r="E116">
        <f t="shared" si="0"/>
        <v>2178.3074683716591</v>
      </c>
      <c r="F116">
        <f t="shared" si="0"/>
        <v>2132.9216026477116</v>
      </c>
      <c r="G116">
        <f t="shared" si="0"/>
        <v>1956.6912019857837</v>
      </c>
      <c r="H116">
        <f t="shared" si="0"/>
        <v>2150.1520033096394</v>
      </c>
      <c r="I116">
        <f t="shared" si="0"/>
        <v>2029.9216026477118</v>
      </c>
      <c r="J116">
        <f t="shared" si="0"/>
        <v>2062.9216026477116</v>
      </c>
      <c r="K116">
        <f t="shared" si="0"/>
        <v>1921.6912019857837</v>
      </c>
      <c r="L116">
        <f t="shared" si="0"/>
        <v>2201.1520033096394</v>
      </c>
      <c r="M116">
        <f t="shared" si="0"/>
        <v>2167.9216026477116</v>
      </c>
      <c r="N116">
        <f t="shared" si="0"/>
        <v>1794.6912019857837</v>
      </c>
      <c r="O116">
        <f t="shared" si="0"/>
        <v>2258.1520033096394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D109*pricing!D15*2000</f>
        <v>2117200.0000000005</v>
      </c>
      <c r="E120">
        <f>E109*pricing!E15*2000</f>
        <v>655372.71808448713</v>
      </c>
      <c r="F120">
        <f>F109*pricing!F15*2000</f>
        <v>567514.29220688995</v>
      </c>
      <c r="G120">
        <f>G109*pricing!G15*2000</f>
        <v>426772.12068782927</v>
      </c>
      <c r="H120">
        <f>H109*pricing!H15*2000</f>
        <v>760225.1260320812</v>
      </c>
      <c r="I120">
        <f>I109*pricing!I15*2000</f>
        <v>504157.33312105917</v>
      </c>
      <c r="J120">
        <f>J109*pricing!J15*2000</f>
        <v>545086.67131279071</v>
      </c>
      <c r="K120">
        <f>K109*pricing!K15*2000</f>
        <v>431320.74390691466</v>
      </c>
      <c r="L120">
        <f>L109*pricing!L15*2000</f>
        <v>807444.32864592213</v>
      </c>
      <c r="M120">
        <f>M109*pricing!M15*2000</f>
        <v>660915.80393058644</v>
      </c>
      <c r="N120">
        <f>N109*pricing!N15*2000</f>
        <v>393630.12210517249</v>
      </c>
      <c r="O120">
        <f>O109*pricing!O15*2000</f>
        <v>891584.7166138232</v>
      </c>
    </row>
    <row r="121" spans="2:15" x14ac:dyDescent="0.2">
      <c r="C121" s="105" t="s">
        <v>127</v>
      </c>
      <c r="D121">
        <f>D110*pricing!D16*2000</f>
        <v>5466984.3243618775</v>
      </c>
      <c r="E121">
        <f>E110*pricing!E16*2000</f>
        <v>1487232.4953931989</v>
      </c>
      <c r="F121">
        <f>F110*pricing!F16*2000</f>
        <v>1409384.959743653</v>
      </c>
      <c r="G121">
        <f>G110*pricing!G16*2000</f>
        <v>1016707.5925930407</v>
      </c>
      <c r="H121">
        <f>H110*pricing!H16*2000</f>
        <v>1317886.759341747</v>
      </c>
      <c r="I121">
        <f>I110*pricing!I16*2000</f>
        <v>1111824.5109464505</v>
      </c>
      <c r="J121">
        <f>J110*pricing!J16*2000</f>
        <v>1297640.2419437391</v>
      </c>
      <c r="K121">
        <f>K110*pricing!K16*2000</f>
        <v>1076616.5192346699</v>
      </c>
      <c r="L121">
        <f>L110*pricing!L16*2000</f>
        <v>1552192.6857460982</v>
      </c>
      <c r="M121">
        <f>M110*pricing!M16*2000</f>
        <v>1532951.2192625368</v>
      </c>
      <c r="N121">
        <f>N110*pricing!N16*2000</f>
        <v>1157121.4589326973</v>
      </c>
      <c r="O121">
        <f>O110*pricing!O16*2000</f>
        <v>1810344.0773615758</v>
      </c>
    </row>
    <row r="122" spans="2:15" x14ac:dyDescent="0.2">
      <c r="C122" s="105" t="s">
        <v>128</v>
      </c>
      <c r="D122">
        <f>D111*pricing!D17*2000</f>
        <v>3590703.5315128732</v>
      </c>
      <c r="E122">
        <f>E111*pricing!E17*2000</f>
        <v>995350.12102919724</v>
      </c>
      <c r="F122">
        <f>F111*pricing!F17*2000</f>
        <v>660268.798509015</v>
      </c>
      <c r="G122">
        <f>G111*pricing!G17*2000</f>
        <v>588228.47364295251</v>
      </c>
      <c r="H122">
        <f>H111*pricing!H17*2000</f>
        <v>1226729.528815639</v>
      </c>
      <c r="I122">
        <f>I111*pricing!I17*2000</f>
        <v>973850.69945688732</v>
      </c>
      <c r="J122">
        <f>J111*pricing!J17*2000</f>
        <v>772709.07813980186</v>
      </c>
      <c r="K122">
        <f>K111*pricing!K17*2000</f>
        <v>591514.49026873475</v>
      </c>
      <c r="L122">
        <f>L111*pricing!L17*2000</f>
        <v>1061111.1748451171</v>
      </c>
      <c r="M122">
        <f>M111*pricing!M17*2000</f>
        <v>635371.97848766262</v>
      </c>
      <c r="N122">
        <f>N111*pricing!N17*2000</f>
        <v>636597.2717744885</v>
      </c>
      <c r="O122">
        <f>O111*pricing!O17*2000</f>
        <v>844769.15268196142</v>
      </c>
    </row>
    <row r="123" spans="2:15" x14ac:dyDescent="0.2">
      <c r="C123" s="105" t="s">
        <v>129</v>
      </c>
      <c r="D123">
        <f>D112*pricing!D18*2000</f>
        <v>3481597.4951924458</v>
      </c>
      <c r="E123">
        <f>E112*pricing!E18*2000</f>
        <v>2152601.1388053363</v>
      </c>
      <c r="F123">
        <f>F112*pricing!F18*2000</f>
        <v>1590146.3220274947</v>
      </c>
      <c r="G123">
        <f>G112*pricing!G18*2000</f>
        <v>1277459.2102847178</v>
      </c>
      <c r="H123">
        <f>H112*pricing!H18*2000</f>
        <v>1773448.462934013</v>
      </c>
      <c r="I123">
        <f>I112*pricing!I18*2000</f>
        <v>1544076.9988515833</v>
      </c>
      <c r="J123">
        <f>J112*pricing!J18*2000</f>
        <v>1656705.6530584018</v>
      </c>
      <c r="K123">
        <f>K112*pricing!K18*2000</f>
        <v>1209345.0282022036</v>
      </c>
      <c r="L123">
        <f>L112*pricing!L18*2000</f>
        <v>1736372.6154793862</v>
      </c>
      <c r="M123">
        <f>M112*pricing!M18*2000</f>
        <v>1466876.2869248968</v>
      </c>
      <c r="N123">
        <f>N112*pricing!N18*2000</f>
        <v>1052165.109636968</v>
      </c>
      <c r="O123">
        <f>O112*pricing!O18*2000</f>
        <v>1634922.1177497695</v>
      </c>
    </row>
    <row r="124" spans="2:15" x14ac:dyDescent="0.2">
      <c r="C124" s="105" t="s">
        <v>130</v>
      </c>
      <c r="D124">
        <f>D113*pricing!D19*2000</f>
        <v>3153757.1273899707</v>
      </c>
      <c r="E124">
        <f>E113*pricing!E19*2000</f>
        <v>4761445.0413525309</v>
      </c>
      <c r="F124">
        <f>F113*pricing!F19*2000</f>
        <v>5344021.8464121353</v>
      </c>
      <c r="G124">
        <f>G113*pricing!G19*2000</f>
        <v>5041530.0437850337</v>
      </c>
      <c r="H124">
        <f>H113*pricing!H19*2000</f>
        <v>4537377.0394065296</v>
      </c>
      <c r="I124">
        <f>I113*pricing!I19*2000</f>
        <v>4711029.7409146819</v>
      </c>
      <c r="J124">
        <f>J113*pricing!J19*2000</f>
        <v>4806258.6417417312</v>
      </c>
      <c r="K124">
        <f>K113*pricing!K19*2000</f>
        <v>4671817.8405741313</v>
      </c>
      <c r="L124">
        <f>L113*pricing!L19*2000</f>
        <v>4582190.6397957299</v>
      </c>
      <c r="M124">
        <f>M113*pricing!M19*2000</f>
        <v>4834267.1419849824</v>
      </c>
      <c r="N124">
        <f>N113*pricing!N19*2000</f>
        <v>4391732.8381416295</v>
      </c>
      <c r="O124">
        <f>O113*pricing!O19*2000</f>
        <v>4991114.7433471829</v>
      </c>
    </row>
    <row r="125" spans="2:15" x14ac:dyDescent="0.2">
      <c r="C125" s="105" t="s">
        <v>131</v>
      </c>
      <c r="D125">
        <f>D114*pricing!D20*2000</f>
        <v>1234350</v>
      </c>
      <c r="E125">
        <f>E114*pricing!E20*2000</f>
        <v>1474199.9999999998</v>
      </c>
      <c r="F125">
        <f>F114*pricing!F20*2000</f>
        <v>1620449.9999999998</v>
      </c>
      <c r="G125">
        <f>G114*pricing!G20*2000</f>
        <v>1374750</v>
      </c>
      <c r="H125">
        <f>H114*pricing!H20*2000</f>
        <v>1503449.9999999998</v>
      </c>
      <c r="I125">
        <f>I114*pricing!I20*2000</f>
        <v>1439100</v>
      </c>
      <c r="J125">
        <f>J114*pricing!J20*2000</f>
        <v>1404000</v>
      </c>
      <c r="K125">
        <f>K114*pricing!K20*2000</f>
        <v>1626300</v>
      </c>
      <c r="L125">
        <f>L114*pricing!L20*2000</f>
        <v>1708199.9999999998</v>
      </c>
      <c r="M125">
        <f>M114*pricing!M20*2000</f>
        <v>1614600</v>
      </c>
      <c r="N125">
        <f>N114*pricing!N20*2000</f>
        <v>1632149.9999999998</v>
      </c>
      <c r="O125">
        <f>O114*pricing!O20*2000</f>
        <v>1719899.9999999998</v>
      </c>
    </row>
    <row r="126" spans="2:15" x14ac:dyDescent="0.2">
      <c r="C126" s="105" t="s">
        <v>132</v>
      </c>
      <c r="D126">
        <f>D115*pricing!D21*2000</f>
        <v>1698462.2659571122</v>
      </c>
      <c r="E126">
        <f>E115*pricing!E21*2000</f>
        <v>1948833.1975922245</v>
      </c>
      <c r="F126">
        <f>F115*pricing!F21*2000</f>
        <v>1901465.7240396356</v>
      </c>
      <c r="G126">
        <f>G115*pricing!G21*2000</f>
        <v>2246571.6027799253</v>
      </c>
      <c r="H126">
        <f>H115*pricing!H21*2000</f>
        <v>2205970.9111634204</v>
      </c>
      <c r="I126">
        <f>I115*pricing!I21*2000</f>
        <v>2192437.3472912526</v>
      </c>
      <c r="J126">
        <f>J115*pricing!J21*2000</f>
        <v>2246571.6027799253</v>
      </c>
      <c r="K126">
        <f>K115*pricing!K21*2000</f>
        <v>2178903.7834190838</v>
      </c>
      <c r="L126">
        <f>L115*pricing!L21*2000</f>
        <v>2239804.8208438414</v>
      </c>
      <c r="M126">
        <f>M115*pricing!M21*2000</f>
        <v>2733779.9021779816</v>
      </c>
      <c r="N126">
        <f>N115*pricing!N21*2000</f>
        <v>1732296.1756375327</v>
      </c>
      <c r="O126">
        <f>O115*pricing!O21*2000</f>
        <v>2172137.0014829999</v>
      </c>
    </row>
    <row r="127" spans="2:15" x14ac:dyDescent="0.2">
      <c r="C127" s="105" t="s">
        <v>278</v>
      </c>
      <c r="D127">
        <f t="shared" ref="D127:O127" si="1">SUM(D$120:D$126)</f>
        <v>20743054.744414281</v>
      </c>
      <c r="E127">
        <f t="shared" si="1"/>
        <v>13475034.712256975</v>
      </c>
      <c r="F127">
        <f t="shared" si="1"/>
        <v>13093251.942938823</v>
      </c>
      <c r="G127">
        <f t="shared" si="1"/>
        <v>11972019.043773498</v>
      </c>
      <c r="H127">
        <f t="shared" si="1"/>
        <v>13325087.827693429</v>
      </c>
      <c r="I127">
        <f t="shared" si="1"/>
        <v>12476476.630581915</v>
      </c>
      <c r="J127">
        <f t="shared" si="1"/>
        <v>12728971.88897639</v>
      </c>
      <c r="K127">
        <f t="shared" si="1"/>
        <v>11785818.405605737</v>
      </c>
      <c r="L127">
        <f t="shared" si="1"/>
        <v>13687316.265356096</v>
      </c>
      <c r="M127">
        <f t="shared" si="1"/>
        <v>13478762.332768647</v>
      </c>
      <c r="N127">
        <f t="shared" si="1"/>
        <v>10995692.976228487</v>
      </c>
      <c r="O127">
        <f t="shared" si="1"/>
        <v>14064771.809237313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135020.4</v>
      </c>
      <c r="E131" s="110">
        <f>SUM(M$6:M$19)+SUM(O$6:O$19)+SUM(Q$6:Q$19)+SUM(S$6:S$19)</f>
        <v>41905.47132149143</v>
      </c>
      <c r="F131" s="110">
        <f>SUM(U$6:U$19)+SUM(W$6:W$19)+SUM(Y$6:Y$19)+SUM(AA$6:AA$19)</f>
        <v>36391.586836161834</v>
      </c>
      <c r="G131" s="110">
        <f>SUM(AC$6:AC$19)+SUM(AE$6:AE$19)+SUM(AG$6:AG$19)+SUM(AI$6:AI$19)</f>
        <v>27403.343206418322</v>
      </c>
      <c r="H131" s="110">
        <f>SUM(AK$6:AK$19)+SUM(AM$6:AM$19)+SUM(AO$6:AO$19)+SUM(AQ$6:AQ$19)</f>
        <v>48539.022568945576</v>
      </c>
      <c r="I131" s="110">
        <f>SUM(AS$6:AS$19)+SUM(AU$6:AU$19)+SUM(AW$6:AW$19)+SUM(AY$6:AY$19)</f>
        <v>31956.034605610566</v>
      </c>
      <c r="J131" s="110">
        <f>SUM(BA$6:BA$19)+SUM(BC$6:BC$19)+SUM(BE$6:BE$19)+SUM(BG$6:BG$19)</f>
        <v>34566.630157497719</v>
      </c>
      <c r="K131" s="110">
        <f>SUM(BI$6:BI$19)+SUM(BK$6:BK$19)+SUM(BM$6:BM$19)+SUM(BO$6:BO$19)</f>
        <v>27768.995409727973</v>
      </c>
      <c r="L131" s="110">
        <f>SUM(BQ$6:BQ$19)+SUM(BS$6:BS$19)+SUM(BU$6:BU$19)+SUM(BW$6:BW$19)</f>
        <v>51929.398151979956</v>
      </c>
      <c r="M131" s="110">
        <f>SUM(BY$6:BY$19)+SUM(CA$6:CA$19)+SUM(CC$6:CC$19)+SUM(CE$6:CE$19)</f>
        <v>42200.879697706674</v>
      </c>
      <c r="N131" s="110">
        <f>SUM(CG$6:CG$19)+SUM(CI$6:CI$19)+SUM(CK$6:CK$19)+SUM(CM$6:CM$19)</f>
        <v>25375.031308997604</v>
      </c>
      <c r="O131" s="110">
        <f>SUM(CO$6:CO$19)+SUM(CQ$6:CQ$19)+SUM(CS$6:CS$19)+SUM(CU$6:CU$19)</f>
        <v>56710.037797236553</v>
      </c>
    </row>
    <row r="132" spans="2:15" x14ac:dyDescent="0.2">
      <c r="C132" s="109" t="s">
        <v>127</v>
      </c>
      <c r="D132" s="110">
        <f>SUM(E$20:E$36)+SUM(G$20:G$36)+SUM(I$20:I$36)+SUM(K$20:K$36)</f>
        <v>305070.00000000006</v>
      </c>
      <c r="E132" s="110">
        <f>SUM(M$20:M$36)+SUM(O$20:O$36)+SUM(Q$20:Q$36)+SUM(S$20:S$36)</f>
        <v>83237.71888519921</v>
      </c>
      <c r="F132" s="110">
        <f>SUM(U$20:U$36)+SUM(W$20:W$36)+SUM(Y$20:Y$36)+SUM(AA$20:AA$36)</f>
        <v>78609.550386500749</v>
      </c>
      <c r="G132" s="110">
        <f>SUM(AC$20:AC$36)+SUM(AE$20:AE$36)+SUM(AG$20:AG$36)+SUM(AI$20:AI$36)</f>
        <v>56663.131921498687</v>
      </c>
      <c r="H132" s="110">
        <f>SUM(AK$20:AK$36)+SUM(AM$20:AM$36)+SUM(AO$20:AO$36)+SUM(AQ$20:AQ$36)</f>
        <v>73763.22760845421</v>
      </c>
      <c r="I132" s="110">
        <f>SUM(AS$20:AS$36)+SUM(AU$20:AU$36)+SUM(AW$20:AW$36)+SUM(AY$20:AY$36)</f>
        <v>62278.300833420435</v>
      </c>
      <c r="J132" s="110">
        <f>SUM(BA$20:BA$36)+SUM(BC$20:BC$36)+SUM(BE$20:BE$36)+SUM(BG$20:BG$36)</f>
        <v>72634.965327840007</v>
      </c>
      <c r="K132" s="110">
        <f>SUM(BI$20:BI$36)+SUM(BK$20:BK$36)+SUM(BM$20:BM$36)+SUM(BO$20:BO$36)</f>
        <v>60005.859584155689</v>
      </c>
      <c r="L132" s="110">
        <f>SUM(BQ$20:BQ$36)+SUM(BS$20:BS$36)+SUM(BU$20:BU$36)+SUM(BW$20:BW$36)</f>
        <v>86994.960857259823</v>
      </c>
      <c r="M132" s="110">
        <f>SUM(BY$20:BY$36)+SUM(CA$20:CA$36)+SUM(CC$20:CC$36)+SUM(CE$20:CE$36)</f>
        <v>84852.944208501314</v>
      </c>
      <c r="N132" s="110">
        <f>SUM(CG$20:CG$36)+SUM(CI$20:CI$36)+SUM(CK$20:CK$36)+SUM(CM$20:CM$36)</f>
        <v>65072.275451790163</v>
      </c>
      <c r="O132" s="110">
        <f>SUM(CO$20:CO$36)+SUM(CQ$20:CQ$36)+SUM(CS$20:CS$36)+SUM(CU$20:CU$36)</f>
        <v>101614.10065251341</v>
      </c>
    </row>
    <row r="133" spans="2:15" x14ac:dyDescent="0.2">
      <c r="C133" s="109" t="s">
        <v>128</v>
      </c>
      <c r="D133" s="110">
        <f>SUM(E$37:E$48)+SUM(G$37:G$48)+SUM(I$37:I$48)+SUM(K$37:K$48)</f>
        <v>629674.80000000005</v>
      </c>
      <c r="E133" s="110">
        <f>SUM(M$37:M$48)+SUM(O$37:O$48)+SUM(Q$37:Q$48)+SUM(S$37:S$48)</f>
        <v>173474.20578016655</v>
      </c>
      <c r="F133" s="110">
        <f>SUM(U$37:U$48)+SUM(W$37:W$48)+SUM(Y$37:Y$48)+SUM(AA$37:AA$48)</f>
        <v>115453.15817499692</v>
      </c>
      <c r="G133" s="110">
        <f>SUM(AC$37:AC$48)+SUM(AE$37:AE$48)+SUM(AG$37:AG$48)+SUM(AI$37:AI$48)</f>
        <v>102333.65361482123</v>
      </c>
      <c r="H133" s="110">
        <f>SUM(AK$37:AK$48)+SUM(AM$37:AM$48)+SUM(AO$37:AO$48)+SUM(AQ$37:AQ$48)</f>
        <v>214735.23537326069</v>
      </c>
      <c r="I133" s="110">
        <f>SUM(AS$37:AS$48)+SUM(AU$37:AU$48)+SUM(AW$37:AW$48)+SUM(AY$37:AY$48)</f>
        <v>170282.93884026216</v>
      </c>
      <c r="J133" s="110">
        <f>SUM(BA$37:BA$48)+SUM(BC$37:BC$48)+SUM(BE$37:BE$48)+SUM(BG$37:BG$48)</f>
        <v>134632.37946331612</v>
      </c>
      <c r="K133" s="110">
        <f>SUM(BI$37:BI$48)+SUM(BK$37:BK$48)+SUM(BM$37:BM$48)+SUM(BO$37:BO$48)</f>
        <v>103855.81952712804</v>
      </c>
      <c r="L133" s="110">
        <f>SUM(BQ$37:BQ$48)+SUM(BS$37:BS$48)+SUM(BU$37:BU$48)+SUM(BW$37:BW$48)</f>
        <v>184873.39843400568</v>
      </c>
      <c r="M133" s="110">
        <f>SUM(BY$37:BY$48)+SUM(CA$37:CA$48)+SUM(CC$37:CC$48)+SUM(CE$37:CE$48)</f>
        <v>110790.74938794668</v>
      </c>
      <c r="N133" s="110">
        <f>SUM(CG$37:CG$48)+SUM(CI$37:CI$48)+SUM(CK$37:CK$48)+SUM(CM$37:CM$48)</f>
        <v>111397.19210966042</v>
      </c>
      <c r="O133" s="110">
        <f>SUM(CO$37:CO$48)+SUM(CQ$37:CQ$48)+SUM(CS$37:CS$48)+SUM(CU$37:CU$48)</f>
        <v>147547.10843148298</v>
      </c>
    </row>
    <row r="134" spans="2:15" x14ac:dyDescent="0.2">
      <c r="C134" s="109" t="s">
        <v>129</v>
      </c>
      <c r="D134" s="110">
        <f>SUM(E$49:E$70)+SUM(G$49:G$70)+SUM(I$49:I$70)+SUM(K$49:K$70)</f>
        <v>470255.99999999983</v>
      </c>
      <c r="E134" s="110">
        <f>SUM(M$49:M$70)+SUM(O$49:O$70)+SUM(Q$49:Q$70)+SUM(S$49:S$70)</f>
        <v>309335.38057797938</v>
      </c>
      <c r="F134" s="110">
        <f>SUM(U$49:U$70)+SUM(W$49:W$70)+SUM(Y$49:Y$70)+SUM(AA$49:AA$70)</f>
        <v>234433.82824429526</v>
      </c>
      <c r="G134" s="110">
        <f>SUM(AC$49:AC$70)+SUM(AE$49:AE$70)+SUM(AG$49:AG$70)+SUM(AI$49:AI$70)</f>
        <v>194073.44162312167</v>
      </c>
      <c r="H134" s="110">
        <f>SUM(AK$49:AK$70)+SUM(AM$49:AM$70)+SUM(AO$49:AO$70)+SUM(AQ$49:AQ$70)</f>
        <v>258620.50068665008</v>
      </c>
      <c r="I134" s="110">
        <f>SUM(AS$49:AS$70)+SUM(AU$49:AU$70)+SUM(AW$49:AW$70)+SUM(AY$49:AY$70)</f>
        <v>228547.96754774702</v>
      </c>
      <c r="J134" s="110">
        <f>SUM(BA$49:BA$70)+SUM(BC$49:BC$70)+SUM(BE$49:BE$70)+SUM(BG$49:BG$70)</f>
        <v>246323.06751473347</v>
      </c>
      <c r="K134" s="110">
        <f>SUM(BI$49:BI$70)+SUM(BK$49:BK$70)+SUM(BM$49:BM$70)+SUM(BO$49:BO$70)</f>
        <v>183403.86104015121</v>
      </c>
      <c r="L134" s="110">
        <f>SUM(BQ$49:BQ$70)+SUM(BS$49:BS$70)+SUM(BU$49:BU$70)+SUM(BW$49:BW$70)</f>
        <v>253556.30588561649</v>
      </c>
      <c r="M134" s="110">
        <f>SUM(BY$49:BY$70)+SUM(CA$49:CA$70)+SUM(CC$49:CC$70)+SUM(CE$49:CE$70)</f>
        <v>219346.92359921228</v>
      </c>
      <c r="N134" s="110">
        <f>SUM(CG$49:CG$70)+SUM(CI$49:CI$70)+SUM(CK$49:CK$70)+SUM(CM$49:CM$70)</f>
        <v>159484.48355191629</v>
      </c>
      <c r="O134" s="110">
        <f>SUM(CO$49:CO$70)+SUM(CQ$49:CQ$70)+SUM(CS$49:CS$70)+SUM(CU$49:CU$70)</f>
        <v>240392.00590743581</v>
      </c>
    </row>
    <row r="135" spans="2:15" x14ac:dyDescent="0.2">
      <c r="C135" s="109" t="s">
        <v>130</v>
      </c>
      <c r="D135" s="110">
        <f>SUM(E$71:E$86)+SUM(G$71:G$86)+SUM(I$71:I$86)+SUM(K$71:K$86)</f>
        <v>314064</v>
      </c>
      <c r="E135" s="110">
        <f>SUM(M$71:M$86)+SUM(O$71:O$86)+SUM(Q$71:Q$86)+SUM(S$71:S$86)</f>
        <v>474597.6</v>
      </c>
      <c r="F135" s="110">
        <f>SUM(U$71:U$86)+SUM(W$71:W$86)+SUM(Y$71:Y$86)+SUM(AA$71:AA$86)</f>
        <v>534529.19999999995</v>
      </c>
      <c r="G135" s="110">
        <f>SUM(AC$71:AC$86)+SUM(AE$71:AE$86)+SUM(AG$71:AG$86)+SUM(AI$71:AI$86)</f>
        <v>502129.20000000007</v>
      </c>
      <c r="H135" s="110">
        <f>SUM(AK$71:AK$86)+SUM(AM$71:AM$86)+SUM(AO$71:AO$86)+SUM(AQ$71:AQ$86)</f>
        <v>450733.19999999995</v>
      </c>
      <c r="I135" s="110">
        <f>SUM(AS$71:AS$86)+SUM(AU$71:AU$86)+SUM(AW$71:AW$86)+SUM(AY$71:AY$86)</f>
        <v>468550.79999999993</v>
      </c>
      <c r="J135" s="110">
        <f>SUM(BA$71:BA$86)+SUM(BC$71:BC$86)+SUM(BE$71:BE$86)+SUM(BG$71:BG$86)</f>
        <v>478537.20000000007</v>
      </c>
      <c r="K135" s="110">
        <f>SUM(BI$71:BI$86)+SUM(BK$71:BK$86)+SUM(BM$71:BM$86)+SUM(BO$71:BO$86)</f>
        <v>466923.6</v>
      </c>
      <c r="L135" s="110">
        <f>SUM(BQ$71:BQ$86)+SUM(BS$71:BS$86)+SUM(BU$71:BU$86)+SUM(BW$71:BW$86)</f>
        <v>457824</v>
      </c>
      <c r="M135" s="110">
        <f>SUM(BY$71:BY$86)+SUM(CA$71:CA$86)+SUM(CC$71:CC$86)+SUM(CE$71:CE$86)</f>
        <v>482044.80000000005</v>
      </c>
      <c r="N135" s="110">
        <f>SUM(CG$71:CG$86)+SUM(CI$71:CI$86)+SUM(CK$71:CK$86)+SUM(CM$71:CM$86)</f>
        <v>436708.79999999993</v>
      </c>
      <c r="O135" s="110">
        <f>SUM(CO$71:CO$86)+SUM(CQ$71:CQ$86)+SUM(CS$71:CS$86)+SUM(CU$71:CU$86)</f>
        <v>500510.39999999997</v>
      </c>
    </row>
    <row r="136" spans="2:15" x14ac:dyDescent="0.2">
      <c r="C136" s="109" t="s">
        <v>131</v>
      </c>
      <c r="D136" s="110">
        <f>SUM(E$87:E$94)+SUM(G$87:G$94)+SUM(I$87:I$94)+SUM(K$87:K$94)</f>
        <v>429024</v>
      </c>
      <c r="E136" s="110">
        <f>SUM(M$87:M$94)+SUM(O$87:O$94)+SUM(Q$87:Q$94)+SUM(S$87:S$94)</f>
        <v>513314.4</v>
      </c>
      <c r="F136" s="110">
        <f>SUM(U$87:U$94)+SUM(W$87:W$94)+SUM(Y$87:Y$94)+SUM(AA$87:AA$94)</f>
        <v>564148.80000000005</v>
      </c>
      <c r="G136" s="110">
        <f>SUM(AC$87:AC$94)+SUM(AE$87:AE$94)+SUM(AG$87:AG$94)+SUM(AI$87:AI$94)</f>
        <v>474910.8</v>
      </c>
      <c r="H136" s="110">
        <f>SUM(AK$87:AK$94)+SUM(AM$87:AM$94)+SUM(AO$87:AO$94)+SUM(AQ$87:AQ$94)</f>
        <v>523790.39999999997</v>
      </c>
      <c r="I136" s="110">
        <f>SUM(AS$87:AS$94)+SUM(AU$87:AU$94)+SUM(AW$87:AW$94)+SUM(AY$87:AY$94)</f>
        <v>501786</v>
      </c>
      <c r="J136" s="110">
        <f>SUM(BA$87:BA$94)+SUM(BC$87:BC$94)+SUM(BE$87:BE$94)+SUM(BG$87:BG$94)</f>
        <v>488677.2</v>
      </c>
      <c r="K136" s="110">
        <f>SUM(BI$87:BI$94)+SUM(BK$87:BK$94)+SUM(BM$87:BM$94)+SUM(BO$87:BO$94)</f>
        <v>565325.99999999988</v>
      </c>
      <c r="L136" s="110">
        <f>SUM(BQ$87:BQ$94)+SUM(BS$87:BS$94)+SUM(BU$87:BU$94)+SUM(BW$87:BW$94)</f>
        <v>593893.19999999995</v>
      </c>
      <c r="M136" s="110">
        <f>SUM(BY$87:BY$94)+SUM(CA$87:CA$94)+SUM(CC$87:CC$94)+SUM(CE$87:CE$94)</f>
        <v>560850</v>
      </c>
      <c r="N136" s="110">
        <f>SUM(CG$87:CG$94)+SUM(CI$87:CI$94)+SUM(CK$87:CK$94)+SUM(CM$87:CM$94)</f>
        <v>568323.6</v>
      </c>
      <c r="O136" s="110">
        <f>SUM(CO$87:CO$94)+SUM(CQ$87:CQ$94)+SUM(CS$87:CS$94)+SUM(CU$87:CU$94)</f>
        <v>598341.59999999986</v>
      </c>
    </row>
    <row r="137" spans="2:15" x14ac:dyDescent="0.2">
      <c r="C137" s="109" t="s">
        <v>132</v>
      </c>
      <c r="D137" s="110">
        <f>SUM(E$95:E$105)+SUM(G$95:G$105)+SUM(I$95:I$105)+SUM(K$95:K$105)</f>
        <v>483534</v>
      </c>
      <c r="E137" s="110">
        <f>SUM(M$95:M$105)+SUM(O$95:O$105)+SUM(Q$95:Q$105)+SUM(S$95:S$105)</f>
        <v>554190</v>
      </c>
      <c r="F137" s="110">
        <f>SUM(U$95:U$105)+SUM(W$95:W$105)+SUM(Y$95:Y$105)+SUM(AA$95:AA$105)</f>
        <v>536697.59999999998</v>
      </c>
      <c r="G137" s="110">
        <f>SUM(AC$95:AC$105)+SUM(AE$95:AE$105)+SUM(AG$95:AG$105)+SUM(AI$95:AI$105)</f>
        <v>644426.4</v>
      </c>
      <c r="H137" s="110">
        <f>SUM(AK$95:AK$105)+SUM(AM$95:AM$105)+SUM(AO$95:AO$105)+SUM(AQ$95:AQ$105)</f>
        <v>630993.6</v>
      </c>
      <c r="I137" s="110">
        <f>SUM(AS$95:AS$105)+SUM(AU$95:AU$105)+SUM(AW$95:AW$105)+SUM(AY$95:AY$105)</f>
        <v>622399.19999999995</v>
      </c>
      <c r="J137" s="110">
        <f>SUM(BA$95:BA$105)+SUM(BC$95:BC$105)+SUM(BE$95:BE$105)+SUM(BG$95:BG$105)</f>
        <v>634303.19999999995</v>
      </c>
      <c r="K137" s="110">
        <f>SUM(BI$95:BI$105)+SUM(BK$95:BK$105)+SUM(BM$95:BM$105)+SUM(BO$95:BO$105)</f>
        <v>615477.59999999986</v>
      </c>
      <c r="L137" s="110">
        <f>SUM(BQ$95:BQ$105)+SUM(BS$95:BS$105)+SUM(BU$95:BU$105)+SUM(BW$95:BW$105)</f>
        <v>637406.4</v>
      </c>
      <c r="M137" s="110">
        <f>SUM(BY$95:BY$105)+SUM(CA$95:CA$105)+SUM(CC$95:CC$105)+SUM(CE$95:CE$105)</f>
        <v>773371.2</v>
      </c>
      <c r="N137" s="110">
        <f>SUM(CG$95:CG$105)+SUM(CI$95:CI$105)+SUM(CK$95:CK$105)+SUM(CM$95:CM$105)</f>
        <v>492612</v>
      </c>
      <c r="O137" s="110">
        <f>SUM(CO$95:CO$105)+SUM(CQ$95:CQ$105)+SUM(CS$95:CS$105)+SUM(CU$95:CU$105)</f>
        <v>613546.79999999993</v>
      </c>
    </row>
    <row r="138" spans="2:15" x14ac:dyDescent="0.2">
      <c r="C138" s="109" t="s">
        <v>278</v>
      </c>
      <c r="D138">
        <f t="shared" ref="D138:O138" si="2">SUM(D$131:D$137)</f>
        <v>2766643.2000000002</v>
      </c>
      <c r="E138">
        <f t="shared" si="2"/>
        <v>2150054.7765648365</v>
      </c>
      <c r="F138">
        <f t="shared" si="2"/>
        <v>2100263.7236419548</v>
      </c>
      <c r="G138">
        <f t="shared" si="2"/>
        <v>2001939.97036586</v>
      </c>
      <c r="H138">
        <f t="shared" si="2"/>
        <v>2201175.1862373105</v>
      </c>
      <c r="I138">
        <f t="shared" si="2"/>
        <v>2085801.24182704</v>
      </c>
      <c r="J138">
        <f t="shared" si="2"/>
        <v>2089674.6424633872</v>
      </c>
      <c r="K138">
        <f t="shared" si="2"/>
        <v>2022761.7355611625</v>
      </c>
      <c r="L138">
        <f t="shared" si="2"/>
        <v>2266477.6633288618</v>
      </c>
      <c r="M138">
        <f t="shared" si="2"/>
        <v>2273457.4968933668</v>
      </c>
      <c r="N138">
        <f t="shared" si="2"/>
        <v>1858973.3824223643</v>
      </c>
      <c r="O138">
        <f t="shared" si="2"/>
        <v>2258662.0527886683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281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14</v>
      </c>
      <c r="E6">
        <v>8097.5999999999995</v>
      </c>
      <c r="F6">
        <v>9</v>
      </c>
      <c r="G6">
        <v>5205.5999999999995</v>
      </c>
      <c r="H6">
        <v>13</v>
      </c>
      <c r="I6">
        <v>7519.2</v>
      </c>
      <c r="J6">
        <v>16</v>
      </c>
      <c r="K6">
        <v>9254.4</v>
      </c>
      <c r="L6">
        <v>16.13768554771039</v>
      </c>
      <c r="M6">
        <v>9334.0373207956891</v>
      </c>
      <c r="N6">
        <v>14.18967636881251</v>
      </c>
      <c r="O6">
        <v>8207.3088117211555</v>
      </c>
      <c r="P6">
        <v>15</v>
      </c>
      <c r="Q6">
        <v>8676</v>
      </c>
      <c r="R6">
        <v>9.1934746634097237</v>
      </c>
      <c r="S6">
        <v>5317.5057453161844</v>
      </c>
      <c r="T6">
        <v>12</v>
      </c>
      <c r="U6">
        <v>6940.7999999999993</v>
      </c>
      <c r="V6">
        <v>13.293646964850632</v>
      </c>
      <c r="W6">
        <v>7689.0454044696053</v>
      </c>
      <c r="X6">
        <v>11</v>
      </c>
      <c r="Y6">
        <v>6362.4</v>
      </c>
      <c r="Z6">
        <v>20.247552667071755</v>
      </c>
      <c r="AA6">
        <v>11711.184462634303</v>
      </c>
      <c r="AB6">
        <v>11</v>
      </c>
      <c r="AC6">
        <v>6362.4</v>
      </c>
      <c r="AD6">
        <v>16.16280173873912</v>
      </c>
      <c r="AE6">
        <v>9348.5645256867065</v>
      </c>
      <c r="AF6">
        <v>11.231345467718841</v>
      </c>
      <c r="AG6">
        <v>6496.2102185285776</v>
      </c>
      <c r="AH6">
        <v>15.149231894775493</v>
      </c>
      <c r="AI6">
        <v>8762.3157279381448</v>
      </c>
      <c r="AJ6">
        <v>15</v>
      </c>
      <c r="AK6">
        <v>8676</v>
      </c>
      <c r="AL6">
        <v>10.24774014892501</v>
      </c>
      <c r="AM6">
        <v>5927.2929021382251</v>
      </c>
      <c r="AN6">
        <v>13.23282860084637</v>
      </c>
      <c r="AO6">
        <v>7653.8680627295398</v>
      </c>
      <c r="AP6">
        <v>15.249487705093772</v>
      </c>
      <c r="AQ6">
        <v>8820.303688626238</v>
      </c>
      <c r="AR6">
        <v>13</v>
      </c>
      <c r="AS6">
        <v>7519.2</v>
      </c>
      <c r="AT6">
        <v>17.198738116490908</v>
      </c>
      <c r="AU6">
        <v>9947.7501265783412</v>
      </c>
      <c r="AV6">
        <v>13</v>
      </c>
      <c r="AW6">
        <v>7519.2</v>
      </c>
      <c r="AX6">
        <v>19.199468849342257</v>
      </c>
      <c r="AY6">
        <v>11104.972782459561</v>
      </c>
      <c r="AZ6">
        <v>5.6185406087998606</v>
      </c>
      <c r="BA6">
        <v>3249.7638881298394</v>
      </c>
      <c r="BB6">
        <v>4.7477462115830695</v>
      </c>
      <c r="BC6">
        <v>2746.0964087796474</v>
      </c>
      <c r="BD6">
        <v>4.8665993207698808</v>
      </c>
      <c r="BE6">
        <v>2814.8410471332991</v>
      </c>
      <c r="BF6">
        <v>4.7906287490479924</v>
      </c>
      <c r="BG6">
        <v>2770.8996684493586</v>
      </c>
      <c r="BH6">
        <v>4.2521297095615633</v>
      </c>
      <c r="BI6">
        <v>2459.431824010408</v>
      </c>
      <c r="BJ6">
        <v>4.6527989663483833</v>
      </c>
      <c r="BK6">
        <v>2691.1789221359049</v>
      </c>
      <c r="BL6">
        <v>3.2095269050910868</v>
      </c>
      <c r="BM6">
        <v>1856.3903619046846</v>
      </c>
      <c r="BN6">
        <v>2.8935865939062033</v>
      </c>
      <c r="BO6">
        <v>1673.6504859153479</v>
      </c>
      <c r="BP6">
        <v>3.7536670619129247</v>
      </c>
      <c r="BQ6">
        <v>2171.1210286104356</v>
      </c>
      <c r="BR6">
        <v>5.9308828289948545</v>
      </c>
      <c r="BS6">
        <v>3430.4226282906238</v>
      </c>
      <c r="BT6">
        <v>4.7668365909144246</v>
      </c>
      <c r="BU6">
        <v>2757.1382841849031</v>
      </c>
      <c r="BV6">
        <v>5.2340127812455277</v>
      </c>
      <c r="BW6">
        <v>3027.3529926724132</v>
      </c>
      <c r="BX6">
        <v>5.5462561429063868</v>
      </c>
      <c r="BY6">
        <v>3207.954553057054</v>
      </c>
      <c r="BZ6">
        <v>3.0759287639866097</v>
      </c>
      <c r="CA6">
        <v>1779.1171970898549</v>
      </c>
      <c r="CB6">
        <v>4.567158657693402</v>
      </c>
      <c r="CC6">
        <v>2641.6445676098638</v>
      </c>
      <c r="CD6">
        <v>4.6966462322804317</v>
      </c>
      <c r="CE6">
        <v>2716.5401807510016</v>
      </c>
      <c r="CF6">
        <v>3.6118476297434126</v>
      </c>
      <c r="CG6">
        <v>2089.0926690435899</v>
      </c>
      <c r="CH6">
        <v>4.1621706223904482</v>
      </c>
      <c r="CI6">
        <v>2407.399487990635</v>
      </c>
      <c r="CJ6">
        <v>7.3871915742597229</v>
      </c>
      <c r="CK6">
        <v>4272.7516065518239</v>
      </c>
      <c r="CL6">
        <v>4.8061576717505377</v>
      </c>
      <c r="CM6">
        <v>2779.8815973405108</v>
      </c>
      <c r="CN6">
        <v>4.3841136402407015</v>
      </c>
      <c r="CO6">
        <v>2535.7713295152216</v>
      </c>
      <c r="CP6">
        <v>4.4261774265701437</v>
      </c>
      <c r="CQ6">
        <v>2560.101023528171</v>
      </c>
      <c r="CR6">
        <v>6.3858331207068266</v>
      </c>
      <c r="CS6">
        <v>3693.5658770168284</v>
      </c>
      <c r="CT6">
        <v>4.3370490249361371</v>
      </c>
      <c r="CU6">
        <v>2508.5491560230616</v>
      </c>
    </row>
    <row r="7" spans="1:99" x14ac:dyDescent="0.2">
      <c r="C7" s="105" t="s">
        <v>173</v>
      </c>
      <c r="D7">
        <v>13</v>
      </c>
      <c r="E7">
        <v>10249.199999999999</v>
      </c>
      <c r="F7">
        <v>9</v>
      </c>
      <c r="G7">
        <v>7095.5999999999995</v>
      </c>
      <c r="H7">
        <v>13</v>
      </c>
      <c r="I7">
        <v>10249.199999999999</v>
      </c>
      <c r="J7">
        <v>13</v>
      </c>
      <c r="K7">
        <v>10249.199999999999</v>
      </c>
      <c r="L7">
        <v>15.13768554771039</v>
      </c>
      <c r="M7">
        <v>11934.55128581487</v>
      </c>
      <c r="N7">
        <v>13.18967636881251</v>
      </c>
      <c r="O7">
        <v>10398.740849171783</v>
      </c>
      <c r="P7">
        <v>14</v>
      </c>
      <c r="Q7">
        <v>11037.6</v>
      </c>
      <c r="R7">
        <v>8.1934746634097237</v>
      </c>
      <c r="S7">
        <v>6459.7354246322257</v>
      </c>
      <c r="T7">
        <v>13</v>
      </c>
      <c r="U7">
        <v>10249.199999999999</v>
      </c>
      <c r="V7">
        <v>12</v>
      </c>
      <c r="W7">
        <v>9460.7999999999993</v>
      </c>
      <c r="X7">
        <v>12</v>
      </c>
      <c r="Y7">
        <v>9460.7999999999993</v>
      </c>
      <c r="Z7">
        <v>18.247552667071755</v>
      </c>
      <c r="AA7">
        <v>14386.370522719371</v>
      </c>
      <c r="AB7">
        <v>11</v>
      </c>
      <c r="AC7">
        <v>8672.4</v>
      </c>
      <c r="AD7">
        <v>16.16280173873912</v>
      </c>
      <c r="AE7">
        <v>12742.752890821921</v>
      </c>
      <c r="AF7">
        <v>10.231345467718841</v>
      </c>
      <c r="AG7">
        <v>8066.3927667495336</v>
      </c>
      <c r="AH7">
        <v>16.149231894775493</v>
      </c>
      <c r="AI7">
        <v>12732.054425840999</v>
      </c>
      <c r="AJ7">
        <v>15</v>
      </c>
      <c r="AK7">
        <v>11826</v>
      </c>
      <c r="AL7">
        <v>10.198192119140007</v>
      </c>
      <c r="AM7">
        <v>8040.2546667299812</v>
      </c>
      <c r="AN7">
        <v>12.194023834038642</v>
      </c>
      <c r="AO7">
        <v>9613.7683907560659</v>
      </c>
      <c r="AP7">
        <v>14.299385246112527</v>
      </c>
      <c r="AQ7">
        <v>11273.635328035116</v>
      </c>
      <c r="AR7">
        <v>12</v>
      </c>
      <c r="AS7">
        <v>9460.7999999999993</v>
      </c>
      <c r="AT7">
        <v>18.198738116490908</v>
      </c>
      <c r="AU7">
        <v>14347.885131041432</v>
      </c>
      <c r="AV7">
        <v>12</v>
      </c>
      <c r="AW7">
        <v>9460.7999999999993</v>
      </c>
      <c r="AX7">
        <v>19.24933606167782</v>
      </c>
      <c r="AY7">
        <v>15176.176551026792</v>
      </c>
      <c r="AZ7">
        <v>6.7422487305598331</v>
      </c>
      <c r="BA7">
        <v>5315.5888991733718</v>
      </c>
      <c r="BB7">
        <v>4.7311386574295042</v>
      </c>
      <c r="BC7">
        <v>3730.029717517421</v>
      </c>
      <c r="BD7">
        <v>5.1369659497015414</v>
      </c>
      <c r="BE7">
        <v>4049.983954744695</v>
      </c>
      <c r="BF7">
        <v>3.99219062420666</v>
      </c>
      <c r="BG7">
        <v>3147.4430881245307</v>
      </c>
      <c r="BH7">
        <v>4.6773426805177198</v>
      </c>
      <c r="BI7">
        <v>3687.61696932017</v>
      </c>
      <c r="BJ7">
        <v>4.6527989663483833</v>
      </c>
      <c r="BK7">
        <v>3668.2667050690652</v>
      </c>
      <c r="BL7">
        <v>3.1974616948156545</v>
      </c>
      <c r="BM7">
        <v>2520.8788001926619</v>
      </c>
      <c r="BN7">
        <v>3.1970192708985019</v>
      </c>
      <c r="BO7">
        <v>2520.5299931763789</v>
      </c>
      <c r="BP7">
        <v>3.4083615862024317</v>
      </c>
      <c r="BQ7">
        <v>2687.1522745619973</v>
      </c>
      <c r="BR7">
        <v>5.9308828289948545</v>
      </c>
      <c r="BS7">
        <v>4675.9080223795436</v>
      </c>
      <c r="BT7">
        <v>4.4263482629919659</v>
      </c>
      <c r="BU7">
        <v>3489.732970542866</v>
      </c>
      <c r="BV7">
        <v>5.2340127812455277</v>
      </c>
      <c r="BW7">
        <v>4126.4956767339736</v>
      </c>
      <c r="BX7">
        <v>6.2857569619605718</v>
      </c>
      <c r="BY7">
        <v>4955.6907888097148</v>
      </c>
      <c r="BZ7">
        <v>3.0759287639866097</v>
      </c>
      <c r="CA7">
        <v>2425.0622375270432</v>
      </c>
      <c r="CB7">
        <v>4.5780629749873878</v>
      </c>
      <c r="CC7">
        <v>3609.3448494800564</v>
      </c>
      <c r="CD7">
        <v>4.3886650358922781</v>
      </c>
      <c r="CE7">
        <v>3460.023514297472</v>
      </c>
      <c r="CF7">
        <v>3.9730323927177542</v>
      </c>
      <c r="CG7">
        <v>3132.3387384186772</v>
      </c>
      <c r="CH7">
        <v>4.5039006319326171</v>
      </c>
      <c r="CI7">
        <v>3550.8752582156753</v>
      </c>
      <c r="CJ7">
        <v>7.0023272020654002</v>
      </c>
      <c r="CK7">
        <v>5520.634766108361</v>
      </c>
      <c r="CL7">
        <v>5.0663963469120166</v>
      </c>
      <c r="CM7">
        <v>3994.3468799054335</v>
      </c>
      <c r="CN7">
        <v>4.8832967479154483</v>
      </c>
      <c r="CO7">
        <v>3849.9911560565392</v>
      </c>
      <c r="CP7">
        <v>4.9243412535578139</v>
      </c>
      <c r="CQ7">
        <v>3882.3506443049805</v>
      </c>
      <c r="CR7">
        <v>6.0497366406696251</v>
      </c>
      <c r="CS7">
        <v>4769.6123675039325</v>
      </c>
      <c r="CT7">
        <v>4.223439990621829</v>
      </c>
      <c r="CU7">
        <v>3329.7600886062501</v>
      </c>
    </row>
    <row r="8" spans="1:99" x14ac:dyDescent="0.2">
      <c r="C8" s="105" t="s">
        <v>174</v>
      </c>
      <c r="D8">
        <v>14</v>
      </c>
      <c r="E8">
        <v>4334.3999999999996</v>
      </c>
      <c r="F8">
        <v>10</v>
      </c>
      <c r="G8">
        <v>3095.9999999999995</v>
      </c>
      <c r="H8">
        <v>15</v>
      </c>
      <c r="I8">
        <v>4643.9999999999991</v>
      </c>
      <c r="J8">
        <v>15</v>
      </c>
      <c r="K8">
        <v>4643.9999999999991</v>
      </c>
      <c r="L8">
        <v>16.13768554771039</v>
      </c>
      <c r="M8">
        <v>4996.2274455711358</v>
      </c>
      <c r="N8">
        <v>12.18967636881251</v>
      </c>
      <c r="O8">
        <v>3773.9238037843525</v>
      </c>
      <c r="P8">
        <v>14</v>
      </c>
      <c r="Q8">
        <v>4334.3999999999996</v>
      </c>
      <c r="R8">
        <v>10.193474663409724</v>
      </c>
      <c r="S8">
        <v>3155.89975579165</v>
      </c>
      <c r="T8">
        <v>13</v>
      </c>
      <c r="U8">
        <v>4024.7999999999997</v>
      </c>
      <c r="V8">
        <v>14.293646964850632</v>
      </c>
      <c r="W8">
        <v>4425.313100317755</v>
      </c>
      <c r="X8">
        <v>11</v>
      </c>
      <c r="Y8">
        <v>3405.5999999999995</v>
      </c>
      <c r="Z8">
        <v>19.247552667071755</v>
      </c>
      <c r="AA8">
        <v>5959.0423057254147</v>
      </c>
      <c r="AB8">
        <v>11</v>
      </c>
      <c r="AC8">
        <v>3405.5999999999995</v>
      </c>
      <c r="AD8">
        <v>16.16280173873912</v>
      </c>
      <c r="AE8">
        <v>5004.0034183136313</v>
      </c>
      <c r="AF8">
        <v>11.269903045671981</v>
      </c>
      <c r="AG8">
        <v>3489.1619829400452</v>
      </c>
      <c r="AH8">
        <v>14.149231894775493</v>
      </c>
      <c r="AI8">
        <v>4380.6021946224919</v>
      </c>
      <c r="AJ8">
        <v>15</v>
      </c>
      <c r="AK8">
        <v>4643.9999999999991</v>
      </c>
      <c r="AL8">
        <v>12.24774014892501</v>
      </c>
      <c r="AM8">
        <v>3791.9003501071825</v>
      </c>
      <c r="AN8">
        <v>12.23282860084637</v>
      </c>
      <c r="AO8">
        <v>3787.2837348220355</v>
      </c>
      <c r="AP8">
        <v>17.299385246112525</v>
      </c>
      <c r="AQ8">
        <v>5355.8896721964375</v>
      </c>
      <c r="AR8">
        <v>14</v>
      </c>
      <c r="AS8">
        <v>4334.3999999999996</v>
      </c>
      <c r="AT8">
        <v>19.198738116490908</v>
      </c>
      <c r="AU8">
        <v>5943.9293208655845</v>
      </c>
      <c r="AV8">
        <v>13</v>
      </c>
      <c r="AW8">
        <v>4024.7999999999997</v>
      </c>
      <c r="AX8">
        <v>20.24933606167782</v>
      </c>
      <c r="AY8">
        <v>6269.1944446954521</v>
      </c>
      <c r="AZ8">
        <v>6.1803946696798473</v>
      </c>
      <c r="BA8">
        <v>1913.4501897328805</v>
      </c>
      <c r="BB8">
        <v>4.3967589435031602</v>
      </c>
      <c r="BC8">
        <v>1361.2365689085782</v>
      </c>
      <c r="BD8">
        <v>5.4073325786332012</v>
      </c>
      <c r="BE8">
        <v>1674.1101663448389</v>
      </c>
      <c r="BF8">
        <v>4.4011445870820678</v>
      </c>
      <c r="BG8">
        <v>1362.5943641606079</v>
      </c>
      <c r="BH8">
        <v>4.6773426805177198</v>
      </c>
      <c r="BI8">
        <v>1448.1052938882858</v>
      </c>
      <c r="BJ8">
        <v>4.6388048836333926</v>
      </c>
      <c r="BK8">
        <v>1436.1739919728982</v>
      </c>
      <c r="BL8">
        <v>3.5232404694349357</v>
      </c>
      <c r="BM8">
        <v>1090.795249337056</v>
      </c>
      <c r="BN8">
        <v>2.8935865939062033</v>
      </c>
      <c r="BO8">
        <v>895.85440947336042</v>
      </c>
      <c r="BP8">
        <v>4.0877992448977931</v>
      </c>
      <c r="BQ8">
        <v>1265.5826462203565</v>
      </c>
      <c r="BR8">
        <v>6.7087347065742415</v>
      </c>
      <c r="BS8">
        <v>2077.0242651553849</v>
      </c>
      <c r="BT8">
        <v>4.4263482629919659</v>
      </c>
      <c r="BU8">
        <v>1370.3974222223126</v>
      </c>
      <c r="BV8">
        <v>5.5579540908176401</v>
      </c>
      <c r="BW8">
        <v>1720.7425865171413</v>
      </c>
      <c r="BX8">
        <v>5.5462561429063868</v>
      </c>
      <c r="BY8">
        <v>1717.1209018438171</v>
      </c>
      <c r="BZ8">
        <v>3.3649184987594265</v>
      </c>
      <c r="CA8">
        <v>1041.7787672159184</v>
      </c>
      <c r="CB8">
        <v>4.3132551659327119</v>
      </c>
      <c r="CC8">
        <v>1335.3837993727675</v>
      </c>
      <c r="CD8">
        <v>4.0806838395041236</v>
      </c>
      <c r="CE8">
        <v>1263.3797167104765</v>
      </c>
      <c r="CF8">
        <v>4.3342171556920954</v>
      </c>
      <c r="CG8">
        <v>1341.8736314022726</v>
      </c>
      <c r="CH8">
        <v>4.5039006319326171</v>
      </c>
      <c r="CI8">
        <v>1394.4076356463381</v>
      </c>
      <c r="CJ8">
        <v>6.6174628298710774</v>
      </c>
      <c r="CK8">
        <v>2048.7664921280852</v>
      </c>
      <c r="CL8">
        <v>5.5684234097259662</v>
      </c>
      <c r="CM8">
        <v>1723.983887651159</v>
      </c>
      <c r="CN8">
        <v>4.8923972140448262</v>
      </c>
      <c r="CO8">
        <v>1514.6861774682779</v>
      </c>
      <c r="CP8">
        <v>4.6814459496502678</v>
      </c>
      <c r="CQ8">
        <v>1449.3756660117228</v>
      </c>
      <c r="CR8">
        <v>6.3858331207068266</v>
      </c>
      <c r="CS8">
        <v>1977.0539341708334</v>
      </c>
      <c r="CT8">
        <v>4.6619290242147402</v>
      </c>
      <c r="CU8">
        <v>1443.3332258968835</v>
      </c>
    </row>
    <row r="9" spans="1:99" x14ac:dyDescent="0.2">
      <c r="C9" s="105" t="s">
        <v>175</v>
      </c>
      <c r="D9">
        <v>13</v>
      </c>
      <c r="E9">
        <v>9126</v>
      </c>
      <c r="F9">
        <v>9</v>
      </c>
      <c r="G9">
        <v>6318</v>
      </c>
      <c r="H9">
        <v>14</v>
      </c>
      <c r="I9">
        <v>9828</v>
      </c>
      <c r="J9">
        <v>14</v>
      </c>
      <c r="K9">
        <v>9828</v>
      </c>
      <c r="L9">
        <v>13.13768554771039</v>
      </c>
      <c r="M9">
        <v>9222.6552544926944</v>
      </c>
      <c r="N9">
        <v>14.18967636881251</v>
      </c>
      <c r="O9">
        <v>9961.152810906382</v>
      </c>
      <c r="P9">
        <v>14</v>
      </c>
      <c r="Q9">
        <v>9828</v>
      </c>
      <c r="R9">
        <v>10.193474663409724</v>
      </c>
      <c r="S9">
        <v>7155.8192137136257</v>
      </c>
      <c r="T9">
        <v>11</v>
      </c>
      <c r="U9">
        <v>7722</v>
      </c>
      <c r="V9">
        <v>14.293646964850632</v>
      </c>
      <c r="W9">
        <v>10034.140169325145</v>
      </c>
      <c r="X9">
        <v>12</v>
      </c>
      <c r="Y9">
        <v>8424</v>
      </c>
      <c r="Z9">
        <v>19.247552667071755</v>
      </c>
      <c r="AA9">
        <v>13511.781972284372</v>
      </c>
      <c r="AB9">
        <v>11</v>
      </c>
      <c r="AC9">
        <v>7722</v>
      </c>
      <c r="AD9">
        <v>14.16280173873912</v>
      </c>
      <c r="AE9">
        <v>9942.2868205948616</v>
      </c>
      <c r="AF9">
        <v>11.269903045671981</v>
      </c>
      <c r="AG9">
        <v>7911.4719380617307</v>
      </c>
      <c r="AH9">
        <v>16.149231894775493</v>
      </c>
      <c r="AI9">
        <v>11336.760790132395</v>
      </c>
      <c r="AJ9">
        <v>17</v>
      </c>
      <c r="AK9">
        <v>11934</v>
      </c>
      <c r="AL9">
        <v>10.24774014892501</v>
      </c>
      <c r="AM9">
        <v>7193.9135845453566</v>
      </c>
      <c r="AN9">
        <v>12.194023834038642</v>
      </c>
      <c r="AO9">
        <v>8560.2047314951269</v>
      </c>
      <c r="AP9">
        <v>14.299385246112527</v>
      </c>
      <c r="AQ9">
        <v>10038.168442770993</v>
      </c>
      <c r="AR9">
        <v>14</v>
      </c>
      <c r="AS9">
        <v>9828</v>
      </c>
      <c r="AT9">
        <v>16.149053587368179</v>
      </c>
      <c r="AU9">
        <v>11336.635618332462</v>
      </c>
      <c r="AV9">
        <v>12</v>
      </c>
      <c r="AW9">
        <v>8424</v>
      </c>
      <c r="AX9">
        <v>19.199468849342257</v>
      </c>
      <c r="AY9">
        <v>13478.027132238263</v>
      </c>
      <c r="AZ9">
        <v>5.6185406087998606</v>
      </c>
      <c r="BA9">
        <v>3944.215507377502</v>
      </c>
      <c r="BB9">
        <v>4.3967589435031602</v>
      </c>
      <c r="BC9">
        <v>3086.5247783392183</v>
      </c>
      <c r="BD9">
        <v>4.596232691838221</v>
      </c>
      <c r="BE9">
        <v>3226.555349670431</v>
      </c>
      <c r="BF9">
        <v>4.0116604251161423</v>
      </c>
      <c r="BG9">
        <v>2816.185618431532</v>
      </c>
      <c r="BH9">
        <v>4.2521297095615633</v>
      </c>
      <c r="BI9">
        <v>2984.9950561122173</v>
      </c>
      <c r="BJ9">
        <v>4.2387225674989795</v>
      </c>
      <c r="BK9">
        <v>2975.5832423842835</v>
      </c>
      <c r="BL9">
        <v>3.5111752591595033</v>
      </c>
      <c r="BM9">
        <v>2464.8450319299714</v>
      </c>
      <c r="BN9">
        <v>3.2095340786658491</v>
      </c>
      <c r="BO9">
        <v>2253.0929232234262</v>
      </c>
      <c r="BP9">
        <v>3.7536670619129247</v>
      </c>
      <c r="BQ9">
        <v>2635.0742774628729</v>
      </c>
      <c r="BR9">
        <v>6.319808767784548</v>
      </c>
      <c r="BS9">
        <v>4436.5057549847525</v>
      </c>
      <c r="BT9">
        <v>4.4263482629919659</v>
      </c>
      <c r="BU9">
        <v>3107.2964806203599</v>
      </c>
      <c r="BV9">
        <v>5.5749946879841783</v>
      </c>
      <c r="BW9">
        <v>3913.6462709648931</v>
      </c>
      <c r="BX9">
        <v>5.1765057333792939</v>
      </c>
      <c r="BY9">
        <v>3633.9070248322641</v>
      </c>
      <c r="BZ9">
        <v>3.3649184987594265</v>
      </c>
      <c r="CA9">
        <v>2362.1727861291174</v>
      </c>
      <c r="CB9">
        <v>4.3132551659327119</v>
      </c>
      <c r="CC9">
        <v>3027.9051264847635</v>
      </c>
      <c r="CD9">
        <v>4.0806838395041236</v>
      </c>
      <c r="CE9">
        <v>2864.6400553318949</v>
      </c>
      <c r="CF9">
        <v>3.6118476297434126</v>
      </c>
      <c r="CG9">
        <v>2535.5170360798757</v>
      </c>
      <c r="CH9">
        <v>4.8456306414747852</v>
      </c>
      <c r="CI9">
        <v>3401.6327103152994</v>
      </c>
      <c r="CJ9">
        <v>6.6174628298710774</v>
      </c>
      <c r="CK9">
        <v>4645.4589065694963</v>
      </c>
      <c r="CL9">
        <v>5.3174098783189905</v>
      </c>
      <c r="CM9">
        <v>3732.8217345799312</v>
      </c>
      <c r="CN9">
        <v>4.3841136402407015</v>
      </c>
      <c r="CO9">
        <v>3077.6477754489724</v>
      </c>
      <c r="CP9">
        <v>4.9243412535578139</v>
      </c>
      <c r="CQ9">
        <v>3456.8875599975854</v>
      </c>
      <c r="CR9">
        <v>6.7219296007440281</v>
      </c>
      <c r="CS9">
        <v>4718.7945797223074</v>
      </c>
      <c r="CT9">
        <v>4.3370490249361371</v>
      </c>
      <c r="CU9">
        <v>3044.6084155051681</v>
      </c>
    </row>
    <row r="10" spans="1:99" x14ac:dyDescent="0.2">
      <c r="C10" s="105" t="s">
        <v>176</v>
      </c>
      <c r="D10">
        <v>14</v>
      </c>
      <c r="E10">
        <v>7627.1999999999989</v>
      </c>
      <c r="F10">
        <v>10</v>
      </c>
      <c r="G10">
        <v>5448</v>
      </c>
      <c r="H10">
        <v>14</v>
      </c>
      <c r="I10">
        <v>7627.1999999999989</v>
      </c>
      <c r="J10">
        <v>15</v>
      </c>
      <c r="K10">
        <v>8171.9999999999991</v>
      </c>
      <c r="L10">
        <v>13.13768554771039</v>
      </c>
      <c r="M10">
        <v>7157.4110863926198</v>
      </c>
      <c r="N10">
        <v>15.18967636881251</v>
      </c>
      <c r="O10">
        <v>8275.3356857290546</v>
      </c>
      <c r="P10">
        <v>15</v>
      </c>
      <c r="Q10">
        <v>8171.9999999999991</v>
      </c>
      <c r="R10">
        <v>10.193474663409724</v>
      </c>
      <c r="S10">
        <v>5553.4049966256171</v>
      </c>
      <c r="T10">
        <v>11</v>
      </c>
      <c r="U10">
        <v>5992.7999999999993</v>
      </c>
      <c r="V10">
        <v>13.293646964850632</v>
      </c>
      <c r="W10">
        <v>7242.3788664506237</v>
      </c>
      <c r="X10">
        <v>13</v>
      </c>
      <c r="Y10">
        <v>7082.4</v>
      </c>
      <c r="Z10">
        <v>18.247552667071755</v>
      </c>
      <c r="AA10">
        <v>9941.2666930206906</v>
      </c>
      <c r="AB10">
        <v>11</v>
      </c>
      <c r="AC10">
        <v>5992.7999999999993</v>
      </c>
      <c r="AD10">
        <v>16.16280173873912</v>
      </c>
      <c r="AE10">
        <v>8805.4943872650711</v>
      </c>
      <c r="AF10">
        <v>11.269903045671981</v>
      </c>
      <c r="AG10">
        <v>6139.8431792820948</v>
      </c>
      <c r="AH10">
        <v>16.149231894775493</v>
      </c>
      <c r="AI10">
        <v>8798.1015362736871</v>
      </c>
      <c r="AJ10">
        <v>16</v>
      </c>
      <c r="AK10">
        <v>8716.7999999999993</v>
      </c>
      <c r="AL10">
        <v>10.24774014892501</v>
      </c>
      <c r="AM10">
        <v>5582.968833134345</v>
      </c>
      <c r="AN10">
        <v>12.194023834038642</v>
      </c>
      <c r="AO10">
        <v>6643.3041847842514</v>
      </c>
      <c r="AP10">
        <v>16.249487705093774</v>
      </c>
      <c r="AQ10">
        <v>8852.720901735087</v>
      </c>
      <c r="AR10">
        <v>14</v>
      </c>
      <c r="AS10">
        <v>7627.1999999999989</v>
      </c>
      <c r="AT10">
        <v>18.198738116490908</v>
      </c>
      <c r="AU10">
        <v>9914.6725258642455</v>
      </c>
      <c r="AV10">
        <v>12</v>
      </c>
      <c r="AW10">
        <v>6537.5999999999995</v>
      </c>
      <c r="AX10">
        <v>20.24933606167782</v>
      </c>
      <c r="AY10">
        <v>11031.838286402075</v>
      </c>
      <c r="AZ10">
        <v>6.1803946696798473</v>
      </c>
      <c r="BA10">
        <v>3367.0790160415804</v>
      </c>
      <c r="BB10">
        <v>4.4133664976567255</v>
      </c>
      <c r="BC10">
        <v>2404.402067923384</v>
      </c>
      <c r="BD10">
        <v>5.6776992075648618</v>
      </c>
      <c r="BE10">
        <v>3093.2105282813363</v>
      </c>
      <c r="BF10">
        <v>4.7711589481385106</v>
      </c>
      <c r="BG10">
        <v>2599.3273949458603</v>
      </c>
      <c r="BH10">
        <v>4.2521297095615633</v>
      </c>
      <c r="BI10">
        <v>2316.5602657691397</v>
      </c>
      <c r="BJ10">
        <v>4.2247284847839879</v>
      </c>
      <c r="BK10">
        <v>2301.6320785103162</v>
      </c>
      <c r="BL10">
        <v>3.8369540337787855</v>
      </c>
      <c r="BM10">
        <v>2090.3725576026823</v>
      </c>
      <c r="BN10">
        <v>3.2095340786658491</v>
      </c>
      <c r="BO10">
        <v>1748.5541660571544</v>
      </c>
      <c r="BP10">
        <v>3.7424937691873006</v>
      </c>
      <c r="BQ10">
        <v>2038.9106054532413</v>
      </c>
      <c r="BR10">
        <v>7.0976606453639359</v>
      </c>
      <c r="BS10">
        <v>3866.805519594272</v>
      </c>
      <c r="BT10">
        <v>5.4478132467593428</v>
      </c>
      <c r="BU10">
        <v>2967.9686568344896</v>
      </c>
      <c r="BV10">
        <v>5.2340127812455277</v>
      </c>
      <c r="BW10">
        <v>2851.4901632225633</v>
      </c>
      <c r="BX10">
        <v>6.2857569619605718</v>
      </c>
      <c r="BY10">
        <v>3424.4803928761194</v>
      </c>
      <c r="BZ10">
        <v>3.664243312213268</v>
      </c>
      <c r="CA10">
        <v>1996.2797564937882</v>
      </c>
      <c r="CB10">
        <v>4.3132551659327119</v>
      </c>
      <c r="CC10">
        <v>2349.8614144001413</v>
      </c>
      <c r="CD10">
        <v>4.3886650358922781</v>
      </c>
      <c r="CE10">
        <v>2390.9447115541129</v>
      </c>
      <c r="CF10">
        <v>4.3342171556920954</v>
      </c>
      <c r="CG10">
        <v>2361.2815064210536</v>
      </c>
      <c r="CH10">
        <v>4.1498885208135627</v>
      </c>
      <c r="CI10">
        <v>2260.8592661392286</v>
      </c>
      <c r="CJ10">
        <v>6.6174628298710774</v>
      </c>
      <c r="CK10">
        <v>3605.1937497137628</v>
      </c>
      <c r="CL10">
        <v>5.0571712031575125</v>
      </c>
      <c r="CM10">
        <v>2755.1468714802127</v>
      </c>
      <c r="CN10">
        <v>4.8832967479154483</v>
      </c>
      <c r="CO10">
        <v>2660.4200682643359</v>
      </c>
      <c r="CP10">
        <v>4.4261774265701437</v>
      </c>
      <c r="CQ10">
        <v>2411.3814619954142</v>
      </c>
      <c r="CR10">
        <v>6.3858331207068266</v>
      </c>
      <c r="CS10">
        <v>3479.001884161079</v>
      </c>
      <c r="CT10">
        <v>4.6619290242147402</v>
      </c>
      <c r="CU10">
        <v>2539.8189323921902</v>
      </c>
    </row>
    <row r="11" spans="1:99" x14ac:dyDescent="0.2">
      <c r="C11" s="105" t="s">
        <v>177</v>
      </c>
      <c r="D11">
        <v>15</v>
      </c>
      <c r="E11">
        <v>7991.9999999999991</v>
      </c>
      <c r="F11">
        <v>8</v>
      </c>
      <c r="G11">
        <v>4262.3999999999996</v>
      </c>
      <c r="H11">
        <v>13</v>
      </c>
      <c r="I11">
        <v>6926.4</v>
      </c>
      <c r="J11">
        <v>14</v>
      </c>
      <c r="K11">
        <v>7459.1999999999989</v>
      </c>
      <c r="L11">
        <v>14.183580730280521</v>
      </c>
      <c r="M11">
        <v>7557.0118130934616</v>
      </c>
      <c r="N11">
        <v>14.18967636881251</v>
      </c>
      <c r="O11">
        <v>7560.2595693033045</v>
      </c>
      <c r="P11">
        <v>14</v>
      </c>
      <c r="Q11">
        <v>7459.1999999999989</v>
      </c>
      <c r="R11">
        <v>9.1934746634097237</v>
      </c>
      <c r="S11">
        <v>4898.2833006647006</v>
      </c>
      <c r="T11">
        <v>13</v>
      </c>
      <c r="U11">
        <v>6926.4</v>
      </c>
      <c r="V11">
        <v>13.293646964850632</v>
      </c>
      <c r="W11">
        <v>7082.855102872416</v>
      </c>
      <c r="X11">
        <v>13</v>
      </c>
      <c r="Y11">
        <v>6926.4</v>
      </c>
      <c r="Z11">
        <v>19.247552667071755</v>
      </c>
      <c r="AA11">
        <v>10255.096061015831</v>
      </c>
      <c r="AB11">
        <v>10</v>
      </c>
      <c r="AC11">
        <v>5328</v>
      </c>
      <c r="AD11">
        <v>15.16280173873912</v>
      </c>
      <c r="AE11">
        <v>8078.7407664002021</v>
      </c>
      <c r="AF11">
        <v>11.269903045671981</v>
      </c>
      <c r="AG11">
        <v>6004.604342734031</v>
      </c>
      <c r="AH11">
        <v>16.149231894775493</v>
      </c>
      <c r="AI11">
        <v>8604.3107535363815</v>
      </c>
      <c r="AJ11">
        <v>15</v>
      </c>
      <c r="AK11">
        <v>7991.9999999999991</v>
      </c>
      <c r="AL11">
        <v>11.198192119140007</v>
      </c>
      <c r="AM11">
        <v>5966.3967610777954</v>
      </c>
      <c r="AN11">
        <v>12.23282860084637</v>
      </c>
      <c r="AO11">
        <v>6517.6510785309456</v>
      </c>
      <c r="AP11">
        <v>14.299385246112527</v>
      </c>
      <c r="AQ11">
        <v>7618.7124591287538</v>
      </c>
      <c r="AR11">
        <v>14</v>
      </c>
      <c r="AS11">
        <v>7459.1999999999989</v>
      </c>
      <c r="AT11">
        <v>16.198738116490908</v>
      </c>
      <c r="AU11">
        <v>8630.6876684663548</v>
      </c>
      <c r="AV11">
        <v>12</v>
      </c>
      <c r="AW11">
        <v>6393.5999999999995</v>
      </c>
      <c r="AX11">
        <v>18.24933606167782</v>
      </c>
      <c r="AY11">
        <v>9723.2462536619423</v>
      </c>
      <c r="AZ11">
        <v>6.7422487305598331</v>
      </c>
      <c r="BA11">
        <v>3592.2701236422786</v>
      </c>
      <c r="BB11">
        <v>5.0821259255094127</v>
      </c>
      <c r="BC11">
        <v>2707.7566931114147</v>
      </c>
      <c r="BD11">
        <v>5.4073325786332012</v>
      </c>
      <c r="BE11">
        <v>2881.0267978957695</v>
      </c>
      <c r="BF11">
        <v>4.4206143879915496</v>
      </c>
      <c r="BG11">
        <v>2355.3033459218973</v>
      </c>
      <c r="BH11">
        <v>3.8269167386054068</v>
      </c>
      <c r="BI11">
        <v>2038.9812383289607</v>
      </c>
      <c r="BJ11">
        <v>4.2247284847839879</v>
      </c>
      <c r="BK11">
        <v>2250.9353366929085</v>
      </c>
      <c r="BL11">
        <v>3.8369540337787855</v>
      </c>
      <c r="BM11">
        <v>2044.3291091973367</v>
      </c>
      <c r="BN11">
        <v>3.2095340786658491</v>
      </c>
      <c r="BO11">
        <v>1710.0397571131643</v>
      </c>
      <c r="BP11">
        <v>4.0766259521721695</v>
      </c>
      <c r="BQ11">
        <v>2172.0263073173319</v>
      </c>
      <c r="BR11">
        <v>7.0976606453639359</v>
      </c>
      <c r="BS11">
        <v>3781.6335918499049</v>
      </c>
      <c r="BT11">
        <v>4.7668365909144246</v>
      </c>
      <c r="BU11">
        <v>2539.7705356392053</v>
      </c>
      <c r="BV11">
        <v>4.8930308745068771</v>
      </c>
      <c r="BW11">
        <v>2607.0068499372637</v>
      </c>
      <c r="BX11">
        <v>5.9160065524334797</v>
      </c>
      <c r="BY11">
        <v>3152.0482911365575</v>
      </c>
      <c r="BZ11">
        <v>3.3649184987594265</v>
      </c>
      <c r="CA11">
        <v>1792.8285761390223</v>
      </c>
      <c r="CB11">
        <v>4.3132551659327119</v>
      </c>
      <c r="CC11">
        <v>2298.1023524089487</v>
      </c>
      <c r="CD11">
        <v>4.6966462322804317</v>
      </c>
      <c r="CE11">
        <v>2502.3731125590139</v>
      </c>
      <c r="CF11">
        <v>3.9730323927177542</v>
      </c>
      <c r="CG11">
        <v>2116.8316588400194</v>
      </c>
      <c r="CH11">
        <v>4.1498885208135627</v>
      </c>
      <c r="CI11">
        <v>2211.0606038894662</v>
      </c>
      <c r="CJ11">
        <v>7.7720559464540457</v>
      </c>
      <c r="CK11">
        <v>4140.9514082707155</v>
      </c>
      <c r="CL11">
        <v>5.0571712031575125</v>
      </c>
      <c r="CM11">
        <v>2694.4608170423226</v>
      </c>
      <c r="CN11">
        <v>4.8923972140448262</v>
      </c>
      <c r="CO11">
        <v>2606.6692356430831</v>
      </c>
      <c r="CP11">
        <v>4.4261774265701437</v>
      </c>
      <c r="CQ11">
        <v>2358.2673328765723</v>
      </c>
      <c r="CR11">
        <v>7.0580260807812287</v>
      </c>
      <c r="CS11">
        <v>3760.5162958402384</v>
      </c>
      <c r="CT11">
        <v>4.6619290242147402</v>
      </c>
      <c r="CU11">
        <v>2483.8757841016136</v>
      </c>
    </row>
    <row r="12" spans="1:99" x14ac:dyDescent="0.2">
      <c r="C12" s="105" t="s">
        <v>178</v>
      </c>
      <c r="D12">
        <v>13</v>
      </c>
      <c r="E12">
        <v>7316.4</v>
      </c>
      <c r="F12">
        <v>8</v>
      </c>
      <c r="G12">
        <v>4502.3999999999996</v>
      </c>
      <c r="H12">
        <v>14</v>
      </c>
      <c r="I12">
        <v>7879.1999999999989</v>
      </c>
      <c r="J12">
        <v>15</v>
      </c>
      <c r="K12">
        <v>8442</v>
      </c>
      <c r="L12">
        <v>15.13768554771039</v>
      </c>
      <c r="M12">
        <v>8519.4894262514063</v>
      </c>
      <c r="N12">
        <v>13.142257276609383</v>
      </c>
      <c r="O12">
        <v>7396.4623952757602</v>
      </c>
      <c r="P12">
        <v>15</v>
      </c>
      <c r="Q12">
        <v>8442</v>
      </c>
      <c r="R12">
        <v>10.193474663409724</v>
      </c>
      <c r="S12">
        <v>5736.8875405669924</v>
      </c>
      <c r="T12">
        <v>13</v>
      </c>
      <c r="U12">
        <v>7316.4</v>
      </c>
      <c r="V12">
        <v>14.293646964850632</v>
      </c>
      <c r="W12">
        <v>8044.4645118179351</v>
      </c>
      <c r="X12">
        <v>13</v>
      </c>
      <c r="Y12">
        <v>7316.4</v>
      </c>
      <c r="Z12">
        <v>17.247552667071755</v>
      </c>
      <c r="AA12">
        <v>9706.9226410279825</v>
      </c>
      <c r="AB12">
        <v>10</v>
      </c>
      <c r="AC12">
        <v>5628</v>
      </c>
      <c r="AD12">
        <v>15.16280173873912</v>
      </c>
      <c r="AE12">
        <v>8533.6248185623754</v>
      </c>
      <c r="AF12">
        <v>11.231345467718841</v>
      </c>
      <c r="AG12">
        <v>6321.0012292321626</v>
      </c>
      <c r="AH12">
        <v>15.186539868469366</v>
      </c>
      <c r="AI12">
        <v>8546.9846379745577</v>
      </c>
      <c r="AJ12">
        <v>17</v>
      </c>
      <c r="AK12">
        <v>9567.5999999999985</v>
      </c>
      <c r="AL12">
        <v>11.24774014892501</v>
      </c>
      <c r="AM12">
        <v>6330.2281558149953</v>
      </c>
      <c r="AN12">
        <v>12.23282860084637</v>
      </c>
      <c r="AO12">
        <v>6884.6359365563367</v>
      </c>
      <c r="AP12">
        <v>16.249487705093774</v>
      </c>
      <c r="AQ12">
        <v>9145.2116804267753</v>
      </c>
      <c r="AR12">
        <v>12</v>
      </c>
      <c r="AS12">
        <v>6753.5999999999995</v>
      </c>
      <c r="AT12">
        <v>16.198738116490908</v>
      </c>
      <c r="AU12">
        <v>9116.6498119610824</v>
      </c>
      <c r="AV12">
        <v>13</v>
      </c>
      <c r="AW12">
        <v>7316.4</v>
      </c>
      <c r="AX12">
        <v>19.24933606167782</v>
      </c>
      <c r="AY12">
        <v>10833.526335512275</v>
      </c>
      <c r="AZ12">
        <v>6.1803946696798473</v>
      </c>
      <c r="BA12">
        <v>3478.3261200958177</v>
      </c>
      <c r="BB12">
        <v>4.7477462115830695</v>
      </c>
      <c r="BC12">
        <v>2672.0315678789511</v>
      </c>
      <c r="BD12">
        <v>5.6776992075648618</v>
      </c>
      <c r="BE12">
        <v>3195.4091140175042</v>
      </c>
      <c r="BF12">
        <v>4.7906287490479924</v>
      </c>
      <c r="BG12">
        <v>2696.1658599642101</v>
      </c>
      <c r="BH12">
        <v>4.6773426805177198</v>
      </c>
      <c r="BI12">
        <v>2632.4084605953726</v>
      </c>
      <c r="BJ12">
        <v>4.2387225674989795</v>
      </c>
      <c r="BK12">
        <v>2385.5530609884254</v>
      </c>
      <c r="BL12">
        <v>3.5232404694349357</v>
      </c>
      <c r="BM12">
        <v>1982.8797361979816</v>
      </c>
      <c r="BN12">
        <v>3.1970192708985019</v>
      </c>
      <c r="BO12">
        <v>1799.2824456616768</v>
      </c>
      <c r="BP12">
        <v>4.0877992448977931</v>
      </c>
      <c r="BQ12">
        <v>2300.6134150284779</v>
      </c>
      <c r="BR12">
        <v>7.0976606453639359</v>
      </c>
      <c r="BS12">
        <v>3994.5634112108228</v>
      </c>
      <c r="BT12">
        <v>4.7668365909144246</v>
      </c>
      <c r="BU12">
        <v>2682.775633366638</v>
      </c>
      <c r="BV12">
        <v>5.5579540908176401</v>
      </c>
      <c r="BW12">
        <v>3128.0165623121675</v>
      </c>
      <c r="BX12">
        <v>5.9160065524334797</v>
      </c>
      <c r="BY12">
        <v>3329.5284877095623</v>
      </c>
      <c r="BZ12">
        <v>3.664243312213268</v>
      </c>
      <c r="CA12">
        <v>2062.2361361136273</v>
      </c>
      <c r="CB12">
        <v>4.8428707840420637</v>
      </c>
      <c r="CC12">
        <v>2725.5676772588731</v>
      </c>
      <c r="CD12">
        <v>4.0806838395041236</v>
      </c>
      <c r="CE12">
        <v>2296.6088648729205</v>
      </c>
      <c r="CF12">
        <v>3.9730323927177542</v>
      </c>
      <c r="CG12">
        <v>2236.0226306215518</v>
      </c>
      <c r="CH12">
        <v>4.8333485398979006</v>
      </c>
      <c r="CI12">
        <v>2720.2085582545383</v>
      </c>
      <c r="CJ12">
        <v>6.6324165303845968</v>
      </c>
      <c r="CK12">
        <v>3732.7240233004509</v>
      </c>
      <c r="CL12">
        <v>5.819436941132941</v>
      </c>
      <c r="CM12">
        <v>3275.179110469619</v>
      </c>
      <c r="CN12">
        <v>4.8923972140448262</v>
      </c>
      <c r="CO12">
        <v>2753.441152064428</v>
      </c>
      <c r="CP12">
        <v>4.6814459496502678</v>
      </c>
      <c r="CQ12">
        <v>2634.7177804631706</v>
      </c>
      <c r="CR12">
        <v>6.3858331207068266</v>
      </c>
      <c r="CS12">
        <v>3593.9468803338018</v>
      </c>
      <c r="CT12">
        <v>4.223439990621829</v>
      </c>
      <c r="CU12">
        <v>2376.952026721965</v>
      </c>
    </row>
    <row r="13" spans="1:99" x14ac:dyDescent="0.2">
      <c r="C13" s="105" t="s">
        <v>179</v>
      </c>
      <c r="D13">
        <v>14</v>
      </c>
      <c r="E13">
        <v>1192.8</v>
      </c>
      <c r="F13">
        <v>9</v>
      </c>
      <c r="G13">
        <v>766.80000000000007</v>
      </c>
      <c r="H13">
        <v>13</v>
      </c>
      <c r="I13">
        <v>1107.6000000000001</v>
      </c>
      <c r="J13">
        <v>14</v>
      </c>
      <c r="K13">
        <v>1192.8</v>
      </c>
      <c r="L13">
        <v>15.13768554771039</v>
      </c>
      <c r="M13">
        <v>1289.7308086649252</v>
      </c>
      <c r="N13">
        <v>15.18967636881251</v>
      </c>
      <c r="O13">
        <v>1294.160426622826</v>
      </c>
      <c r="P13">
        <v>15</v>
      </c>
      <c r="Q13">
        <v>1278</v>
      </c>
      <c r="R13">
        <v>10.193474663409724</v>
      </c>
      <c r="S13">
        <v>868.48404132250846</v>
      </c>
      <c r="T13">
        <v>13</v>
      </c>
      <c r="U13">
        <v>1107.6000000000001</v>
      </c>
      <c r="V13">
        <v>13.293646964850632</v>
      </c>
      <c r="W13">
        <v>1132.6187214052738</v>
      </c>
      <c r="X13">
        <v>12</v>
      </c>
      <c r="Y13">
        <v>1022.4000000000001</v>
      </c>
      <c r="Z13">
        <v>18</v>
      </c>
      <c r="AA13">
        <v>1533.6000000000001</v>
      </c>
      <c r="AB13">
        <v>10</v>
      </c>
      <c r="AC13">
        <v>852</v>
      </c>
      <c r="AD13">
        <v>16.16280173873912</v>
      </c>
      <c r="AE13">
        <v>1377.0707081405731</v>
      </c>
      <c r="AF13">
        <v>10.231345467718841</v>
      </c>
      <c r="AG13">
        <v>871.71063384964521</v>
      </c>
      <c r="AH13">
        <v>17.149231894775493</v>
      </c>
      <c r="AI13">
        <v>1461.114557434872</v>
      </c>
      <c r="AJ13">
        <v>15</v>
      </c>
      <c r="AK13">
        <v>1278</v>
      </c>
      <c r="AL13">
        <v>10.24774014892501</v>
      </c>
      <c r="AM13">
        <v>873.10746068841081</v>
      </c>
      <c r="AN13">
        <v>13.23282860084637</v>
      </c>
      <c r="AO13">
        <v>1127.4369967921107</v>
      </c>
      <c r="AP13">
        <v>17.299385246112525</v>
      </c>
      <c r="AQ13">
        <v>1473.9076229687871</v>
      </c>
      <c r="AR13">
        <v>13</v>
      </c>
      <c r="AS13">
        <v>1107.6000000000001</v>
      </c>
      <c r="AT13">
        <v>19.198738116490908</v>
      </c>
      <c r="AU13">
        <v>1635.7324875250254</v>
      </c>
      <c r="AV13">
        <v>14</v>
      </c>
      <c r="AW13">
        <v>1192.8</v>
      </c>
      <c r="AX13">
        <v>18.24933606167782</v>
      </c>
      <c r="AY13">
        <v>1554.8434324549503</v>
      </c>
      <c r="AZ13">
        <v>6.7422487305598331</v>
      </c>
      <c r="BA13">
        <v>574.43959184369783</v>
      </c>
      <c r="BB13">
        <v>4.4133664976567255</v>
      </c>
      <c r="BC13">
        <v>376.01882560035301</v>
      </c>
      <c r="BD13">
        <v>5.9480658364965215</v>
      </c>
      <c r="BE13">
        <v>506.77520926950365</v>
      </c>
      <c r="BF13">
        <v>4.4011445870820678</v>
      </c>
      <c r="BG13">
        <v>374.97751881939217</v>
      </c>
      <c r="BH13">
        <v>4.6773426805177198</v>
      </c>
      <c r="BI13">
        <v>398.50959638010977</v>
      </c>
      <c r="BJ13">
        <v>4.6388048836333926</v>
      </c>
      <c r="BK13">
        <v>395.22617608556504</v>
      </c>
      <c r="BL13">
        <v>3.8369540337787855</v>
      </c>
      <c r="BM13">
        <v>326.90848367795252</v>
      </c>
      <c r="BN13">
        <v>3.5254815634254952</v>
      </c>
      <c r="BO13">
        <v>300.37102920385223</v>
      </c>
      <c r="BP13">
        <v>3.7536670619129247</v>
      </c>
      <c r="BQ13">
        <v>319.81243367498121</v>
      </c>
      <c r="BR13">
        <v>6.319808767784548</v>
      </c>
      <c r="BS13">
        <v>538.44770701524351</v>
      </c>
      <c r="BT13">
        <v>5.4478132467593428</v>
      </c>
      <c r="BU13">
        <v>464.15368862389602</v>
      </c>
      <c r="BV13">
        <v>5.915976594722828</v>
      </c>
      <c r="BW13">
        <v>504.04120587038494</v>
      </c>
      <c r="BX13">
        <v>5.5462561429063868</v>
      </c>
      <c r="BY13">
        <v>472.54102337562415</v>
      </c>
      <c r="BZ13">
        <v>3.6745783908942928</v>
      </c>
      <c r="CA13">
        <v>313.07407890419375</v>
      </c>
      <c r="CB13">
        <v>4.8428707840420637</v>
      </c>
      <c r="CC13">
        <v>412.61259080038383</v>
      </c>
      <c r="CD13">
        <v>4.6966462322804317</v>
      </c>
      <c r="CE13">
        <v>400.15425899029282</v>
      </c>
      <c r="CF13">
        <v>3.9730323927177542</v>
      </c>
      <c r="CG13">
        <v>338.50235985955266</v>
      </c>
      <c r="CH13">
        <v>4.8456306414747852</v>
      </c>
      <c r="CI13">
        <v>412.84773065365169</v>
      </c>
      <c r="CJ13">
        <v>7.0023272020654002</v>
      </c>
      <c r="CK13">
        <v>596.59827761597217</v>
      </c>
      <c r="CL13">
        <v>5.819436941132941</v>
      </c>
      <c r="CM13">
        <v>495.81602738452659</v>
      </c>
      <c r="CN13">
        <v>4.3841136402407015</v>
      </c>
      <c r="CO13">
        <v>373.5264821485078</v>
      </c>
      <c r="CP13">
        <v>4.6814459496502678</v>
      </c>
      <c r="CQ13">
        <v>398.85919491020286</v>
      </c>
      <c r="CR13">
        <v>6.0497366406696251</v>
      </c>
      <c r="CS13">
        <v>515.43756178505203</v>
      </c>
      <c r="CT13">
        <v>4.5483199899004303</v>
      </c>
      <c r="CU13">
        <v>387.51686313951666</v>
      </c>
    </row>
    <row r="14" spans="1:99" x14ac:dyDescent="0.2">
      <c r="C14" s="105" t="s">
        <v>180</v>
      </c>
      <c r="D14">
        <v>13</v>
      </c>
      <c r="E14">
        <v>6349.2</v>
      </c>
      <c r="F14">
        <v>9</v>
      </c>
      <c r="G14">
        <v>4395.5999999999995</v>
      </c>
      <c r="H14">
        <v>14</v>
      </c>
      <c r="I14">
        <v>6837.5999999999995</v>
      </c>
      <c r="J14">
        <v>16</v>
      </c>
      <c r="K14">
        <v>7814.4</v>
      </c>
      <c r="L14">
        <v>13.13768554771039</v>
      </c>
      <c r="M14">
        <v>6416.4456215017544</v>
      </c>
      <c r="N14">
        <v>13.18967636881251</v>
      </c>
      <c r="O14">
        <v>6441.8379385280296</v>
      </c>
      <c r="P14">
        <v>15</v>
      </c>
      <c r="Q14">
        <v>7326</v>
      </c>
      <c r="R14">
        <v>9.1934746634097237</v>
      </c>
      <c r="S14">
        <v>4490.0930256093088</v>
      </c>
      <c r="T14">
        <v>12</v>
      </c>
      <c r="U14">
        <v>5860.7999999999993</v>
      </c>
      <c r="V14">
        <v>14.293646964850632</v>
      </c>
      <c r="W14">
        <v>6981.017177633048</v>
      </c>
      <c r="X14">
        <v>13</v>
      </c>
      <c r="Y14">
        <v>6349.2</v>
      </c>
      <c r="Z14">
        <v>17</v>
      </c>
      <c r="AA14">
        <v>8302.7999999999993</v>
      </c>
      <c r="AB14">
        <v>11</v>
      </c>
      <c r="AC14">
        <v>5372.4</v>
      </c>
      <c r="AD14">
        <v>16.16280173873912</v>
      </c>
      <c r="AE14">
        <v>7893.9123692001858</v>
      </c>
      <c r="AF14">
        <v>10.231345467718841</v>
      </c>
      <c r="AG14">
        <v>4996.9891264338812</v>
      </c>
      <c r="AH14">
        <v>16.186539868469367</v>
      </c>
      <c r="AI14">
        <v>7905.5060717604383</v>
      </c>
      <c r="AJ14">
        <v>18</v>
      </c>
      <c r="AK14">
        <v>8791.1999999999989</v>
      </c>
      <c r="AL14">
        <v>10.24774014892501</v>
      </c>
      <c r="AM14">
        <v>5004.9962887349748</v>
      </c>
      <c r="AN14">
        <v>13.23282860084637</v>
      </c>
      <c r="AO14">
        <v>6462.9134886533666</v>
      </c>
      <c r="AP14">
        <v>14.299385246112527</v>
      </c>
      <c r="AQ14">
        <v>6983.8197542013577</v>
      </c>
      <c r="AR14">
        <v>15</v>
      </c>
      <c r="AS14">
        <v>7326</v>
      </c>
      <c r="AT14">
        <v>16.198738116490908</v>
      </c>
      <c r="AU14">
        <v>7911.4636960941589</v>
      </c>
      <c r="AV14">
        <v>13</v>
      </c>
      <c r="AW14">
        <v>6349.2</v>
      </c>
      <c r="AX14">
        <v>19.24933606167782</v>
      </c>
      <c r="AY14">
        <v>9401.3757325234474</v>
      </c>
      <c r="AZ14">
        <v>6.7422487305598331</v>
      </c>
      <c r="BA14">
        <v>3292.9142800054224</v>
      </c>
      <c r="BB14">
        <v>4.7477462115830695</v>
      </c>
      <c r="BC14">
        <v>2318.7992497371711</v>
      </c>
      <c r="BD14">
        <v>5.1369659497015414</v>
      </c>
      <c r="BE14">
        <v>2508.8941698342328</v>
      </c>
      <c r="BF14">
        <v>4.7906287490479924</v>
      </c>
      <c r="BG14">
        <v>2339.7430810350393</v>
      </c>
      <c r="BH14">
        <v>4.2521297095615633</v>
      </c>
      <c r="BI14">
        <v>2076.7401501498675</v>
      </c>
      <c r="BJ14">
        <v>4.2247284847839879</v>
      </c>
      <c r="BK14">
        <v>2063.3573919684995</v>
      </c>
      <c r="BL14">
        <v>3.8248888235033527</v>
      </c>
      <c r="BM14">
        <v>1868.0757013990374</v>
      </c>
      <c r="BN14">
        <v>3.5254815634254952</v>
      </c>
      <c r="BO14">
        <v>1721.8451955770117</v>
      </c>
      <c r="BP14">
        <v>4.0766259521721695</v>
      </c>
      <c r="BQ14">
        <v>1991.0241150408874</v>
      </c>
      <c r="BR14">
        <v>7.0976606453639359</v>
      </c>
      <c r="BS14">
        <v>3466.4974591957462</v>
      </c>
      <c r="BT14">
        <v>4.7668365909144246</v>
      </c>
      <c r="BU14">
        <v>2328.122991002605</v>
      </c>
      <c r="BV14">
        <v>5.5749946879841783</v>
      </c>
      <c r="BW14">
        <v>2722.8274056114724</v>
      </c>
      <c r="BX14">
        <v>5.9160065524334797</v>
      </c>
      <c r="BY14">
        <v>2889.3776002085115</v>
      </c>
      <c r="BZ14">
        <v>3.3649184987594265</v>
      </c>
      <c r="CA14">
        <v>1643.4261947941038</v>
      </c>
      <c r="CB14">
        <v>4.567158657693402</v>
      </c>
      <c r="CC14">
        <v>2230.6002884174573</v>
      </c>
      <c r="CD14">
        <v>4.3886650358922781</v>
      </c>
      <c r="CE14">
        <v>2143.4240035297885</v>
      </c>
      <c r="CF14">
        <v>3.9730323927177542</v>
      </c>
      <c r="CG14">
        <v>1940.4290206033511</v>
      </c>
      <c r="CH14">
        <v>4.8333485398979006</v>
      </c>
      <c r="CI14">
        <v>2360.6074268861344</v>
      </c>
      <c r="CJ14">
        <v>7.0023272020654002</v>
      </c>
      <c r="CK14">
        <v>3419.9366054887414</v>
      </c>
      <c r="CL14">
        <v>5.0571712031575125</v>
      </c>
      <c r="CM14">
        <v>2469.9224156221289</v>
      </c>
      <c r="CN14">
        <v>4.8923972140448262</v>
      </c>
      <c r="CO14">
        <v>2389.4467993394928</v>
      </c>
      <c r="CP14">
        <v>4.1832821226625976</v>
      </c>
      <c r="CQ14">
        <v>2043.1149887084125</v>
      </c>
      <c r="CR14">
        <v>6.7219296007440281</v>
      </c>
      <c r="CS14">
        <v>3282.9904170033833</v>
      </c>
      <c r="CT14">
        <v>4.5483199899004303</v>
      </c>
      <c r="CU14">
        <v>2221.3994830673701</v>
      </c>
    </row>
    <row r="15" spans="1:99" x14ac:dyDescent="0.2">
      <c r="C15" s="105" t="s">
        <v>181</v>
      </c>
      <c r="D15">
        <v>14</v>
      </c>
      <c r="E15">
        <v>10684.8</v>
      </c>
      <c r="F15">
        <v>9</v>
      </c>
      <c r="G15">
        <v>6868.7999999999993</v>
      </c>
      <c r="H15">
        <v>14</v>
      </c>
      <c r="I15">
        <v>10684.8</v>
      </c>
      <c r="J15">
        <v>15</v>
      </c>
      <c r="K15">
        <v>11447.999999999998</v>
      </c>
      <c r="L15">
        <v>14.183580730280521</v>
      </c>
      <c r="M15">
        <v>10824.908813350094</v>
      </c>
      <c r="N15">
        <v>13.18967636881251</v>
      </c>
      <c r="O15">
        <v>10066.361004677707</v>
      </c>
      <c r="P15">
        <v>13</v>
      </c>
      <c r="Q15">
        <v>9921.5999999999985</v>
      </c>
      <c r="R15">
        <v>10.193474663409724</v>
      </c>
      <c r="S15">
        <v>7779.6598631143006</v>
      </c>
      <c r="T15">
        <v>12</v>
      </c>
      <c r="U15">
        <v>9158.4</v>
      </c>
      <c r="V15">
        <v>14.34258812565907</v>
      </c>
      <c r="W15">
        <v>10946.263257503002</v>
      </c>
      <c r="X15">
        <v>11</v>
      </c>
      <c r="Y15">
        <v>8395.1999999999989</v>
      </c>
      <c r="Z15">
        <v>19</v>
      </c>
      <c r="AA15">
        <v>14500.8</v>
      </c>
      <c r="AB15">
        <v>10</v>
      </c>
      <c r="AC15">
        <v>7631.9999999999991</v>
      </c>
      <c r="AD15">
        <v>15.16280173873912</v>
      </c>
      <c r="AE15">
        <v>11572.250287005694</v>
      </c>
      <c r="AF15">
        <v>11.231345467718841</v>
      </c>
      <c r="AG15">
        <v>8571.7628609630192</v>
      </c>
      <c r="AH15">
        <v>16.149231894775493</v>
      </c>
      <c r="AI15">
        <v>12325.093782092656</v>
      </c>
      <c r="AJ15">
        <v>16</v>
      </c>
      <c r="AK15">
        <v>12211.199999999999</v>
      </c>
      <c r="AL15">
        <v>11.24774014892501</v>
      </c>
      <c r="AM15">
        <v>8584.2752816595657</v>
      </c>
      <c r="AN15">
        <v>12.23282860084637</v>
      </c>
      <c r="AO15">
        <v>9336.0947881659486</v>
      </c>
      <c r="AP15">
        <v>17.299385246112525</v>
      </c>
      <c r="AQ15">
        <v>13202.890819833077</v>
      </c>
      <c r="AR15">
        <v>13</v>
      </c>
      <c r="AS15">
        <v>9921.5999999999985</v>
      </c>
      <c r="AT15">
        <v>15.149053587368179</v>
      </c>
      <c r="AU15">
        <v>11561.757697879393</v>
      </c>
      <c r="AV15">
        <v>13</v>
      </c>
      <c r="AW15">
        <v>9921.5999999999985</v>
      </c>
      <c r="AX15">
        <v>19.24933606167782</v>
      </c>
      <c r="AY15">
        <v>14691.09328227251</v>
      </c>
      <c r="AZ15">
        <v>5.6185406087998606</v>
      </c>
      <c r="BA15">
        <v>4288.0701926360534</v>
      </c>
      <c r="BB15">
        <v>4.7311386574295042</v>
      </c>
      <c r="BC15">
        <v>3610.8050233501972</v>
      </c>
      <c r="BD15">
        <v>4.596232691838221</v>
      </c>
      <c r="BE15">
        <v>3507.8447904109298</v>
      </c>
      <c r="BF15">
        <v>4.0116604251161423</v>
      </c>
      <c r="BG15">
        <v>3061.6992364486396</v>
      </c>
      <c r="BH15">
        <v>3.8269167386054068</v>
      </c>
      <c r="BI15">
        <v>2920.7028549036463</v>
      </c>
      <c r="BJ15">
        <v>4.2387225674989795</v>
      </c>
      <c r="BK15">
        <v>3234.9930635152209</v>
      </c>
      <c r="BL15">
        <v>3.2095269050910868</v>
      </c>
      <c r="BM15">
        <v>2449.5109339655173</v>
      </c>
      <c r="BN15">
        <v>3.5254815634254952</v>
      </c>
      <c r="BO15">
        <v>2690.6475292063378</v>
      </c>
      <c r="BP15">
        <v>3.7536670619129247</v>
      </c>
      <c r="BQ15">
        <v>2864.7987016519437</v>
      </c>
      <c r="BR15">
        <v>6.7087347065742415</v>
      </c>
      <c r="BS15">
        <v>5120.1063280574608</v>
      </c>
      <c r="BT15">
        <v>4.4263482629919659</v>
      </c>
      <c r="BU15">
        <v>3378.1889943154679</v>
      </c>
      <c r="BV15">
        <v>5.2340127812455277</v>
      </c>
      <c r="BW15">
        <v>3994.5985546465863</v>
      </c>
      <c r="BX15">
        <v>5.1765057333792939</v>
      </c>
      <c r="BY15">
        <v>3950.7091757150765</v>
      </c>
      <c r="BZ15">
        <v>3.3649184987594265</v>
      </c>
      <c r="CA15">
        <v>2568.1057982531943</v>
      </c>
      <c r="CB15">
        <v>4.3132551659327119</v>
      </c>
      <c r="CC15">
        <v>3291.8763426398455</v>
      </c>
      <c r="CD15">
        <v>4.0652981822125005</v>
      </c>
      <c r="CE15">
        <v>3102.6355726645802</v>
      </c>
      <c r="CF15">
        <v>3.9730323927177542</v>
      </c>
      <c r="CG15">
        <v>3032.2183221221899</v>
      </c>
      <c r="CH15">
        <v>4.8456306414747852</v>
      </c>
      <c r="CI15">
        <v>3698.1853055735555</v>
      </c>
      <c r="CJ15">
        <v>7.0023272020654002</v>
      </c>
      <c r="CK15">
        <v>5344.1761206163128</v>
      </c>
      <c r="CL15">
        <v>4.8153828155050418</v>
      </c>
      <c r="CM15">
        <v>3675.1001647934477</v>
      </c>
      <c r="CN15">
        <v>4.8923972140448262</v>
      </c>
      <c r="CO15">
        <v>3733.8775537590109</v>
      </c>
      <c r="CP15">
        <v>4.6814459496502678</v>
      </c>
      <c r="CQ15">
        <v>3572.879548773084</v>
      </c>
      <c r="CR15">
        <v>5.7136401606324236</v>
      </c>
      <c r="CS15">
        <v>4360.6501705946657</v>
      </c>
      <c r="CT15">
        <v>4.9868090234933424</v>
      </c>
      <c r="CU15">
        <v>3805.9326467301184</v>
      </c>
    </row>
    <row r="16" spans="1:99" x14ac:dyDescent="0.2">
      <c r="C16" s="105" t="s">
        <v>182</v>
      </c>
      <c r="D16">
        <v>14</v>
      </c>
      <c r="E16">
        <v>4771.2</v>
      </c>
      <c r="F16">
        <v>9</v>
      </c>
      <c r="G16">
        <v>3067.2000000000003</v>
      </c>
      <c r="H16">
        <v>15</v>
      </c>
      <c r="I16">
        <v>5112</v>
      </c>
      <c r="J16">
        <v>16</v>
      </c>
      <c r="K16">
        <v>5452.8</v>
      </c>
      <c r="L16">
        <v>14.183580730280521</v>
      </c>
      <c r="M16">
        <v>4833.7643128796017</v>
      </c>
      <c r="N16">
        <v>13.18967636881251</v>
      </c>
      <c r="O16">
        <v>4495.0417064913036</v>
      </c>
      <c r="P16">
        <v>15</v>
      </c>
      <c r="Q16">
        <v>5112</v>
      </c>
      <c r="R16">
        <v>10.193474663409724</v>
      </c>
      <c r="S16">
        <v>3473.9361652900338</v>
      </c>
      <c r="T16">
        <v>12</v>
      </c>
      <c r="U16">
        <v>4089.6000000000004</v>
      </c>
      <c r="V16">
        <v>14</v>
      </c>
      <c r="W16">
        <v>4771.2</v>
      </c>
      <c r="X16">
        <v>12</v>
      </c>
      <c r="Y16">
        <v>4089.6000000000004</v>
      </c>
      <c r="Z16">
        <v>19</v>
      </c>
      <c r="AA16">
        <v>6475.2</v>
      </c>
      <c r="AB16">
        <v>10</v>
      </c>
      <c r="AC16">
        <v>3408</v>
      </c>
      <c r="AD16">
        <v>15.16280173873912</v>
      </c>
      <c r="AE16">
        <v>5167.4828325622921</v>
      </c>
      <c r="AF16">
        <v>10.231345467718841</v>
      </c>
      <c r="AG16">
        <v>3486.8425353985808</v>
      </c>
      <c r="AH16">
        <v>15.186539868469366</v>
      </c>
      <c r="AI16">
        <v>5175.5727871743602</v>
      </c>
      <c r="AJ16">
        <v>17</v>
      </c>
      <c r="AK16">
        <v>5793.6</v>
      </c>
      <c r="AL16">
        <v>11.24774014892501</v>
      </c>
      <c r="AM16">
        <v>3833.2298427536434</v>
      </c>
      <c r="AN16">
        <v>12.194023834038642</v>
      </c>
      <c r="AO16">
        <v>4155.7233226403696</v>
      </c>
      <c r="AP16">
        <v>15.299385246112527</v>
      </c>
      <c r="AQ16">
        <v>5214.030491875149</v>
      </c>
      <c r="AR16">
        <v>13</v>
      </c>
      <c r="AS16">
        <v>4430.4000000000005</v>
      </c>
      <c r="AT16">
        <v>17.198738116490908</v>
      </c>
      <c r="AU16">
        <v>5861.329950100102</v>
      </c>
      <c r="AV16">
        <v>14</v>
      </c>
      <c r="AW16">
        <v>4771.2</v>
      </c>
      <c r="AX16">
        <v>17.24933606167782</v>
      </c>
      <c r="AY16">
        <v>5878.573729819801</v>
      </c>
      <c r="AZ16">
        <v>6.1803946696798473</v>
      </c>
      <c r="BA16">
        <v>2106.2785034268918</v>
      </c>
      <c r="BB16">
        <v>5.0821259255094127</v>
      </c>
      <c r="BC16">
        <v>1731.988515413608</v>
      </c>
      <c r="BD16">
        <v>5.4073325786332012</v>
      </c>
      <c r="BE16">
        <v>1842.8189427981949</v>
      </c>
      <c r="BF16">
        <v>4.7906287490479924</v>
      </c>
      <c r="BG16">
        <v>1632.6462776755559</v>
      </c>
      <c r="BH16">
        <v>4.2521297095615633</v>
      </c>
      <c r="BI16">
        <v>1449.1258050185809</v>
      </c>
      <c r="BJ16">
        <v>4.2247284847839879</v>
      </c>
      <c r="BK16">
        <v>1439.7874676143831</v>
      </c>
      <c r="BL16">
        <v>3.5232404694349357</v>
      </c>
      <c r="BM16">
        <v>1200.7203519834261</v>
      </c>
      <c r="BN16">
        <v>3.5254815634254952</v>
      </c>
      <c r="BO16">
        <v>1201.4841168154089</v>
      </c>
      <c r="BP16">
        <v>3.7424937691873006</v>
      </c>
      <c r="BQ16">
        <v>1275.4418765390321</v>
      </c>
      <c r="BR16">
        <v>7.0976606453639359</v>
      </c>
      <c r="BS16">
        <v>2418.8827479400293</v>
      </c>
      <c r="BT16">
        <v>4.4263482629919659</v>
      </c>
      <c r="BU16">
        <v>1508.499488027662</v>
      </c>
      <c r="BV16">
        <v>4.875990277340339</v>
      </c>
      <c r="BW16">
        <v>1661.7374865175875</v>
      </c>
      <c r="BX16">
        <v>6.2857569619605718</v>
      </c>
      <c r="BY16">
        <v>2142.1859726361631</v>
      </c>
      <c r="BZ16">
        <v>3.664243312213268</v>
      </c>
      <c r="CA16">
        <v>1248.7741208022817</v>
      </c>
      <c r="CB16">
        <v>4.3132551659327119</v>
      </c>
      <c r="CC16">
        <v>1469.9573605498683</v>
      </c>
      <c r="CD16">
        <v>4.6966462322804317</v>
      </c>
      <c r="CE16">
        <v>1600.6170359611713</v>
      </c>
      <c r="CF16">
        <v>3.9730323927177542</v>
      </c>
      <c r="CG16">
        <v>1354.0094394382106</v>
      </c>
      <c r="CH16">
        <v>4.4916185303557326</v>
      </c>
      <c r="CI16">
        <v>1530.7435951452337</v>
      </c>
      <c r="CJ16">
        <v>7.7870096469675634</v>
      </c>
      <c r="CK16">
        <v>2653.8128876865458</v>
      </c>
      <c r="CL16">
        <v>5.0571712031575125</v>
      </c>
      <c r="CM16">
        <v>1723.4839460360804</v>
      </c>
      <c r="CN16">
        <v>4.638255427142763</v>
      </c>
      <c r="CO16">
        <v>1580.7174495702536</v>
      </c>
      <c r="CP16">
        <v>4.6814459496502678</v>
      </c>
      <c r="CQ16">
        <v>1595.4367796408114</v>
      </c>
      <c r="CR16">
        <v>6.3858331207068266</v>
      </c>
      <c r="CS16">
        <v>2176.2919275368868</v>
      </c>
      <c r="CT16">
        <v>4.223439990621829</v>
      </c>
      <c r="CU16">
        <v>1439.3483488039194</v>
      </c>
    </row>
    <row r="17" spans="2:99" x14ac:dyDescent="0.2">
      <c r="C17" s="105" t="s">
        <v>183</v>
      </c>
      <c r="D17">
        <v>14</v>
      </c>
      <c r="E17">
        <v>5913.5999999999995</v>
      </c>
      <c r="F17">
        <v>9</v>
      </c>
      <c r="G17">
        <v>3801.6</v>
      </c>
      <c r="H17">
        <v>13</v>
      </c>
      <c r="I17">
        <v>5491.2</v>
      </c>
      <c r="J17">
        <v>14</v>
      </c>
      <c r="K17">
        <v>5913.5999999999995</v>
      </c>
      <c r="L17">
        <v>15.183580730280521</v>
      </c>
      <c r="M17">
        <v>6413.5445004704916</v>
      </c>
      <c r="N17">
        <v>14.18967636881251</v>
      </c>
      <c r="O17">
        <v>5993.7192981864036</v>
      </c>
      <c r="P17">
        <v>14</v>
      </c>
      <c r="Q17">
        <v>5913.5999999999995</v>
      </c>
      <c r="R17">
        <v>9.1934746634097237</v>
      </c>
      <c r="S17">
        <v>3883.3236978242671</v>
      </c>
      <c r="T17">
        <v>13</v>
      </c>
      <c r="U17">
        <v>5491.2</v>
      </c>
      <c r="V17">
        <v>14.293646964850632</v>
      </c>
      <c r="W17">
        <v>6037.6364779529067</v>
      </c>
      <c r="X17">
        <v>12</v>
      </c>
      <c r="Y17">
        <v>5068.7999999999993</v>
      </c>
      <c r="Z17">
        <v>17</v>
      </c>
      <c r="AA17">
        <v>7180.7999999999993</v>
      </c>
      <c r="AB17">
        <v>10</v>
      </c>
      <c r="AC17">
        <v>4224</v>
      </c>
      <c r="AD17">
        <v>15.16280173873912</v>
      </c>
      <c r="AE17">
        <v>6404.7674544434039</v>
      </c>
      <c r="AF17">
        <v>11.231345467718841</v>
      </c>
      <c r="AG17">
        <v>4744.1203255644377</v>
      </c>
      <c r="AH17">
        <v>15.186539868469366</v>
      </c>
      <c r="AI17">
        <v>6414.7944404414593</v>
      </c>
      <c r="AJ17">
        <v>15</v>
      </c>
      <c r="AK17">
        <v>6336</v>
      </c>
      <c r="AL17">
        <v>10.24774014892501</v>
      </c>
      <c r="AM17">
        <v>4328.6454389059236</v>
      </c>
      <c r="AN17">
        <v>13.194023834038642</v>
      </c>
      <c r="AO17">
        <v>5573.155667497922</v>
      </c>
      <c r="AP17">
        <v>16.249487705093774</v>
      </c>
      <c r="AQ17">
        <v>6863.7836066316095</v>
      </c>
      <c r="AR17">
        <v>12</v>
      </c>
      <c r="AS17">
        <v>5068.7999999999993</v>
      </c>
      <c r="AT17">
        <v>17.149053587368179</v>
      </c>
      <c r="AU17">
        <v>7243.7602353043185</v>
      </c>
      <c r="AV17">
        <v>13</v>
      </c>
      <c r="AW17">
        <v>5491.2</v>
      </c>
      <c r="AX17">
        <v>17.24933606167782</v>
      </c>
      <c r="AY17">
        <v>7286.1195524527111</v>
      </c>
      <c r="AZ17">
        <v>5.6185406087998606</v>
      </c>
      <c r="BA17">
        <v>2373.2715531570611</v>
      </c>
      <c r="BB17">
        <v>5.0821259255094127</v>
      </c>
      <c r="BC17">
        <v>2146.689990935176</v>
      </c>
      <c r="BD17">
        <v>5.6776992075648618</v>
      </c>
      <c r="BE17">
        <v>2398.2601452753975</v>
      </c>
      <c r="BF17">
        <v>4.4011445870820678</v>
      </c>
      <c r="BG17">
        <v>1859.0434735834654</v>
      </c>
      <c r="BH17">
        <v>4.2521297095615633</v>
      </c>
      <c r="BI17">
        <v>1796.0995893188042</v>
      </c>
      <c r="BJ17">
        <v>4.6388048836333926</v>
      </c>
      <c r="BK17">
        <v>1959.4311828467448</v>
      </c>
      <c r="BL17">
        <v>3.8248888235033527</v>
      </c>
      <c r="BM17">
        <v>1615.6330390478161</v>
      </c>
      <c r="BN17">
        <v>3.2095340786658491</v>
      </c>
      <c r="BO17">
        <v>1355.7071948284545</v>
      </c>
      <c r="BP17">
        <v>4.0877992448977931</v>
      </c>
      <c r="BQ17">
        <v>1726.6864010448278</v>
      </c>
      <c r="BR17">
        <v>6.7087347065742415</v>
      </c>
      <c r="BS17">
        <v>2833.7695400569596</v>
      </c>
      <c r="BT17">
        <v>4.7668365909144246</v>
      </c>
      <c r="BU17">
        <v>2013.5117760022529</v>
      </c>
      <c r="BV17">
        <v>5.5749946879841783</v>
      </c>
      <c r="BW17">
        <v>2354.8777562045166</v>
      </c>
      <c r="BX17">
        <v>5.1765057333792939</v>
      </c>
      <c r="BY17">
        <v>2186.5560217794136</v>
      </c>
      <c r="BZ17">
        <v>3.3649184987594265</v>
      </c>
      <c r="CA17">
        <v>1421.3415738759816</v>
      </c>
      <c r="CB17">
        <v>5.1076785930967388</v>
      </c>
      <c r="CC17">
        <v>2157.4834377240622</v>
      </c>
      <c r="CD17">
        <v>4.0806838395041236</v>
      </c>
      <c r="CE17">
        <v>1723.6808538065418</v>
      </c>
      <c r="CF17">
        <v>4.3342171556920954</v>
      </c>
      <c r="CG17">
        <v>1830.773326564341</v>
      </c>
      <c r="CH17">
        <v>4.8333485398979006</v>
      </c>
      <c r="CI17">
        <v>2041.6064232528731</v>
      </c>
      <c r="CJ17">
        <v>7.3871915742597229</v>
      </c>
      <c r="CK17">
        <v>3120.3497209673069</v>
      </c>
      <c r="CL17">
        <v>5.0663963469120166</v>
      </c>
      <c r="CM17">
        <v>2140.0458169356357</v>
      </c>
      <c r="CN17">
        <v>5.1374385348175107</v>
      </c>
      <c r="CO17">
        <v>2170.0540371069164</v>
      </c>
      <c r="CP17">
        <v>4.6814459496502678</v>
      </c>
      <c r="CQ17">
        <v>1977.442769132273</v>
      </c>
      <c r="CR17">
        <v>6.3858331207068266</v>
      </c>
      <c r="CS17">
        <v>2697.3759101865635</v>
      </c>
      <c r="CT17">
        <v>4.8731999891790334</v>
      </c>
      <c r="CU17">
        <v>2058.4396754292238</v>
      </c>
    </row>
    <row r="18" spans="2:99" x14ac:dyDescent="0.2">
      <c r="C18" s="105" t="s">
        <v>184</v>
      </c>
      <c r="D18">
        <v>14</v>
      </c>
      <c r="E18">
        <v>9139.1999999999989</v>
      </c>
      <c r="F18">
        <v>8</v>
      </c>
      <c r="G18">
        <v>5222.3999999999996</v>
      </c>
      <c r="H18">
        <v>12</v>
      </c>
      <c r="I18">
        <v>7833.5999999999995</v>
      </c>
      <c r="J18">
        <v>13</v>
      </c>
      <c r="K18">
        <v>8486.4</v>
      </c>
      <c r="L18">
        <v>14.13768554771039</v>
      </c>
      <c r="M18">
        <v>9229.0811255453427</v>
      </c>
      <c r="N18">
        <v>13.142257276609383</v>
      </c>
      <c r="O18">
        <v>8579.2655501706049</v>
      </c>
      <c r="P18">
        <v>15</v>
      </c>
      <c r="Q18">
        <v>9792</v>
      </c>
      <c r="R18">
        <v>10.193474663409724</v>
      </c>
      <c r="S18">
        <v>6654.300260273867</v>
      </c>
      <c r="T18">
        <v>13</v>
      </c>
      <c r="U18">
        <v>8486.4</v>
      </c>
      <c r="V18">
        <v>13.293646964850632</v>
      </c>
      <c r="W18">
        <v>8678.0927386544918</v>
      </c>
      <c r="X18">
        <v>11</v>
      </c>
      <c r="Y18">
        <v>7180.7999999999993</v>
      </c>
      <c r="Z18">
        <v>19</v>
      </c>
      <c r="AA18">
        <v>12403.199999999999</v>
      </c>
      <c r="AB18">
        <v>10</v>
      </c>
      <c r="AC18">
        <v>6528</v>
      </c>
      <c r="AD18">
        <v>17.16280173873912</v>
      </c>
      <c r="AE18">
        <v>11203.876975048897</v>
      </c>
      <c r="AF18">
        <v>11.269903045671981</v>
      </c>
      <c r="AG18">
        <v>7356.9927082146687</v>
      </c>
      <c r="AH18">
        <v>16.149231894775493</v>
      </c>
      <c r="AI18">
        <v>10542.218580909441</v>
      </c>
      <c r="AJ18">
        <v>15</v>
      </c>
      <c r="AK18">
        <v>9792</v>
      </c>
      <c r="AL18">
        <v>11.24774014892501</v>
      </c>
      <c r="AM18">
        <v>7342.5247692182456</v>
      </c>
      <c r="AN18">
        <v>11.23282860084637</v>
      </c>
      <c r="AO18">
        <v>7332.7905106325097</v>
      </c>
      <c r="AP18">
        <v>16.299385246112525</v>
      </c>
      <c r="AQ18">
        <v>10640.238688662255</v>
      </c>
      <c r="AR18">
        <v>13</v>
      </c>
      <c r="AS18">
        <v>8486.4</v>
      </c>
      <c r="AT18">
        <v>17.149053587368179</v>
      </c>
      <c r="AU18">
        <v>11194.902181833946</v>
      </c>
      <c r="AV18">
        <v>13</v>
      </c>
      <c r="AW18">
        <v>8486.4</v>
      </c>
      <c r="AX18">
        <v>19.24933606167782</v>
      </c>
      <c r="AY18">
        <v>12565.96658106328</v>
      </c>
      <c r="AZ18">
        <v>5.6185406087998606</v>
      </c>
      <c r="BA18">
        <v>3667.7833094245489</v>
      </c>
      <c r="BB18">
        <v>5.0821259255094127</v>
      </c>
      <c r="BC18">
        <v>3317.6118041725445</v>
      </c>
      <c r="BD18">
        <v>4.8665993207698808</v>
      </c>
      <c r="BE18">
        <v>3176.9160365985781</v>
      </c>
      <c r="BF18">
        <v>4.0116604251161423</v>
      </c>
      <c r="BG18">
        <v>2618.8119255158176</v>
      </c>
      <c r="BH18">
        <v>4.6773426805177198</v>
      </c>
      <c r="BI18">
        <v>3053.3693018419672</v>
      </c>
      <c r="BJ18">
        <v>4.2387225674989795</v>
      </c>
      <c r="BK18">
        <v>2767.0380920633338</v>
      </c>
      <c r="BL18">
        <v>3.5232404694349357</v>
      </c>
      <c r="BM18">
        <v>2299.971378447126</v>
      </c>
      <c r="BN18">
        <v>3.2095340786658491</v>
      </c>
      <c r="BO18">
        <v>2095.1838465530659</v>
      </c>
      <c r="BP18">
        <v>4.0877992448977931</v>
      </c>
      <c r="BQ18">
        <v>2668.515347069279</v>
      </c>
      <c r="BR18">
        <v>6.7087347065742415</v>
      </c>
      <c r="BS18">
        <v>4379.4620164516646</v>
      </c>
      <c r="BT18">
        <v>4.7668365909144246</v>
      </c>
      <c r="BU18">
        <v>3111.7909265489361</v>
      </c>
      <c r="BV18">
        <v>5.8989359975562907</v>
      </c>
      <c r="BW18">
        <v>3850.8254192047461</v>
      </c>
      <c r="BX18">
        <v>6.2857569619605718</v>
      </c>
      <c r="BY18">
        <v>4103.3421447678611</v>
      </c>
      <c r="BZ18">
        <v>3.664243312213268</v>
      </c>
      <c r="CA18">
        <v>2392.018034212821</v>
      </c>
      <c r="CB18">
        <v>4.3023508486387261</v>
      </c>
      <c r="CC18">
        <v>2808.5746339913603</v>
      </c>
      <c r="CD18">
        <v>4.0806838395041236</v>
      </c>
      <c r="CE18">
        <v>2663.8704104282915</v>
      </c>
      <c r="CF18">
        <v>3.6118476297434126</v>
      </c>
      <c r="CG18">
        <v>2357.8141326964997</v>
      </c>
      <c r="CH18">
        <v>4.5039006319326171</v>
      </c>
      <c r="CI18">
        <v>2940.1463325256123</v>
      </c>
      <c r="CJ18">
        <v>7.7870096469675634</v>
      </c>
      <c r="CK18">
        <v>5083.3598975404248</v>
      </c>
      <c r="CL18">
        <v>5.3174098783189905</v>
      </c>
      <c r="CM18">
        <v>3471.2051685666365</v>
      </c>
      <c r="CN18">
        <v>4.8832967479154483</v>
      </c>
      <c r="CO18">
        <v>3187.8161170392045</v>
      </c>
      <c r="CP18">
        <v>4.6814459496502678</v>
      </c>
      <c r="CQ18">
        <v>3056.0479159316947</v>
      </c>
      <c r="CR18">
        <v>6.3858331207068266</v>
      </c>
      <c r="CS18">
        <v>4168.6718611974165</v>
      </c>
      <c r="CT18">
        <v>4.3370490249361371</v>
      </c>
      <c r="CU18">
        <v>2831.2256034783099</v>
      </c>
    </row>
    <row r="19" spans="2:99" x14ac:dyDescent="0.2">
      <c r="C19" s="105" t="s">
        <v>185</v>
      </c>
      <c r="D19">
        <v>14</v>
      </c>
      <c r="E19">
        <v>4620</v>
      </c>
      <c r="F19">
        <v>9</v>
      </c>
      <c r="G19">
        <v>2970</v>
      </c>
      <c r="H19">
        <v>15</v>
      </c>
      <c r="I19">
        <v>4950</v>
      </c>
      <c r="J19">
        <v>15</v>
      </c>
      <c r="K19">
        <v>4950</v>
      </c>
      <c r="L19">
        <v>15.183580730280521</v>
      </c>
      <c r="M19">
        <v>5010.5816409925719</v>
      </c>
      <c r="N19">
        <v>13.18967636881251</v>
      </c>
      <c r="O19">
        <v>4352.5932017081286</v>
      </c>
      <c r="P19">
        <v>15</v>
      </c>
      <c r="Q19">
        <v>4950</v>
      </c>
      <c r="R19">
        <v>10.193474663409724</v>
      </c>
      <c r="S19">
        <v>3363.8466389252089</v>
      </c>
      <c r="T19">
        <v>12</v>
      </c>
      <c r="U19">
        <v>3960</v>
      </c>
      <c r="V19">
        <v>13</v>
      </c>
      <c r="W19">
        <v>4290</v>
      </c>
      <c r="X19">
        <v>12</v>
      </c>
      <c r="Y19">
        <v>3960</v>
      </c>
      <c r="Z19">
        <v>18.247552667071755</v>
      </c>
      <c r="AA19">
        <v>6021.6923801336789</v>
      </c>
      <c r="AB19">
        <v>10</v>
      </c>
      <c r="AC19">
        <v>3300</v>
      </c>
      <c r="AD19">
        <v>15.16280173873912</v>
      </c>
      <c r="AE19">
        <v>5003.7245737839094</v>
      </c>
      <c r="AF19">
        <v>10.231345467718841</v>
      </c>
      <c r="AG19">
        <v>3376.3440043472174</v>
      </c>
      <c r="AH19">
        <v>16.149231894775493</v>
      </c>
      <c r="AI19">
        <v>5329.246525275913</v>
      </c>
      <c r="AJ19">
        <v>16</v>
      </c>
      <c r="AK19">
        <v>5280</v>
      </c>
      <c r="AL19">
        <v>11.24774014892501</v>
      </c>
      <c r="AM19">
        <v>3711.7542491452532</v>
      </c>
      <c r="AN19">
        <v>11.23282860084637</v>
      </c>
      <c r="AO19">
        <v>3706.8334382793018</v>
      </c>
      <c r="AP19">
        <v>15.299385246112527</v>
      </c>
      <c r="AQ19">
        <v>5048.7971312171339</v>
      </c>
      <c r="AR19">
        <v>14</v>
      </c>
      <c r="AS19">
        <v>4620</v>
      </c>
      <c r="AT19">
        <v>19.198738116490908</v>
      </c>
      <c r="AU19">
        <v>6335.5835784419996</v>
      </c>
      <c r="AV19">
        <v>13</v>
      </c>
      <c r="AW19">
        <v>4290</v>
      </c>
      <c r="AX19">
        <v>20.24933606167782</v>
      </c>
      <c r="AY19">
        <v>6682.2809003536804</v>
      </c>
      <c r="AZ19">
        <v>5.6185406087998606</v>
      </c>
      <c r="BA19">
        <v>1854.1184009039539</v>
      </c>
      <c r="BB19">
        <v>4.7477462115830695</v>
      </c>
      <c r="BC19">
        <v>1566.7562498224129</v>
      </c>
      <c r="BD19">
        <v>5.1369659497015414</v>
      </c>
      <c r="BE19">
        <v>1695.1987634015086</v>
      </c>
      <c r="BF19">
        <v>4.0116604251161423</v>
      </c>
      <c r="BG19">
        <v>1323.847940288327</v>
      </c>
      <c r="BH19">
        <v>4.2521297095615633</v>
      </c>
      <c r="BI19">
        <v>1403.2028041553158</v>
      </c>
      <c r="BJ19">
        <v>4.6388048836333926</v>
      </c>
      <c r="BK19">
        <v>1530.8056115990196</v>
      </c>
      <c r="BL19">
        <v>3.8248888235033527</v>
      </c>
      <c r="BM19">
        <v>1262.2133117561064</v>
      </c>
      <c r="BN19">
        <v>3.5254815634254952</v>
      </c>
      <c r="BO19">
        <v>1163.4089159304135</v>
      </c>
      <c r="BP19">
        <v>4.0766259521721695</v>
      </c>
      <c r="BQ19">
        <v>1345.286564216816</v>
      </c>
      <c r="BR19">
        <v>6.319808767784548</v>
      </c>
      <c r="BS19">
        <v>2085.536893368901</v>
      </c>
      <c r="BT19">
        <v>4.7668365909144246</v>
      </c>
      <c r="BU19">
        <v>1573.0560750017601</v>
      </c>
      <c r="BV19">
        <v>5.5749946879841783</v>
      </c>
      <c r="BW19">
        <v>1839.7482470347788</v>
      </c>
      <c r="BX19">
        <v>6.2857569619605718</v>
      </c>
      <c r="BY19">
        <v>2074.2997974469886</v>
      </c>
      <c r="BZ19">
        <v>3.3752535774404508</v>
      </c>
      <c r="CA19">
        <v>1113.8336805553488</v>
      </c>
      <c r="CB19">
        <v>5.1076785930967388</v>
      </c>
      <c r="CC19">
        <v>1685.5339357219239</v>
      </c>
      <c r="CD19">
        <v>4.6966462322804317</v>
      </c>
      <c r="CE19">
        <v>1549.8932566525425</v>
      </c>
      <c r="CF19">
        <v>3.9730323927177542</v>
      </c>
      <c r="CG19">
        <v>1311.100689596859</v>
      </c>
      <c r="CH19">
        <v>4.8456306414747852</v>
      </c>
      <c r="CI19">
        <v>1599.058111686679</v>
      </c>
      <c r="CJ19">
        <v>7.0023272020654002</v>
      </c>
      <c r="CK19">
        <v>2310.7679766815822</v>
      </c>
      <c r="CL19">
        <v>5.0571712031575125</v>
      </c>
      <c r="CM19">
        <v>1668.8664970419791</v>
      </c>
      <c r="CN19">
        <v>5.1465390009468877</v>
      </c>
      <c r="CO19">
        <v>1698.3578703124729</v>
      </c>
      <c r="CP19">
        <v>5.2043562149830933</v>
      </c>
      <c r="CQ19">
        <v>1717.4375509444208</v>
      </c>
      <c r="CR19">
        <v>6.0497366406696251</v>
      </c>
      <c r="CS19">
        <v>1996.4130914209763</v>
      </c>
      <c r="CT19">
        <v>4.9868090234933424</v>
      </c>
      <c r="CU19">
        <v>1645.646977752803</v>
      </c>
    </row>
    <row r="20" spans="2:99" x14ac:dyDescent="0.2">
      <c r="B20" s="105" t="s">
        <v>127</v>
      </c>
      <c r="C20" s="105" t="s">
        <v>186</v>
      </c>
      <c r="D20">
        <v>17</v>
      </c>
      <c r="E20">
        <v>4875.6000000000004</v>
      </c>
      <c r="F20">
        <v>17</v>
      </c>
      <c r="G20">
        <v>4875.6000000000004</v>
      </c>
      <c r="H20">
        <v>22</v>
      </c>
      <c r="I20">
        <v>6309.6</v>
      </c>
      <c r="J20">
        <v>26</v>
      </c>
      <c r="K20">
        <v>7456.8</v>
      </c>
      <c r="L20">
        <v>17.367161460561043</v>
      </c>
      <c r="M20">
        <v>4980.9019068889074</v>
      </c>
      <c r="N20">
        <v>16.37935273762502</v>
      </c>
      <c r="O20">
        <v>4697.5983651508559</v>
      </c>
      <c r="P20">
        <v>22</v>
      </c>
      <c r="Q20">
        <v>6309.6</v>
      </c>
      <c r="R20">
        <v>25.338580660967015</v>
      </c>
      <c r="S20">
        <v>7267.1049335653397</v>
      </c>
      <c r="T20">
        <v>17</v>
      </c>
      <c r="U20">
        <v>4875.6000000000004</v>
      </c>
      <c r="V20">
        <v>15.636235090509702</v>
      </c>
      <c r="W20">
        <v>4484.4722239581824</v>
      </c>
      <c r="X20">
        <v>22</v>
      </c>
      <c r="Y20">
        <v>6309.6</v>
      </c>
      <c r="Z20">
        <v>25</v>
      </c>
      <c r="AA20">
        <v>7170</v>
      </c>
      <c r="AB20">
        <v>16</v>
      </c>
      <c r="AC20">
        <v>4588.8</v>
      </c>
      <c r="AD20">
        <v>23.325603477478239</v>
      </c>
      <c r="AE20">
        <v>6689.7830773407595</v>
      </c>
      <c r="AF20">
        <v>16.424133357484539</v>
      </c>
      <c r="AG20">
        <v>4710.4414469265657</v>
      </c>
      <c r="AH20">
        <v>17.447695684326476</v>
      </c>
      <c r="AI20">
        <v>5003.9991222648332</v>
      </c>
      <c r="AJ20">
        <v>18</v>
      </c>
      <c r="AK20">
        <v>5162.4000000000005</v>
      </c>
      <c r="AL20">
        <v>20.346836208495013</v>
      </c>
      <c r="AM20">
        <v>5835.4726245963702</v>
      </c>
      <c r="AN20">
        <v>29.310438134461826</v>
      </c>
      <c r="AO20">
        <v>8406.2336569636518</v>
      </c>
      <c r="AP20">
        <v>18.399180328150035</v>
      </c>
      <c r="AQ20">
        <v>5276.8849181134301</v>
      </c>
      <c r="AR20">
        <v>17</v>
      </c>
      <c r="AS20">
        <v>4875.6000000000004</v>
      </c>
      <c r="AT20">
        <v>16.397476232981813</v>
      </c>
      <c r="AU20">
        <v>4702.7961836191844</v>
      </c>
      <c r="AV20">
        <v>28</v>
      </c>
      <c r="AW20">
        <v>8030.4000000000005</v>
      </c>
      <c r="AX20">
        <v>21.398937698684513</v>
      </c>
      <c r="AY20">
        <v>6137.2153319827185</v>
      </c>
      <c r="AZ20">
        <v>11.237081217599721</v>
      </c>
      <c r="BA20">
        <v>3222.7948932076001</v>
      </c>
      <c r="BB20">
        <v>6.4860749978290455</v>
      </c>
      <c r="BC20">
        <v>1860.2063093773704</v>
      </c>
      <c r="BD20">
        <v>8.3813654968814628</v>
      </c>
      <c r="BE20">
        <v>2403.7756245056034</v>
      </c>
      <c r="BF20">
        <v>5.6669460775272515</v>
      </c>
      <c r="BG20">
        <v>1625.2801350348159</v>
      </c>
      <c r="BH20">
        <v>7.6538334772108136</v>
      </c>
      <c r="BI20">
        <v>2195.1194412640616</v>
      </c>
      <c r="BJ20">
        <v>7.2212218557347567</v>
      </c>
      <c r="BK20">
        <v>2071.0464282247285</v>
      </c>
      <c r="BL20">
        <v>9.206280258450521</v>
      </c>
      <c r="BM20">
        <v>2640.3611781236095</v>
      </c>
      <c r="BN20">
        <v>10.273012013284188</v>
      </c>
      <c r="BO20">
        <v>2946.2998454099052</v>
      </c>
      <c r="BP20">
        <v>9.1779950387501934</v>
      </c>
      <c r="BQ20">
        <v>2632.2489771135556</v>
      </c>
      <c r="BR20">
        <v>6.7669309548639101</v>
      </c>
      <c r="BS20">
        <v>1940.7557978549694</v>
      </c>
      <c r="BT20">
        <v>9.1931848539063914</v>
      </c>
      <c r="BU20">
        <v>2636.6054161003531</v>
      </c>
      <c r="BV20">
        <v>6.2910396957945567</v>
      </c>
      <c r="BW20">
        <v>1804.270184753879</v>
      </c>
      <c r="BX20">
        <v>6.2857569619605718</v>
      </c>
      <c r="BY20">
        <v>1802.755096690292</v>
      </c>
      <c r="BZ20">
        <v>9.3927550825603561</v>
      </c>
      <c r="CA20">
        <v>2693.8421576783103</v>
      </c>
      <c r="CB20">
        <v>8.3071809363408189</v>
      </c>
      <c r="CC20">
        <v>2382.4994925425472</v>
      </c>
      <c r="CD20">
        <v>9.7628162901155129</v>
      </c>
      <c r="CE20">
        <v>2799.975712005129</v>
      </c>
      <c r="CF20">
        <v>9.0296190743585321</v>
      </c>
      <c r="CG20">
        <v>2589.6947505260273</v>
      </c>
      <c r="CH20">
        <v>8.7274817622074874</v>
      </c>
      <c r="CI20">
        <v>2503.0417694011076</v>
      </c>
      <c r="CJ20">
        <v>6.6922313324386726</v>
      </c>
      <c r="CK20">
        <v>1919.3319461434114</v>
      </c>
      <c r="CL20">
        <v>7.8921211986702691</v>
      </c>
      <c r="CM20">
        <v>2263.4603597786331</v>
      </c>
      <c r="CN20">
        <v>7.7516601328731536</v>
      </c>
      <c r="CO20">
        <v>2223.1761261080205</v>
      </c>
      <c r="CP20">
        <v>8.6094595492327404</v>
      </c>
      <c r="CQ20">
        <v>2469.1929987199501</v>
      </c>
      <c r="CR20">
        <v>7.0580260807812287</v>
      </c>
      <c r="CS20">
        <v>2024.2418799680565</v>
      </c>
      <c r="CT20">
        <v>8.2842986024140668</v>
      </c>
      <c r="CU20">
        <v>2375.9368391723547</v>
      </c>
    </row>
    <row r="21" spans="2:99" x14ac:dyDescent="0.2">
      <c r="C21" s="105" t="s">
        <v>187</v>
      </c>
      <c r="D21">
        <v>15</v>
      </c>
      <c r="E21">
        <v>936</v>
      </c>
      <c r="F21">
        <v>19</v>
      </c>
      <c r="G21">
        <v>1185.5999999999999</v>
      </c>
      <c r="H21">
        <v>24</v>
      </c>
      <c r="I21">
        <v>1497.6</v>
      </c>
      <c r="J21">
        <v>28</v>
      </c>
      <c r="K21">
        <v>1747.2</v>
      </c>
      <c r="L21">
        <v>18.321266277990912</v>
      </c>
      <c r="M21">
        <v>1143.2470157466328</v>
      </c>
      <c r="N21">
        <v>15.379352737625021</v>
      </c>
      <c r="O21">
        <v>959.67161082780126</v>
      </c>
      <c r="P21">
        <v>23</v>
      </c>
      <c r="Q21">
        <v>1435.2</v>
      </c>
      <c r="R21">
        <v>24.338580660967015</v>
      </c>
      <c r="S21">
        <v>1518.7274332443417</v>
      </c>
      <c r="T21">
        <v>19</v>
      </c>
      <c r="U21">
        <v>1185.5999999999999</v>
      </c>
      <c r="V21">
        <v>18.587293929701264</v>
      </c>
      <c r="W21">
        <v>1159.8471412133588</v>
      </c>
      <c r="X21">
        <v>22</v>
      </c>
      <c r="Y21">
        <v>1372.8</v>
      </c>
      <c r="Z21">
        <v>23.643636934386564</v>
      </c>
      <c r="AA21">
        <v>1475.3629447057215</v>
      </c>
      <c r="AB21">
        <v>19</v>
      </c>
      <c r="AC21">
        <v>1185.5999999999999</v>
      </c>
      <c r="AD21">
        <v>20.325603477478239</v>
      </c>
      <c r="AE21">
        <v>1268.317656994642</v>
      </c>
      <c r="AF21">
        <v>15.385575779531401</v>
      </c>
      <c r="AG21">
        <v>960.05992864275936</v>
      </c>
      <c r="AH21">
        <v>19.447695684326476</v>
      </c>
      <c r="AI21">
        <v>1213.5362107019721</v>
      </c>
      <c r="AJ21">
        <v>19</v>
      </c>
      <c r="AK21">
        <v>1185.5999999999999</v>
      </c>
      <c r="AL21">
        <v>21.396384238280014</v>
      </c>
      <c r="AM21">
        <v>1335.1343764686728</v>
      </c>
      <c r="AN21">
        <v>32.310438134461826</v>
      </c>
      <c r="AO21">
        <v>2016.1713395904178</v>
      </c>
      <c r="AP21">
        <v>16.399180328150035</v>
      </c>
      <c r="AQ21">
        <v>1023.3088524765622</v>
      </c>
      <c r="AR21">
        <v>19</v>
      </c>
      <c r="AS21">
        <v>1185.5999999999999</v>
      </c>
      <c r="AT21">
        <v>19.447160762104541</v>
      </c>
      <c r="AU21">
        <v>1213.5028315553234</v>
      </c>
      <c r="AV21">
        <v>26</v>
      </c>
      <c r="AW21">
        <v>1622.3999999999999</v>
      </c>
      <c r="AX21">
        <v>24.398937698684513</v>
      </c>
      <c r="AY21">
        <v>1522.4937123979137</v>
      </c>
      <c r="AZ21">
        <v>10.11337309583975</v>
      </c>
      <c r="BA21">
        <v>631.07448118040031</v>
      </c>
      <c r="BB21">
        <v>6.4860749978290455</v>
      </c>
      <c r="BC21">
        <v>404.73107986453243</v>
      </c>
      <c r="BD21">
        <v>8.6517321258131226</v>
      </c>
      <c r="BE21">
        <v>539.86808465073887</v>
      </c>
      <c r="BF21">
        <v>6.075900040402658</v>
      </c>
      <c r="BG21">
        <v>379.13616252112587</v>
      </c>
      <c r="BH21">
        <v>8.0790464481669702</v>
      </c>
      <c r="BI21">
        <v>504.13249836561891</v>
      </c>
      <c r="BJ21">
        <v>7.621304171869169</v>
      </c>
      <c r="BK21">
        <v>475.56938032463614</v>
      </c>
      <c r="BL21">
        <v>7.6497776470067054</v>
      </c>
      <c r="BM21">
        <v>477.34612517321841</v>
      </c>
      <c r="BN21">
        <v>10.273012013284188</v>
      </c>
      <c r="BO21">
        <v>641.03594962893328</v>
      </c>
      <c r="BP21">
        <v>9.1779950387501934</v>
      </c>
      <c r="BQ21">
        <v>572.70689041801211</v>
      </c>
      <c r="BR21">
        <v>7.1558568936536044</v>
      </c>
      <c r="BS21">
        <v>446.52547016398489</v>
      </c>
      <c r="BT21">
        <v>9.5336731818288492</v>
      </c>
      <c r="BU21">
        <v>594.90120654612019</v>
      </c>
      <c r="BV21">
        <v>6.9730035092718579</v>
      </c>
      <c r="BW21">
        <v>435.11541897856392</v>
      </c>
      <c r="BX21">
        <v>6.6555073714876638</v>
      </c>
      <c r="BY21">
        <v>415.30365998083022</v>
      </c>
      <c r="BZ21">
        <v>8.5051157208798553</v>
      </c>
      <c r="CA21">
        <v>530.71922098290293</v>
      </c>
      <c r="CB21">
        <v>8.0423731272861438</v>
      </c>
      <c r="CC21">
        <v>501.84408314265534</v>
      </c>
      <c r="CD21">
        <v>8.8542583582426708</v>
      </c>
      <c r="CE21">
        <v>552.5057215543427</v>
      </c>
      <c r="CF21">
        <v>9.0296190743585321</v>
      </c>
      <c r="CG21">
        <v>563.44823023997242</v>
      </c>
      <c r="CH21">
        <v>8.3857517526653194</v>
      </c>
      <c r="CI21">
        <v>523.27090936631589</v>
      </c>
      <c r="CJ21">
        <v>6.6772776319251523</v>
      </c>
      <c r="CK21">
        <v>416.66212423212949</v>
      </c>
      <c r="CL21">
        <v>7.631882523508791</v>
      </c>
      <c r="CM21">
        <v>476.22946946694856</v>
      </c>
      <c r="CN21">
        <v>8.0149023859045929</v>
      </c>
      <c r="CO21">
        <v>500.12990888044658</v>
      </c>
      <c r="CP21">
        <v>8.0989225030724938</v>
      </c>
      <c r="CQ21">
        <v>505.3727641917236</v>
      </c>
      <c r="CR21">
        <v>7.0580260807812287</v>
      </c>
      <c r="CS21">
        <v>440.42082744074867</v>
      </c>
      <c r="CT21">
        <v>7.9431887410905651</v>
      </c>
      <c r="CU21">
        <v>495.65497744405127</v>
      </c>
    </row>
    <row r="22" spans="2:99" x14ac:dyDescent="0.2">
      <c r="C22" s="105" t="s">
        <v>188</v>
      </c>
      <c r="D22">
        <v>17</v>
      </c>
      <c r="E22">
        <v>3182.3999999999996</v>
      </c>
      <c r="F22">
        <v>17</v>
      </c>
      <c r="G22">
        <v>3182.3999999999996</v>
      </c>
      <c r="H22">
        <v>21</v>
      </c>
      <c r="I22">
        <v>3931.2</v>
      </c>
      <c r="J22">
        <v>28</v>
      </c>
      <c r="K22">
        <v>5241.5999999999995</v>
      </c>
      <c r="L22">
        <v>17.321266277990912</v>
      </c>
      <c r="M22">
        <v>3242.5410472398985</v>
      </c>
      <c r="N22">
        <v>14.379352737625021</v>
      </c>
      <c r="O22">
        <v>2691.8148324834037</v>
      </c>
      <c r="P22">
        <v>19</v>
      </c>
      <c r="Q22">
        <v>3556.7999999999997</v>
      </c>
      <c r="R22">
        <v>27.338580660967015</v>
      </c>
      <c r="S22">
        <v>5117.782299733025</v>
      </c>
      <c r="T22">
        <v>17</v>
      </c>
      <c r="U22">
        <v>3182.3999999999996</v>
      </c>
      <c r="V22">
        <v>15.636235090509702</v>
      </c>
      <c r="W22">
        <v>2927.1032089434161</v>
      </c>
      <c r="X22">
        <v>24</v>
      </c>
      <c r="Y22">
        <v>4492.7999999999993</v>
      </c>
      <c r="Z22">
        <v>23</v>
      </c>
      <c r="AA22">
        <v>4305.5999999999995</v>
      </c>
      <c r="AB22">
        <v>17</v>
      </c>
      <c r="AC22">
        <v>3182.3999999999996</v>
      </c>
      <c r="AD22">
        <v>22.325603477478239</v>
      </c>
      <c r="AE22">
        <v>4179.3529709839258</v>
      </c>
      <c r="AF22">
        <v>17.424133357484539</v>
      </c>
      <c r="AG22">
        <v>3261.7977645211054</v>
      </c>
      <c r="AH22">
        <v>16.410387710632605</v>
      </c>
      <c r="AI22">
        <v>3072.0245794304237</v>
      </c>
      <c r="AJ22">
        <v>21</v>
      </c>
      <c r="AK22">
        <v>3931.2</v>
      </c>
      <c r="AL22">
        <v>22.396384238280014</v>
      </c>
      <c r="AM22">
        <v>4192.6031294060185</v>
      </c>
      <c r="AN22">
        <v>32.310438134461826</v>
      </c>
      <c r="AO22">
        <v>6048.5140187712532</v>
      </c>
      <c r="AP22">
        <v>16.449077869168789</v>
      </c>
      <c r="AQ22">
        <v>3079.2673771083973</v>
      </c>
      <c r="AR22">
        <v>19</v>
      </c>
      <c r="AS22">
        <v>3556.7999999999997</v>
      </c>
      <c r="AT22">
        <v>17.397476232981813</v>
      </c>
      <c r="AU22">
        <v>3256.8075508141951</v>
      </c>
      <c r="AV22">
        <v>30</v>
      </c>
      <c r="AW22">
        <v>5616</v>
      </c>
      <c r="AX22">
        <v>23.349070486348946</v>
      </c>
      <c r="AY22">
        <v>4370.9459950445225</v>
      </c>
      <c r="AZ22">
        <v>10.11337309583975</v>
      </c>
      <c r="BA22">
        <v>1893.223443541201</v>
      </c>
      <c r="BB22">
        <v>6.1516952839027024</v>
      </c>
      <c r="BC22">
        <v>1151.5973571465859</v>
      </c>
      <c r="BD22">
        <v>8.1109988679498031</v>
      </c>
      <c r="BE22">
        <v>1518.378988080203</v>
      </c>
      <c r="BF22">
        <v>7.2248827253909527</v>
      </c>
      <c r="BG22">
        <v>1352.4980461931862</v>
      </c>
      <c r="BH22">
        <v>7.2286205062546571</v>
      </c>
      <c r="BI22">
        <v>1353.1977587708718</v>
      </c>
      <c r="BJ22">
        <v>6.7931513741703613</v>
      </c>
      <c r="BK22">
        <v>1271.6779372446915</v>
      </c>
      <c r="BL22">
        <v>8.5788531297628214</v>
      </c>
      <c r="BM22">
        <v>1605.9613058916</v>
      </c>
      <c r="BN22">
        <v>10.273012013284188</v>
      </c>
      <c r="BO22">
        <v>1923.1078488867997</v>
      </c>
      <c r="BP22">
        <v>10.848655953674539</v>
      </c>
      <c r="BQ22">
        <v>2030.8683945278735</v>
      </c>
      <c r="BR22">
        <v>6.3780050160742157</v>
      </c>
      <c r="BS22">
        <v>1193.962539009093</v>
      </c>
      <c r="BT22">
        <v>7.831231542216555</v>
      </c>
      <c r="BU22">
        <v>1466.006544702939</v>
      </c>
      <c r="BV22">
        <v>6.990044106438396</v>
      </c>
      <c r="BW22">
        <v>1308.5362567252675</v>
      </c>
      <c r="BX22">
        <v>7.0252577810147558</v>
      </c>
      <c r="BY22">
        <v>1315.1282566059622</v>
      </c>
      <c r="BZ22">
        <v>8.814775613014719</v>
      </c>
      <c r="CA22">
        <v>1650.1259947563553</v>
      </c>
      <c r="CB22">
        <v>7.7775653182314679</v>
      </c>
      <c r="CC22">
        <v>1455.9602275729308</v>
      </c>
      <c r="CD22">
        <v>8.8234870436594264</v>
      </c>
      <c r="CE22">
        <v>1651.7567745730446</v>
      </c>
      <c r="CF22">
        <v>7.9460647854355084</v>
      </c>
      <c r="CG22">
        <v>1487.503327833527</v>
      </c>
      <c r="CH22">
        <v>8.0194575399693804</v>
      </c>
      <c r="CI22">
        <v>1501.2424514822678</v>
      </c>
      <c r="CJ22">
        <v>7.4619600768273173</v>
      </c>
      <c r="CK22">
        <v>1396.8789263820738</v>
      </c>
      <c r="CL22">
        <v>7.6411076672632943</v>
      </c>
      <c r="CM22">
        <v>1430.4153553116887</v>
      </c>
      <c r="CN22">
        <v>7.7607605990025306</v>
      </c>
      <c r="CO22">
        <v>1452.8143841332737</v>
      </c>
      <c r="CP22">
        <v>8.597086330060165</v>
      </c>
      <c r="CQ22">
        <v>1609.3745609872628</v>
      </c>
      <c r="CR22">
        <v>6.0497366406696251</v>
      </c>
      <c r="CS22">
        <v>1132.5106991333537</v>
      </c>
      <c r="CT22">
        <v>8.5929487396477686</v>
      </c>
      <c r="CU22">
        <v>1608.6000040620622</v>
      </c>
    </row>
    <row r="23" spans="2:99" x14ac:dyDescent="0.2">
      <c r="C23" s="105" t="s">
        <v>189</v>
      </c>
      <c r="D23">
        <v>16</v>
      </c>
      <c r="E23">
        <v>4704</v>
      </c>
      <c r="F23">
        <v>18</v>
      </c>
      <c r="G23">
        <v>5292</v>
      </c>
      <c r="H23">
        <v>20</v>
      </c>
      <c r="I23">
        <v>5880</v>
      </c>
      <c r="J23">
        <v>26</v>
      </c>
      <c r="K23">
        <v>7644</v>
      </c>
      <c r="L23">
        <v>19.321266277990912</v>
      </c>
      <c r="M23">
        <v>5680.4522857293277</v>
      </c>
      <c r="N23">
        <v>16.37935273762502</v>
      </c>
      <c r="O23">
        <v>4815.5297048617558</v>
      </c>
      <c r="P23">
        <v>22</v>
      </c>
      <c r="Q23">
        <v>6468</v>
      </c>
      <c r="R23">
        <v>24.290211995114586</v>
      </c>
      <c r="S23">
        <v>7141.322326563688</v>
      </c>
      <c r="T23">
        <v>17</v>
      </c>
      <c r="U23">
        <v>4998</v>
      </c>
      <c r="V23">
        <v>17.587293929701264</v>
      </c>
      <c r="W23">
        <v>5170.6644153321713</v>
      </c>
      <c r="X23">
        <v>23</v>
      </c>
      <c r="Y23">
        <v>6762</v>
      </c>
      <c r="Z23">
        <v>22.594126400972211</v>
      </c>
      <c r="AA23">
        <v>6642.6731618858303</v>
      </c>
      <c r="AB23">
        <v>17</v>
      </c>
      <c r="AC23">
        <v>4998</v>
      </c>
      <c r="AD23">
        <v>20.366303912163019</v>
      </c>
      <c r="AE23">
        <v>5987.6933501759277</v>
      </c>
      <c r="AF23">
        <v>16.385575779531401</v>
      </c>
      <c r="AG23">
        <v>4817.3592791822321</v>
      </c>
      <c r="AH23">
        <v>17.447695684326476</v>
      </c>
      <c r="AI23">
        <v>5129.6225311919843</v>
      </c>
      <c r="AJ23">
        <v>19</v>
      </c>
      <c r="AK23">
        <v>5586</v>
      </c>
      <c r="AL23">
        <v>20.346836208495013</v>
      </c>
      <c r="AM23">
        <v>5981.9698452975335</v>
      </c>
      <c r="AN23">
        <v>27.310438134461826</v>
      </c>
      <c r="AO23">
        <v>8029.2688115317769</v>
      </c>
      <c r="AP23">
        <v>17.399180328150035</v>
      </c>
      <c r="AQ23">
        <v>5115.3590164761099</v>
      </c>
      <c r="AR23">
        <v>19</v>
      </c>
      <c r="AS23">
        <v>5586</v>
      </c>
      <c r="AT23">
        <v>16.397476232981813</v>
      </c>
      <c r="AU23">
        <v>4820.8580124966529</v>
      </c>
      <c r="AV23">
        <v>27</v>
      </c>
      <c r="AW23">
        <v>7938</v>
      </c>
      <c r="AX23">
        <v>23.398937698684513</v>
      </c>
      <c r="AY23">
        <v>6879.2876834132467</v>
      </c>
      <c r="AZ23">
        <v>11.237081217599721</v>
      </c>
      <c r="BA23">
        <v>3303.701877974318</v>
      </c>
      <c r="BB23">
        <v>5.4995434102035805</v>
      </c>
      <c r="BC23">
        <v>1616.8657625998526</v>
      </c>
      <c r="BD23">
        <v>7.5702656100864818</v>
      </c>
      <c r="BE23">
        <v>2225.6580893654254</v>
      </c>
      <c r="BF23">
        <v>6.8353985634250281</v>
      </c>
      <c r="BG23">
        <v>2009.6071776469582</v>
      </c>
      <c r="BH23">
        <v>7.6538334772108136</v>
      </c>
      <c r="BI23">
        <v>2250.2270422999791</v>
      </c>
      <c r="BJ23">
        <v>7.621304171869169</v>
      </c>
      <c r="BK23">
        <v>2240.6634265295356</v>
      </c>
      <c r="BL23">
        <v>9.206280258450521</v>
      </c>
      <c r="BM23">
        <v>2706.6463959844532</v>
      </c>
      <c r="BN23">
        <v>10.273012013284188</v>
      </c>
      <c r="BO23">
        <v>3020.2655319055511</v>
      </c>
      <c r="BP23">
        <v>9.8350861119943076</v>
      </c>
      <c r="BQ23">
        <v>2891.5153169263262</v>
      </c>
      <c r="BR23">
        <v>6.3780050160742157</v>
      </c>
      <c r="BS23">
        <v>1875.1334747258195</v>
      </c>
      <c r="BT23">
        <v>9.1931848539063914</v>
      </c>
      <c r="BU23">
        <v>2702.7963470484792</v>
      </c>
      <c r="BV23">
        <v>6.6320216025332064</v>
      </c>
      <c r="BW23">
        <v>1949.8143511447627</v>
      </c>
      <c r="BX23">
        <v>6.6555073714876638</v>
      </c>
      <c r="BY23">
        <v>1956.7191672173731</v>
      </c>
      <c r="BZ23">
        <v>9.7024149746952197</v>
      </c>
      <c r="CA23">
        <v>2852.5100025603947</v>
      </c>
      <c r="CB23">
        <v>8.2962766190468322</v>
      </c>
      <c r="CC23">
        <v>2439.1053259997689</v>
      </c>
      <c r="CD23">
        <v>9.4548350937273593</v>
      </c>
      <c r="CE23">
        <v>2779.7215175558435</v>
      </c>
      <c r="CF23">
        <v>8.3072495484098496</v>
      </c>
      <c r="CG23">
        <v>2442.3313672324957</v>
      </c>
      <c r="CH23">
        <v>8.7151996606306028</v>
      </c>
      <c r="CI23">
        <v>2562.2687002253974</v>
      </c>
      <c r="CJ23">
        <v>7.0770957046329954</v>
      </c>
      <c r="CK23">
        <v>2080.6661371621008</v>
      </c>
      <c r="CL23">
        <v>8.9054004680526724</v>
      </c>
      <c r="CM23">
        <v>2618.1877376074858</v>
      </c>
      <c r="CN23">
        <v>7.7516601328731536</v>
      </c>
      <c r="CO23">
        <v>2278.9880790647071</v>
      </c>
      <c r="CP23">
        <v>8.8647280723128663</v>
      </c>
      <c r="CQ23">
        <v>2606.2300532599825</v>
      </c>
      <c r="CR23">
        <v>7.0580260807812287</v>
      </c>
      <c r="CS23">
        <v>2075.0596677496815</v>
      </c>
      <c r="CT23">
        <v>8.5929487396477686</v>
      </c>
      <c r="CU23">
        <v>2526.3269294564438</v>
      </c>
    </row>
    <row r="24" spans="2:99" x14ac:dyDescent="0.2">
      <c r="C24" s="105" t="s">
        <v>190</v>
      </c>
      <c r="D24">
        <v>17</v>
      </c>
      <c r="E24">
        <v>6242.4</v>
      </c>
      <c r="F24">
        <v>17</v>
      </c>
      <c r="G24">
        <v>6242.4</v>
      </c>
      <c r="H24">
        <v>23</v>
      </c>
      <c r="I24">
        <v>8445.6</v>
      </c>
      <c r="J24">
        <v>27</v>
      </c>
      <c r="K24">
        <v>9914.4</v>
      </c>
      <c r="L24">
        <v>18.367161460561043</v>
      </c>
      <c r="M24">
        <v>6744.4216883180152</v>
      </c>
      <c r="N24">
        <v>16.331933645421891</v>
      </c>
      <c r="O24">
        <v>5997.0860345989186</v>
      </c>
      <c r="P24">
        <v>18</v>
      </c>
      <c r="Q24">
        <v>6609.5999999999995</v>
      </c>
      <c r="R24">
        <v>25.386949326819447</v>
      </c>
      <c r="S24">
        <v>9322.0877928081009</v>
      </c>
      <c r="T24">
        <v>17</v>
      </c>
      <c r="U24">
        <v>6242.4</v>
      </c>
      <c r="V24">
        <v>17.636235090509704</v>
      </c>
      <c r="W24">
        <v>6476.0255252351626</v>
      </c>
      <c r="X24">
        <v>21</v>
      </c>
      <c r="Y24">
        <v>7711.2</v>
      </c>
      <c r="Z24">
        <v>21</v>
      </c>
      <c r="AA24">
        <v>7711.2</v>
      </c>
      <c r="AB24">
        <v>18</v>
      </c>
      <c r="AC24">
        <v>6609.5999999999995</v>
      </c>
      <c r="AD24">
        <v>20.325603477478239</v>
      </c>
      <c r="AE24">
        <v>7463.5615969300088</v>
      </c>
      <c r="AF24">
        <v>17.385575779531401</v>
      </c>
      <c r="AG24">
        <v>6383.9834262439299</v>
      </c>
      <c r="AH24">
        <v>17.410387710632605</v>
      </c>
      <c r="AI24">
        <v>6393.0943673442926</v>
      </c>
      <c r="AJ24">
        <v>20</v>
      </c>
      <c r="AK24">
        <v>7344</v>
      </c>
      <c r="AL24">
        <v>23.346836208495013</v>
      </c>
      <c r="AM24">
        <v>8572.9582557593676</v>
      </c>
      <c r="AN24">
        <v>30.349242901269555</v>
      </c>
      <c r="AO24">
        <v>11144.241993346181</v>
      </c>
      <c r="AP24">
        <v>18.399180328150035</v>
      </c>
      <c r="AQ24">
        <v>6756.1790164966924</v>
      </c>
      <c r="AR24">
        <v>17</v>
      </c>
      <c r="AS24">
        <v>6242.4</v>
      </c>
      <c r="AT24">
        <v>16.447160762104541</v>
      </c>
      <c r="AU24">
        <v>6039.3974318447872</v>
      </c>
      <c r="AV24">
        <v>26</v>
      </c>
      <c r="AW24">
        <v>9547.1999999999989</v>
      </c>
      <c r="AX24">
        <v>20.398937698684513</v>
      </c>
      <c r="AY24">
        <v>7490.4899229569528</v>
      </c>
      <c r="AZ24">
        <v>10.675227156719735</v>
      </c>
      <c r="BA24">
        <v>3919.9434119474868</v>
      </c>
      <c r="BB24">
        <v>5.8173155699763592</v>
      </c>
      <c r="BC24">
        <v>2136.1182772953189</v>
      </c>
      <c r="BD24">
        <v>8.1109988679498031</v>
      </c>
      <c r="BE24">
        <v>2978.3587843111677</v>
      </c>
      <c r="BF24">
        <v>6.4459144014591025</v>
      </c>
      <c r="BG24">
        <v>2366.9397682157824</v>
      </c>
      <c r="BH24">
        <v>7.2286205062546571</v>
      </c>
      <c r="BI24">
        <v>2654.3494498967102</v>
      </c>
      <c r="BJ24">
        <v>6.3930690580359482</v>
      </c>
      <c r="BK24">
        <v>2347.5349581108003</v>
      </c>
      <c r="BL24">
        <v>8.253074355143541</v>
      </c>
      <c r="BM24">
        <v>3030.528903208708</v>
      </c>
      <c r="BN24">
        <v>9.9445497207571929</v>
      </c>
      <c r="BO24">
        <v>3651.638657462041</v>
      </c>
      <c r="BP24">
        <v>9.5009539290094391</v>
      </c>
      <c r="BQ24">
        <v>3488.750282732266</v>
      </c>
      <c r="BR24">
        <v>6.3780050160742157</v>
      </c>
      <c r="BS24">
        <v>2342.0034419024519</v>
      </c>
      <c r="BT24">
        <v>7.831231542216555</v>
      </c>
      <c r="BU24">
        <v>2875.6282223019189</v>
      </c>
      <c r="BV24">
        <v>6.2910396957945567</v>
      </c>
      <c r="BW24">
        <v>2310.0697762957611</v>
      </c>
      <c r="BX24">
        <v>7.0252577810147558</v>
      </c>
      <c r="BY24">
        <v>2579.6746571886183</v>
      </c>
      <c r="BZ24">
        <v>9.1037653477875384</v>
      </c>
      <c r="CA24">
        <v>3342.9026357075841</v>
      </c>
      <c r="CB24">
        <v>8.5610844281015073</v>
      </c>
      <c r="CC24">
        <v>3143.6302019988734</v>
      </c>
      <c r="CD24">
        <v>9.1468538973392022</v>
      </c>
      <c r="CE24">
        <v>3358.724751102955</v>
      </c>
      <c r="CF24">
        <v>7.9460647854355084</v>
      </c>
      <c r="CG24">
        <v>2917.7949892119186</v>
      </c>
      <c r="CH24">
        <v>7.6900096320040969</v>
      </c>
      <c r="CI24">
        <v>2823.7715368719041</v>
      </c>
      <c r="CJ24">
        <v>6.6922313324386726</v>
      </c>
      <c r="CK24">
        <v>2457.3873452714806</v>
      </c>
      <c r="CL24">
        <v>8.4033734052387246</v>
      </c>
      <c r="CM24">
        <v>3085.7187144036598</v>
      </c>
      <c r="CN24">
        <v>8.2599437066772765</v>
      </c>
      <c r="CO24">
        <v>3033.0513290918957</v>
      </c>
      <c r="CP24">
        <v>8.597086330060165</v>
      </c>
      <c r="CQ24">
        <v>3156.8501003980923</v>
      </c>
      <c r="CR24">
        <v>6.7219296007440281</v>
      </c>
      <c r="CS24">
        <v>2468.2925493932071</v>
      </c>
      <c r="CT24">
        <v>9.5675887374835753</v>
      </c>
      <c r="CU24">
        <v>3513.2185844039686</v>
      </c>
    </row>
    <row r="25" spans="2:99" x14ac:dyDescent="0.2">
      <c r="C25" s="105" t="s">
        <v>191</v>
      </c>
      <c r="D25">
        <v>16</v>
      </c>
      <c r="E25">
        <v>8486.4</v>
      </c>
      <c r="F25">
        <v>16</v>
      </c>
      <c r="G25">
        <v>8486.4</v>
      </c>
      <c r="H25">
        <v>21</v>
      </c>
      <c r="I25">
        <v>11138.4</v>
      </c>
      <c r="J25">
        <v>26</v>
      </c>
      <c r="K25">
        <v>13790.4</v>
      </c>
      <c r="L25">
        <v>18.27537109542078</v>
      </c>
      <c r="M25">
        <v>9693.2568290111813</v>
      </c>
      <c r="N25">
        <v>16.37935273762502</v>
      </c>
      <c r="O25">
        <v>8687.6086920363105</v>
      </c>
      <c r="P25">
        <v>21</v>
      </c>
      <c r="Q25">
        <v>11138.4</v>
      </c>
      <c r="R25">
        <v>26.338580660967015</v>
      </c>
      <c r="S25">
        <v>13969.983182576903</v>
      </c>
      <c r="T25">
        <v>17</v>
      </c>
      <c r="U25">
        <v>9016.7999999999993</v>
      </c>
      <c r="V25">
        <v>15.538352768892825</v>
      </c>
      <c r="W25">
        <v>8241.5423086207538</v>
      </c>
      <c r="X25">
        <v>20</v>
      </c>
      <c r="Y25">
        <v>10608</v>
      </c>
      <c r="Z25">
        <v>22</v>
      </c>
      <c r="AA25">
        <v>11668.8</v>
      </c>
      <c r="AB25">
        <v>18</v>
      </c>
      <c r="AC25">
        <v>9547.1999999999989</v>
      </c>
      <c r="AD25">
        <v>22.325603477478239</v>
      </c>
      <c r="AE25">
        <v>11841.500084454457</v>
      </c>
      <c r="AF25">
        <v>16.424133357484539</v>
      </c>
      <c r="AG25">
        <v>8711.3603328097997</v>
      </c>
      <c r="AH25">
        <v>16.447695684326476</v>
      </c>
      <c r="AI25">
        <v>8723.857790966762</v>
      </c>
      <c r="AJ25">
        <v>18</v>
      </c>
      <c r="AK25">
        <v>9547.1999999999989</v>
      </c>
      <c r="AL25">
        <v>22.297288178710012</v>
      </c>
      <c r="AM25">
        <v>11826.481649987791</v>
      </c>
      <c r="AN25">
        <v>27.310438134461826</v>
      </c>
      <c r="AO25">
        <v>14485.456386518552</v>
      </c>
      <c r="AP25">
        <v>15.399180328150036</v>
      </c>
      <c r="AQ25">
        <v>8167.7252460507789</v>
      </c>
      <c r="AR25">
        <v>17</v>
      </c>
      <c r="AS25">
        <v>9016.7999999999993</v>
      </c>
      <c r="AT25">
        <v>18.397476232981813</v>
      </c>
      <c r="AU25">
        <v>9758.0213939735531</v>
      </c>
      <c r="AV25">
        <v>27</v>
      </c>
      <c r="AW25">
        <v>14320.8</v>
      </c>
      <c r="AX25">
        <v>20.398937698684513</v>
      </c>
      <c r="AY25">
        <v>10819.596555382264</v>
      </c>
      <c r="AZ25">
        <v>10.675227156719735</v>
      </c>
      <c r="BA25">
        <v>5662.1404839241477</v>
      </c>
      <c r="BB25">
        <v>5.4829358560500152</v>
      </c>
      <c r="BC25">
        <v>2908.1491780489278</v>
      </c>
      <c r="BD25">
        <v>7.2998989811548229</v>
      </c>
      <c r="BE25">
        <v>3871.8664196045179</v>
      </c>
      <c r="BF25">
        <v>6.0564302394931762</v>
      </c>
      <c r="BG25">
        <v>3212.3305990271806</v>
      </c>
      <c r="BH25">
        <v>6.378194564342345</v>
      </c>
      <c r="BI25">
        <v>3382.9943969271794</v>
      </c>
      <c r="BJ25">
        <v>7.2072277730197651</v>
      </c>
      <c r="BK25">
        <v>3822.7136108096834</v>
      </c>
      <c r="BL25">
        <v>7.9514260010751228</v>
      </c>
      <c r="BM25">
        <v>4217.4363509702453</v>
      </c>
      <c r="BN25">
        <v>9.3126547512379023</v>
      </c>
      <c r="BO25">
        <v>4939.4320800565829</v>
      </c>
      <c r="BP25">
        <v>9.4897806362838164</v>
      </c>
      <c r="BQ25">
        <v>5033.3796494849357</v>
      </c>
      <c r="BR25">
        <v>7.5641815818731875</v>
      </c>
      <c r="BS25">
        <v>4012.0419110255384</v>
      </c>
      <c r="BT25">
        <v>8.1717198701390146</v>
      </c>
      <c r="BU25">
        <v>4334.2802191217334</v>
      </c>
      <c r="BV25">
        <v>6.6490621996997454</v>
      </c>
      <c r="BW25">
        <v>3526.6625907207449</v>
      </c>
      <c r="BX25">
        <v>6.2857569619605718</v>
      </c>
      <c r="BY25">
        <v>3333.9654926238873</v>
      </c>
      <c r="BZ25">
        <v>9.40309016124138</v>
      </c>
      <c r="CA25">
        <v>4987.3990215224276</v>
      </c>
      <c r="CB25">
        <v>8.3071809363408189</v>
      </c>
      <c r="CC25">
        <v>4406.1287686351698</v>
      </c>
      <c r="CD25">
        <v>8.8234870436594264</v>
      </c>
      <c r="CE25">
        <v>4679.9775279569594</v>
      </c>
      <c r="CF25">
        <v>8.6684343113841908</v>
      </c>
      <c r="CG25">
        <v>4597.7375587581746</v>
      </c>
      <c r="CH25">
        <v>8.3611875495115484</v>
      </c>
      <c r="CI25">
        <v>4434.7738762609251</v>
      </c>
      <c r="CJ25">
        <v>7.0770957046329954</v>
      </c>
      <c r="CK25">
        <v>3753.6915617373406</v>
      </c>
      <c r="CL25">
        <v>7.631882523508791</v>
      </c>
      <c r="CM25">
        <v>4047.9504904690625</v>
      </c>
      <c r="CN25">
        <v>8.5140854935793406</v>
      </c>
      <c r="CO25">
        <v>4515.8709457944824</v>
      </c>
      <c r="CP25">
        <v>8.5847131108875878</v>
      </c>
      <c r="CQ25">
        <v>4553.3318340147762</v>
      </c>
      <c r="CR25">
        <v>6.3858331207068266</v>
      </c>
      <c r="CS25">
        <v>3387.0458872229005</v>
      </c>
      <c r="CT25">
        <v>9.2427087382049748</v>
      </c>
      <c r="CU25">
        <v>4902.3327147439186</v>
      </c>
    </row>
    <row r="26" spans="2:99" x14ac:dyDescent="0.2">
      <c r="C26" s="105" t="s">
        <v>192</v>
      </c>
      <c r="D26">
        <v>15</v>
      </c>
      <c r="E26">
        <v>7290</v>
      </c>
      <c r="F26">
        <v>18</v>
      </c>
      <c r="G26">
        <v>8748</v>
      </c>
      <c r="H26">
        <v>23</v>
      </c>
      <c r="I26">
        <v>11178</v>
      </c>
      <c r="J26">
        <v>23</v>
      </c>
      <c r="K26">
        <v>11178</v>
      </c>
      <c r="L26">
        <v>16.321266277990912</v>
      </c>
      <c r="M26">
        <v>7932.1354111035835</v>
      </c>
      <c r="N26">
        <v>14.379352737625021</v>
      </c>
      <c r="O26">
        <v>6988.36543048576</v>
      </c>
      <c r="P26">
        <v>20</v>
      </c>
      <c r="Q26">
        <v>9720</v>
      </c>
      <c r="R26">
        <v>25.338580660967015</v>
      </c>
      <c r="S26">
        <v>12314.550201229969</v>
      </c>
      <c r="T26">
        <v>16</v>
      </c>
      <c r="U26">
        <v>7776</v>
      </c>
      <c r="V26">
        <v>16.68517625131814</v>
      </c>
      <c r="W26">
        <v>8108.9956581406159</v>
      </c>
      <c r="X26">
        <v>19</v>
      </c>
      <c r="Y26">
        <v>9234</v>
      </c>
      <c r="Z26">
        <v>22.544615867557859</v>
      </c>
      <c r="AA26">
        <v>10956.68331163312</v>
      </c>
      <c r="AB26">
        <v>16</v>
      </c>
      <c r="AC26">
        <v>7776</v>
      </c>
      <c r="AD26">
        <v>19.325603477478239</v>
      </c>
      <c r="AE26">
        <v>9392.2432900544245</v>
      </c>
      <c r="AF26">
        <v>15.385575779531401</v>
      </c>
      <c r="AG26">
        <v>7477.3898288522605</v>
      </c>
      <c r="AH26">
        <v>17.447695684326476</v>
      </c>
      <c r="AI26">
        <v>8479.5801025826677</v>
      </c>
      <c r="AJ26">
        <v>21</v>
      </c>
      <c r="AK26">
        <v>10206</v>
      </c>
      <c r="AL26">
        <v>19.346836208495013</v>
      </c>
      <c r="AM26">
        <v>9402.5623973285765</v>
      </c>
      <c r="AN26">
        <v>26.349242901269555</v>
      </c>
      <c r="AO26">
        <v>12805.732050017004</v>
      </c>
      <c r="AP26">
        <v>16.399180328150035</v>
      </c>
      <c r="AQ26">
        <v>7970.0016394809172</v>
      </c>
      <c r="AR26">
        <v>19</v>
      </c>
      <c r="AS26">
        <v>9234</v>
      </c>
      <c r="AT26">
        <v>15.397476232981814</v>
      </c>
      <c r="AU26">
        <v>7483.1734492291616</v>
      </c>
      <c r="AV26">
        <v>25</v>
      </c>
      <c r="AW26">
        <v>12150</v>
      </c>
      <c r="AX26">
        <v>21.349070486348946</v>
      </c>
      <c r="AY26">
        <v>10375.648256365588</v>
      </c>
      <c r="AZ26">
        <v>10.675227156719735</v>
      </c>
      <c r="BA26">
        <v>5188.1603981657918</v>
      </c>
      <c r="BB26">
        <v>5.8173155699763592</v>
      </c>
      <c r="BC26">
        <v>2827.2153670085104</v>
      </c>
      <c r="BD26">
        <v>7.5702656100864818</v>
      </c>
      <c r="BE26">
        <v>3679.1490865020301</v>
      </c>
      <c r="BF26">
        <v>6.4653842023685844</v>
      </c>
      <c r="BG26">
        <v>3142.176722351132</v>
      </c>
      <c r="BH26">
        <v>7.6538334772108136</v>
      </c>
      <c r="BI26">
        <v>3719.7630699244555</v>
      </c>
      <c r="BJ26">
        <v>7.2072277730197651</v>
      </c>
      <c r="BK26">
        <v>3502.7126976876057</v>
      </c>
      <c r="BL26">
        <v>7.9514260010751228</v>
      </c>
      <c r="BM26">
        <v>3864.3930365225096</v>
      </c>
      <c r="BN26">
        <v>9.6286022359975476</v>
      </c>
      <c r="BO26">
        <v>4679.5006866948079</v>
      </c>
      <c r="BP26">
        <v>9.8350861119943076</v>
      </c>
      <c r="BQ26">
        <v>4779.8518504292333</v>
      </c>
      <c r="BR26">
        <v>6.7863297042938004</v>
      </c>
      <c r="BS26">
        <v>3298.1562362867871</v>
      </c>
      <c r="BT26">
        <v>8.8526965259839319</v>
      </c>
      <c r="BU26">
        <v>4302.4105116281908</v>
      </c>
      <c r="BV26">
        <v>6.3080802929610948</v>
      </c>
      <c r="BW26">
        <v>3065.727022379092</v>
      </c>
      <c r="BX26">
        <v>6.6555073714876638</v>
      </c>
      <c r="BY26">
        <v>3234.5765825430044</v>
      </c>
      <c r="BZ26">
        <v>9.0934302691065128</v>
      </c>
      <c r="CA26">
        <v>4419.4071107857653</v>
      </c>
      <c r="CB26">
        <v>8.5610844281015073</v>
      </c>
      <c r="CC26">
        <v>4160.6870320573325</v>
      </c>
      <c r="CD26">
        <v>8.2229103081747397</v>
      </c>
      <c r="CE26">
        <v>3996.3344097729237</v>
      </c>
      <c r="CF26">
        <v>7.9460647854355084</v>
      </c>
      <c r="CG26">
        <v>3861.787485721657</v>
      </c>
      <c r="CH26">
        <v>7.6777275304272123</v>
      </c>
      <c r="CI26">
        <v>3731.3755797876252</v>
      </c>
      <c r="CJ26">
        <v>6.6922313324386726</v>
      </c>
      <c r="CK26">
        <v>3252.4244275651949</v>
      </c>
      <c r="CL26">
        <v>8.6543869366456985</v>
      </c>
      <c r="CM26">
        <v>4206.0320512098097</v>
      </c>
      <c r="CN26">
        <v>8.0149023859045929</v>
      </c>
      <c r="CO26">
        <v>3895.242559549632</v>
      </c>
      <c r="CP26">
        <v>8.6094595492327404</v>
      </c>
      <c r="CQ26">
        <v>4184.1973409271122</v>
      </c>
      <c r="CR26">
        <v>6.0497366406696251</v>
      </c>
      <c r="CS26">
        <v>2940.1720073654378</v>
      </c>
      <c r="CT26">
        <v>8.9178287389263708</v>
      </c>
      <c r="CU26">
        <v>4334.064767118216</v>
      </c>
    </row>
    <row r="27" spans="2:99" x14ac:dyDescent="0.2">
      <c r="C27" s="105" t="s">
        <v>193</v>
      </c>
      <c r="D27">
        <v>16</v>
      </c>
      <c r="E27">
        <v>6835.2</v>
      </c>
      <c r="F27">
        <v>17</v>
      </c>
      <c r="G27">
        <v>7262.4</v>
      </c>
      <c r="H27">
        <v>21</v>
      </c>
      <c r="I27">
        <v>8971.1999999999989</v>
      </c>
      <c r="J27">
        <v>25</v>
      </c>
      <c r="K27">
        <v>10680</v>
      </c>
      <c r="L27">
        <v>18.321266277990912</v>
      </c>
      <c r="M27">
        <v>7826.8449539577168</v>
      </c>
      <c r="N27">
        <v>14.331933645421893</v>
      </c>
      <c r="O27">
        <v>6122.6020533242327</v>
      </c>
      <c r="P27">
        <v>19</v>
      </c>
      <c r="Q27">
        <v>8116.8</v>
      </c>
      <c r="R27">
        <v>27.338580660967015</v>
      </c>
      <c r="S27">
        <v>11679.041658365108</v>
      </c>
      <c r="T27">
        <v>19</v>
      </c>
      <c r="U27">
        <v>8116.8</v>
      </c>
      <c r="V27">
        <v>17.538352768892825</v>
      </c>
      <c r="W27">
        <v>7492.3843028710144</v>
      </c>
      <c r="X27">
        <v>20</v>
      </c>
      <c r="Y27">
        <v>8544</v>
      </c>
      <c r="Z27">
        <v>22</v>
      </c>
      <c r="AA27">
        <v>9398.4</v>
      </c>
      <c r="AB27">
        <v>18</v>
      </c>
      <c r="AC27">
        <v>7689.5999999999995</v>
      </c>
      <c r="AD27">
        <v>21.284903042793459</v>
      </c>
      <c r="AE27">
        <v>9092.9105798813653</v>
      </c>
      <c r="AF27">
        <v>15.424133357484541</v>
      </c>
      <c r="AG27">
        <v>6589.1897703173954</v>
      </c>
      <c r="AH27">
        <v>17.48500365802035</v>
      </c>
      <c r="AI27">
        <v>7469.5935627062936</v>
      </c>
      <c r="AJ27">
        <v>19</v>
      </c>
      <c r="AK27">
        <v>8116.8</v>
      </c>
      <c r="AL27">
        <v>20.346836208495013</v>
      </c>
      <c r="AM27">
        <v>8692.1684282690694</v>
      </c>
      <c r="AN27">
        <v>29.349242901269555</v>
      </c>
      <c r="AO27">
        <v>12537.996567422353</v>
      </c>
      <c r="AP27">
        <v>15.399180328150036</v>
      </c>
      <c r="AQ27">
        <v>6578.5298361856958</v>
      </c>
      <c r="AR27">
        <v>19</v>
      </c>
      <c r="AS27">
        <v>8116.8</v>
      </c>
      <c r="AT27">
        <v>18.447160762104541</v>
      </c>
      <c r="AU27">
        <v>7880.62707757106</v>
      </c>
      <c r="AV27">
        <v>30</v>
      </c>
      <c r="AW27">
        <v>12816</v>
      </c>
      <c r="AX27">
        <v>23.398937698684513</v>
      </c>
      <c r="AY27">
        <v>9996.0261848780228</v>
      </c>
      <c r="AZ27">
        <v>11.237081217599721</v>
      </c>
      <c r="BA27">
        <v>4800.4810961586008</v>
      </c>
      <c r="BB27">
        <v>5.4829358560500152</v>
      </c>
      <c r="BC27">
        <v>2342.3101977045662</v>
      </c>
      <c r="BD27">
        <v>8.9220987547447823</v>
      </c>
      <c r="BE27">
        <v>3811.5205880269709</v>
      </c>
      <c r="BF27">
        <v>6.0369604385836944</v>
      </c>
      <c r="BG27">
        <v>2578.9894993629541</v>
      </c>
      <c r="BH27">
        <v>6.378194564342345</v>
      </c>
      <c r="BI27">
        <v>2724.7647178870498</v>
      </c>
      <c r="BJ27">
        <v>6.3790749753209575</v>
      </c>
      <c r="BK27">
        <v>2725.1408294571129</v>
      </c>
      <c r="BL27">
        <v>8.8925666941066712</v>
      </c>
      <c r="BM27">
        <v>3798.90449172237</v>
      </c>
      <c r="BN27">
        <v>9.0092220742456028</v>
      </c>
      <c r="BO27">
        <v>3848.7396701177213</v>
      </c>
      <c r="BP27">
        <v>8.8326895630397004</v>
      </c>
      <c r="BQ27">
        <v>3773.3249813305601</v>
      </c>
      <c r="BR27">
        <v>6.3780050160742157</v>
      </c>
      <c r="BS27">
        <v>2724.683742866905</v>
      </c>
      <c r="BT27">
        <v>8.5122081980614741</v>
      </c>
      <c r="BU27">
        <v>3636.4153422118616</v>
      </c>
      <c r="BV27">
        <v>6.2910396957945567</v>
      </c>
      <c r="BW27">
        <v>2687.5321580434347</v>
      </c>
      <c r="BX27">
        <v>5.9160065524334797</v>
      </c>
      <c r="BY27">
        <v>2527.3179991995826</v>
      </c>
      <c r="BZ27">
        <v>8.2057909074260138</v>
      </c>
      <c r="CA27">
        <v>3505.5138756523929</v>
      </c>
      <c r="CB27">
        <v>7.7666610009374812</v>
      </c>
      <c r="CC27">
        <v>3317.917579600492</v>
      </c>
      <c r="CD27">
        <v>9.4548350937273593</v>
      </c>
      <c r="CE27">
        <v>4039.1055520403279</v>
      </c>
      <c r="CF27">
        <v>8.3072495484098496</v>
      </c>
      <c r="CG27">
        <v>3548.8570070806877</v>
      </c>
      <c r="CH27">
        <v>8.3611875495115484</v>
      </c>
      <c r="CI27">
        <v>3571.8993211513334</v>
      </c>
      <c r="CJ27">
        <v>6.6922313324386726</v>
      </c>
      <c r="CK27">
        <v>2858.9212252178008</v>
      </c>
      <c r="CL27">
        <v>7.9013463424247741</v>
      </c>
      <c r="CM27">
        <v>3375.4551574838633</v>
      </c>
      <c r="CN27">
        <v>8.768227280481403</v>
      </c>
      <c r="CO27">
        <v>3745.7866942216551</v>
      </c>
      <c r="CP27">
        <v>8.8647280723128663</v>
      </c>
      <c r="CQ27">
        <v>3787.0118324920563</v>
      </c>
      <c r="CR27">
        <v>5.7136401606324236</v>
      </c>
      <c r="CS27">
        <v>2440.8670766221712</v>
      </c>
      <c r="CT27">
        <v>8.2842986024140668</v>
      </c>
      <c r="CU27">
        <v>3539.0523629512891</v>
      </c>
    </row>
    <row r="28" spans="2:99" x14ac:dyDescent="0.2">
      <c r="C28" s="105" t="s">
        <v>194</v>
      </c>
      <c r="D28">
        <v>16</v>
      </c>
      <c r="E28">
        <v>11808</v>
      </c>
      <c r="F28">
        <v>16</v>
      </c>
      <c r="G28">
        <v>11808</v>
      </c>
      <c r="H28">
        <v>23</v>
      </c>
      <c r="I28">
        <v>16974</v>
      </c>
      <c r="J28">
        <v>26</v>
      </c>
      <c r="K28">
        <v>19188</v>
      </c>
      <c r="L28">
        <v>16.321266277990912</v>
      </c>
      <c r="M28">
        <v>12045.094513157293</v>
      </c>
      <c r="N28">
        <v>15.331933645421893</v>
      </c>
      <c r="O28">
        <v>11314.967030321357</v>
      </c>
      <c r="P28">
        <v>20</v>
      </c>
      <c r="Q28">
        <v>14760</v>
      </c>
      <c r="R28">
        <v>23.290211995114586</v>
      </c>
      <c r="S28">
        <v>17188.176452394564</v>
      </c>
      <c r="T28">
        <v>18</v>
      </c>
      <c r="U28">
        <v>13284</v>
      </c>
      <c r="V28">
        <v>16.587293929701264</v>
      </c>
      <c r="W28">
        <v>12241.422920119532</v>
      </c>
      <c r="X28">
        <v>21</v>
      </c>
      <c r="Y28">
        <v>15498</v>
      </c>
      <c r="Z28">
        <v>24</v>
      </c>
      <c r="AA28">
        <v>17712</v>
      </c>
      <c r="AB28">
        <v>15</v>
      </c>
      <c r="AC28">
        <v>11070</v>
      </c>
      <c r="AD28">
        <v>21.284903042793459</v>
      </c>
      <c r="AE28">
        <v>15708.258445581572</v>
      </c>
      <c r="AF28">
        <v>14.424133357484541</v>
      </c>
      <c r="AG28">
        <v>10645.010417823591</v>
      </c>
      <c r="AH28">
        <v>18.410387710632605</v>
      </c>
      <c r="AI28">
        <v>13586.866130446862</v>
      </c>
      <c r="AJ28">
        <v>20</v>
      </c>
      <c r="AK28">
        <v>14760</v>
      </c>
      <c r="AL28">
        <v>22.346836208495013</v>
      </c>
      <c r="AM28">
        <v>16491.965121869318</v>
      </c>
      <c r="AN28">
        <v>31.349242901269555</v>
      </c>
      <c r="AO28">
        <v>23135.741261136933</v>
      </c>
      <c r="AP28">
        <v>17.449077869168789</v>
      </c>
      <c r="AQ28">
        <v>12877.419467446567</v>
      </c>
      <c r="AR28">
        <v>17</v>
      </c>
      <c r="AS28">
        <v>12546</v>
      </c>
      <c r="AT28">
        <v>15.397476232981814</v>
      </c>
      <c r="AU28">
        <v>11363.33745994058</v>
      </c>
      <c r="AV28">
        <v>28</v>
      </c>
      <c r="AW28">
        <v>20664</v>
      </c>
      <c r="AX28">
        <v>22.349070486348946</v>
      </c>
      <c r="AY28">
        <v>16493.614018925524</v>
      </c>
      <c r="AZ28">
        <v>9.5515190349597621</v>
      </c>
      <c r="BA28">
        <v>7049.0210478003046</v>
      </c>
      <c r="BB28">
        <v>5.4829358560500152</v>
      </c>
      <c r="BC28">
        <v>4046.4066617649114</v>
      </c>
      <c r="BD28">
        <v>8.3813654968814628</v>
      </c>
      <c r="BE28">
        <v>6185.4477366985193</v>
      </c>
      <c r="BF28">
        <v>5.6474762766177697</v>
      </c>
      <c r="BG28">
        <v>4167.8374921439145</v>
      </c>
      <c r="BH28">
        <v>6.8034075352985015</v>
      </c>
      <c r="BI28">
        <v>5020.9147610502941</v>
      </c>
      <c r="BJ28">
        <v>5.9789926591865443</v>
      </c>
      <c r="BK28">
        <v>4412.49658247967</v>
      </c>
      <c r="BL28">
        <v>7.6377124367312739</v>
      </c>
      <c r="BM28">
        <v>5636.6317783076802</v>
      </c>
      <c r="BN28">
        <v>9.3001399434705547</v>
      </c>
      <c r="BO28">
        <v>6863.5032782812696</v>
      </c>
      <c r="BP28">
        <v>8.8326895630397004</v>
      </c>
      <c r="BQ28">
        <v>6518.5248975232989</v>
      </c>
      <c r="BR28">
        <v>7.1752556430834948</v>
      </c>
      <c r="BS28">
        <v>5295.3386645956189</v>
      </c>
      <c r="BT28">
        <v>8.8526965259839319</v>
      </c>
      <c r="BU28">
        <v>6533.2900361761422</v>
      </c>
      <c r="BV28">
        <v>6.2910396957945567</v>
      </c>
      <c r="BW28">
        <v>4642.7872954963832</v>
      </c>
      <c r="BX28">
        <v>6.2857569619605718</v>
      </c>
      <c r="BY28">
        <v>4638.8886379269015</v>
      </c>
      <c r="BZ28">
        <v>9.3927550825603561</v>
      </c>
      <c r="CA28">
        <v>6931.8532509295428</v>
      </c>
      <c r="CB28">
        <v>7.4909488745888186</v>
      </c>
      <c r="CC28">
        <v>5528.3202694465481</v>
      </c>
      <c r="CD28">
        <v>8.515505847271271</v>
      </c>
      <c r="CE28">
        <v>6284.4433152861984</v>
      </c>
      <c r="CF28">
        <v>7.5848800224611672</v>
      </c>
      <c r="CG28">
        <v>5597.6414565763416</v>
      </c>
      <c r="CH28">
        <v>7.348279622461928</v>
      </c>
      <c r="CI28">
        <v>5423.0303613769029</v>
      </c>
      <c r="CJ28">
        <v>5.9225025880500271</v>
      </c>
      <c r="CK28">
        <v>4370.80690998092</v>
      </c>
      <c r="CL28">
        <v>8.1339095863227406</v>
      </c>
      <c r="CM28">
        <v>6002.8252747061824</v>
      </c>
      <c r="CN28">
        <v>7.7607605990025306</v>
      </c>
      <c r="CO28">
        <v>5727.4413220638671</v>
      </c>
      <c r="CP28">
        <v>8.0741760647273395</v>
      </c>
      <c r="CQ28">
        <v>5958.7419357687768</v>
      </c>
      <c r="CR28">
        <v>6.3858331207068266</v>
      </c>
      <c r="CS28">
        <v>4712.7448430816385</v>
      </c>
      <c r="CT28">
        <v>8.6091786016926708</v>
      </c>
      <c r="CU28">
        <v>6353.573808049191</v>
      </c>
    </row>
    <row r="29" spans="2:99" x14ac:dyDescent="0.2">
      <c r="C29" s="105" t="s">
        <v>195</v>
      </c>
      <c r="D29">
        <v>14</v>
      </c>
      <c r="E29">
        <v>4737.5999999999995</v>
      </c>
      <c r="F29">
        <v>19</v>
      </c>
      <c r="G29">
        <v>6429.5999999999995</v>
      </c>
      <c r="H29">
        <v>24</v>
      </c>
      <c r="I29">
        <v>8121.5999999999995</v>
      </c>
      <c r="J29">
        <v>27</v>
      </c>
      <c r="K29">
        <v>9136.7999999999993</v>
      </c>
      <c r="L29">
        <v>19.367161460561043</v>
      </c>
      <c r="M29">
        <v>6553.8474382538561</v>
      </c>
      <c r="N29">
        <v>15.379352737625021</v>
      </c>
      <c r="O29">
        <v>5204.3729664123066</v>
      </c>
      <c r="P29">
        <v>22</v>
      </c>
      <c r="Q29">
        <v>7444.7999999999993</v>
      </c>
      <c r="R29">
        <v>25.290211995114586</v>
      </c>
      <c r="S29">
        <v>8558.2077391467756</v>
      </c>
      <c r="T29">
        <v>18</v>
      </c>
      <c r="U29">
        <v>6091.2</v>
      </c>
      <c r="V29">
        <v>17.636235090509704</v>
      </c>
      <c r="W29">
        <v>5968.1019546284833</v>
      </c>
      <c r="X29">
        <v>24</v>
      </c>
      <c r="Y29">
        <v>8121.5999999999995</v>
      </c>
      <c r="Z29">
        <v>22.594126400972211</v>
      </c>
      <c r="AA29">
        <v>7645.8523740889959</v>
      </c>
      <c r="AB29">
        <v>18</v>
      </c>
      <c r="AC29">
        <v>6091.2</v>
      </c>
      <c r="AD29">
        <v>21.284903042793459</v>
      </c>
      <c r="AE29">
        <v>7202.8111896813061</v>
      </c>
      <c r="AF29">
        <v>16.385575779531401</v>
      </c>
      <c r="AG29">
        <v>5544.8788437934254</v>
      </c>
      <c r="AH29">
        <v>18.410387710632605</v>
      </c>
      <c r="AI29">
        <v>6230.0752012780731</v>
      </c>
      <c r="AJ29">
        <v>18</v>
      </c>
      <c r="AK29">
        <v>6091.2</v>
      </c>
      <c r="AL29">
        <v>21.346836208495013</v>
      </c>
      <c r="AM29">
        <v>7223.7693729547118</v>
      </c>
      <c r="AN29">
        <v>29.388047668077284</v>
      </c>
      <c r="AO29">
        <v>9944.915330877353</v>
      </c>
      <c r="AP29">
        <v>16.399180328150035</v>
      </c>
      <c r="AQ29">
        <v>5549.4826230459712</v>
      </c>
      <c r="AR29">
        <v>20</v>
      </c>
      <c r="AS29">
        <v>6768</v>
      </c>
      <c r="AT29">
        <v>16.447160762104541</v>
      </c>
      <c r="AU29">
        <v>5565.7192018961769</v>
      </c>
      <c r="AV29">
        <v>27</v>
      </c>
      <c r="AW29">
        <v>9136.7999999999993</v>
      </c>
      <c r="AX29">
        <v>22.398937698684513</v>
      </c>
      <c r="AY29">
        <v>7579.8005172348385</v>
      </c>
      <c r="AZ29">
        <v>9.5515190349597621</v>
      </c>
      <c r="BA29">
        <v>3232.2340414303831</v>
      </c>
      <c r="BB29">
        <v>5.4829358560500152</v>
      </c>
      <c r="BC29">
        <v>1855.4254936873251</v>
      </c>
      <c r="BD29">
        <v>8.9220987547447823</v>
      </c>
      <c r="BE29">
        <v>3019.2382186056343</v>
      </c>
      <c r="BF29">
        <v>6.4653842023685844</v>
      </c>
      <c r="BG29">
        <v>2187.8860140815286</v>
      </c>
      <c r="BH29">
        <v>6.378194564342345</v>
      </c>
      <c r="BI29">
        <v>2158.3810405734494</v>
      </c>
      <c r="BJ29">
        <v>6.7791572914553697</v>
      </c>
      <c r="BK29">
        <v>2294.0668274284972</v>
      </c>
      <c r="BL29">
        <v>7.9393607907996913</v>
      </c>
      <c r="BM29">
        <v>2686.6796916066155</v>
      </c>
      <c r="BN29">
        <v>8.68075978171861</v>
      </c>
      <c r="BO29">
        <v>2937.5691101335774</v>
      </c>
      <c r="BP29">
        <v>10.837482660948917</v>
      </c>
      <c r="BQ29">
        <v>3667.404132465113</v>
      </c>
      <c r="BR29">
        <v>6.7669309548639101</v>
      </c>
      <c r="BS29">
        <v>2289.9294351259468</v>
      </c>
      <c r="BT29">
        <v>9.1931848539063914</v>
      </c>
      <c r="BU29">
        <v>3110.9737545619228</v>
      </c>
      <c r="BV29">
        <v>6.9730035092718579</v>
      </c>
      <c r="BW29">
        <v>2359.6643875375967</v>
      </c>
      <c r="BX29">
        <v>7.0252577810147558</v>
      </c>
      <c r="BY29">
        <v>2377.3472330953932</v>
      </c>
      <c r="BZ29">
        <v>8.2057909074260138</v>
      </c>
      <c r="CA29">
        <v>2776.8396430729631</v>
      </c>
      <c r="CB29">
        <v>7.7775653182314679</v>
      </c>
      <c r="CC29">
        <v>2631.9281036895286</v>
      </c>
      <c r="CD29">
        <v>8.530891504562895</v>
      </c>
      <c r="CE29">
        <v>2886.8536851440836</v>
      </c>
      <c r="CF29">
        <v>9.0296190743585321</v>
      </c>
      <c r="CG29">
        <v>3055.6230947629269</v>
      </c>
      <c r="CH29">
        <v>7.7022917335809806</v>
      </c>
      <c r="CI29">
        <v>2606.4555226438038</v>
      </c>
      <c r="CJ29">
        <v>7.4470063763137988</v>
      </c>
      <c r="CK29">
        <v>2520.0669577445892</v>
      </c>
      <c r="CL29">
        <v>8.9054004680526724</v>
      </c>
      <c r="CM29">
        <v>3013.5875183890244</v>
      </c>
      <c r="CN29">
        <v>8.2690441728066553</v>
      </c>
      <c r="CO29">
        <v>2798.2445480777719</v>
      </c>
      <c r="CP29">
        <v>8.0865492838999167</v>
      </c>
      <c r="CQ29">
        <v>2736.4882776717318</v>
      </c>
      <c r="CR29">
        <v>6.7219296007440281</v>
      </c>
      <c r="CS29">
        <v>2274.7009768917787</v>
      </c>
      <c r="CT29">
        <v>7.9594186031354655</v>
      </c>
      <c r="CU29">
        <v>2693.4672553010414</v>
      </c>
    </row>
    <row r="30" spans="2:99" x14ac:dyDescent="0.2">
      <c r="C30" s="105" t="s">
        <v>196</v>
      </c>
      <c r="D30">
        <v>15</v>
      </c>
      <c r="E30">
        <v>2088</v>
      </c>
      <c r="F30">
        <v>17</v>
      </c>
      <c r="G30">
        <v>2366.3999999999996</v>
      </c>
      <c r="H30">
        <v>22</v>
      </c>
      <c r="I30">
        <v>3062.3999999999996</v>
      </c>
      <c r="J30">
        <v>25</v>
      </c>
      <c r="K30">
        <v>3479.9999999999995</v>
      </c>
      <c r="L30">
        <v>18.321266277990912</v>
      </c>
      <c r="M30">
        <v>2550.3202658963346</v>
      </c>
      <c r="N30">
        <v>16.37935273762502</v>
      </c>
      <c r="O30">
        <v>2280.0059010774025</v>
      </c>
      <c r="P30">
        <v>22</v>
      </c>
      <c r="Q30">
        <v>3062.3999999999996</v>
      </c>
      <c r="R30">
        <v>27.338580660967015</v>
      </c>
      <c r="S30">
        <v>3805.530428006608</v>
      </c>
      <c r="T30">
        <v>18</v>
      </c>
      <c r="U30">
        <v>2505.6</v>
      </c>
      <c r="V30">
        <v>19.68517625131814</v>
      </c>
      <c r="W30">
        <v>2740.1765341834848</v>
      </c>
      <c r="X30">
        <v>21</v>
      </c>
      <c r="Y30">
        <v>2923.2</v>
      </c>
      <c r="Z30">
        <v>25.643636934386564</v>
      </c>
      <c r="AA30">
        <v>3569.5942612666095</v>
      </c>
      <c r="AB30">
        <v>19</v>
      </c>
      <c r="AC30">
        <v>2644.7999999999997</v>
      </c>
      <c r="AD30">
        <v>21.325603477478239</v>
      </c>
      <c r="AE30">
        <v>2968.5240040649705</v>
      </c>
      <c r="AF30">
        <v>15.424133357484541</v>
      </c>
      <c r="AG30">
        <v>2147.0393633618478</v>
      </c>
      <c r="AH30">
        <v>17.410387710632605</v>
      </c>
      <c r="AI30">
        <v>2423.5259693200583</v>
      </c>
      <c r="AJ30">
        <v>18</v>
      </c>
      <c r="AK30">
        <v>2505.6</v>
      </c>
      <c r="AL30">
        <v>21.297288178710012</v>
      </c>
      <c r="AM30">
        <v>2964.5825144764335</v>
      </c>
      <c r="AN30">
        <v>30.388047668077284</v>
      </c>
      <c r="AO30">
        <v>4230.0162353963578</v>
      </c>
      <c r="AP30">
        <v>17.449077869168789</v>
      </c>
      <c r="AQ30">
        <v>2428.9116393882955</v>
      </c>
      <c r="AR30">
        <v>17</v>
      </c>
      <c r="AS30">
        <v>2366.3999999999996</v>
      </c>
      <c r="AT30">
        <v>17.397476232981813</v>
      </c>
      <c r="AU30">
        <v>2421.7286916310682</v>
      </c>
      <c r="AV30">
        <v>29</v>
      </c>
      <c r="AW30">
        <v>4036.7999999999997</v>
      </c>
      <c r="AX30">
        <v>23.349070486348946</v>
      </c>
      <c r="AY30">
        <v>3250.1906116997729</v>
      </c>
      <c r="AZ30">
        <v>11.237081217599721</v>
      </c>
      <c r="BA30">
        <v>1564.2017054898811</v>
      </c>
      <c r="BB30">
        <v>6.1516952839027024</v>
      </c>
      <c r="BC30">
        <v>856.31598351925606</v>
      </c>
      <c r="BD30">
        <v>7.5702656100864818</v>
      </c>
      <c r="BE30">
        <v>1053.7809729240382</v>
      </c>
      <c r="BF30">
        <v>6.0564302394931762</v>
      </c>
      <c r="BG30">
        <v>843.05508933745</v>
      </c>
      <c r="BH30">
        <v>7.6538334772108136</v>
      </c>
      <c r="BI30">
        <v>1065.4136200277451</v>
      </c>
      <c r="BJ30">
        <v>6.8071454568853529</v>
      </c>
      <c r="BK30">
        <v>947.55464759844108</v>
      </c>
      <c r="BL30">
        <v>8.8925666941066712</v>
      </c>
      <c r="BM30">
        <v>1237.8452838196486</v>
      </c>
      <c r="BN30">
        <v>9.6286022359975476</v>
      </c>
      <c r="BO30">
        <v>1340.3014312508585</v>
      </c>
      <c r="BP30">
        <v>10.180391587704801</v>
      </c>
      <c r="BQ30">
        <v>1417.1105090085082</v>
      </c>
      <c r="BR30">
        <v>7.5641815818731875</v>
      </c>
      <c r="BS30">
        <v>1052.9340761967476</v>
      </c>
      <c r="BT30">
        <v>8.1717198701390146</v>
      </c>
      <c r="BU30">
        <v>1137.5034059233508</v>
      </c>
      <c r="BV30">
        <v>7.0070847036049342</v>
      </c>
      <c r="BW30">
        <v>975.38619074180679</v>
      </c>
      <c r="BX30">
        <v>6.6555073714876638</v>
      </c>
      <c r="BY30">
        <v>926.44662611108276</v>
      </c>
      <c r="BZ30">
        <v>10.012074866830087</v>
      </c>
      <c r="CA30">
        <v>1393.6808214627481</v>
      </c>
      <c r="CB30">
        <v>8.5719887453954939</v>
      </c>
      <c r="CC30">
        <v>1193.2208333590527</v>
      </c>
      <c r="CD30">
        <v>8.8542583582426708</v>
      </c>
      <c r="CE30">
        <v>1232.5127634673797</v>
      </c>
      <c r="CF30">
        <v>7.9460647854355084</v>
      </c>
      <c r="CG30">
        <v>1106.0922181326227</v>
      </c>
      <c r="CH30">
        <v>8.0440217431231495</v>
      </c>
      <c r="CI30">
        <v>1119.7278266427422</v>
      </c>
      <c r="CJ30">
        <v>7.0920494051465139</v>
      </c>
      <c r="CK30">
        <v>987.21327719639464</v>
      </c>
      <c r="CL30">
        <v>8.6451617928911944</v>
      </c>
      <c r="CM30">
        <v>1203.4065215704541</v>
      </c>
      <c r="CN30">
        <v>8.2599437066772765</v>
      </c>
      <c r="CO30">
        <v>1149.7841639694768</v>
      </c>
      <c r="CP30">
        <v>8.8647280723128663</v>
      </c>
      <c r="CQ30">
        <v>1233.9701476659509</v>
      </c>
      <c r="CR30">
        <v>6.7219296007440281</v>
      </c>
      <c r="CS30">
        <v>935.69260042356859</v>
      </c>
      <c r="CT30">
        <v>9.2589386002498735</v>
      </c>
      <c r="CU30">
        <v>1288.8442531547823</v>
      </c>
    </row>
    <row r="31" spans="2:99" x14ac:dyDescent="0.2">
      <c r="C31" s="105" t="s">
        <v>197</v>
      </c>
      <c r="D31">
        <v>16</v>
      </c>
      <c r="E31">
        <v>5452.8</v>
      </c>
      <c r="F31">
        <v>19</v>
      </c>
      <c r="G31">
        <v>6475.2</v>
      </c>
      <c r="H31">
        <v>23</v>
      </c>
      <c r="I31">
        <v>7838.4000000000005</v>
      </c>
      <c r="J31">
        <v>25</v>
      </c>
      <c r="K31">
        <v>8520</v>
      </c>
      <c r="L31">
        <v>19.367161460561043</v>
      </c>
      <c r="M31">
        <v>6600.3286257592035</v>
      </c>
      <c r="N31">
        <v>14.331933645421893</v>
      </c>
      <c r="O31">
        <v>4884.3229863597817</v>
      </c>
      <c r="P31">
        <v>19</v>
      </c>
      <c r="Q31">
        <v>6475.2</v>
      </c>
      <c r="R31">
        <v>24.338580660967015</v>
      </c>
      <c r="S31">
        <v>8294.5882892575592</v>
      </c>
      <c r="T31">
        <v>19</v>
      </c>
      <c r="U31">
        <v>6475.2</v>
      </c>
      <c r="V31">
        <v>15.636235090509702</v>
      </c>
      <c r="W31">
        <v>5328.8289188457065</v>
      </c>
      <c r="X31">
        <v>22</v>
      </c>
      <c r="Y31">
        <v>7497.6</v>
      </c>
      <c r="Z31">
        <v>24.544615867557859</v>
      </c>
      <c r="AA31">
        <v>8364.805087663719</v>
      </c>
      <c r="AB31">
        <v>16</v>
      </c>
      <c r="AC31">
        <v>5452.8</v>
      </c>
      <c r="AD31">
        <v>21.325603477478239</v>
      </c>
      <c r="AE31">
        <v>7267.7656651245843</v>
      </c>
      <c r="AF31">
        <v>16.424133357484539</v>
      </c>
      <c r="AG31">
        <v>5597.3446482307309</v>
      </c>
      <c r="AH31">
        <v>17.410387710632605</v>
      </c>
      <c r="AI31">
        <v>5933.4601317835923</v>
      </c>
      <c r="AJ31">
        <v>21</v>
      </c>
      <c r="AK31">
        <v>7156.8</v>
      </c>
      <c r="AL31">
        <v>20.396384238280014</v>
      </c>
      <c r="AM31">
        <v>6951.0877484058292</v>
      </c>
      <c r="AN31">
        <v>27.349242901269555</v>
      </c>
      <c r="AO31">
        <v>9320.621980752665</v>
      </c>
      <c r="AP31">
        <v>15.449077869168789</v>
      </c>
      <c r="AQ31">
        <v>5265.0457378127239</v>
      </c>
      <c r="AR31">
        <v>17</v>
      </c>
      <c r="AS31">
        <v>5793.6</v>
      </c>
      <c r="AT31">
        <v>17.447160762104541</v>
      </c>
      <c r="AU31">
        <v>5945.9923877252277</v>
      </c>
      <c r="AV31">
        <v>30</v>
      </c>
      <c r="AW31">
        <v>10224</v>
      </c>
      <c r="AX31">
        <v>21.349070486348946</v>
      </c>
      <c r="AY31">
        <v>7275.7632217477212</v>
      </c>
      <c r="AZ31">
        <v>10.11337309583975</v>
      </c>
      <c r="BA31">
        <v>3446.637551062187</v>
      </c>
      <c r="BB31">
        <v>5.8339231241299236</v>
      </c>
      <c r="BC31">
        <v>1988.201000703478</v>
      </c>
      <c r="BD31">
        <v>8.6517321258131226</v>
      </c>
      <c r="BE31">
        <v>2948.5103084771122</v>
      </c>
      <c r="BF31">
        <v>6.854868364334509</v>
      </c>
      <c r="BG31">
        <v>2336.1391385652009</v>
      </c>
      <c r="BH31">
        <v>6.378194564342345</v>
      </c>
      <c r="BI31">
        <v>2173.6887075278714</v>
      </c>
      <c r="BJ31">
        <v>7.6352982545841606</v>
      </c>
      <c r="BK31">
        <v>2602.109645162282</v>
      </c>
      <c r="BL31">
        <v>7.9514260010751228</v>
      </c>
      <c r="BM31">
        <v>2709.845981166402</v>
      </c>
      <c r="BN31">
        <v>8.68075978171861</v>
      </c>
      <c r="BO31">
        <v>2958.4029336097024</v>
      </c>
      <c r="BP31">
        <v>10.514523770689669</v>
      </c>
      <c r="BQ31">
        <v>3583.3497010510391</v>
      </c>
      <c r="BR31">
        <v>7.5447828324432971</v>
      </c>
      <c r="BS31">
        <v>2571.2619892966759</v>
      </c>
      <c r="BT31">
        <v>7.831231542216555</v>
      </c>
      <c r="BU31">
        <v>2668.8837095874019</v>
      </c>
      <c r="BV31">
        <v>6.325120890127633</v>
      </c>
      <c r="BW31">
        <v>2155.6011993554976</v>
      </c>
      <c r="BX31">
        <v>7.0252577810147558</v>
      </c>
      <c r="BY31">
        <v>2394.2078517698287</v>
      </c>
      <c r="BZ31">
        <v>9.7127500533762454</v>
      </c>
      <c r="CA31">
        <v>3310.1052181906243</v>
      </c>
      <c r="CB31">
        <v>8.0423731272861438</v>
      </c>
      <c r="CC31">
        <v>2740.8407617791181</v>
      </c>
      <c r="CD31">
        <v>9.7474306328238871</v>
      </c>
      <c r="CE31">
        <v>3321.924359666381</v>
      </c>
      <c r="CF31">
        <v>7.5848800224611672</v>
      </c>
      <c r="CG31">
        <v>2584.9271116547657</v>
      </c>
      <c r="CH31">
        <v>8.3611875495115484</v>
      </c>
      <c r="CI31">
        <v>2849.4927168735358</v>
      </c>
      <c r="CJ31">
        <v>7.4619600768273173</v>
      </c>
      <c r="CK31">
        <v>2543.0359941827496</v>
      </c>
      <c r="CL31">
        <v>7.3900941358563195</v>
      </c>
      <c r="CM31">
        <v>2518.5440814998337</v>
      </c>
      <c r="CN31">
        <v>8.5140854935793406</v>
      </c>
      <c r="CO31">
        <v>2901.6003362118395</v>
      </c>
      <c r="CP31">
        <v>8.0741760647273395</v>
      </c>
      <c r="CQ31">
        <v>2751.6792028590776</v>
      </c>
      <c r="CR31">
        <v>6.7219296007440281</v>
      </c>
      <c r="CS31">
        <v>2290.833607933565</v>
      </c>
      <c r="CT31">
        <v>9.2427087382049748</v>
      </c>
      <c r="CU31">
        <v>3149.9151379802556</v>
      </c>
    </row>
    <row r="32" spans="2:99" x14ac:dyDescent="0.2">
      <c r="C32" s="105" t="s">
        <v>198</v>
      </c>
      <c r="D32">
        <v>14</v>
      </c>
      <c r="E32">
        <v>11760</v>
      </c>
      <c r="F32">
        <v>16</v>
      </c>
      <c r="G32">
        <v>13440</v>
      </c>
      <c r="H32">
        <v>22</v>
      </c>
      <c r="I32">
        <v>18480</v>
      </c>
      <c r="J32">
        <v>23</v>
      </c>
      <c r="K32">
        <v>19320</v>
      </c>
      <c r="L32">
        <v>16.321266277990912</v>
      </c>
      <c r="M32">
        <v>13709.863673512365</v>
      </c>
      <c r="N32">
        <v>15.379352737625021</v>
      </c>
      <c r="O32">
        <v>12918.656299605018</v>
      </c>
      <c r="P32">
        <v>18</v>
      </c>
      <c r="Q32">
        <v>15120</v>
      </c>
      <c r="R32">
        <v>24.338580660967015</v>
      </c>
      <c r="S32">
        <v>20444.407755212291</v>
      </c>
      <c r="T32">
        <v>16</v>
      </c>
      <c r="U32">
        <v>13440</v>
      </c>
      <c r="V32">
        <v>16.636235090509704</v>
      </c>
      <c r="W32">
        <v>13974.437476028152</v>
      </c>
      <c r="X32">
        <v>20</v>
      </c>
      <c r="Y32">
        <v>16800</v>
      </c>
      <c r="Z32">
        <v>22.594126400972211</v>
      </c>
      <c r="AA32">
        <v>18979.066176816657</v>
      </c>
      <c r="AB32">
        <v>16</v>
      </c>
      <c r="AC32">
        <v>13440</v>
      </c>
      <c r="AD32">
        <v>19.284903042793459</v>
      </c>
      <c r="AE32">
        <v>16199.318555946506</v>
      </c>
      <c r="AF32">
        <v>16.424133357484539</v>
      </c>
      <c r="AG32">
        <v>13796.272020287013</v>
      </c>
      <c r="AH32">
        <v>17.410387710632605</v>
      </c>
      <c r="AI32">
        <v>14624.725676931388</v>
      </c>
      <c r="AJ32">
        <v>17</v>
      </c>
      <c r="AK32">
        <v>14280</v>
      </c>
      <c r="AL32">
        <v>21.346836208495013</v>
      </c>
      <c r="AM32">
        <v>17931.342415135812</v>
      </c>
      <c r="AN32">
        <v>29.310438134461826</v>
      </c>
      <c r="AO32">
        <v>24620.768032947934</v>
      </c>
      <c r="AP32">
        <v>16.399180328150035</v>
      </c>
      <c r="AQ32">
        <v>13775.311475646029</v>
      </c>
      <c r="AR32">
        <v>16</v>
      </c>
      <c r="AS32">
        <v>13440</v>
      </c>
      <c r="AT32">
        <v>16.397476232981813</v>
      </c>
      <c r="AU32">
        <v>13773.880035704722</v>
      </c>
      <c r="AV32">
        <v>27</v>
      </c>
      <c r="AW32">
        <v>22680</v>
      </c>
      <c r="AX32">
        <v>22.398937698684513</v>
      </c>
      <c r="AY32">
        <v>18815.10766689499</v>
      </c>
      <c r="AZ32">
        <v>9.5515190349597621</v>
      </c>
      <c r="BA32">
        <v>8023.2759893662005</v>
      </c>
      <c r="BB32">
        <v>5.8173155699763592</v>
      </c>
      <c r="BC32">
        <v>4886.5450787801419</v>
      </c>
      <c r="BD32">
        <v>7.8406322390181424</v>
      </c>
      <c r="BE32">
        <v>6586.1310807752398</v>
      </c>
      <c r="BF32">
        <v>5.6669460775272515</v>
      </c>
      <c r="BG32">
        <v>4760.2347051228917</v>
      </c>
      <c r="BH32">
        <v>6.8034075352985015</v>
      </c>
      <c r="BI32">
        <v>5714.8623296507412</v>
      </c>
      <c r="BJ32">
        <v>7.2072277730197651</v>
      </c>
      <c r="BK32">
        <v>6054.0713293366025</v>
      </c>
      <c r="BL32">
        <v>8.253074355143541</v>
      </c>
      <c r="BM32">
        <v>6932.5824583205749</v>
      </c>
      <c r="BN32">
        <v>9.3251695590052499</v>
      </c>
      <c r="BO32">
        <v>7833.1424295644101</v>
      </c>
      <c r="BP32">
        <v>10.169218294979178</v>
      </c>
      <c r="BQ32">
        <v>8542.1433677825098</v>
      </c>
      <c r="BR32">
        <v>6.7669309548639101</v>
      </c>
      <c r="BS32">
        <v>5684.2220020856848</v>
      </c>
      <c r="BT32">
        <v>7.4907432142940964</v>
      </c>
      <c r="BU32">
        <v>6292.2243000070412</v>
      </c>
      <c r="BV32">
        <v>6.2910396957945567</v>
      </c>
      <c r="BW32">
        <v>5284.4733444674275</v>
      </c>
      <c r="BX32">
        <v>5.9160065524334797</v>
      </c>
      <c r="BY32">
        <v>4969.4455040441226</v>
      </c>
      <c r="BZ32">
        <v>8.5051157208798553</v>
      </c>
      <c r="CA32">
        <v>7144.2972055390783</v>
      </c>
      <c r="CB32">
        <v>7.7666610009374812</v>
      </c>
      <c r="CC32">
        <v>6523.9952407874844</v>
      </c>
      <c r="CD32">
        <v>8.2075246508831174</v>
      </c>
      <c r="CE32">
        <v>6894.3207067418189</v>
      </c>
      <c r="CF32">
        <v>7.2236952594868251</v>
      </c>
      <c r="CG32">
        <v>6067.9040179689327</v>
      </c>
      <c r="CH32">
        <v>8.0440217431231495</v>
      </c>
      <c r="CI32">
        <v>6756.9782642234459</v>
      </c>
      <c r="CJ32">
        <v>5.9225025880500271</v>
      </c>
      <c r="CK32">
        <v>4974.902173962023</v>
      </c>
      <c r="CL32">
        <v>7.1483057482038497</v>
      </c>
      <c r="CM32">
        <v>6004.5768284912338</v>
      </c>
      <c r="CN32">
        <v>8.2690441728066553</v>
      </c>
      <c r="CO32">
        <v>6945.9971051575903</v>
      </c>
      <c r="CP32">
        <v>7.3331169338321232</v>
      </c>
      <c r="CQ32">
        <v>6159.8182244189838</v>
      </c>
      <c r="CR32">
        <v>6.0497366406696251</v>
      </c>
      <c r="CS32">
        <v>5081.7787781624847</v>
      </c>
      <c r="CT32">
        <v>7.6345386038568632</v>
      </c>
      <c r="CU32">
        <v>6413.0124272397652</v>
      </c>
    </row>
    <row r="33" spans="2:99" x14ac:dyDescent="0.2">
      <c r="C33" s="105" t="s">
        <v>199</v>
      </c>
      <c r="D33">
        <v>16</v>
      </c>
      <c r="E33">
        <v>7584</v>
      </c>
      <c r="F33">
        <v>18</v>
      </c>
      <c r="G33">
        <v>8532</v>
      </c>
      <c r="H33">
        <v>24</v>
      </c>
      <c r="I33">
        <v>11376</v>
      </c>
      <c r="J33">
        <v>26</v>
      </c>
      <c r="K33">
        <v>12324</v>
      </c>
      <c r="L33">
        <v>18.321266277990912</v>
      </c>
      <c r="M33">
        <v>8684.2802157676924</v>
      </c>
      <c r="N33">
        <v>15.379352737625021</v>
      </c>
      <c r="O33">
        <v>7289.8131976342602</v>
      </c>
      <c r="P33">
        <v>19</v>
      </c>
      <c r="Q33">
        <v>9006</v>
      </c>
      <c r="R33">
        <v>25.338580660967015</v>
      </c>
      <c r="S33">
        <v>12010.487233298365</v>
      </c>
      <c r="T33">
        <v>19</v>
      </c>
      <c r="U33">
        <v>9006</v>
      </c>
      <c r="V33">
        <v>15.587293929701264</v>
      </c>
      <c r="W33">
        <v>7388.3773226783997</v>
      </c>
      <c r="X33">
        <v>20</v>
      </c>
      <c r="Y33">
        <v>9480</v>
      </c>
      <c r="Z33">
        <v>22</v>
      </c>
      <c r="AA33">
        <v>10428</v>
      </c>
      <c r="AB33">
        <v>19</v>
      </c>
      <c r="AC33">
        <v>9006</v>
      </c>
      <c r="AD33">
        <v>21.325603477478239</v>
      </c>
      <c r="AE33">
        <v>10108.336048324685</v>
      </c>
      <c r="AF33">
        <v>15.424133357484541</v>
      </c>
      <c r="AG33">
        <v>7311.0392114476726</v>
      </c>
      <c r="AH33">
        <v>16.48500365802035</v>
      </c>
      <c r="AI33">
        <v>7813.8917339016461</v>
      </c>
      <c r="AJ33">
        <v>19</v>
      </c>
      <c r="AK33">
        <v>9006</v>
      </c>
      <c r="AL33">
        <v>22.297288178710012</v>
      </c>
      <c r="AM33">
        <v>10568.914596708546</v>
      </c>
      <c r="AN33">
        <v>28.310438134461826</v>
      </c>
      <c r="AO33">
        <v>13419.147675734906</v>
      </c>
      <c r="AP33">
        <v>16.449077869168789</v>
      </c>
      <c r="AQ33">
        <v>7796.8629099860063</v>
      </c>
      <c r="AR33">
        <v>19</v>
      </c>
      <c r="AS33">
        <v>9006</v>
      </c>
      <c r="AT33">
        <v>17.397476232981813</v>
      </c>
      <c r="AU33">
        <v>8246.4037344333792</v>
      </c>
      <c r="AV33">
        <v>29</v>
      </c>
      <c r="AW33">
        <v>13746</v>
      </c>
      <c r="AX33">
        <v>20.398937698684513</v>
      </c>
      <c r="AY33">
        <v>9669.0964691764584</v>
      </c>
      <c r="AZ33">
        <v>10.11337309583975</v>
      </c>
      <c r="BA33">
        <v>4793.7388474280415</v>
      </c>
      <c r="BB33">
        <v>5.4995434102035805</v>
      </c>
      <c r="BC33">
        <v>2606.7835764364972</v>
      </c>
      <c r="BD33">
        <v>8.3813654968814628</v>
      </c>
      <c r="BE33">
        <v>3972.7672455218135</v>
      </c>
      <c r="BF33">
        <v>6.4459144014591025</v>
      </c>
      <c r="BG33">
        <v>3055.3634262916148</v>
      </c>
      <c r="BH33">
        <v>7.2286205062546571</v>
      </c>
      <c r="BI33">
        <v>3426.3661199647077</v>
      </c>
      <c r="BJ33">
        <v>6.7791572914553697</v>
      </c>
      <c r="BK33">
        <v>3213.3205561498453</v>
      </c>
      <c r="BL33">
        <v>8.2651395654189734</v>
      </c>
      <c r="BM33">
        <v>3917.6761540085936</v>
      </c>
      <c r="BN33">
        <v>8.9841924587109077</v>
      </c>
      <c r="BO33">
        <v>4258.5072254289698</v>
      </c>
      <c r="BP33">
        <v>10.158045002253553</v>
      </c>
      <c r="BQ33">
        <v>4814.9133310681846</v>
      </c>
      <c r="BR33">
        <v>7.1752556430834948</v>
      </c>
      <c r="BS33">
        <v>3401.0711748215767</v>
      </c>
      <c r="BT33">
        <v>7.4907432142940964</v>
      </c>
      <c r="BU33">
        <v>3550.6122835754018</v>
      </c>
      <c r="BV33">
        <v>6.6490621996997454</v>
      </c>
      <c r="BW33">
        <v>3151.6554826576794</v>
      </c>
      <c r="BX33">
        <v>6.2857569619605718</v>
      </c>
      <c r="BY33">
        <v>2979.448799969311</v>
      </c>
      <c r="BZ33">
        <v>9.1037653477875384</v>
      </c>
      <c r="CA33">
        <v>4315.1847748512928</v>
      </c>
      <c r="CB33">
        <v>8.0423731272861438</v>
      </c>
      <c r="CC33">
        <v>3812.0848623336324</v>
      </c>
      <c r="CD33">
        <v>8.2229103081747397</v>
      </c>
      <c r="CE33">
        <v>3897.6594860748264</v>
      </c>
      <c r="CF33">
        <v>7.9460647854355084</v>
      </c>
      <c r="CG33">
        <v>3766.4347082964309</v>
      </c>
      <c r="CH33">
        <v>8.0440217431231495</v>
      </c>
      <c r="CI33">
        <v>3812.866306240373</v>
      </c>
      <c r="CJ33">
        <v>6.2924132597308304</v>
      </c>
      <c r="CK33">
        <v>2982.6038851124135</v>
      </c>
      <c r="CL33">
        <v>7.6503328110177984</v>
      </c>
      <c r="CM33">
        <v>3626.2577524224366</v>
      </c>
      <c r="CN33">
        <v>8.2690441728066553</v>
      </c>
      <c r="CO33">
        <v>3919.5269379103547</v>
      </c>
      <c r="CP33">
        <v>7.8436539799923706</v>
      </c>
      <c r="CQ33">
        <v>3717.8919865163834</v>
      </c>
      <c r="CR33">
        <v>6.3858331207068266</v>
      </c>
      <c r="CS33">
        <v>3026.8848992150356</v>
      </c>
      <c r="CT33">
        <v>8.9178287389263708</v>
      </c>
      <c r="CU33">
        <v>4227.0508222510998</v>
      </c>
    </row>
    <row r="34" spans="2:99" x14ac:dyDescent="0.2">
      <c r="C34" s="105" t="s">
        <v>200</v>
      </c>
      <c r="D34">
        <v>16</v>
      </c>
      <c r="E34">
        <v>8774.4</v>
      </c>
      <c r="F34">
        <v>19</v>
      </c>
      <c r="G34">
        <v>10419.6</v>
      </c>
      <c r="H34">
        <v>24</v>
      </c>
      <c r="I34">
        <v>13161.599999999999</v>
      </c>
      <c r="J34">
        <v>25</v>
      </c>
      <c r="K34">
        <v>13710</v>
      </c>
      <c r="L34">
        <v>17.321266277990912</v>
      </c>
      <c r="M34">
        <v>9498.9824268502161</v>
      </c>
      <c r="N34">
        <v>14.426771829828148</v>
      </c>
      <c r="O34">
        <v>7911.6416714777561</v>
      </c>
      <c r="P34">
        <v>20</v>
      </c>
      <c r="Q34">
        <v>10968</v>
      </c>
      <c r="R34">
        <v>25.290211995114586</v>
      </c>
      <c r="S34">
        <v>13869.152258120837</v>
      </c>
      <c r="T34">
        <v>18</v>
      </c>
      <c r="U34">
        <v>9871.1999999999989</v>
      </c>
      <c r="V34">
        <v>17.636235090509704</v>
      </c>
      <c r="W34">
        <v>9671.7113236355217</v>
      </c>
      <c r="X34">
        <v>23</v>
      </c>
      <c r="Y34">
        <v>12613.199999999999</v>
      </c>
      <c r="Z34">
        <v>24.643636934386564</v>
      </c>
      <c r="AA34">
        <v>13514.570494817592</v>
      </c>
      <c r="AB34">
        <v>17</v>
      </c>
      <c r="AC34">
        <v>9322.7999999999993</v>
      </c>
      <c r="AD34">
        <v>20.325603477478239</v>
      </c>
      <c r="AE34">
        <v>11146.560947049065</v>
      </c>
      <c r="AF34">
        <v>15.385575779531401</v>
      </c>
      <c r="AG34">
        <v>8437.4497574950201</v>
      </c>
      <c r="AH34">
        <v>18.447695684326476</v>
      </c>
      <c r="AI34">
        <v>10116.716313284638</v>
      </c>
      <c r="AJ34">
        <v>20</v>
      </c>
      <c r="AK34">
        <v>10968</v>
      </c>
      <c r="AL34">
        <v>21.346836208495013</v>
      </c>
      <c r="AM34">
        <v>11706.604976738665</v>
      </c>
      <c r="AN34">
        <v>31.310438134461826</v>
      </c>
      <c r="AO34">
        <v>17170.644272938865</v>
      </c>
      <c r="AP34">
        <v>16.449077869168789</v>
      </c>
      <c r="AQ34">
        <v>9020.6743034521642</v>
      </c>
      <c r="AR34">
        <v>20</v>
      </c>
      <c r="AS34">
        <v>10968</v>
      </c>
      <c r="AT34">
        <v>15.44716076210454</v>
      </c>
      <c r="AU34">
        <v>8471.2229619381287</v>
      </c>
      <c r="AV34">
        <v>29</v>
      </c>
      <c r="AW34">
        <v>15903.599999999999</v>
      </c>
      <c r="AX34">
        <v>20.349070486348946</v>
      </c>
      <c r="AY34">
        <v>11159.430254713761</v>
      </c>
      <c r="AZ34">
        <v>9.5515190349597621</v>
      </c>
      <c r="BA34">
        <v>5238.0530387719336</v>
      </c>
      <c r="BB34">
        <v>6.4860749978290455</v>
      </c>
      <c r="BC34">
        <v>3556.9635288094482</v>
      </c>
      <c r="BD34">
        <v>7.8406322390181424</v>
      </c>
      <c r="BE34">
        <v>4299.802719877549</v>
      </c>
      <c r="BF34">
        <v>6.4653842023685844</v>
      </c>
      <c r="BG34">
        <v>3545.6166965789316</v>
      </c>
      <c r="BH34">
        <v>6.8034075352985015</v>
      </c>
      <c r="BI34">
        <v>3730.9886923576983</v>
      </c>
      <c r="BJ34">
        <v>7.2212218557347567</v>
      </c>
      <c r="BK34">
        <v>3960.1180656849406</v>
      </c>
      <c r="BL34">
        <v>8.2651395654189734</v>
      </c>
      <c r="BM34">
        <v>4532.6025376757652</v>
      </c>
      <c r="BN34">
        <v>8.6932745894859575</v>
      </c>
      <c r="BO34">
        <v>4767.3917848740994</v>
      </c>
      <c r="BP34">
        <v>9.5121272217350636</v>
      </c>
      <c r="BQ34">
        <v>5216.4505683995085</v>
      </c>
      <c r="BR34">
        <v>7.1752556430834948</v>
      </c>
      <c r="BS34">
        <v>3934.9101946669884</v>
      </c>
      <c r="BT34">
        <v>8.5122081980614741</v>
      </c>
      <c r="BU34">
        <v>4668.0949758169118</v>
      </c>
      <c r="BV34">
        <v>6.6490621996997454</v>
      </c>
      <c r="BW34">
        <v>3646.3457103153401</v>
      </c>
      <c r="BX34">
        <v>7.0252577810147558</v>
      </c>
      <c r="BY34">
        <v>3852.6513671084917</v>
      </c>
      <c r="BZ34">
        <v>9.3927550825603561</v>
      </c>
      <c r="CA34">
        <v>5150.986887276099</v>
      </c>
      <c r="CB34">
        <v>8.3071809363408189</v>
      </c>
      <c r="CC34">
        <v>4555.6580254893051</v>
      </c>
      <c r="CD34">
        <v>8.515505847271271</v>
      </c>
      <c r="CE34">
        <v>4669.9034066435652</v>
      </c>
      <c r="CF34">
        <v>8.6684343113841908</v>
      </c>
      <c r="CG34">
        <v>4753.7693763630905</v>
      </c>
      <c r="CH34">
        <v>7.3605617240388126</v>
      </c>
      <c r="CI34">
        <v>4036.5320494628845</v>
      </c>
      <c r="CJ34">
        <v>6.2924132597308304</v>
      </c>
      <c r="CK34">
        <v>3450.7594316363875</v>
      </c>
      <c r="CL34">
        <v>8.6359366491366902</v>
      </c>
      <c r="CM34">
        <v>4735.9476583865608</v>
      </c>
      <c r="CN34">
        <v>8.2690441728066553</v>
      </c>
      <c r="CO34">
        <v>4534.7438243671695</v>
      </c>
      <c r="CP34">
        <v>8.8523548531402874</v>
      </c>
      <c r="CQ34">
        <v>4854.631401462133</v>
      </c>
      <c r="CR34">
        <v>6.7219296007440281</v>
      </c>
      <c r="CS34">
        <v>3686.3061930480249</v>
      </c>
      <c r="CT34">
        <v>8.6091786016926708</v>
      </c>
      <c r="CU34">
        <v>4721.2735451682602</v>
      </c>
    </row>
    <row r="35" spans="2:99" x14ac:dyDescent="0.2">
      <c r="C35" s="105" t="s">
        <v>201</v>
      </c>
      <c r="D35">
        <v>15</v>
      </c>
      <c r="E35">
        <v>7541.9999999999982</v>
      </c>
      <c r="F35">
        <v>17</v>
      </c>
      <c r="G35">
        <v>8547.5999999999985</v>
      </c>
      <c r="H35">
        <v>23</v>
      </c>
      <c r="I35">
        <v>11564.399999999998</v>
      </c>
      <c r="J35">
        <v>23</v>
      </c>
      <c r="K35">
        <v>11564.399999999998</v>
      </c>
      <c r="L35">
        <v>16.367161460561043</v>
      </c>
      <c r="M35">
        <v>8229.4087823700902</v>
      </c>
      <c r="N35">
        <v>15.379352737625021</v>
      </c>
      <c r="O35">
        <v>7732.7385564778588</v>
      </c>
      <c r="P35">
        <v>20</v>
      </c>
      <c r="Q35">
        <v>10055.999999999998</v>
      </c>
      <c r="R35">
        <v>24.338580660967015</v>
      </c>
      <c r="S35">
        <v>12237.438356334213</v>
      </c>
      <c r="T35">
        <v>19</v>
      </c>
      <c r="U35">
        <v>9553.1999999999989</v>
      </c>
      <c r="V35">
        <v>17.636235090509704</v>
      </c>
      <c r="W35">
        <v>8867.4990035082774</v>
      </c>
      <c r="X35">
        <v>23</v>
      </c>
      <c r="Y35">
        <v>11564.399999999998</v>
      </c>
      <c r="Z35">
        <v>23.544615867557859</v>
      </c>
      <c r="AA35">
        <v>11838.232858208088</v>
      </c>
      <c r="AB35">
        <v>17</v>
      </c>
      <c r="AC35">
        <v>8547.5999999999985</v>
      </c>
      <c r="AD35">
        <v>22.325603477478239</v>
      </c>
      <c r="AE35">
        <v>11225.313428476056</v>
      </c>
      <c r="AF35">
        <v>17.385575779531401</v>
      </c>
      <c r="AG35">
        <v>8741.4675019483857</v>
      </c>
      <c r="AH35">
        <v>17.373079736938731</v>
      </c>
      <c r="AI35">
        <v>8735.1844917327926</v>
      </c>
      <c r="AJ35">
        <v>18</v>
      </c>
      <c r="AK35">
        <v>9050.3999999999978</v>
      </c>
      <c r="AL35">
        <v>20.346836208495013</v>
      </c>
      <c r="AM35">
        <v>10230.38924563129</v>
      </c>
      <c r="AN35">
        <v>28.310438134461826</v>
      </c>
      <c r="AO35">
        <v>14234.488294007404</v>
      </c>
      <c r="AP35">
        <v>16.399180328150035</v>
      </c>
      <c r="AQ35">
        <v>8245.5078689938364</v>
      </c>
      <c r="AR35">
        <v>20</v>
      </c>
      <c r="AS35">
        <v>10055.999999999998</v>
      </c>
      <c r="AT35">
        <v>15.397476232981814</v>
      </c>
      <c r="AU35">
        <v>7741.851049943255</v>
      </c>
      <c r="AV35">
        <v>25</v>
      </c>
      <c r="AW35">
        <v>12569.999999999998</v>
      </c>
      <c r="AX35">
        <v>22.398937698684513</v>
      </c>
      <c r="AY35">
        <v>11262.185874898571</v>
      </c>
      <c r="AZ35">
        <v>10.11337309583975</v>
      </c>
      <c r="BA35">
        <v>5085.0039925882247</v>
      </c>
      <c r="BB35">
        <v>5.4829358560500152</v>
      </c>
      <c r="BC35">
        <v>2756.8201484219471</v>
      </c>
      <c r="BD35">
        <v>8.9220987547447823</v>
      </c>
      <c r="BE35">
        <v>4486.0312538856761</v>
      </c>
      <c r="BF35">
        <v>6.0564302394931762</v>
      </c>
      <c r="BG35">
        <v>3045.1731244171683</v>
      </c>
      <c r="BH35">
        <v>7.2286205062546571</v>
      </c>
      <c r="BI35">
        <v>3634.5503905448409</v>
      </c>
      <c r="BJ35">
        <v>7.6073100891541774</v>
      </c>
      <c r="BK35">
        <v>3824.9555128267198</v>
      </c>
      <c r="BL35">
        <v>8.2651395654189734</v>
      </c>
      <c r="BM35">
        <v>4155.7121734926586</v>
      </c>
      <c r="BN35">
        <v>8.9967072664782552</v>
      </c>
      <c r="BO35">
        <v>4523.5444135852658</v>
      </c>
      <c r="BP35">
        <v>9.5009539290094391</v>
      </c>
      <c r="BQ35">
        <v>4777.0796355059447</v>
      </c>
      <c r="BR35">
        <v>6.7669309548639101</v>
      </c>
      <c r="BS35">
        <v>3402.4128841055731</v>
      </c>
      <c r="BT35">
        <v>8.8526965259839319</v>
      </c>
      <c r="BU35">
        <v>4451.1358132647201</v>
      </c>
      <c r="BV35">
        <v>6.990044106438396</v>
      </c>
      <c r="BW35">
        <v>3514.5941767172249</v>
      </c>
      <c r="BX35">
        <v>7.0252577810147558</v>
      </c>
      <c r="BY35">
        <v>3532.2996122942186</v>
      </c>
      <c r="BZ35">
        <v>8.7941054556526712</v>
      </c>
      <c r="CA35">
        <v>4421.6762231021621</v>
      </c>
      <c r="CB35">
        <v>7.5018531918828062</v>
      </c>
      <c r="CC35">
        <v>3771.9317848786741</v>
      </c>
      <c r="CD35">
        <v>9.1468538973392022</v>
      </c>
      <c r="CE35">
        <v>4599.0381395821496</v>
      </c>
      <c r="CF35">
        <v>7.5848800224611672</v>
      </c>
      <c r="CG35">
        <v>3813.6776752934743</v>
      </c>
      <c r="CH35">
        <v>7.3359975208850425</v>
      </c>
      <c r="CI35">
        <v>3688.5395535009984</v>
      </c>
      <c r="CJ35">
        <v>7.0770957046329954</v>
      </c>
      <c r="CK35">
        <v>3558.3637202894693</v>
      </c>
      <c r="CL35">
        <v>8.6543869366456985</v>
      </c>
      <c r="CM35">
        <v>4351.4257517454562</v>
      </c>
      <c r="CN35">
        <v>7.4975183459710903</v>
      </c>
      <c r="CO35">
        <v>3769.7522243542635</v>
      </c>
      <c r="CP35">
        <v>7.5883854569122464</v>
      </c>
      <c r="CQ35">
        <v>3815.4402077354766</v>
      </c>
      <c r="CR35">
        <v>6.7219296007440281</v>
      </c>
      <c r="CS35">
        <v>3379.7862032540966</v>
      </c>
      <c r="CT35">
        <v>8.2842986024140668</v>
      </c>
      <c r="CU35">
        <v>4165.345337293792</v>
      </c>
    </row>
    <row r="36" spans="2:99" x14ac:dyDescent="0.2">
      <c r="C36" s="105" t="s">
        <v>202</v>
      </c>
      <c r="D36">
        <v>16</v>
      </c>
      <c r="E36">
        <v>12172.8</v>
      </c>
      <c r="F36">
        <v>17</v>
      </c>
      <c r="G36">
        <v>12933.599999999999</v>
      </c>
      <c r="H36">
        <v>23</v>
      </c>
      <c r="I36">
        <v>17498.399999999998</v>
      </c>
      <c r="J36">
        <v>24</v>
      </c>
      <c r="K36">
        <v>18259.199999999997</v>
      </c>
      <c r="L36">
        <v>16.321266277990912</v>
      </c>
      <c r="M36">
        <v>12417.219384295486</v>
      </c>
      <c r="N36">
        <v>14.379352737625021</v>
      </c>
      <c r="O36">
        <v>10939.811562785115</v>
      </c>
      <c r="P36">
        <v>18</v>
      </c>
      <c r="Q36">
        <v>13694.4</v>
      </c>
      <c r="R36">
        <v>22.338580660967015</v>
      </c>
      <c r="S36">
        <v>16995.192166863704</v>
      </c>
      <c r="T36">
        <v>16</v>
      </c>
      <c r="U36">
        <v>12172.8</v>
      </c>
      <c r="V36">
        <v>15.538352768892825</v>
      </c>
      <c r="W36">
        <v>11821.57878657366</v>
      </c>
      <c r="X36">
        <v>22</v>
      </c>
      <c r="Y36">
        <v>16737.599999999999</v>
      </c>
      <c r="Z36">
        <v>23</v>
      </c>
      <c r="AA36">
        <v>17498.399999999998</v>
      </c>
      <c r="AB36">
        <v>18</v>
      </c>
      <c r="AC36">
        <v>13694.4</v>
      </c>
      <c r="AD36">
        <v>21.284903042793459</v>
      </c>
      <c r="AE36">
        <v>16193.554234957262</v>
      </c>
      <c r="AF36">
        <v>16.385575779531401</v>
      </c>
      <c r="AG36">
        <v>12466.146053067489</v>
      </c>
      <c r="AH36">
        <v>15.373079736938731</v>
      </c>
      <c r="AI36">
        <v>11695.839063862986</v>
      </c>
      <c r="AJ36">
        <v>18</v>
      </c>
      <c r="AK36">
        <v>13694.4</v>
      </c>
      <c r="AL36">
        <v>21.346836208495013</v>
      </c>
      <c r="AM36">
        <v>16240.672987423004</v>
      </c>
      <c r="AN36">
        <v>27.349242901269555</v>
      </c>
      <c r="AO36">
        <v>20807.303999285876</v>
      </c>
      <c r="AP36">
        <v>17.449077869168789</v>
      </c>
      <c r="AQ36">
        <v>13275.258442863615</v>
      </c>
      <c r="AR36">
        <v>19</v>
      </c>
      <c r="AS36">
        <v>14455.199999999999</v>
      </c>
      <c r="AT36">
        <v>16.447160762104541</v>
      </c>
      <c r="AU36">
        <v>12512.999907809135</v>
      </c>
      <c r="AV36">
        <v>26</v>
      </c>
      <c r="AW36">
        <v>19780.8</v>
      </c>
      <c r="AX36">
        <v>20.349070486348946</v>
      </c>
      <c r="AY36">
        <v>15481.572826014277</v>
      </c>
      <c r="AZ36">
        <v>8.989664974079778</v>
      </c>
      <c r="BA36">
        <v>6839.3371122798944</v>
      </c>
      <c r="BB36">
        <v>5.4829358560500152</v>
      </c>
      <c r="BC36">
        <v>4171.4175992828514</v>
      </c>
      <c r="BD36">
        <v>7.5702656100864818</v>
      </c>
      <c r="BE36">
        <v>5759.4580761537954</v>
      </c>
      <c r="BF36">
        <v>6.075900040402658</v>
      </c>
      <c r="BG36">
        <v>4622.5447507383415</v>
      </c>
      <c r="BH36">
        <v>7.2286205062546571</v>
      </c>
      <c r="BI36">
        <v>5499.5344811585428</v>
      </c>
      <c r="BJ36">
        <v>6.3790749753209575</v>
      </c>
      <c r="BK36">
        <v>4853.2002412241845</v>
      </c>
      <c r="BL36">
        <v>7.3119336621119926</v>
      </c>
      <c r="BM36">
        <v>5562.9191301348037</v>
      </c>
      <c r="BN36">
        <v>9.6286022359975476</v>
      </c>
      <c r="BO36">
        <v>7325.4405811469342</v>
      </c>
      <c r="BP36">
        <v>9.1668217460245707</v>
      </c>
      <c r="BQ36">
        <v>6974.1179843754926</v>
      </c>
      <c r="BR36">
        <v>7.1558568936536044</v>
      </c>
      <c r="BS36">
        <v>5444.1759246916617</v>
      </c>
      <c r="BT36">
        <v>8.5122081980614741</v>
      </c>
      <c r="BU36">
        <v>6476.0879970851693</v>
      </c>
      <c r="BV36">
        <v>5.9670983862224443</v>
      </c>
      <c r="BW36">
        <v>4539.768452238035</v>
      </c>
      <c r="BX36">
        <v>6.6555073714876638</v>
      </c>
      <c r="BY36">
        <v>5063.5100082278141</v>
      </c>
      <c r="BZ36">
        <v>7.9064660939721723</v>
      </c>
      <c r="CA36">
        <v>6015.2394042940286</v>
      </c>
      <c r="CB36">
        <v>8.3071809363408189</v>
      </c>
      <c r="CC36">
        <v>6320.1032563680947</v>
      </c>
      <c r="CD36">
        <v>8.515505847271271</v>
      </c>
      <c r="CE36">
        <v>6478.5968486039828</v>
      </c>
      <c r="CF36">
        <v>7.5848800224611672</v>
      </c>
      <c r="CG36">
        <v>5770.576721088456</v>
      </c>
      <c r="CH36">
        <v>8.7274817622074874</v>
      </c>
      <c r="CI36">
        <v>6639.8681246874557</v>
      </c>
      <c r="CJ36">
        <v>7.0770957046329954</v>
      </c>
      <c r="CK36">
        <v>5384.2544120847824</v>
      </c>
      <c r="CL36">
        <v>8.1431347300772448</v>
      </c>
      <c r="CM36">
        <v>6195.2969026427672</v>
      </c>
      <c r="CN36">
        <v>7.4884178798417134</v>
      </c>
      <c r="CO36">
        <v>5697.1883229835748</v>
      </c>
      <c r="CP36">
        <v>7.5636390185670912</v>
      </c>
      <c r="CQ36">
        <v>5754.4165653258424</v>
      </c>
      <c r="CR36">
        <v>6.0497366406696251</v>
      </c>
      <c r="CS36">
        <v>4602.6396362214509</v>
      </c>
      <c r="CT36">
        <v>8.934058600971273</v>
      </c>
      <c r="CU36">
        <v>6797.0317836189442</v>
      </c>
    </row>
    <row r="37" spans="2:99" x14ac:dyDescent="0.2">
      <c r="B37" s="105" t="s">
        <v>128</v>
      </c>
      <c r="C37" s="105" t="s">
        <v>203</v>
      </c>
      <c r="D37">
        <v>11</v>
      </c>
      <c r="E37">
        <v>9464.4</v>
      </c>
      <c r="F37">
        <v>9</v>
      </c>
      <c r="G37">
        <v>7743.5999999999995</v>
      </c>
      <c r="H37">
        <v>12</v>
      </c>
      <c r="I37">
        <v>10324.799999999999</v>
      </c>
      <c r="J37">
        <v>10</v>
      </c>
      <c r="K37">
        <v>8604</v>
      </c>
      <c r="L37">
        <v>9.5048470082714331</v>
      </c>
      <c r="M37">
        <v>8177.9703659167408</v>
      </c>
      <c r="N37">
        <v>11.379352737625021</v>
      </c>
      <c r="O37">
        <v>9790.7950954525677</v>
      </c>
      <c r="P37">
        <v>10</v>
      </c>
      <c r="Q37">
        <v>8604</v>
      </c>
      <c r="R37">
        <v>9.4353179926718784</v>
      </c>
      <c r="S37">
        <v>8118.1476008948839</v>
      </c>
      <c r="T37">
        <v>8</v>
      </c>
      <c r="U37">
        <v>6883.2</v>
      </c>
      <c r="V37">
        <v>13.538352768892825</v>
      </c>
      <c r="W37">
        <v>11648.398722355387</v>
      </c>
      <c r="X37">
        <v>6</v>
      </c>
      <c r="Y37">
        <v>5162.3999999999996</v>
      </c>
      <c r="Z37">
        <v>12.49510533414351</v>
      </c>
      <c r="AA37">
        <v>10750.788629497076</v>
      </c>
      <c r="AB37">
        <v>7</v>
      </c>
      <c r="AC37">
        <v>6022.8</v>
      </c>
      <c r="AD37">
        <v>10.529105650902137</v>
      </c>
      <c r="AE37">
        <v>9059.2425020361989</v>
      </c>
      <c r="AF37">
        <v>9.3084606236251197</v>
      </c>
      <c r="AG37">
        <v>8008.999520567053</v>
      </c>
      <c r="AH37">
        <v>11.410387710632603</v>
      </c>
      <c r="AI37">
        <v>9817.4975862282918</v>
      </c>
      <c r="AJ37">
        <v>13</v>
      </c>
      <c r="AK37">
        <v>11185.199999999999</v>
      </c>
      <c r="AL37">
        <v>7.5945763574200216</v>
      </c>
      <c r="AM37">
        <v>6534.3734979241863</v>
      </c>
      <c r="AN37">
        <v>7.4656572016927401</v>
      </c>
      <c r="AO37">
        <v>6423.4514563364337</v>
      </c>
      <c r="AP37">
        <v>10</v>
      </c>
      <c r="AQ37">
        <v>8604</v>
      </c>
      <c r="AR37">
        <v>11</v>
      </c>
      <c r="AS37">
        <v>9464.4</v>
      </c>
      <c r="AT37">
        <v>8.5465298203499938</v>
      </c>
      <c r="AU37">
        <v>7353.434257429134</v>
      </c>
      <c r="AV37">
        <v>7</v>
      </c>
      <c r="AW37">
        <v>6022.8</v>
      </c>
      <c r="AX37">
        <v>6.7480081850334592</v>
      </c>
      <c r="AY37">
        <v>5805.9862424027879</v>
      </c>
      <c r="AZ37">
        <v>6.7422487305598331</v>
      </c>
      <c r="BA37">
        <v>5801.03080777368</v>
      </c>
      <c r="BB37">
        <v>4.8473915365044578</v>
      </c>
      <c r="BC37">
        <v>4170.6956780084356</v>
      </c>
      <c r="BD37">
        <v>3.244399547179921</v>
      </c>
      <c r="BE37">
        <v>2791.4813703936038</v>
      </c>
      <c r="BF37">
        <v>4.9074475545048832</v>
      </c>
      <c r="BG37">
        <v>4222.3678758960014</v>
      </c>
      <c r="BH37">
        <v>3.8269167386054068</v>
      </c>
      <c r="BI37">
        <v>3292.679161896092</v>
      </c>
      <c r="BJ37">
        <v>4.3366811465039206</v>
      </c>
      <c r="BK37">
        <v>3731.2804584519731</v>
      </c>
      <c r="BL37">
        <v>3.5835665208120973</v>
      </c>
      <c r="BM37">
        <v>3083.3006345067283</v>
      </c>
      <c r="BN37">
        <v>3.2721081175025861</v>
      </c>
      <c r="BO37">
        <v>2815.3218242992252</v>
      </c>
      <c r="BP37">
        <v>3.4642280498305511</v>
      </c>
      <c r="BQ37">
        <v>2980.6218140742062</v>
      </c>
      <c r="BR37">
        <v>2.9164690658267509</v>
      </c>
      <c r="BS37">
        <v>2509.3299842373362</v>
      </c>
      <c r="BT37">
        <v>3.4048832792245891</v>
      </c>
      <c r="BU37">
        <v>2929.5615734448365</v>
      </c>
      <c r="BV37">
        <v>3.9893693344566943</v>
      </c>
      <c r="BW37">
        <v>3432.4533753665396</v>
      </c>
      <c r="BX37">
        <v>4.4370049143251089</v>
      </c>
      <c r="BY37">
        <v>3817.5990282853236</v>
      </c>
      <c r="BZ37">
        <v>3.3959237348025</v>
      </c>
      <c r="CA37">
        <v>2921.8527814240711</v>
      </c>
      <c r="CB37">
        <v>3.529736056062672</v>
      </c>
      <c r="CC37">
        <v>3036.9849026363231</v>
      </c>
      <c r="CD37">
        <v>2.3097249476333137</v>
      </c>
      <c r="CE37">
        <v>1987.2873449437031</v>
      </c>
      <c r="CF37">
        <v>2.5282933408203889</v>
      </c>
      <c r="CG37">
        <v>2175.3435904418625</v>
      </c>
      <c r="CH37">
        <v>2.1732010730218581</v>
      </c>
      <c r="CI37">
        <v>1869.8222032280066</v>
      </c>
      <c r="CJ37">
        <v>4.0430418286189713</v>
      </c>
      <c r="CK37">
        <v>3478.6331893437628</v>
      </c>
      <c r="CL37">
        <v>2.8995260017942877</v>
      </c>
      <c r="CM37">
        <v>2494.752171943805</v>
      </c>
      <c r="CN37">
        <v>3.1225051718597667</v>
      </c>
      <c r="CO37">
        <v>2686.6034498681433</v>
      </c>
      <c r="CP37">
        <v>3.2364473453775631</v>
      </c>
      <c r="CQ37">
        <v>2784.6392959628552</v>
      </c>
      <c r="CR37">
        <v>2.6887718402976111</v>
      </c>
      <c r="CS37">
        <v>2313.4192913920647</v>
      </c>
      <c r="CT37">
        <v>2.436458615399228</v>
      </c>
      <c r="CU37">
        <v>2096.3289926894959</v>
      </c>
    </row>
    <row r="38" spans="2:99" x14ac:dyDescent="0.2">
      <c r="C38" s="105" t="s">
        <v>204</v>
      </c>
      <c r="D38">
        <v>11</v>
      </c>
      <c r="E38">
        <v>13662</v>
      </c>
      <c r="F38">
        <v>9</v>
      </c>
      <c r="G38">
        <v>11178</v>
      </c>
      <c r="H38">
        <v>11</v>
      </c>
      <c r="I38">
        <v>13662</v>
      </c>
      <c r="J38">
        <v>11</v>
      </c>
      <c r="K38">
        <v>13662</v>
      </c>
      <c r="L38">
        <v>9.4589518257013037</v>
      </c>
      <c r="M38">
        <v>11748.018167521019</v>
      </c>
      <c r="N38">
        <v>11.379352737625021</v>
      </c>
      <c r="O38">
        <v>14133.156100130276</v>
      </c>
      <c r="P38">
        <v>10</v>
      </c>
      <c r="Q38">
        <v>12420</v>
      </c>
      <c r="R38">
        <v>8.3869493268194475</v>
      </c>
      <c r="S38">
        <v>10416.591063909755</v>
      </c>
      <c r="T38">
        <v>7</v>
      </c>
      <c r="U38">
        <v>8694</v>
      </c>
      <c r="V38">
        <v>12.587293929701264</v>
      </c>
      <c r="W38">
        <v>15633.41906068897</v>
      </c>
      <c r="X38">
        <v>6</v>
      </c>
      <c r="Y38">
        <v>7452</v>
      </c>
      <c r="Z38">
        <v>12.445594800729157</v>
      </c>
      <c r="AA38">
        <v>15457.428742505614</v>
      </c>
      <c r="AB38">
        <v>7</v>
      </c>
      <c r="AC38">
        <v>8694</v>
      </c>
      <c r="AD38">
        <v>10.488405216217357</v>
      </c>
      <c r="AE38">
        <v>13026.599278541957</v>
      </c>
      <c r="AF38">
        <v>9.2699030456719811</v>
      </c>
      <c r="AG38">
        <v>11513.2195827246</v>
      </c>
      <c r="AH38">
        <v>12.373079736938731</v>
      </c>
      <c r="AI38">
        <v>15367.365033277903</v>
      </c>
      <c r="AJ38">
        <v>11</v>
      </c>
      <c r="AK38">
        <v>13662</v>
      </c>
      <c r="AL38">
        <v>7.5945763574200216</v>
      </c>
      <c r="AM38">
        <v>9432.463835915667</v>
      </c>
      <c r="AN38">
        <v>7.4268524348850118</v>
      </c>
      <c r="AO38">
        <v>9224.1507241271847</v>
      </c>
      <c r="AP38">
        <v>10.698565574262561</v>
      </c>
      <c r="AQ38">
        <v>13287.618443234102</v>
      </c>
      <c r="AR38">
        <v>12</v>
      </c>
      <c r="AS38">
        <v>14904</v>
      </c>
      <c r="AT38">
        <v>8.4968452912272667</v>
      </c>
      <c r="AU38">
        <v>10553.081851704264</v>
      </c>
      <c r="AV38">
        <v>6</v>
      </c>
      <c r="AW38">
        <v>7452</v>
      </c>
      <c r="AX38">
        <v>7.6482737603623319</v>
      </c>
      <c r="AY38">
        <v>9499.1560103700158</v>
      </c>
      <c r="AZ38">
        <v>6.1803946696798473</v>
      </c>
      <c r="BA38">
        <v>7676.0501797423703</v>
      </c>
      <c r="BB38">
        <v>4.4964042684245493</v>
      </c>
      <c r="BC38">
        <v>5584.5341013832904</v>
      </c>
      <c r="BD38">
        <v>3.244399547179921</v>
      </c>
      <c r="BE38">
        <v>4029.5442375974617</v>
      </c>
      <c r="BF38">
        <v>4.9074475545048832</v>
      </c>
      <c r="BG38">
        <v>6095.0498626950648</v>
      </c>
      <c r="BH38">
        <v>3.8269167386054068</v>
      </c>
      <c r="BI38">
        <v>4753.0305893479153</v>
      </c>
      <c r="BJ38">
        <v>3.9086106649395247</v>
      </c>
      <c r="BK38">
        <v>4854.4944458548898</v>
      </c>
      <c r="BL38">
        <v>3.5835665208120973</v>
      </c>
      <c r="BM38">
        <v>4450.7896188486247</v>
      </c>
      <c r="BN38">
        <v>3.2721081175025861</v>
      </c>
      <c r="BO38">
        <v>4063.9582819382122</v>
      </c>
      <c r="BP38">
        <v>3.4530547571049275</v>
      </c>
      <c r="BQ38">
        <v>4288.6940083243198</v>
      </c>
      <c r="BR38">
        <v>2.9358678152566409</v>
      </c>
      <c r="BS38">
        <v>3646.3478265487479</v>
      </c>
      <c r="BT38">
        <v>3.0643949513021305</v>
      </c>
      <c r="BU38">
        <v>3805.978529517246</v>
      </c>
      <c r="BV38">
        <v>3.6483874277180437</v>
      </c>
      <c r="BW38">
        <v>4531.2971852258106</v>
      </c>
      <c r="BX38">
        <v>4.0672545047980169</v>
      </c>
      <c r="BY38">
        <v>5051.5300949591374</v>
      </c>
      <c r="BZ38">
        <v>3.0759287639866097</v>
      </c>
      <c r="CA38">
        <v>3820.3035248713695</v>
      </c>
      <c r="CB38">
        <v>3.2540239297140103</v>
      </c>
      <c r="CC38">
        <v>4041.4977207048009</v>
      </c>
      <c r="CD38">
        <v>2.2943392903416897</v>
      </c>
      <c r="CE38">
        <v>2849.5693986043784</v>
      </c>
      <c r="CF38">
        <v>2.8894781037947301</v>
      </c>
      <c r="CG38">
        <v>3588.7318049130549</v>
      </c>
      <c r="CH38">
        <v>2.514931082564027</v>
      </c>
      <c r="CI38">
        <v>3123.5444045445215</v>
      </c>
      <c r="CJ38">
        <v>3.658177456424649</v>
      </c>
      <c r="CK38">
        <v>4543.4564008794141</v>
      </c>
      <c r="CL38">
        <v>2.3974989389803381</v>
      </c>
      <c r="CM38">
        <v>2977.6936822135799</v>
      </c>
      <c r="CN38">
        <v>2.8774638510870818</v>
      </c>
      <c r="CO38">
        <v>3573.8101030501557</v>
      </c>
      <c r="CP38">
        <v>3.4793426492851101</v>
      </c>
      <c r="CQ38">
        <v>4321.3435704121066</v>
      </c>
      <c r="CR38">
        <v>2.3526753602604096</v>
      </c>
      <c r="CS38">
        <v>2922.0227974434288</v>
      </c>
      <c r="CT38">
        <v>2.436458615399228</v>
      </c>
      <c r="CU38">
        <v>3026.081600325841</v>
      </c>
    </row>
    <row r="39" spans="2:99" x14ac:dyDescent="0.2">
      <c r="C39" s="105" t="s">
        <v>205</v>
      </c>
      <c r="D39">
        <v>11</v>
      </c>
      <c r="E39">
        <v>15655.2</v>
      </c>
      <c r="F39">
        <v>8</v>
      </c>
      <c r="G39">
        <v>11385.6</v>
      </c>
      <c r="H39">
        <v>11</v>
      </c>
      <c r="I39">
        <v>15655.2</v>
      </c>
      <c r="J39">
        <v>11</v>
      </c>
      <c r="K39">
        <v>15655.2</v>
      </c>
      <c r="L39">
        <v>9.4130566431311742</v>
      </c>
      <c r="M39">
        <v>13396.662214504287</v>
      </c>
      <c r="N39">
        <v>11.379352737625021</v>
      </c>
      <c r="O39">
        <v>16195.094816187931</v>
      </c>
      <c r="P39">
        <v>8</v>
      </c>
      <c r="Q39">
        <v>11385.6</v>
      </c>
      <c r="R39">
        <v>9.3869493268194475</v>
      </c>
      <c r="S39">
        <v>13359.506281929438</v>
      </c>
      <c r="T39">
        <v>8</v>
      </c>
      <c r="U39">
        <v>11385.6</v>
      </c>
      <c r="V39">
        <v>12.489411608084387</v>
      </c>
      <c r="W39">
        <v>17774.930600625699</v>
      </c>
      <c r="X39">
        <v>6</v>
      </c>
      <c r="Y39">
        <v>8539.2000000000007</v>
      </c>
      <c r="Z39">
        <v>11.445594800729157</v>
      </c>
      <c r="AA39">
        <v>16289.370520397737</v>
      </c>
      <c r="AB39">
        <v>6</v>
      </c>
      <c r="AC39">
        <v>8539.2000000000007</v>
      </c>
      <c r="AD39">
        <v>11.447704781532577</v>
      </c>
      <c r="AE39">
        <v>16292.373445077164</v>
      </c>
      <c r="AF39">
        <v>9.3084606236251197</v>
      </c>
      <c r="AG39">
        <v>13247.801159543271</v>
      </c>
      <c r="AH39">
        <v>12.410387710632603</v>
      </c>
      <c r="AI39">
        <v>17662.463789772322</v>
      </c>
      <c r="AJ39">
        <v>12</v>
      </c>
      <c r="AK39">
        <v>17078.400000000001</v>
      </c>
      <c r="AL39">
        <v>6</v>
      </c>
      <c r="AM39">
        <v>8539.2000000000007</v>
      </c>
      <c r="AN39">
        <v>6.4656572016927401</v>
      </c>
      <c r="AO39">
        <v>9201.9233294491078</v>
      </c>
      <c r="AP39">
        <v>10.748463115281316</v>
      </c>
      <c r="AQ39">
        <v>15297.212705668369</v>
      </c>
      <c r="AR39">
        <v>12</v>
      </c>
      <c r="AS39">
        <v>17078.400000000001</v>
      </c>
      <c r="AT39">
        <v>8.4968452912272667</v>
      </c>
      <c r="AU39">
        <v>12092.710218474647</v>
      </c>
      <c r="AV39">
        <v>7</v>
      </c>
      <c r="AW39">
        <v>9962.4</v>
      </c>
      <c r="AX39">
        <v>7.698140972697896</v>
      </c>
      <c r="AY39">
        <v>10955.994232343646</v>
      </c>
      <c r="AZ39">
        <v>6.7422487305598331</v>
      </c>
      <c r="BA39">
        <v>9595.5683933327546</v>
      </c>
      <c r="BB39">
        <v>4.4964042684245493</v>
      </c>
      <c r="BC39">
        <v>6399.2825548218188</v>
      </c>
      <c r="BD39">
        <v>3.5147661761115812</v>
      </c>
      <c r="BE39">
        <v>5002.2152218420024</v>
      </c>
      <c r="BF39">
        <v>4.4984935916294759</v>
      </c>
      <c r="BG39">
        <v>6402.2560796070702</v>
      </c>
      <c r="BH39">
        <v>4.2521297095615633</v>
      </c>
      <c r="BI39">
        <v>6051.6310026480169</v>
      </c>
      <c r="BJ39">
        <v>3.9226047476545167</v>
      </c>
      <c r="BK39">
        <v>5582.6510768619082</v>
      </c>
      <c r="BL39">
        <v>3.5835665208120973</v>
      </c>
      <c r="BM39">
        <v>5100.1318724197772</v>
      </c>
      <c r="BN39">
        <v>3.2721081175025861</v>
      </c>
      <c r="BO39">
        <v>4656.8642728296809</v>
      </c>
      <c r="BP39">
        <v>3.787186940089796</v>
      </c>
      <c r="BQ39">
        <v>5389.9244531357981</v>
      </c>
      <c r="BR39">
        <v>2.5275431270370574</v>
      </c>
      <c r="BS39">
        <v>3597.1993783991402</v>
      </c>
      <c r="BT39">
        <v>3.4048832792245891</v>
      </c>
      <c r="BU39">
        <v>4845.8298829924352</v>
      </c>
      <c r="BV39">
        <v>3.2903649238128545</v>
      </c>
      <c r="BW39">
        <v>4682.8473595704545</v>
      </c>
      <c r="BX39">
        <v>4.0672545047980169</v>
      </c>
      <c r="BY39">
        <v>5788.5166112285378</v>
      </c>
      <c r="BZ39">
        <v>3.3855886561214752</v>
      </c>
      <c r="CA39">
        <v>4818.3697753920833</v>
      </c>
      <c r="CB39">
        <v>3.2649282470079966</v>
      </c>
      <c r="CC39">
        <v>4646.6458811417806</v>
      </c>
      <c r="CD39">
        <v>2.2789536330500666</v>
      </c>
      <c r="CE39">
        <v>3243.4068105568549</v>
      </c>
      <c r="CF39">
        <v>2.5282933408203889</v>
      </c>
      <c r="CG39">
        <v>3598.2670826555777</v>
      </c>
      <c r="CH39">
        <v>2.514931082564027</v>
      </c>
      <c r="CI39">
        <v>3579.2499167051233</v>
      </c>
      <c r="CJ39">
        <v>4.0131344275919334</v>
      </c>
      <c r="CK39">
        <v>5711.4929173488399</v>
      </c>
      <c r="CL39">
        <v>2.6300621828783042</v>
      </c>
      <c r="CM39">
        <v>3743.1044986724028</v>
      </c>
      <c r="CN39">
        <v>2.8683633849577048</v>
      </c>
      <c r="CO39">
        <v>4082.2547694718055</v>
      </c>
      <c r="CP39">
        <v>3.4669694301125338</v>
      </c>
      <c r="CQ39">
        <v>4934.190892936158</v>
      </c>
      <c r="CR39">
        <v>2.6887718402976111</v>
      </c>
      <c r="CS39">
        <v>3826.6600831115602</v>
      </c>
      <c r="CT39">
        <v>2.436458615399228</v>
      </c>
      <c r="CU39">
        <v>3467.5679014361813</v>
      </c>
    </row>
    <row r="40" spans="2:99" x14ac:dyDescent="0.2">
      <c r="C40" s="105" t="s">
        <v>206</v>
      </c>
      <c r="D40">
        <v>11</v>
      </c>
      <c r="E40">
        <v>7972.7999999999993</v>
      </c>
      <c r="F40">
        <v>10</v>
      </c>
      <c r="G40">
        <v>7248</v>
      </c>
      <c r="H40">
        <v>10</v>
      </c>
      <c r="I40">
        <v>7248</v>
      </c>
      <c r="J40">
        <v>12</v>
      </c>
      <c r="K40">
        <v>8697.5999999999985</v>
      </c>
      <c r="L40">
        <v>8.5507421908415644</v>
      </c>
      <c r="M40">
        <v>6197.5779399219655</v>
      </c>
      <c r="N40">
        <v>10.474190922031276</v>
      </c>
      <c r="O40">
        <v>7591.693580288269</v>
      </c>
      <c r="P40">
        <v>9</v>
      </c>
      <c r="Q40">
        <v>6523.2</v>
      </c>
      <c r="R40">
        <v>9.3869493268194475</v>
      </c>
      <c r="S40">
        <v>6803.6608720787353</v>
      </c>
      <c r="T40">
        <v>9</v>
      </c>
      <c r="U40">
        <v>6523.2</v>
      </c>
      <c r="V40">
        <v>14.538352768892825</v>
      </c>
      <c r="W40">
        <v>10537.39808689352</v>
      </c>
      <c r="X40">
        <v>7</v>
      </c>
      <c r="Y40">
        <v>5073.5999999999995</v>
      </c>
      <c r="Z40">
        <v>13.49510533414351</v>
      </c>
      <c r="AA40">
        <v>9781.2523461872152</v>
      </c>
      <c r="AB40">
        <v>7</v>
      </c>
      <c r="AC40">
        <v>5073.5999999999995</v>
      </c>
      <c r="AD40">
        <v>10.529105650902137</v>
      </c>
      <c r="AE40">
        <v>7631.4957757738684</v>
      </c>
      <c r="AF40">
        <v>10.34701820157826</v>
      </c>
      <c r="AG40">
        <v>7499.5187925039227</v>
      </c>
      <c r="AH40">
        <v>12.447695684326478</v>
      </c>
      <c r="AI40">
        <v>9022.0898319998305</v>
      </c>
      <c r="AJ40">
        <v>14</v>
      </c>
      <c r="AK40">
        <v>10147.199999999999</v>
      </c>
      <c r="AL40">
        <v>6</v>
      </c>
      <c r="AM40">
        <v>4348.7999999999993</v>
      </c>
      <c r="AN40">
        <v>6.4268524348850118</v>
      </c>
      <c r="AO40">
        <v>4658.1826448046559</v>
      </c>
      <c r="AP40">
        <v>9.7484631152813161</v>
      </c>
      <c r="AQ40">
        <v>7065.6860659558979</v>
      </c>
      <c r="AR40">
        <v>13</v>
      </c>
      <c r="AS40">
        <v>9422.4</v>
      </c>
      <c r="AT40">
        <v>8.5465298203499938</v>
      </c>
      <c r="AU40">
        <v>6194.5248137896751</v>
      </c>
      <c r="AV40">
        <v>7</v>
      </c>
      <c r="AW40">
        <v>5073.5999999999995</v>
      </c>
      <c r="AX40">
        <v>6.698140972697896</v>
      </c>
      <c r="AY40">
        <v>4854.8125770114348</v>
      </c>
      <c r="AZ40">
        <v>6.7422487305598331</v>
      </c>
      <c r="BA40">
        <v>4886.7818799097668</v>
      </c>
      <c r="BB40">
        <v>4.4964042684245493</v>
      </c>
      <c r="BC40">
        <v>3258.993813754113</v>
      </c>
      <c r="BD40">
        <v>3.7851328050432409</v>
      </c>
      <c r="BE40">
        <v>2743.4642570953411</v>
      </c>
      <c r="BF40">
        <v>4.9074475545048832</v>
      </c>
      <c r="BG40">
        <v>3556.9179875051391</v>
      </c>
      <c r="BH40">
        <v>4.2521297095615633</v>
      </c>
      <c r="BI40">
        <v>3081.9436134902207</v>
      </c>
      <c r="BJ40">
        <v>4.3506752292189121</v>
      </c>
      <c r="BK40">
        <v>3153.3694061378674</v>
      </c>
      <c r="BL40">
        <v>3.8852148748805142</v>
      </c>
      <c r="BM40">
        <v>2816.0037413133964</v>
      </c>
      <c r="BN40">
        <v>3.904003087021878</v>
      </c>
      <c r="BO40">
        <v>2829.6214374734568</v>
      </c>
      <c r="BP40">
        <v>3.787186940089796</v>
      </c>
      <c r="BQ40">
        <v>2744.953094177084</v>
      </c>
      <c r="BR40">
        <v>2.9552665646865304</v>
      </c>
      <c r="BS40">
        <v>2141.9772060847972</v>
      </c>
      <c r="BT40">
        <v>3.4048832792245891</v>
      </c>
      <c r="BU40">
        <v>2467.859400781982</v>
      </c>
      <c r="BV40">
        <v>4.0234505287897715</v>
      </c>
      <c r="BW40">
        <v>2916.1969432668261</v>
      </c>
      <c r="BX40">
        <v>4.4370049143251089</v>
      </c>
      <c r="BY40">
        <v>3215.9411619028388</v>
      </c>
      <c r="BZ40">
        <v>3.096598921348658</v>
      </c>
      <c r="CA40">
        <v>2244.4148981935073</v>
      </c>
      <c r="CB40">
        <v>3.5406403733566578</v>
      </c>
      <c r="CC40">
        <v>2566.2561426089055</v>
      </c>
      <c r="CD40">
        <v>2.3097249476333137</v>
      </c>
      <c r="CE40">
        <v>1674.0886420446257</v>
      </c>
      <c r="CF40">
        <v>2.8894781037947301</v>
      </c>
      <c r="CG40">
        <v>2094.2937296304203</v>
      </c>
      <c r="CH40">
        <v>2.514931082564027</v>
      </c>
      <c r="CI40">
        <v>1822.8220486424066</v>
      </c>
      <c r="CJ40">
        <v>3.6282700553976115</v>
      </c>
      <c r="CK40">
        <v>2629.7701361521886</v>
      </c>
      <c r="CL40">
        <v>2.8995260017942877</v>
      </c>
      <c r="CM40">
        <v>2101.5764461004997</v>
      </c>
      <c r="CN40">
        <v>3.3766469587618291</v>
      </c>
      <c r="CO40">
        <v>2447.3937157105734</v>
      </c>
      <c r="CP40">
        <v>3.4669694301125338</v>
      </c>
      <c r="CQ40">
        <v>2512.8594429455643</v>
      </c>
      <c r="CR40">
        <v>2.3526753602604096</v>
      </c>
      <c r="CS40">
        <v>1705.2191011167447</v>
      </c>
      <c r="CT40">
        <v>2.4202287533543263</v>
      </c>
      <c r="CU40">
        <v>1754.1818004312156</v>
      </c>
    </row>
    <row r="41" spans="2:99" x14ac:dyDescent="0.2">
      <c r="C41" s="105" t="s">
        <v>207</v>
      </c>
      <c r="D41">
        <v>12</v>
      </c>
      <c r="E41">
        <v>7920</v>
      </c>
      <c r="F41">
        <v>9</v>
      </c>
      <c r="G41">
        <v>5940</v>
      </c>
      <c r="H41">
        <v>10</v>
      </c>
      <c r="I41">
        <v>6600</v>
      </c>
      <c r="J41">
        <v>11</v>
      </c>
      <c r="K41">
        <v>7260</v>
      </c>
      <c r="L41">
        <v>9.5048470082714331</v>
      </c>
      <c r="M41">
        <v>6273.1990254591456</v>
      </c>
      <c r="N41">
        <v>12.379352737625021</v>
      </c>
      <c r="O41">
        <v>8170.3728068325145</v>
      </c>
      <c r="P41">
        <v>10</v>
      </c>
      <c r="Q41">
        <v>6600</v>
      </c>
      <c r="R41">
        <v>9.4353179926718784</v>
      </c>
      <c r="S41">
        <v>6227.3098751634398</v>
      </c>
      <c r="T41">
        <v>8</v>
      </c>
      <c r="U41">
        <v>5280</v>
      </c>
      <c r="V41">
        <v>12.587293929701264</v>
      </c>
      <c r="W41">
        <v>8307.6139936028339</v>
      </c>
      <c r="X41">
        <v>8</v>
      </c>
      <c r="Y41">
        <v>5280</v>
      </c>
      <c r="Z41">
        <v>13.445594800729157</v>
      </c>
      <c r="AA41">
        <v>8874.0925684812446</v>
      </c>
      <c r="AB41">
        <v>7</v>
      </c>
      <c r="AC41">
        <v>4620</v>
      </c>
      <c r="AD41">
        <v>12.529105650902137</v>
      </c>
      <c r="AE41">
        <v>8269.20972959541</v>
      </c>
      <c r="AF41">
        <v>9.3470182015782601</v>
      </c>
      <c r="AG41">
        <v>6169.0320130416521</v>
      </c>
      <c r="AH41">
        <v>11.447695684326478</v>
      </c>
      <c r="AI41">
        <v>7555.4791516554751</v>
      </c>
      <c r="AJ41">
        <v>12</v>
      </c>
      <c r="AK41">
        <v>7920</v>
      </c>
      <c r="AL41">
        <v>7</v>
      </c>
      <c r="AM41">
        <v>4620</v>
      </c>
      <c r="AN41">
        <v>7.4656572016927401</v>
      </c>
      <c r="AO41">
        <v>4927.3337531172083</v>
      </c>
      <c r="AP41">
        <v>9.7484631152813161</v>
      </c>
      <c r="AQ41">
        <v>6433.9856560856688</v>
      </c>
      <c r="AR41">
        <v>12</v>
      </c>
      <c r="AS41">
        <v>7920</v>
      </c>
      <c r="AT41">
        <v>7.5465298203499938</v>
      </c>
      <c r="AU41">
        <v>4980.7096814309962</v>
      </c>
      <c r="AV41">
        <v>7</v>
      </c>
      <c r="AW41">
        <v>4620</v>
      </c>
      <c r="AX41">
        <v>7.7480081850334592</v>
      </c>
      <c r="AY41">
        <v>5113.6854021220834</v>
      </c>
      <c r="AZ41">
        <v>6.7422487305598331</v>
      </c>
      <c r="BA41">
        <v>4449.8841621694901</v>
      </c>
      <c r="BB41">
        <v>4.8307839823508925</v>
      </c>
      <c r="BC41">
        <v>3188.3174283515891</v>
      </c>
      <c r="BD41">
        <v>3.5147661761115812</v>
      </c>
      <c r="BE41">
        <v>2319.7456762336437</v>
      </c>
      <c r="BF41">
        <v>5.3358713182897723</v>
      </c>
      <c r="BG41">
        <v>3521.6750700712496</v>
      </c>
      <c r="BH41">
        <v>3.8269167386054068</v>
      </c>
      <c r="BI41">
        <v>2525.7650474795687</v>
      </c>
      <c r="BJ41">
        <v>4.7367634626383319</v>
      </c>
      <c r="BK41">
        <v>3126.2638853412991</v>
      </c>
      <c r="BL41">
        <v>3.5715013105366649</v>
      </c>
      <c r="BM41">
        <v>2357.1908649541988</v>
      </c>
      <c r="BN41">
        <v>3.5880556022622319</v>
      </c>
      <c r="BO41">
        <v>2368.1166974930729</v>
      </c>
      <c r="BP41">
        <v>4.1324924158002894</v>
      </c>
      <c r="BQ41">
        <v>2727.444994428191</v>
      </c>
      <c r="BR41">
        <v>2.9164690658267509</v>
      </c>
      <c r="BS41">
        <v>1924.8695834456555</v>
      </c>
      <c r="BT41">
        <v>3.4048832792245891</v>
      </c>
      <c r="BU41">
        <v>2247.2229642882289</v>
      </c>
      <c r="BV41">
        <v>4.0234505287897715</v>
      </c>
      <c r="BW41">
        <v>2655.477349001249</v>
      </c>
      <c r="BX41">
        <v>4.4370049143251089</v>
      </c>
      <c r="BY41">
        <v>2928.423243454572</v>
      </c>
      <c r="BZ41">
        <v>3.3855886561214752</v>
      </c>
      <c r="CA41">
        <v>2234.4885130401735</v>
      </c>
      <c r="CB41">
        <v>3.7945438651173475</v>
      </c>
      <c r="CC41">
        <v>2504.3989509774492</v>
      </c>
      <c r="CD41">
        <v>2.2943392903416897</v>
      </c>
      <c r="CE41">
        <v>1514.2639316255152</v>
      </c>
      <c r="CF41">
        <v>2.8894781037947301</v>
      </c>
      <c r="CG41">
        <v>1907.055548504522</v>
      </c>
      <c r="CH41">
        <v>2.5026489809871428</v>
      </c>
      <c r="CI41">
        <v>1651.7483274515143</v>
      </c>
      <c r="CJ41">
        <v>3.658177456424649</v>
      </c>
      <c r="CK41">
        <v>2414.3971212402685</v>
      </c>
      <c r="CL41">
        <v>2.6485124703873129</v>
      </c>
      <c r="CM41">
        <v>1748.0182304556265</v>
      </c>
      <c r="CN41">
        <v>3.6398892117932693</v>
      </c>
      <c r="CO41">
        <v>2402.3268797835576</v>
      </c>
      <c r="CP41">
        <v>3.2364473453775631</v>
      </c>
      <c r="CQ41">
        <v>2136.0552479491917</v>
      </c>
      <c r="CR41">
        <v>2.6887718402976111</v>
      </c>
      <c r="CS41">
        <v>1774.5894145964232</v>
      </c>
      <c r="CT41">
        <v>2.4202287533543263</v>
      </c>
      <c r="CU41">
        <v>1597.3509772138555</v>
      </c>
    </row>
    <row r="42" spans="2:99" x14ac:dyDescent="0.2">
      <c r="C42" s="105" t="s">
        <v>208</v>
      </c>
      <c r="D42">
        <v>11</v>
      </c>
      <c r="E42">
        <v>9306</v>
      </c>
      <c r="F42">
        <v>8</v>
      </c>
      <c r="G42">
        <v>6768</v>
      </c>
      <c r="H42">
        <v>11</v>
      </c>
      <c r="I42">
        <v>9306</v>
      </c>
      <c r="J42">
        <v>12</v>
      </c>
      <c r="K42">
        <v>10152</v>
      </c>
      <c r="L42">
        <v>8.5048470082714331</v>
      </c>
      <c r="M42">
        <v>7195.1005689976328</v>
      </c>
      <c r="N42">
        <v>10.379352737625021</v>
      </c>
      <c r="O42">
        <v>8780.9324160307679</v>
      </c>
      <c r="P42">
        <v>9</v>
      </c>
      <c r="Q42">
        <v>7614</v>
      </c>
      <c r="R42">
        <v>9.3869493268194475</v>
      </c>
      <c r="S42">
        <v>7941.3591304892525</v>
      </c>
      <c r="T42">
        <v>8</v>
      </c>
      <c r="U42">
        <v>6768</v>
      </c>
      <c r="V42">
        <v>13.587293929701264</v>
      </c>
      <c r="W42">
        <v>11494.85066452727</v>
      </c>
      <c r="X42">
        <v>7</v>
      </c>
      <c r="Y42">
        <v>5922</v>
      </c>
      <c r="Z42">
        <v>12.445594800729157</v>
      </c>
      <c r="AA42">
        <v>10528.973201416868</v>
      </c>
      <c r="AB42">
        <v>6</v>
      </c>
      <c r="AC42">
        <v>5076</v>
      </c>
      <c r="AD42">
        <v>11.447704781532577</v>
      </c>
      <c r="AE42">
        <v>9684.7582451765611</v>
      </c>
      <c r="AF42">
        <v>8.2699030456719811</v>
      </c>
      <c r="AG42">
        <v>6996.337976638496</v>
      </c>
      <c r="AH42">
        <v>11.410387710632603</v>
      </c>
      <c r="AI42">
        <v>9653.1880031951823</v>
      </c>
      <c r="AJ42">
        <v>13</v>
      </c>
      <c r="AK42">
        <v>10998</v>
      </c>
      <c r="AL42">
        <v>7</v>
      </c>
      <c r="AM42">
        <v>5922</v>
      </c>
      <c r="AN42">
        <v>7.4656572016927401</v>
      </c>
      <c r="AO42">
        <v>6315.9459926320578</v>
      </c>
      <c r="AP42">
        <v>10.748463115281316</v>
      </c>
      <c r="AQ42">
        <v>9093.199795527993</v>
      </c>
      <c r="AR42">
        <v>11</v>
      </c>
      <c r="AS42">
        <v>9306</v>
      </c>
      <c r="AT42">
        <v>8.5962143494727208</v>
      </c>
      <c r="AU42">
        <v>7272.3973396539213</v>
      </c>
      <c r="AV42">
        <v>6</v>
      </c>
      <c r="AW42">
        <v>5076</v>
      </c>
      <c r="AX42">
        <v>7.7978753973690234</v>
      </c>
      <c r="AY42">
        <v>6597.0025861741933</v>
      </c>
      <c r="AZ42">
        <v>7.3041027914398198</v>
      </c>
      <c r="BA42">
        <v>6179.2709615580879</v>
      </c>
      <c r="BB42">
        <v>4.4964042684245493</v>
      </c>
      <c r="BC42">
        <v>3803.9580110871689</v>
      </c>
      <c r="BD42">
        <v>3.244399547179921</v>
      </c>
      <c r="BE42">
        <v>2744.7620169142133</v>
      </c>
      <c r="BF42">
        <v>4.926917355414365</v>
      </c>
      <c r="BG42">
        <v>4168.1720826805531</v>
      </c>
      <c r="BH42">
        <v>4.2521297095615633</v>
      </c>
      <c r="BI42">
        <v>3597.3017342890826</v>
      </c>
      <c r="BJ42">
        <v>4.3226870637889281</v>
      </c>
      <c r="BK42">
        <v>3656.993255965433</v>
      </c>
      <c r="BL42">
        <v>3.8972800851559466</v>
      </c>
      <c r="BM42">
        <v>3297.0989520419307</v>
      </c>
      <c r="BN42">
        <v>3.2846229252699333</v>
      </c>
      <c r="BO42">
        <v>2778.7909947783637</v>
      </c>
      <c r="BP42">
        <v>3.4530547571049275</v>
      </c>
      <c r="BQ42">
        <v>2921.2843245107688</v>
      </c>
      <c r="BR42">
        <v>2.9164690658267509</v>
      </c>
      <c r="BS42">
        <v>2467.3328296894315</v>
      </c>
      <c r="BT42">
        <v>3.4048832792245891</v>
      </c>
      <c r="BU42">
        <v>2880.5312542240022</v>
      </c>
      <c r="BV42">
        <v>3.9893693344566943</v>
      </c>
      <c r="BW42">
        <v>3375.0064569503634</v>
      </c>
      <c r="BX42">
        <v>5.1765057333792939</v>
      </c>
      <c r="BY42">
        <v>4379.3238504388828</v>
      </c>
      <c r="BZ42">
        <v>3.3959237348025</v>
      </c>
      <c r="CA42">
        <v>2872.9514796429148</v>
      </c>
      <c r="CB42">
        <v>3.5406403733566578</v>
      </c>
      <c r="CC42">
        <v>2995.3817558597325</v>
      </c>
      <c r="CD42">
        <v>2.2943392903416897</v>
      </c>
      <c r="CE42">
        <v>1941.0110396290695</v>
      </c>
      <c r="CF42">
        <v>2.5282933408203889</v>
      </c>
      <c r="CG42">
        <v>2138.9361663340492</v>
      </c>
      <c r="CH42">
        <v>2.514931082564027</v>
      </c>
      <c r="CI42">
        <v>2127.631695849167</v>
      </c>
      <c r="CJ42">
        <v>4.0430418286189713</v>
      </c>
      <c r="CK42">
        <v>3420.4133870116498</v>
      </c>
      <c r="CL42">
        <v>2.6485124703873129</v>
      </c>
      <c r="CM42">
        <v>2240.6415499476666</v>
      </c>
      <c r="CN42">
        <v>3.1316056379891446</v>
      </c>
      <c r="CO42">
        <v>2649.3383697388163</v>
      </c>
      <c r="CP42">
        <v>3.2240741262049863</v>
      </c>
      <c r="CQ42">
        <v>2727.5667107694185</v>
      </c>
      <c r="CR42">
        <v>2.6887718402976111</v>
      </c>
      <c r="CS42">
        <v>2274.7009768917792</v>
      </c>
      <c r="CT42">
        <v>2.4202287533543263</v>
      </c>
      <c r="CU42">
        <v>2047.51352533776</v>
      </c>
    </row>
    <row r="43" spans="2:99" x14ac:dyDescent="0.2">
      <c r="C43" s="105" t="s">
        <v>209</v>
      </c>
      <c r="D43">
        <v>11</v>
      </c>
      <c r="E43">
        <v>11246.4</v>
      </c>
      <c r="F43">
        <v>8</v>
      </c>
      <c r="G43">
        <v>8179.2</v>
      </c>
      <c r="H43">
        <v>10</v>
      </c>
      <c r="I43">
        <v>10224</v>
      </c>
      <c r="J43">
        <v>10</v>
      </c>
      <c r="K43">
        <v>10224</v>
      </c>
      <c r="L43">
        <v>9.5048470082714331</v>
      </c>
      <c r="M43">
        <v>9717.7555812567134</v>
      </c>
      <c r="N43">
        <v>11.426771829828148</v>
      </c>
      <c r="O43">
        <v>11682.731518816297</v>
      </c>
      <c r="P43">
        <v>10</v>
      </c>
      <c r="Q43">
        <v>10224</v>
      </c>
      <c r="R43">
        <v>9.3869493268194475</v>
      </c>
      <c r="S43">
        <v>9597.2169917402025</v>
      </c>
      <c r="T43">
        <v>8</v>
      </c>
      <c r="U43">
        <v>8179.2</v>
      </c>
      <c r="V43">
        <v>12.538352768892825</v>
      </c>
      <c r="W43">
        <v>12819.211870916024</v>
      </c>
      <c r="X43">
        <v>6</v>
      </c>
      <c r="Y43">
        <v>6134.4</v>
      </c>
      <c r="Z43">
        <v>13.544615867557861</v>
      </c>
      <c r="AA43">
        <v>13848.015262991155</v>
      </c>
      <c r="AB43">
        <v>7</v>
      </c>
      <c r="AC43">
        <v>7156.8</v>
      </c>
      <c r="AD43">
        <v>10.447704781532577</v>
      </c>
      <c r="AE43">
        <v>10681.733368638907</v>
      </c>
      <c r="AF43">
        <v>9.3084606236251197</v>
      </c>
      <c r="AG43">
        <v>9516.9701415943218</v>
      </c>
      <c r="AH43">
        <v>11.410387710632603</v>
      </c>
      <c r="AI43">
        <v>11665.980395350774</v>
      </c>
      <c r="AJ43">
        <v>12</v>
      </c>
      <c r="AK43">
        <v>12268.8</v>
      </c>
      <c r="AL43">
        <v>7.6441243872050233</v>
      </c>
      <c r="AM43">
        <v>7815.3527734784157</v>
      </c>
      <c r="AN43">
        <v>6.4268524348850118</v>
      </c>
      <c r="AO43">
        <v>6570.8139294264356</v>
      </c>
      <c r="AP43">
        <v>10.748463115281316</v>
      </c>
      <c r="AQ43">
        <v>10989.228689063617</v>
      </c>
      <c r="AR43">
        <v>13</v>
      </c>
      <c r="AS43">
        <v>13291.199999999999</v>
      </c>
      <c r="AT43">
        <v>7.5465298203499938</v>
      </c>
      <c r="AU43">
        <v>7715.5720883258336</v>
      </c>
      <c r="AV43">
        <v>7</v>
      </c>
      <c r="AW43">
        <v>7156.8</v>
      </c>
      <c r="AX43">
        <v>7.7480081850334592</v>
      </c>
      <c r="AY43">
        <v>7921.5635683782084</v>
      </c>
      <c r="AZ43">
        <v>6.1803946696798473</v>
      </c>
      <c r="BA43">
        <v>6318.8355102806754</v>
      </c>
      <c r="BB43">
        <v>4.8141764281973281</v>
      </c>
      <c r="BC43">
        <v>4922.0139801889482</v>
      </c>
      <c r="BD43">
        <v>3.7851328050432409</v>
      </c>
      <c r="BE43">
        <v>3869.9197798762093</v>
      </c>
      <c r="BF43">
        <v>5.0632941055570271</v>
      </c>
      <c r="BG43">
        <v>5176.711893521504</v>
      </c>
      <c r="BH43">
        <v>3.8269167386054068</v>
      </c>
      <c r="BI43">
        <v>3912.639673550168</v>
      </c>
      <c r="BJ43">
        <v>4.3226870637889281</v>
      </c>
      <c r="BK43">
        <v>4419.5152540177996</v>
      </c>
      <c r="BL43">
        <v>3.5956317310875296</v>
      </c>
      <c r="BM43">
        <v>3676.1738818638901</v>
      </c>
      <c r="BN43">
        <v>3.600570410029579</v>
      </c>
      <c r="BO43">
        <v>3681.2231872142415</v>
      </c>
      <c r="BP43">
        <v>3.787186940089796</v>
      </c>
      <c r="BQ43">
        <v>3872.0199275478071</v>
      </c>
      <c r="BR43">
        <v>2.9164690658267509</v>
      </c>
      <c r="BS43">
        <v>2981.79797290127</v>
      </c>
      <c r="BT43">
        <v>3.4048832792245891</v>
      </c>
      <c r="BU43">
        <v>3481.1526646792199</v>
      </c>
      <c r="BV43">
        <v>4.0234505287897715</v>
      </c>
      <c r="BW43">
        <v>4113.5758206346627</v>
      </c>
      <c r="BX43">
        <v>4.4370049143251089</v>
      </c>
      <c r="BY43">
        <v>4536.3938244059909</v>
      </c>
      <c r="BZ43">
        <v>3.0862638426676337</v>
      </c>
      <c r="CA43">
        <v>3155.3961527433885</v>
      </c>
      <c r="CB43">
        <v>3.2649282470079966</v>
      </c>
      <c r="CC43">
        <v>3338.0626397409756</v>
      </c>
      <c r="CD43">
        <v>2.2943392903416897</v>
      </c>
      <c r="CE43">
        <v>2345.7324904453435</v>
      </c>
      <c r="CF43">
        <v>2.5282933408203889</v>
      </c>
      <c r="CG43">
        <v>2584.9271116547657</v>
      </c>
      <c r="CH43">
        <v>2.5026489809871428</v>
      </c>
      <c r="CI43">
        <v>2558.7083181612547</v>
      </c>
      <c r="CJ43">
        <v>4.0280881281054528</v>
      </c>
      <c r="CK43">
        <v>4118.3173021750144</v>
      </c>
      <c r="CL43">
        <v>2.881075714285279</v>
      </c>
      <c r="CM43">
        <v>2945.6118102852693</v>
      </c>
      <c r="CN43">
        <v>3.6307887456638914</v>
      </c>
      <c r="CO43">
        <v>3712.1184135667627</v>
      </c>
      <c r="CP43">
        <v>2.9688056031248622</v>
      </c>
      <c r="CQ43">
        <v>3035.3068486348589</v>
      </c>
      <c r="CR43">
        <v>2.6887718402976111</v>
      </c>
      <c r="CS43">
        <v>2749.0003295202773</v>
      </c>
      <c r="CT43">
        <v>2.4202287533543263</v>
      </c>
      <c r="CU43">
        <v>2474.4418774294631</v>
      </c>
    </row>
    <row r="44" spans="2:99" x14ac:dyDescent="0.2">
      <c r="C44" s="105" t="s">
        <v>210</v>
      </c>
      <c r="D44">
        <v>12</v>
      </c>
      <c r="E44">
        <v>12268.8</v>
      </c>
      <c r="F44">
        <v>8</v>
      </c>
      <c r="G44">
        <v>8179.2</v>
      </c>
      <c r="H44">
        <v>10</v>
      </c>
      <c r="I44">
        <v>10224</v>
      </c>
      <c r="J44">
        <v>11</v>
      </c>
      <c r="K44">
        <v>11246.4</v>
      </c>
      <c r="L44">
        <v>9.5048470082714331</v>
      </c>
      <c r="M44">
        <v>9717.7555812567134</v>
      </c>
      <c r="N44">
        <v>10.426771829828148</v>
      </c>
      <c r="O44">
        <v>10660.331518816298</v>
      </c>
      <c r="P44">
        <v>8</v>
      </c>
      <c r="Q44">
        <v>8179.2</v>
      </c>
      <c r="R44">
        <v>9.3385806609670166</v>
      </c>
      <c r="S44">
        <v>9547.7648677726775</v>
      </c>
      <c r="T44">
        <v>9</v>
      </c>
      <c r="U44">
        <v>9201.6</v>
      </c>
      <c r="V44">
        <v>14.587293929701264</v>
      </c>
      <c r="W44">
        <v>14914.049313726573</v>
      </c>
      <c r="X44">
        <v>6</v>
      </c>
      <c r="Y44">
        <v>6134.4</v>
      </c>
      <c r="Z44">
        <v>12.49510533414351</v>
      </c>
      <c r="AA44">
        <v>12774.995693628323</v>
      </c>
      <c r="AB44">
        <v>7</v>
      </c>
      <c r="AC44">
        <v>7156.8</v>
      </c>
      <c r="AD44">
        <v>11.488405216217357</v>
      </c>
      <c r="AE44">
        <v>11745.745493060625</v>
      </c>
      <c r="AF44">
        <v>9.2699030456719811</v>
      </c>
      <c r="AG44">
        <v>9477.5488738950335</v>
      </c>
      <c r="AH44">
        <v>11.410387710632603</v>
      </c>
      <c r="AI44">
        <v>11665.980395350774</v>
      </c>
      <c r="AJ44">
        <v>11</v>
      </c>
      <c r="AK44">
        <v>11246.4</v>
      </c>
      <c r="AL44">
        <v>6</v>
      </c>
      <c r="AM44">
        <v>6134.4</v>
      </c>
      <c r="AN44">
        <v>7.4268524348850118</v>
      </c>
      <c r="AO44">
        <v>7593.2139294264362</v>
      </c>
      <c r="AP44">
        <v>9.6486680332438084</v>
      </c>
      <c r="AQ44">
        <v>9864.7981971884692</v>
      </c>
      <c r="AR44">
        <v>11</v>
      </c>
      <c r="AS44">
        <v>11246.4</v>
      </c>
      <c r="AT44">
        <v>8.5465298203499938</v>
      </c>
      <c r="AU44">
        <v>8737.9720883258342</v>
      </c>
      <c r="AV44">
        <v>6</v>
      </c>
      <c r="AW44">
        <v>6134.4</v>
      </c>
      <c r="AX44">
        <v>7.7480081850334592</v>
      </c>
      <c r="AY44">
        <v>7921.5635683782084</v>
      </c>
      <c r="AZ44">
        <v>6.7422487305598331</v>
      </c>
      <c r="BA44">
        <v>6893.275102124373</v>
      </c>
      <c r="BB44">
        <v>4.4797967142709849</v>
      </c>
      <c r="BC44">
        <v>4580.1441606706549</v>
      </c>
      <c r="BD44">
        <v>3.5147661761115812</v>
      </c>
      <c r="BE44">
        <v>3593.4969384564806</v>
      </c>
      <c r="BF44">
        <v>5.0632941055570271</v>
      </c>
      <c r="BG44">
        <v>5176.711893521504</v>
      </c>
      <c r="BH44">
        <v>3.8269167386054068</v>
      </c>
      <c r="BI44">
        <v>3912.639673550168</v>
      </c>
      <c r="BJ44">
        <v>4.3226870637889281</v>
      </c>
      <c r="BK44">
        <v>4419.5152540177996</v>
      </c>
      <c r="BL44">
        <v>3.2577877461928155</v>
      </c>
      <c r="BM44">
        <v>3330.7621917075344</v>
      </c>
      <c r="BN44">
        <v>3.600570410029579</v>
      </c>
      <c r="BO44">
        <v>3681.2231872142415</v>
      </c>
      <c r="BP44">
        <v>3.4642280498305511</v>
      </c>
      <c r="BQ44">
        <v>3541.8267581467553</v>
      </c>
      <c r="BR44">
        <v>3.3053950046164453</v>
      </c>
      <c r="BS44">
        <v>3379.4358527198538</v>
      </c>
      <c r="BT44">
        <v>3.0643949513021305</v>
      </c>
      <c r="BU44">
        <v>3133.0373982112983</v>
      </c>
      <c r="BV44">
        <v>3.3244461181459313</v>
      </c>
      <c r="BW44">
        <v>3398.9137111924001</v>
      </c>
      <c r="BX44">
        <v>4.8067553238522018</v>
      </c>
      <c r="BY44">
        <v>4914.4266431064907</v>
      </c>
      <c r="BZ44">
        <v>3.096598921348658</v>
      </c>
      <c r="CA44">
        <v>3165.9627371868678</v>
      </c>
      <c r="CB44">
        <v>3.7945438651173475</v>
      </c>
      <c r="CC44">
        <v>3879.5416476959758</v>
      </c>
      <c r="CD44">
        <v>2.2943392903416897</v>
      </c>
      <c r="CE44">
        <v>2345.7324904453435</v>
      </c>
      <c r="CF44">
        <v>2.5282933408203889</v>
      </c>
      <c r="CG44">
        <v>2584.9271116547657</v>
      </c>
      <c r="CH44">
        <v>2.5026489809871428</v>
      </c>
      <c r="CI44">
        <v>2558.7083181612547</v>
      </c>
      <c r="CJ44">
        <v>3.658177456424649</v>
      </c>
      <c r="CK44">
        <v>3740.1206314485612</v>
      </c>
      <c r="CL44">
        <v>2.3790486514713294</v>
      </c>
      <c r="CM44">
        <v>2432.3393412642872</v>
      </c>
      <c r="CN44">
        <v>3.3766469587618291</v>
      </c>
      <c r="CO44">
        <v>3452.283850638094</v>
      </c>
      <c r="CP44">
        <v>3.2240741262049863</v>
      </c>
      <c r="CQ44">
        <v>3296.2933866319781</v>
      </c>
      <c r="CR44">
        <v>2.3526753602604096</v>
      </c>
      <c r="CS44">
        <v>2405.3752883302427</v>
      </c>
      <c r="CT44">
        <v>2.1115786161206258</v>
      </c>
      <c r="CU44">
        <v>2158.8779771217278</v>
      </c>
    </row>
    <row r="45" spans="2:99" x14ac:dyDescent="0.2">
      <c r="C45" s="105" t="s">
        <v>211</v>
      </c>
      <c r="D45">
        <v>12</v>
      </c>
      <c r="E45">
        <v>14990.400000000001</v>
      </c>
      <c r="F45">
        <v>8</v>
      </c>
      <c r="G45">
        <v>9993.6</v>
      </c>
      <c r="H45">
        <v>11</v>
      </c>
      <c r="I45">
        <v>13741.2</v>
      </c>
      <c r="J45">
        <v>11</v>
      </c>
      <c r="K45">
        <v>13741.2</v>
      </c>
      <c r="L45">
        <v>9.5048470082714331</v>
      </c>
      <c r="M45">
        <v>11873.454882732674</v>
      </c>
      <c r="N45">
        <v>10.426771829828148</v>
      </c>
      <c r="O45">
        <v>13025.123369821324</v>
      </c>
      <c r="P45">
        <v>9</v>
      </c>
      <c r="Q45">
        <v>11242.800000000001</v>
      </c>
      <c r="R45">
        <v>8.3869493268194475</v>
      </c>
      <c r="S45">
        <v>10476.977099062855</v>
      </c>
      <c r="T45">
        <v>8</v>
      </c>
      <c r="U45">
        <v>9993.6</v>
      </c>
      <c r="V45">
        <v>12.538352768892825</v>
      </c>
      <c r="W45">
        <v>15662.910278900918</v>
      </c>
      <c r="X45">
        <v>6</v>
      </c>
      <c r="Y45">
        <v>7495.2000000000007</v>
      </c>
      <c r="Z45">
        <v>11.544615867557861</v>
      </c>
      <c r="AA45">
        <v>14421.53414175328</v>
      </c>
      <c r="AB45">
        <v>6</v>
      </c>
      <c r="AC45">
        <v>7495.2000000000007</v>
      </c>
      <c r="AD45">
        <v>12.488405216217357</v>
      </c>
      <c r="AE45">
        <v>15600.515796098724</v>
      </c>
      <c r="AF45">
        <v>8.3084606236251197</v>
      </c>
      <c r="AG45">
        <v>10378.9290110325</v>
      </c>
      <c r="AH45">
        <v>10.373079736938731</v>
      </c>
      <c r="AI45">
        <v>12958.051207383864</v>
      </c>
      <c r="AJ45">
        <v>11</v>
      </c>
      <c r="AK45">
        <v>13741.2</v>
      </c>
      <c r="AL45">
        <v>6.5945763574200216</v>
      </c>
      <c r="AM45">
        <v>8237.9447856890911</v>
      </c>
      <c r="AN45">
        <v>7.4656572016927401</v>
      </c>
      <c r="AO45">
        <v>9326.0989763545713</v>
      </c>
      <c r="AP45">
        <v>9.7484631152813161</v>
      </c>
      <c r="AQ45">
        <v>12177.78012360942</v>
      </c>
      <c r="AR45">
        <v>12</v>
      </c>
      <c r="AS45">
        <v>14990.400000000001</v>
      </c>
      <c r="AT45">
        <v>8.5465298203499938</v>
      </c>
      <c r="AU45">
        <v>10676.325051581212</v>
      </c>
      <c r="AV45">
        <v>7</v>
      </c>
      <c r="AW45">
        <v>8744.4</v>
      </c>
      <c r="AX45">
        <v>6.7480081850334592</v>
      </c>
      <c r="AY45">
        <v>8429.6118247437971</v>
      </c>
      <c r="AZ45">
        <v>6.1803946696798473</v>
      </c>
      <c r="BA45">
        <v>7720.5490213640651</v>
      </c>
      <c r="BB45">
        <v>4.8141764281973281</v>
      </c>
      <c r="BC45">
        <v>6013.8691941041025</v>
      </c>
      <c r="BD45">
        <v>3.244399547179921</v>
      </c>
      <c r="BE45">
        <v>4052.9039143371574</v>
      </c>
      <c r="BF45">
        <v>5.6669460775272515</v>
      </c>
      <c r="BG45">
        <v>7079.1490400470429</v>
      </c>
      <c r="BH45">
        <v>3.8269167386054068</v>
      </c>
      <c r="BI45">
        <v>4780.5843898658741</v>
      </c>
      <c r="BJ45">
        <v>3.9086106649395247</v>
      </c>
      <c r="BK45">
        <v>4882.6364426424543</v>
      </c>
      <c r="BL45">
        <v>3.5835665208120973</v>
      </c>
      <c r="BM45">
        <v>4476.5912977984717</v>
      </c>
      <c r="BN45">
        <v>3.9165178947892252</v>
      </c>
      <c r="BO45">
        <v>4892.5141541706998</v>
      </c>
      <c r="BP45">
        <v>3.787186940089796</v>
      </c>
      <c r="BQ45">
        <v>4730.953925560173</v>
      </c>
      <c r="BR45">
        <v>2.8970703163968619</v>
      </c>
      <c r="BS45">
        <v>3619.0202392429601</v>
      </c>
      <c r="BT45">
        <v>3.4048832792245891</v>
      </c>
      <c r="BU45">
        <v>4253.3801924073568</v>
      </c>
      <c r="BV45">
        <v>3.9723287372901557</v>
      </c>
      <c r="BW45">
        <v>4962.2330586228627</v>
      </c>
      <c r="BX45">
        <v>4.4370049143251089</v>
      </c>
      <c r="BY45">
        <v>5542.7065389749259</v>
      </c>
      <c r="BZ45">
        <v>3.3855886561214752</v>
      </c>
      <c r="CA45">
        <v>4229.2773492269471</v>
      </c>
      <c r="CB45">
        <v>3.5188317387686858</v>
      </c>
      <c r="CC45">
        <v>4395.7246080698424</v>
      </c>
      <c r="CD45">
        <v>2.2943392903416897</v>
      </c>
      <c r="CE45">
        <v>2866.0886414948391</v>
      </c>
      <c r="CF45">
        <v>2.8894781037947301</v>
      </c>
      <c r="CG45">
        <v>3609.536047260377</v>
      </c>
      <c r="CH45">
        <v>2.514931082564027</v>
      </c>
      <c r="CI45">
        <v>3141.6519083389826</v>
      </c>
      <c r="CJ45">
        <v>3.6282700553976115</v>
      </c>
      <c r="CK45">
        <v>4532.4349532026963</v>
      </c>
      <c r="CL45">
        <v>2.3974989389803381</v>
      </c>
      <c r="CM45">
        <v>2994.9556745742384</v>
      </c>
      <c r="CN45">
        <v>3.1316056379891446</v>
      </c>
      <c r="CO45">
        <v>3912.0017629760396</v>
      </c>
      <c r="CP45">
        <v>3.2117009070324096</v>
      </c>
      <c r="CQ45">
        <v>4012.0567730648863</v>
      </c>
      <c r="CR45">
        <v>2.6887718402976111</v>
      </c>
      <c r="CS45">
        <v>3358.813782899776</v>
      </c>
      <c r="CT45">
        <v>2.403998891309425</v>
      </c>
      <c r="CU45">
        <v>3003.075415023734</v>
      </c>
    </row>
    <row r="46" spans="2:99" x14ac:dyDescent="0.2">
      <c r="C46" s="105" t="s">
        <v>212</v>
      </c>
      <c r="D46">
        <v>10</v>
      </c>
      <c r="E46">
        <v>12120</v>
      </c>
      <c r="F46">
        <v>9</v>
      </c>
      <c r="G46">
        <v>10908</v>
      </c>
      <c r="H46">
        <v>11</v>
      </c>
      <c r="I46">
        <v>13332</v>
      </c>
      <c r="J46">
        <v>11</v>
      </c>
      <c r="K46">
        <v>13332</v>
      </c>
      <c r="L46">
        <v>8.4130566431311742</v>
      </c>
      <c r="M46">
        <v>10196.624651474984</v>
      </c>
      <c r="N46">
        <v>11.379352737625021</v>
      </c>
      <c r="O46">
        <v>13791.775518001527</v>
      </c>
      <c r="P46">
        <v>8</v>
      </c>
      <c r="Q46">
        <v>9696</v>
      </c>
      <c r="R46">
        <v>8.3869493268194475</v>
      </c>
      <c r="S46">
        <v>10164.98258410517</v>
      </c>
      <c r="T46">
        <v>8</v>
      </c>
      <c r="U46">
        <v>9696</v>
      </c>
      <c r="V46">
        <v>13.489411608084387</v>
      </c>
      <c r="W46">
        <v>16349.166868998276</v>
      </c>
      <c r="X46">
        <v>7</v>
      </c>
      <c r="Y46">
        <v>8484</v>
      </c>
      <c r="Z46">
        <v>12.49510533414351</v>
      </c>
      <c r="AA46">
        <v>15144.067664981934</v>
      </c>
      <c r="AB46">
        <v>7</v>
      </c>
      <c r="AC46">
        <v>8484</v>
      </c>
      <c r="AD46">
        <v>12.529105650902137</v>
      </c>
      <c r="AE46">
        <v>15185.276048893391</v>
      </c>
      <c r="AF46">
        <v>9.3084606236251197</v>
      </c>
      <c r="AG46">
        <v>11281.854275833644</v>
      </c>
      <c r="AH46">
        <v>11.373079736938731</v>
      </c>
      <c r="AI46">
        <v>13784.172641169742</v>
      </c>
      <c r="AJ46">
        <v>11</v>
      </c>
      <c r="AK46">
        <v>13332</v>
      </c>
      <c r="AL46">
        <v>6</v>
      </c>
      <c r="AM46">
        <v>7272</v>
      </c>
      <c r="AN46">
        <v>7.3880476680772835</v>
      </c>
      <c r="AO46">
        <v>8954.3137737096677</v>
      </c>
      <c r="AP46">
        <v>10.648668033243808</v>
      </c>
      <c r="AQ46">
        <v>12906.185656291496</v>
      </c>
      <c r="AR46">
        <v>12</v>
      </c>
      <c r="AS46">
        <v>14544</v>
      </c>
      <c r="AT46">
        <v>8.5465298203499938</v>
      </c>
      <c r="AU46">
        <v>10358.394142264193</v>
      </c>
      <c r="AV46">
        <v>7</v>
      </c>
      <c r="AW46">
        <v>8484</v>
      </c>
      <c r="AX46">
        <v>7.7480081850334592</v>
      </c>
      <c r="AY46">
        <v>9390.5859202605534</v>
      </c>
      <c r="AZ46">
        <v>6.7422487305598331</v>
      </c>
      <c r="BA46">
        <v>8171.6054614385175</v>
      </c>
      <c r="BB46">
        <v>4.8307839823508925</v>
      </c>
      <c r="BC46">
        <v>5854.9101866092815</v>
      </c>
      <c r="BD46">
        <v>2.9740329182482608</v>
      </c>
      <c r="BE46">
        <v>3604.5278969168921</v>
      </c>
      <c r="BF46">
        <v>5.2969317164708078</v>
      </c>
      <c r="BG46">
        <v>6419.8812403626189</v>
      </c>
      <c r="BH46">
        <v>3.8269167386054068</v>
      </c>
      <c r="BI46">
        <v>4638.2230871897527</v>
      </c>
      <c r="BJ46">
        <v>3.8946165822245336</v>
      </c>
      <c r="BK46">
        <v>4720.2752976561351</v>
      </c>
      <c r="BL46">
        <v>3.2698529564682479</v>
      </c>
      <c r="BM46">
        <v>3963.0617832395164</v>
      </c>
      <c r="BN46">
        <v>3.600570410029579</v>
      </c>
      <c r="BO46">
        <v>4363.8913369558495</v>
      </c>
      <c r="BP46">
        <v>3.787186940089796</v>
      </c>
      <c r="BQ46">
        <v>4590.0705713888328</v>
      </c>
      <c r="BR46">
        <v>2.9358678152566409</v>
      </c>
      <c r="BS46">
        <v>3558.2717920910486</v>
      </c>
      <c r="BT46">
        <v>3.0643949513021305</v>
      </c>
      <c r="BU46">
        <v>3714.0466809781819</v>
      </c>
      <c r="BV46">
        <v>3.6483874277180437</v>
      </c>
      <c r="BW46">
        <v>4421.8455623942691</v>
      </c>
      <c r="BX46">
        <v>4.4370049143251089</v>
      </c>
      <c r="BY46">
        <v>5377.6499561620321</v>
      </c>
      <c r="BZ46">
        <v>3.0862638426676337</v>
      </c>
      <c r="CA46">
        <v>3740.5517773131719</v>
      </c>
      <c r="CB46">
        <v>3.529736056062672</v>
      </c>
      <c r="CC46">
        <v>4278.0400999479589</v>
      </c>
      <c r="CD46">
        <v>1.9863580939535357</v>
      </c>
      <c r="CE46">
        <v>2407.4660098716854</v>
      </c>
      <c r="CF46">
        <v>2.5282933408203889</v>
      </c>
      <c r="CG46">
        <v>3064.2915290743113</v>
      </c>
      <c r="CH46">
        <v>2.1609189714449739</v>
      </c>
      <c r="CI46">
        <v>2619.0337933913083</v>
      </c>
      <c r="CJ46">
        <v>3.6282700553976115</v>
      </c>
      <c r="CK46">
        <v>4397.4633071419048</v>
      </c>
      <c r="CL46">
        <v>2.3882737952258344</v>
      </c>
      <c r="CM46">
        <v>2894.5878398137111</v>
      </c>
      <c r="CN46">
        <v>3.1225051718597667</v>
      </c>
      <c r="CO46">
        <v>3784.4762682940373</v>
      </c>
      <c r="CP46">
        <v>3.4669694301125338</v>
      </c>
      <c r="CQ46">
        <v>4201.9669492963912</v>
      </c>
      <c r="CR46">
        <v>2.6887718402976111</v>
      </c>
      <c r="CS46">
        <v>3258.7914704407044</v>
      </c>
      <c r="CT46">
        <v>2.4202287533543263</v>
      </c>
      <c r="CU46">
        <v>2933.3172490654433</v>
      </c>
    </row>
    <row r="47" spans="2:99" x14ac:dyDescent="0.2">
      <c r="C47" s="105" t="s">
        <v>213</v>
      </c>
      <c r="D47">
        <v>11</v>
      </c>
      <c r="E47">
        <v>16803.599999999999</v>
      </c>
      <c r="F47">
        <v>9</v>
      </c>
      <c r="G47">
        <v>13748.4</v>
      </c>
      <c r="H47">
        <v>11</v>
      </c>
      <c r="I47">
        <v>16803.599999999999</v>
      </c>
      <c r="J47">
        <v>11</v>
      </c>
      <c r="K47">
        <v>16803.599999999999</v>
      </c>
      <c r="L47">
        <v>8.5048470082714331</v>
      </c>
      <c r="M47">
        <v>12992.00428983544</v>
      </c>
      <c r="N47">
        <v>9.3793527376250214</v>
      </c>
      <c r="O47">
        <v>14327.899241995981</v>
      </c>
      <c r="P47">
        <v>9</v>
      </c>
      <c r="Q47">
        <v>13748.4</v>
      </c>
      <c r="R47">
        <v>8.3869493268194475</v>
      </c>
      <c r="S47">
        <v>12811.903791649387</v>
      </c>
      <c r="T47">
        <v>7</v>
      </c>
      <c r="U47">
        <v>10693.199999999999</v>
      </c>
      <c r="V47">
        <v>11.538352768892825</v>
      </c>
      <c r="W47">
        <v>17625.987689760677</v>
      </c>
      <c r="X47">
        <v>7</v>
      </c>
      <c r="Y47">
        <v>10693.199999999999</v>
      </c>
      <c r="Z47">
        <v>11.445594800729157</v>
      </c>
      <c r="AA47">
        <v>17484.290617593859</v>
      </c>
      <c r="AB47">
        <v>6</v>
      </c>
      <c r="AC47">
        <v>9165.5999999999985</v>
      </c>
      <c r="AD47">
        <v>11.447704781532577</v>
      </c>
      <c r="AE47">
        <v>17487.513824269165</v>
      </c>
      <c r="AF47">
        <v>9.2699030456719811</v>
      </c>
      <c r="AG47">
        <v>14160.703892568517</v>
      </c>
      <c r="AH47">
        <v>11.410387710632603</v>
      </c>
      <c r="AI47">
        <v>17430.508266762365</v>
      </c>
      <c r="AJ47">
        <v>13</v>
      </c>
      <c r="AK47">
        <v>19858.8</v>
      </c>
      <c r="AL47">
        <v>6</v>
      </c>
      <c r="AM47">
        <v>9165.5999999999985</v>
      </c>
      <c r="AN47">
        <v>6.4268524348850118</v>
      </c>
      <c r="AO47">
        <v>9817.6597795303442</v>
      </c>
      <c r="AP47">
        <v>9.7484631152813161</v>
      </c>
      <c r="AQ47">
        <v>14891.752254903739</v>
      </c>
      <c r="AR47">
        <v>11</v>
      </c>
      <c r="AS47">
        <v>16803.599999999999</v>
      </c>
      <c r="AT47">
        <v>8.5465298203499938</v>
      </c>
      <c r="AU47">
        <v>13055.67895356665</v>
      </c>
      <c r="AV47">
        <v>6</v>
      </c>
      <c r="AW47">
        <v>9165.5999999999985</v>
      </c>
      <c r="AX47">
        <v>6.698140972697896</v>
      </c>
      <c r="AY47">
        <v>10232.080149893305</v>
      </c>
      <c r="AZ47">
        <v>6.7422487305598331</v>
      </c>
      <c r="BA47">
        <v>10299.459160803201</v>
      </c>
      <c r="BB47">
        <v>4.4964042684245493</v>
      </c>
      <c r="BC47">
        <v>6868.7071604453413</v>
      </c>
      <c r="BD47">
        <v>3.244399547179921</v>
      </c>
      <c r="BE47">
        <v>4956.1447482720469</v>
      </c>
      <c r="BF47">
        <v>5.277461915561326</v>
      </c>
      <c r="BG47">
        <v>8061.8508222114815</v>
      </c>
      <c r="BH47">
        <v>4.2521297095615633</v>
      </c>
      <c r="BI47">
        <v>6495.5533443262439</v>
      </c>
      <c r="BJ47">
        <v>3.9086106649395247</v>
      </c>
      <c r="BK47">
        <v>5970.7936517616172</v>
      </c>
      <c r="BL47">
        <v>3.5715013105366649</v>
      </c>
      <c r="BM47">
        <v>5455.8254019758087</v>
      </c>
      <c r="BN47">
        <v>3.2721081175025861</v>
      </c>
      <c r="BO47">
        <v>4998.4723602969507</v>
      </c>
      <c r="BP47">
        <v>3.7760136473641723</v>
      </c>
      <c r="BQ47">
        <v>5768.2384477135092</v>
      </c>
      <c r="BR47">
        <v>2.9164690658267509</v>
      </c>
      <c r="BS47">
        <v>4455.1981449569448</v>
      </c>
      <c r="BT47">
        <v>3.4048832792245891</v>
      </c>
      <c r="BU47">
        <v>5201.299697343482</v>
      </c>
      <c r="BV47">
        <v>3.6654280248845819</v>
      </c>
      <c r="BW47">
        <v>5599.3078508136869</v>
      </c>
      <c r="BX47">
        <v>4.0672545047980169</v>
      </c>
      <c r="BY47">
        <v>6213.1379815294504</v>
      </c>
      <c r="BZ47">
        <v>3.3752535774404508</v>
      </c>
      <c r="CA47">
        <v>5156.0373648980321</v>
      </c>
      <c r="CB47">
        <v>3.529736056062672</v>
      </c>
      <c r="CC47">
        <v>5392.0247992413379</v>
      </c>
      <c r="CD47">
        <v>2.0017437512451592</v>
      </c>
      <c r="CE47">
        <v>3057.8637544021049</v>
      </c>
      <c r="CF47">
        <v>2.5282933408203889</v>
      </c>
      <c r="CG47">
        <v>3862.2209074372258</v>
      </c>
      <c r="CH47">
        <v>2.514931082564027</v>
      </c>
      <c r="CI47">
        <v>3841.8087217248076</v>
      </c>
      <c r="CJ47">
        <v>4.0280881281054528</v>
      </c>
      <c r="CK47">
        <v>6153.3074244938889</v>
      </c>
      <c r="CL47">
        <v>2.3790486514713294</v>
      </c>
      <c r="CM47">
        <v>3634.2347199876026</v>
      </c>
      <c r="CN47">
        <v>3.3675464926324516</v>
      </c>
      <c r="CO47">
        <v>5144.264022145333</v>
      </c>
      <c r="CP47">
        <v>3.4793426492851101</v>
      </c>
      <c r="CQ47">
        <v>5315.043831047934</v>
      </c>
      <c r="CR47">
        <v>2.0165788802232085</v>
      </c>
      <c r="CS47">
        <v>3080.5258974289732</v>
      </c>
      <c r="CT47">
        <v>2.403998891309425</v>
      </c>
      <c r="CU47">
        <v>3672.3487063642774</v>
      </c>
    </row>
    <row r="48" spans="2:99" x14ac:dyDescent="0.2">
      <c r="C48" s="105" t="s">
        <v>214</v>
      </c>
      <c r="D48">
        <v>13</v>
      </c>
      <c r="E48">
        <v>11278.800000000001</v>
      </c>
      <c r="F48">
        <v>9</v>
      </c>
      <c r="G48">
        <v>7808.4000000000005</v>
      </c>
      <c r="H48">
        <v>10</v>
      </c>
      <c r="I48">
        <v>8676</v>
      </c>
      <c r="J48">
        <v>11</v>
      </c>
      <c r="K48">
        <v>9543.6</v>
      </c>
      <c r="L48">
        <v>8.4589518257013037</v>
      </c>
      <c r="M48">
        <v>7338.9866039784511</v>
      </c>
      <c r="N48">
        <v>10.474190922031276</v>
      </c>
      <c r="O48">
        <v>9087.4080439543359</v>
      </c>
      <c r="P48">
        <v>8</v>
      </c>
      <c r="Q48">
        <v>6940.8</v>
      </c>
      <c r="R48">
        <v>9.3869493268194475</v>
      </c>
      <c r="S48">
        <v>8144.1172359485527</v>
      </c>
      <c r="T48">
        <v>8</v>
      </c>
      <c r="U48">
        <v>6940.8</v>
      </c>
      <c r="V48">
        <v>13.538352768892825</v>
      </c>
      <c r="W48">
        <v>11745.874862291415</v>
      </c>
      <c r="X48">
        <v>6</v>
      </c>
      <c r="Y48">
        <v>5205.6000000000004</v>
      </c>
      <c r="Z48">
        <v>11.49510533414351</v>
      </c>
      <c r="AA48">
        <v>9973.1533879029103</v>
      </c>
      <c r="AB48">
        <v>7</v>
      </c>
      <c r="AC48">
        <v>6073.2</v>
      </c>
      <c r="AD48">
        <v>10.488405216217357</v>
      </c>
      <c r="AE48">
        <v>9099.7403655901799</v>
      </c>
      <c r="AF48">
        <v>8.3084606236251197</v>
      </c>
      <c r="AG48">
        <v>7208.4204370571542</v>
      </c>
      <c r="AH48">
        <v>11.410387710632603</v>
      </c>
      <c r="AI48">
        <v>9899.6523777448474</v>
      </c>
      <c r="AJ48">
        <v>13</v>
      </c>
      <c r="AK48">
        <v>11278.800000000001</v>
      </c>
      <c r="AL48">
        <v>7</v>
      </c>
      <c r="AM48">
        <v>6073.2</v>
      </c>
      <c r="AN48">
        <v>6.4268524348850118</v>
      </c>
      <c r="AO48">
        <v>5575.9371725062365</v>
      </c>
      <c r="AP48">
        <v>10.648668033243808</v>
      </c>
      <c r="AQ48">
        <v>9238.7843856423278</v>
      </c>
      <c r="AR48">
        <v>12</v>
      </c>
      <c r="AS48">
        <v>10411.200000000001</v>
      </c>
      <c r="AT48">
        <v>7.5465298203499938</v>
      </c>
      <c r="AU48">
        <v>6547.3692721356547</v>
      </c>
      <c r="AV48">
        <v>7</v>
      </c>
      <c r="AW48">
        <v>6073.2</v>
      </c>
      <c r="AX48">
        <v>7.6482737603623319</v>
      </c>
      <c r="AY48">
        <v>6635.6423144903592</v>
      </c>
      <c r="AZ48">
        <v>7.3041027914398198</v>
      </c>
      <c r="BA48">
        <v>6337.0395818531879</v>
      </c>
      <c r="BB48">
        <v>4.4797967142709849</v>
      </c>
      <c r="BC48">
        <v>3886.6716293015065</v>
      </c>
      <c r="BD48">
        <v>3.5147661761115812</v>
      </c>
      <c r="BE48">
        <v>3049.4111343944078</v>
      </c>
      <c r="BF48">
        <v>5.2969317164708078</v>
      </c>
      <c r="BG48">
        <v>4595.6179572100727</v>
      </c>
      <c r="BH48">
        <v>3.8269167386054068</v>
      </c>
      <c r="BI48">
        <v>3320.2329624140511</v>
      </c>
      <c r="BJ48">
        <v>3.9086106649395247</v>
      </c>
      <c r="BK48">
        <v>3391.1106129015316</v>
      </c>
      <c r="BL48">
        <v>3.5715013105366649</v>
      </c>
      <c r="BM48">
        <v>3098.6345370216104</v>
      </c>
      <c r="BN48">
        <v>3.600570410029579</v>
      </c>
      <c r="BO48">
        <v>3123.8548877416629</v>
      </c>
      <c r="BP48">
        <v>3.4642280498305511</v>
      </c>
      <c r="BQ48">
        <v>3005.5642560329861</v>
      </c>
      <c r="BR48">
        <v>2.9358678152566409</v>
      </c>
      <c r="BS48">
        <v>2547.1589165166615</v>
      </c>
      <c r="BT48">
        <v>3.4048832792245891</v>
      </c>
      <c r="BU48">
        <v>2954.0767330552535</v>
      </c>
      <c r="BV48">
        <v>3.6654280248845819</v>
      </c>
      <c r="BW48">
        <v>3180.1253543898633</v>
      </c>
      <c r="BX48">
        <v>4.0672545047980169</v>
      </c>
      <c r="BY48">
        <v>3528.7500083627597</v>
      </c>
      <c r="BZ48">
        <v>3.3855886561214752</v>
      </c>
      <c r="CA48">
        <v>2937.3367180509917</v>
      </c>
      <c r="CB48">
        <v>3.7836395478233613</v>
      </c>
      <c r="CC48">
        <v>3282.6856716915486</v>
      </c>
      <c r="CD48">
        <v>2.3097249476333137</v>
      </c>
      <c r="CE48">
        <v>2003.9173645666631</v>
      </c>
      <c r="CF48">
        <v>2.5282933408203889</v>
      </c>
      <c r="CG48">
        <v>2193.5473024957696</v>
      </c>
      <c r="CH48">
        <v>2.8443789905293113</v>
      </c>
      <c r="CI48">
        <v>2467.7832121832307</v>
      </c>
      <c r="CJ48">
        <v>4.3979987997862562</v>
      </c>
      <c r="CK48">
        <v>3815.7037586945557</v>
      </c>
      <c r="CL48">
        <v>2.6300621828783042</v>
      </c>
      <c r="CM48">
        <v>2281.841949865217</v>
      </c>
      <c r="CN48">
        <v>3.3857474248912069</v>
      </c>
      <c r="CO48">
        <v>2937.4744658356112</v>
      </c>
      <c r="CP48">
        <v>2.9811788222974394</v>
      </c>
      <c r="CQ48">
        <v>2586.4707462252586</v>
      </c>
      <c r="CR48">
        <v>2.6887718402976111</v>
      </c>
      <c r="CS48">
        <v>2332.7784486422074</v>
      </c>
      <c r="CT48">
        <v>2.4202287533543263</v>
      </c>
      <c r="CU48">
        <v>2099.7904664102134</v>
      </c>
    </row>
    <row r="49" spans="2:99" x14ac:dyDescent="0.2">
      <c r="B49" s="105" t="s">
        <v>129</v>
      </c>
      <c r="C49" s="105" t="s">
        <v>215</v>
      </c>
      <c r="D49">
        <v>6</v>
      </c>
      <c r="E49">
        <v>5911.2</v>
      </c>
      <c r="F49">
        <v>5</v>
      </c>
      <c r="G49">
        <v>4926</v>
      </c>
      <c r="H49">
        <v>8</v>
      </c>
      <c r="I49">
        <v>7881.5999999999995</v>
      </c>
      <c r="J49">
        <v>5</v>
      </c>
      <c r="K49">
        <v>4926</v>
      </c>
      <c r="L49">
        <v>7</v>
      </c>
      <c r="M49">
        <v>6896.4</v>
      </c>
      <c r="N49">
        <v>7</v>
      </c>
      <c r="O49">
        <v>6896.4</v>
      </c>
      <c r="P49">
        <v>8</v>
      </c>
      <c r="Q49">
        <v>7881.5999999999995</v>
      </c>
      <c r="R49">
        <v>7</v>
      </c>
      <c r="S49">
        <v>6896.4</v>
      </c>
      <c r="T49">
        <v>7</v>
      </c>
      <c r="U49">
        <v>6896.4</v>
      </c>
      <c r="V49">
        <v>9</v>
      </c>
      <c r="W49">
        <v>8866.7999999999993</v>
      </c>
      <c r="X49">
        <v>7</v>
      </c>
      <c r="Y49">
        <v>6896.4</v>
      </c>
      <c r="Z49">
        <v>6</v>
      </c>
      <c r="AA49">
        <v>5911.2</v>
      </c>
      <c r="AB49">
        <v>8</v>
      </c>
      <c r="AC49">
        <v>7881.5999999999995</v>
      </c>
      <c r="AD49">
        <v>6</v>
      </c>
      <c r="AE49">
        <v>5911.2</v>
      </c>
      <c r="AF49">
        <v>4</v>
      </c>
      <c r="AG49">
        <v>3940.7999999999997</v>
      </c>
      <c r="AH49">
        <v>7</v>
      </c>
      <c r="AI49">
        <v>6896.4</v>
      </c>
      <c r="AJ49">
        <v>6</v>
      </c>
      <c r="AK49">
        <v>5911.2</v>
      </c>
      <c r="AL49">
        <v>7</v>
      </c>
      <c r="AM49">
        <v>6896.4</v>
      </c>
      <c r="AN49">
        <v>7</v>
      </c>
      <c r="AO49">
        <v>6896.4</v>
      </c>
      <c r="AP49">
        <v>6</v>
      </c>
      <c r="AQ49">
        <v>5911.2</v>
      </c>
      <c r="AR49">
        <v>8</v>
      </c>
      <c r="AS49">
        <v>7881.5999999999995</v>
      </c>
      <c r="AT49">
        <v>7</v>
      </c>
      <c r="AU49">
        <v>6896.4</v>
      </c>
      <c r="AV49">
        <v>7</v>
      </c>
      <c r="AW49">
        <v>6896.4</v>
      </c>
      <c r="AX49">
        <v>9</v>
      </c>
      <c r="AY49">
        <v>8866.7999999999993</v>
      </c>
      <c r="AZ49">
        <v>5</v>
      </c>
      <c r="BA49">
        <v>4926</v>
      </c>
      <c r="BB49">
        <v>10</v>
      </c>
      <c r="BC49">
        <v>9852</v>
      </c>
      <c r="BD49">
        <v>6</v>
      </c>
      <c r="BE49">
        <v>5911.2</v>
      </c>
      <c r="BF49">
        <v>6</v>
      </c>
      <c r="BG49">
        <v>5911.2</v>
      </c>
      <c r="BH49">
        <v>6</v>
      </c>
      <c r="BI49">
        <v>5911.2</v>
      </c>
      <c r="BJ49">
        <v>6</v>
      </c>
      <c r="BK49">
        <v>5911.2</v>
      </c>
      <c r="BL49">
        <v>8</v>
      </c>
      <c r="BM49">
        <v>7881.5999999999995</v>
      </c>
      <c r="BN49">
        <v>5</v>
      </c>
      <c r="BO49">
        <v>4926</v>
      </c>
      <c r="BP49">
        <v>5</v>
      </c>
      <c r="BQ49">
        <v>4926</v>
      </c>
      <c r="BR49">
        <v>7</v>
      </c>
      <c r="BS49">
        <v>6896.4</v>
      </c>
      <c r="BT49">
        <v>5</v>
      </c>
      <c r="BU49">
        <v>4926</v>
      </c>
      <c r="BV49">
        <v>6</v>
      </c>
      <c r="BW49">
        <v>5911.2</v>
      </c>
      <c r="BX49">
        <v>4</v>
      </c>
      <c r="BY49">
        <v>3940.7999999999997</v>
      </c>
      <c r="BZ49">
        <v>7</v>
      </c>
      <c r="CA49">
        <v>6896.4</v>
      </c>
      <c r="CB49">
        <v>7</v>
      </c>
      <c r="CC49">
        <v>6896.4</v>
      </c>
      <c r="CD49">
        <v>6</v>
      </c>
      <c r="CE49">
        <v>5911.2</v>
      </c>
      <c r="CF49">
        <v>8</v>
      </c>
      <c r="CG49">
        <v>7881.5999999999995</v>
      </c>
      <c r="CH49">
        <v>8</v>
      </c>
      <c r="CI49">
        <v>7881.5999999999995</v>
      </c>
      <c r="CJ49">
        <v>5</v>
      </c>
      <c r="CK49">
        <v>4926</v>
      </c>
      <c r="CL49">
        <v>8</v>
      </c>
      <c r="CM49">
        <v>7881.5999999999995</v>
      </c>
      <c r="CN49">
        <v>8</v>
      </c>
      <c r="CO49">
        <v>7881.5999999999995</v>
      </c>
      <c r="CP49">
        <v>7</v>
      </c>
      <c r="CQ49">
        <v>6896.4</v>
      </c>
      <c r="CR49">
        <v>7</v>
      </c>
      <c r="CS49">
        <v>6896.4</v>
      </c>
      <c r="CT49">
        <v>6</v>
      </c>
      <c r="CU49">
        <v>5911.2</v>
      </c>
    </row>
    <row r="50" spans="2:99" x14ac:dyDescent="0.2">
      <c r="C50" s="105" t="s">
        <v>216</v>
      </c>
      <c r="D50">
        <v>6</v>
      </c>
      <c r="E50">
        <v>1692</v>
      </c>
      <c r="F50">
        <v>5</v>
      </c>
      <c r="G50">
        <v>1410</v>
      </c>
      <c r="H50">
        <v>8</v>
      </c>
      <c r="I50">
        <v>2256</v>
      </c>
      <c r="J50">
        <v>5</v>
      </c>
      <c r="K50">
        <v>1410</v>
      </c>
      <c r="L50">
        <v>8.3671614605610429</v>
      </c>
      <c r="M50">
        <v>2359.5395318782139</v>
      </c>
      <c r="N50">
        <v>7.3319336454218931</v>
      </c>
      <c r="O50">
        <v>2067.6052880089737</v>
      </c>
      <c r="P50">
        <v>9</v>
      </c>
      <c r="Q50">
        <v>2538</v>
      </c>
      <c r="R50">
        <v>7.4836866585243094</v>
      </c>
      <c r="S50">
        <v>2110.3996377038552</v>
      </c>
      <c r="T50">
        <v>6</v>
      </c>
      <c r="U50">
        <v>1692</v>
      </c>
      <c r="V50">
        <v>9.4404704472759473</v>
      </c>
      <c r="W50">
        <v>2662.2126661318171</v>
      </c>
      <c r="X50">
        <v>8</v>
      </c>
      <c r="Y50">
        <v>2256</v>
      </c>
      <c r="Z50">
        <v>6.495105334143509</v>
      </c>
      <c r="AA50">
        <v>1831.6197042284696</v>
      </c>
      <c r="AB50">
        <v>9</v>
      </c>
      <c r="AC50">
        <v>2538</v>
      </c>
      <c r="AD50">
        <v>6.3256034774782375</v>
      </c>
      <c r="AE50">
        <v>1783.820180648863</v>
      </c>
      <c r="AF50">
        <v>5.3084606236251206</v>
      </c>
      <c r="AG50">
        <v>1496.985895862284</v>
      </c>
      <c r="AH50">
        <v>8.2984637895509845</v>
      </c>
      <c r="AI50">
        <v>2340.1667886533778</v>
      </c>
      <c r="AJ50">
        <v>7</v>
      </c>
      <c r="AK50">
        <v>1974</v>
      </c>
      <c r="AL50">
        <v>7.346836208495013</v>
      </c>
      <c r="AM50">
        <v>2071.8078107955935</v>
      </c>
      <c r="AN50">
        <v>9.2716333676540987</v>
      </c>
      <c r="AO50">
        <v>2614.6006096784558</v>
      </c>
      <c r="AP50">
        <v>6.4490778691687902</v>
      </c>
      <c r="AQ50">
        <v>1818.6399591055988</v>
      </c>
      <c r="AR50">
        <v>8</v>
      </c>
      <c r="AS50">
        <v>2256</v>
      </c>
      <c r="AT50">
        <v>8.3974762329818144</v>
      </c>
      <c r="AU50">
        <v>2368.0882977008719</v>
      </c>
      <c r="AV50">
        <v>8</v>
      </c>
      <c r="AW50">
        <v>2256</v>
      </c>
      <c r="AX50">
        <v>9.299203274013383</v>
      </c>
      <c r="AY50">
        <v>2622.3753232717741</v>
      </c>
      <c r="AZ50">
        <v>3.3711243652799165</v>
      </c>
      <c r="BA50">
        <v>950.65707100893644</v>
      </c>
      <c r="BB50">
        <v>3.1921005210263047</v>
      </c>
      <c r="BC50">
        <v>900.17234692941793</v>
      </c>
      <c r="BD50">
        <v>1.6221997735899605</v>
      </c>
      <c r="BE50">
        <v>457.46033615236888</v>
      </c>
      <c r="BF50">
        <v>2.8432079392183667</v>
      </c>
      <c r="BG50">
        <v>801.78463885957945</v>
      </c>
      <c r="BH50">
        <v>2.5512778257369377</v>
      </c>
      <c r="BI50">
        <v>719.46034685781649</v>
      </c>
      <c r="BJ50">
        <v>3.0244815363807511</v>
      </c>
      <c r="BK50">
        <v>852.90379325937181</v>
      </c>
      <c r="BL50">
        <v>2.6182954072296849</v>
      </c>
      <c r="BM50">
        <v>738.3593048387711</v>
      </c>
      <c r="BN50">
        <v>1.97077375516196</v>
      </c>
      <c r="BO50">
        <v>555.7581989556727</v>
      </c>
      <c r="BP50">
        <v>2.1165260251654514</v>
      </c>
      <c r="BQ50">
        <v>596.8603390966573</v>
      </c>
      <c r="BR50">
        <v>2.8970703163968619</v>
      </c>
      <c r="BS50">
        <v>816.973829223915</v>
      </c>
      <c r="BT50">
        <v>1.7024416396122946</v>
      </c>
      <c r="BU50">
        <v>480.08854237066708</v>
      </c>
      <c r="BV50">
        <v>2.4891169301697844</v>
      </c>
      <c r="BW50">
        <v>701.93097430787918</v>
      </c>
      <c r="BX50">
        <v>1.8487520476354622</v>
      </c>
      <c r="BY50">
        <v>521.34807743320039</v>
      </c>
      <c r="BZ50">
        <v>2.188289402306109</v>
      </c>
      <c r="CA50">
        <v>617.09761145032269</v>
      </c>
      <c r="CB50">
        <v>1.919080567146646</v>
      </c>
      <c r="CC50">
        <v>541.1807199353542</v>
      </c>
      <c r="CD50">
        <v>2.2789536330500666</v>
      </c>
      <c r="CE50">
        <v>642.6649245201188</v>
      </c>
      <c r="CF50">
        <v>2.8894781037947301</v>
      </c>
      <c r="CG50">
        <v>814.83282527011386</v>
      </c>
      <c r="CH50">
        <v>2.4903668794102582</v>
      </c>
      <c r="CI50">
        <v>702.28345999369287</v>
      </c>
      <c r="CJ50">
        <v>2.3989084362470492</v>
      </c>
      <c r="CK50">
        <v>676.49217902166788</v>
      </c>
      <c r="CL50">
        <v>2.063459113782824</v>
      </c>
      <c r="CM50">
        <v>581.8954700867564</v>
      </c>
      <c r="CN50">
        <v>2.0968375581221403</v>
      </c>
      <c r="CO50">
        <v>591.30819139044354</v>
      </c>
      <c r="CP50">
        <v>2.1411339380216061</v>
      </c>
      <c r="CQ50">
        <v>603.7997705220929</v>
      </c>
      <c r="CR50">
        <v>3.0248683203348126</v>
      </c>
      <c r="CS50">
        <v>853.01286633441714</v>
      </c>
      <c r="CT50">
        <v>2.4202287533543263</v>
      </c>
      <c r="CU50">
        <v>682.50450844592001</v>
      </c>
    </row>
    <row r="51" spans="2:99" x14ac:dyDescent="0.2">
      <c r="C51" s="105" t="s">
        <v>217</v>
      </c>
      <c r="D51">
        <v>6</v>
      </c>
      <c r="E51">
        <v>5126.3999999999996</v>
      </c>
      <c r="F51">
        <v>4</v>
      </c>
      <c r="G51">
        <v>3417.6</v>
      </c>
      <c r="H51">
        <v>7</v>
      </c>
      <c r="I51">
        <v>5980.8</v>
      </c>
      <c r="J51">
        <v>5</v>
      </c>
      <c r="K51">
        <v>4272</v>
      </c>
      <c r="L51">
        <v>6.4130566431311733</v>
      </c>
      <c r="M51">
        <v>5479.3155958912739</v>
      </c>
      <c r="N51">
        <v>7.3319336454218931</v>
      </c>
      <c r="O51">
        <v>6264.4041066484651</v>
      </c>
      <c r="P51">
        <v>9</v>
      </c>
      <c r="Q51">
        <v>7689.5999999999995</v>
      </c>
      <c r="R51">
        <v>7.4836866585243094</v>
      </c>
      <c r="S51">
        <v>6394.0618810431697</v>
      </c>
      <c r="T51">
        <v>6</v>
      </c>
      <c r="U51">
        <v>5126.3999999999996</v>
      </c>
      <c r="V51">
        <v>8.4404704472759473</v>
      </c>
      <c r="W51">
        <v>7211.5379501525695</v>
      </c>
      <c r="X51">
        <v>7</v>
      </c>
      <c r="Y51">
        <v>5980.8</v>
      </c>
      <c r="Z51">
        <v>7.495105334143509</v>
      </c>
      <c r="AA51">
        <v>6403.8179974922141</v>
      </c>
      <c r="AB51">
        <v>8</v>
      </c>
      <c r="AC51">
        <v>6835.2</v>
      </c>
      <c r="AD51">
        <v>5.2849030427934585</v>
      </c>
      <c r="AE51">
        <v>4515.4211597627309</v>
      </c>
      <c r="AF51">
        <v>5.2699030456719802</v>
      </c>
      <c r="AG51">
        <v>4502.6051622221394</v>
      </c>
      <c r="AH51">
        <v>7.2984637895509845</v>
      </c>
      <c r="AI51">
        <v>6235.8074617923612</v>
      </c>
      <c r="AJ51">
        <v>6</v>
      </c>
      <c r="AK51">
        <v>5126.3999999999996</v>
      </c>
      <c r="AL51">
        <v>6.346836208495013</v>
      </c>
      <c r="AM51">
        <v>5422.7368565381394</v>
      </c>
      <c r="AN51">
        <v>7.2716333676540978</v>
      </c>
      <c r="AO51">
        <v>6212.8835493236611</v>
      </c>
      <c r="AP51">
        <v>6.4490778691687902</v>
      </c>
      <c r="AQ51">
        <v>5510.092131417814</v>
      </c>
      <c r="AR51">
        <v>7</v>
      </c>
      <c r="AS51">
        <v>5980.8</v>
      </c>
      <c r="AT51">
        <v>7.4471607621045406</v>
      </c>
      <c r="AU51">
        <v>6362.8541551421195</v>
      </c>
      <c r="AV51">
        <v>8</v>
      </c>
      <c r="AW51">
        <v>6835.2</v>
      </c>
      <c r="AX51">
        <v>8.3989376986845112</v>
      </c>
      <c r="AY51">
        <v>7176.0523697560466</v>
      </c>
      <c r="AZ51">
        <v>2.8092703043999303</v>
      </c>
      <c r="BA51">
        <v>2400.2405480793004</v>
      </c>
      <c r="BB51">
        <v>3.1588854127191754</v>
      </c>
      <c r="BC51">
        <v>2698.9516966272636</v>
      </c>
      <c r="BD51">
        <v>1.6221997735899605</v>
      </c>
      <c r="BE51">
        <v>1386.0074865552622</v>
      </c>
      <c r="BF51">
        <v>2.8432079392183667</v>
      </c>
      <c r="BG51">
        <v>2429.2368632681723</v>
      </c>
      <c r="BH51">
        <v>2.5512778257369377</v>
      </c>
      <c r="BI51">
        <v>2179.8117743096395</v>
      </c>
      <c r="BJ51">
        <v>2.5964110548163557</v>
      </c>
      <c r="BK51">
        <v>2218.3736052350941</v>
      </c>
      <c r="BL51">
        <v>2.2925166326104032</v>
      </c>
      <c r="BM51">
        <v>1958.7262109023284</v>
      </c>
      <c r="BN51">
        <v>1.654826270402314</v>
      </c>
      <c r="BO51">
        <v>1413.883565431737</v>
      </c>
      <c r="BP51">
        <v>1.7712205494549591</v>
      </c>
      <c r="BQ51">
        <v>1513.3308374543169</v>
      </c>
      <c r="BR51">
        <v>2.8776715669669723</v>
      </c>
      <c r="BS51">
        <v>2458.6825868165811</v>
      </c>
      <c r="BT51">
        <v>1.7024416396122946</v>
      </c>
      <c r="BU51">
        <v>1454.5661368847445</v>
      </c>
      <c r="BV51">
        <v>2.4891169301697844</v>
      </c>
      <c r="BW51">
        <v>2126.7015051370636</v>
      </c>
      <c r="BX51">
        <v>1.8487520476354622</v>
      </c>
      <c r="BY51">
        <v>1579.5737494997388</v>
      </c>
      <c r="BZ51">
        <v>2.1986244809871334</v>
      </c>
      <c r="CA51">
        <v>1878.5047565554066</v>
      </c>
      <c r="CB51">
        <v>1.919080567146646</v>
      </c>
      <c r="CC51">
        <v>1639.6624365700943</v>
      </c>
      <c r="CD51">
        <v>2.2481823184668204</v>
      </c>
      <c r="CE51">
        <v>1920.8469728980513</v>
      </c>
      <c r="CF51">
        <v>2.8894781037947301</v>
      </c>
      <c r="CG51">
        <v>2468.7700918822175</v>
      </c>
      <c r="CH51">
        <v>2.4903668794102582</v>
      </c>
      <c r="CI51">
        <v>2127.7694617681245</v>
      </c>
      <c r="CJ51">
        <v>2.0289977645662454</v>
      </c>
      <c r="CK51">
        <v>1733.5756900454001</v>
      </c>
      <c r="CL51">
        <v>2.063459113782824</v>
      </c>
      <c r="CM51">
        <v>1763.0194668160448</v>
      </c>
      <c r="CN51">
        <v>1.8426957712200778</v>
      </c>
      <c r="CO51">
        <v>1574.3992669304344</v>
      </c>
      <c r="CP51">
        <v>2.1411339380216061</v>
      </c>
      <c r="CQ51">
        <v>1829.3848366456602</v>
      </c>
      <c r="CR51">
        <v>2.6887718402976111</v>
      </c>
      <c r="CS51">
        <v>2297.2866603502789</v>
      </c>
      <c r="CT51">
        <v>2.1115786161206258</v>
      </c>
      <c r="CU51">
        <v>1804.1327696134626</v>
      </c>
    </row>
    <row r="52" spans="2:99" x14ac:dyDescent="0.2">
      <c r="C52" s="105" t="s">
        <v>218</v>
      </c>
      <c r="D52">
        <v>6</v>
      </c>
      <c r="E52">
        <v>3240</v>
      </c>
      <c r="F52">
        <v>5</v>
      </c>
      <c r="G52">
        <v>2700</v>
      </c>
      <c r="H52">
        <v>9</v>
      </c>
      <c r="I52">
        <v>4860</v>
      </c>
      <c r="J52">
        <v>5</v>
      </c>
      <c r="K52">
        <v>2700</v>
      </c>
      <c r="L52">
        <v>8.4130566431311742</v>
      </c>
      <c r="M52">
        <v>4543.0505872908343</v>
      </c>
      <c r="N52">
        <v>7.3793527376250205</v>
      </c>
      <c r="O52">
        <v>3984.8504783175113</v>
      </c>
      <c r="P52">
        <v>9</v>
      </c>
      <c r="Q52">
        <v>4860</v>
      </c>
      <c r="R52">
        <v>7.4836866585243094</v>
      </c>
      <c r="S52">
        <v>4041.1907956031268</v>
      </c>
      <c r="T52">
        <v>7</v>
      </c>
      <c r="U52">
        <v>3780</v>
      </c>
      <c r="V52">
        <v>9.4894116080843869</v>
      </c>
      <c r="W52">
        <v>5124.2822683655686</v>
      </c>
      <c r="X52">
        <v>7</v>
      </c>
      <c r="Y52">
        <v>3780</v>
      </c>
      <c r="Z52">
        <v>6.495105334143509</v>
      </c>
      <c r="AA52">
        <v>3507.356880437495</v>
      </c>
      <c r="AB52">
        <v>8</v>
      </c>
      <c r="AC52">
        <v>4320</v>
      </c>
      <c r="AD52">
        <v>5.2849030427934585</v>
      </c>
      <c r="AE52">
        <v>2853.8476431084678</v>
      </c>
      <c r="AF52">
        <v>5.3084606236251206</v>
      </c>
      <c r="AG52">
        <v>2866.5687367575651</v>
      </c>
      <c r="AH52">
        <v>6.2611558158571121</v>
      </c>
      <c r="AI52">
        <v>3381.0241405628403</v>
      </c>
      <c r="AJ52">
        <v>6</v>
      </c>
      <c r="AK52">
        <v>3240</v>
      </c>
      <c r="AL52">
        <v>6.346836208495013</v>
      </c>
      <c r="AM52">
        <v>3427.2915525873068</v>
      </c>
      <c r="AN52">
        <v>7.2716333676540978</v>
      </c>
      <c r="AO52">
        <v>3926.6820185332126</v>
      </c>
      <c r="AP52">
        <v>6.3991803281500355</v>
      </c>
      <c r="AQ52">
        <v>3455.5573772010193</v>
      </c>
      <c r="AR52">
        <v>8</v>
      </c>
      <c r="AS52">
        <v>4320</v>
      </c>
      <c r="AT52">
        <v>8.4968452912272667</v>
      </c>
      <c r="AU52">
        <v>4588.2964572627243</v>
      </c>
      <c r="AV52">
        <v>7</v>
      </c>
      <c r="AW52">
        <v>3780</v>
      </c>
      <c r="AX52">
        <v>9.349070486348948</v>
      </c>
      <c r="AY52">
        <v>5048.4980626284323</v>
      </c>
      <c r="AZ52">
        <v>2.8092703043999303</v>
      </c>
      <c r="BA52">
        <v>1517.0059643759623</v>
      </c>
      <c r="BB52">
        <v>3.5264802349526478</v>
      </c>
      <c r="BC52">
        <v>1904.2993268744299</v>
      </c>
      <c r="BD52">
        <v>1.6221997735899605</v>
      </c>
      <c r="BE52">
        <v>875.98787773857862</v>
      </c>
      <c r="BF52">
        <v>2.8432079392183667</v>
      </c>
      <c r="BG52">
        <v>1535.332287177918</v>
      </c>
      <c r="BH52">
        <v>2.5512778257369377</v>
      </c>
      <c r="BI52">
        <v>1377.6900258979463</v>
      </c>
      <c r="BJ52">
        <v>2.6104051375313468</v>
      </c>
      <c r="BK52">
        <v>1409.6187742669274</v>
      </c>
      <c r="BL52">
        <v>2.6182954072296849</v>
      </c>
      <c r="BM52">
        <v>1413.8795199040298</v>
      </c>
      <c r="BN52">
        <v>1.654826270402314</v>
      </c>
      <c r="BO52">
        <v>893.60618601724957</v>
      </c>
      <c r="BP52">
        <v>1.7935671349062063</v>
      </c>
      <c r="BQ52">
        <v>968.52625284935141</v>
      </c>
      <c r="BR52">
        <v>2.8970703163968619</v>
      </c>
      <c r="BS52">
        <v>1564.4179708543054</v>
      </c>
      <c r="BT52">
        <v>1.7024416396122946</v>
      </c>
      <c r="BU52">
        <v>919.31848539063901</v>
      </c>
      <c r="BV52">
        <v>2.8300988369084346</v>
      </c>
      <c r="BW52">
        <v>1528.2533719305547</v>
      </c>
      <c r="BX52">
        <v>1.8487520476354622</v>
      </c>
      <c r="BY52">
        <v>998.32610572314957</v>
      </c>
      <c r="BZ52">
        <v>2.1986244809871334</v>
      </c>
      <c r="CA52">
        <v>1187.2572197330521</v>
      </c>
      <c r="CB52">
        <v>1.919080567146646</v>
      </c>
      <c r="CC52">
        <v>1036.3035062591889</v>
      </c>
      <c r="CD52">
        <v>2.2635679757584435</v>
      </c>
      <c r="CE52">
        <v>1222.3267069095596</v>
      </c>
      <c r="CF52">
        <v>3.2506628667690713</v>
      </c>
      <c r="CG52">
        <v>1755.3579480552985</v>
      </c>
      <c r="CH52">
        <v>2.8198147873755421</v>
      </c>
      <c r="CI52">
        <v>1522.6999851827927</v>
      </c>
      <c r="CJ52">
        <v>2.0140440640527264</v>
      </c>
      <c r="CK52">
        <v>1087.5837945884723</v>
      </c>
      <c r="CL52">
        <v>2.063459113782824</v>
      </c>
      <c r="CM52">
        <v>1114.2679214427249</v>
      </c>
      <c r="CN52">
        <v>1.8335953050907008</v>
      </c>
      <c r="CO52">
        <v>990.14146474897848</v>
      </c>
      <c r="CP52">
        <v>2.1287607188490294</v>
      </c>
      <c r="CQ52">
        <v>1149.5307881784759</v>
      </c>
      <c r="CR52">
        <v>2.6887718402976111</v>
      </c>
      <c r="CS52">
        <v>1451.9367937607101</v>
      </c>
      <c r="CT52">
        <v>2.0953487540757245</v>
      </c>
      <c r="CU52">
        <v>1131.4883272008913</v>
      </c>
    </row>
    <row r="53" spans="2:99" x14ac:dyDescent="0.2">
      <c r="C53" s="105" t="s">
        <v>219</v>
      </c>
      <c r="D53">
        <v>6</v>
      </c>
      <c r="E53">
        <v>2440.8000000000002</v>
      </c>
      <c r="F53">
        <v>5</v>
      </c>
      <c r="G53">
        <v>2034</v>
      </c>
      <c r="H53">
        <v>8</v>
      </c>
      <c r="I53">
        <v>3254.4</v>
      </c>
      <c r="J53">
        <v>5</v>
      </c>
      <c r="K53">
        <v>2034</v>
      </c>
      <c r="L53">
        <v>7.3671614605610429</v>
      </c>
      <c r="M53">
        <v>2996.9612821562323</v>
      </c>
      <c r="N53">
        <v>7.3793527376250205</v>
      </c>
      <c r="O53">
        <v>3001.9206936658584</v>
      </c>
      <c r="P53">
        <v>9</v>
      </c>
      <c r="Q53">
        <v>3661.2000000000003</v>
      </c>
      <c r="R53">
        <v>7.4353179926718784</v>
      </c>
      <c r="S53">
        <v>3024.6873594189201</v>
      </c>
      <c r="T53">
        <v>6</v>
      </c>
      <c r="U53">
        <v>2440.8000000000002</v>
      </c>
      <c r="V53">
        <v>9.4404704472759473</v>
      </c>
      <c r="W53">
        <v>3840.3833779518554</v>
      </c>
      <c r="X53">
        <v>7</v>
      </c>
      <c r="Y53">
        <v>2847.6</v>
      </c>
      <c r="Z53">
        <v>7.495105334143509</v>
      </c>
      <c r="AA53">
        <v>3049.0088499295794</v>
      </c>
      <c r="AB53">
        <v>8</v>
      </c>
      <c r="AC53">
        <v>3254.4</v>
      </c>
      <c r="AD53">
        <v>5.2849030427934585</v>
      </c>
      <c r="AE53">
        <v>2149.8985578083789</v>
      </c>
      <c r="AF53">
        <v>5.3084606236251206</v>
      </c>
      <c r="AG53">
        <v>2159.4817816906993</v>
      </c>
      <c r="AH53">
        <v>8.2984637895509845</v>
      </c>
      <c r="AI53">
        <v>3375.8150695893405</v>
      </c>
      <c r="AJ53">
        <v>6</v>
      </c>
      <c r="AK53">
        <v>2440.8000000000002</v>
      </c>
      <c r="AL53">
        <v>8.3963842382800138</v>
      </c>
      <c r="AM53">
        <v>3415.6491081323097</v>
      </c>
      <c r="AN53">
        <v>7.3104381344618261</v>
      </c>
      <c r="AO53">
        <v>2973.886233099071</v>
      </c>
      <c r="AP53">
        <v>6.4490778691687902</v>
      </c>
      <c r="AQ53">
        <v>2623.4848771778638</v>
      </c>
      <c r="AR53">
        <v>8</v>
      </c>
      <c r="AS53">
        <v>3254.4</v>
      </c>
      <c r="AT53">
        <v>7.3974762329818136</v>
      </c>
      <c r="AU53">
        <v>3009.2933315770019</v>
      </c>
      <c r="AV53">
        <v>8</v>
      </c>
      <c r="AW53">
        <v>3254.4</v>
      </c>
      <c r="AX53">
        <v>8.349070486348948</v>
      </c>
      <c r="AY53">
        <v>3396.4018738467521</v>
      </c>
      <c r="AZ53">
        <v>2.8092703043999303</v>
      </c>
      <c r="BA53">
        <v>1142.8111598298917</v>
      </c>
      <c r="BB53">
        <v>3.5264802349526478</v>
      </c>
      <c r="BC53">
        <v>1434.5721595787372</v>
      </c>
      <c r="BD53">
        <v>1.3518331446583003</v>
      </c>
      <c r="BE53">
        <v>549.92572324699654</v>
      </c>
      <c r="BF53">
        <v>2.4537237772524416</v>
      </c>
      <c r="BG53">
        <v>998.17483258629329</v>
      </c>
      <c r="BH53">
        <v>2.5512778257369377</v>
      </c>
      <c r="BI53">
        <v>1037.8598195097863</v>
      </c>
      <c r="BJ53">
        <v>2.6104051375313468</v>
      </c>
      <c r="BK53">
        <v>1061.9128099477518</v>
      </c>
      <c r="BL53">
        <v>2.2925166326104032</v>
      </c>
      <c r="BM53">
        <v>932.59576614591208</v>
      </c>
      <c r="BN53">
        <v>1.654826270402314</v>
      </c>
      <c r="BO53">
        <v>673.18332679966136</v>
      </c>
      <c r="BP53">
        <v>1.7935671349062063</v>
      </c>
      <c r="BQ53">
        <v>729.62311047984474</v>
      </c>
      <c r="BR53">
        <v>2.5275431270370574</v>
      </c>
      <c r="BS53">
        <v>1028.2045440786749</v>
      </c>
      <c r="BT53">
        <v>1.7024416396122946</v>
      </c>
      <c r="BU53">
        <v>692.55325899428146</v>
      </c>
      <c r="BV53">
        <v>2.4891169301697844</v>
      </c>
      <c r="BW53">
        <v>1012.5727671930683</v>
      </c>
      <c r="BX53">
        <v>1.8487520476354622</v>
      </c>
      <c r="BY53">
        <v>752.07233297810603</v>
      </c>
      <c r="BZ53">
        <v>2.1986244809871334</v>
      </c>
      <c r="CA53">
        <v>894.40043886556589</v>
      </c>
      <c r="CB53">
        <v>2.1947926934953079</v>
      </c>
      <c r="CC53">
        <v>892.8416677138913</v>
      </c>
      <c r="CD53">
        <v>2.2789536330500666</v>
      </c>
      <c r="CE53">
        <v>927.07833792476708</v>
      </c>
      <c r="CF53">
        <v>2.8894781037947301</v>
      </c>
      <c r="CG53">
        <v>1175.4396926236961</v>
      </c>
      <c r="CH53">
        <v>2.4903668794102582</v>
      </c>
      <c r="CI53">
        <v>1013.0812465440931</v>
      </c>
      <c r="CJ53">
        <v>2.3989084362470492</v>
      </c>
      <c r="CK53">
        <v>975.87595186529961</v>
      </c>
      <c r="CL53">
        <v>2.063459113782824</v>
      </c>
      <c r="CM53">
        <v>839.41516748685285</v>
      </c>
      <c r="CN53">
        <v>2.0877370919927629</v>
      </c>
      <c r="CO53">
        <v>849.29144902265602</v>
      </c>
      <c r="CP53">
        <v>2.1535071571941833</v>
      </c>
      <c r="CQ53">
        <v>876.04671154659377</v>
      </c>
      <c r="CR53">
        <v>2.6887718402976111</v>
      </c>
      <c r="CS53">
        <v>1093.7923846330682</v>
      </c>
      <c r="CT53">
        <v>2.4202287533543263</v>
      </c>
      <c r="CU53">
        <v>984.54905686453992</v>
      </c>
    </row>
    <row r="54" spans="2:99" x14ac:dyDescent="0.2">
      <c r="C54" s="105" t="s">
        <v>220</v>
      </c>
      <c r="D54">
        <v>7</v>
      </c>
      <c r="E54">
        <v>2343.6</v>
      </c>
      <c r="F54">
        <v>5</v>
      </c>
      <c r="G54">
        <v>1674</v>
      </c>
      <c r="H54">
        <v>8</v>
      </c>
      <c r="I54">
        <v>2678.4</v>
      </c>
      <c r="J54">
        <v>5</v>
      </c>
      <c r="K54">
        <v>1674</v>
      </c>
      <c r="L54">
        <v>7.4130566431311733</v>
      </c>
      <c r="M54">
        <v>2481.8913641203171</v>
      </c>
      <c r="N54">
        <v>8.3319336454218931</v>
      </c>
      <c r="O54">
        <v>2789.5313844872499</v>
      </c>
      <c r="P54">
        <v>8</v>
      </c>
      <c r="Q54">
        <v>2678.4</v>
      </c>
      <c r="R54">
        <v>7.4353179926718784</v>
      </c>
      <c r="S54">
        <v>2489.3444639465451</v>
      </c>
      <c r="T54">
        <v>7</v>
      </c>
      <c r="U54">
        <v>2343.6</v>
      </c>
      <c r="V54">
        <v>9.5383527688928247</v>
      </c>
      <c r="W54">
        <v>3193.4405070253179</v>
      </c>
      <c r="X54">
        <v>7</v>
      </c>
      <c r="Y54">
        <v>2343.6</v>
      </c>
      <c r="Z54">
        <v>7.5446158675578605</v>
      </c>
      <c r="AA54">
        <v>2525.937392458372</v>
      </c>
      <c r="AB54">
        <v>8</v>
      </c>
      <c r="AC54">
        <v>2678.4</v>
      </c>
      <c r="AD54">
        <v>6.2442026081086786</v>
      </c>
      <c r="AE54">
        <v>2090.5590331947856</v>
      </c>
      <c r="AF54">
        <v>5.2699030456719802</v>
      </c>
      <c r="AG54">
        <v>1764.363539690979</v>
      </c>
      <c r="AH54">
        <v>7.2984637895509845</v>
      </c>
      <c r="AI54">
        <v>2443.5256767416695</v>
      </c>
      <c r="AJ54">
        <v>6</v>
      </c>
      <c r="AK54">
        <v>2008.8000000000002</v>
      </c>
      <c r="AL54">
        <v>7.346836208495013</v>
      </c>
      <c r="AM54">
        <v>2459.7207626041304</v>
      </c>
      <c r="AN54">
        <v>7.3104381344618261</v>
      </c>
      <c r="AO54">
        <v>2447.5346874178194</v>
      </c>
      <c r="AP54">
        <v>7.4490778691687902</v>
      </c>
      <c r="AQ54">
        <v>2493.9512705977108</v>
      </c>
      <c r="AR54">
        <v>7</v>
      </c>
      <c r="AS54">
        <v>2343.6</v>
      </c>
      <c r="AT54">
        <v>7.3974762329818136</v>
      </c>
      <c r="AU54">
        <v>2476.6750428023111</v>
      </c>
      <c r="AV54">
        <v>7</v>
      </c>
      <c r="AW54">
        <v>2343.6</v>
      </c>
      <c r="AX54">
        <v>9.349070486348948</v>
      </c>
      <c r="AY54">
        <v>3130.0687988296281</v>
      </c>
      <c r="AZ54">
        <v>3.3711243652799165</v>
      </c>
      <c r="BA54">
        <v>1128.6524374957162</v>
      </c>
      <c r="BB54">
        <v>3.1921005210263047</v>
      </c>
      <c r="BC54">
        <v>1068.715254439607</v>
      </c>
      <c r="BD54">
        <v>1.3518331446583003</v>
      </c>
      <c r="BE54">
        <v>452.59373683159896</v>
      </c>
      <c r="BF54">
        <v>2.4731935781619239</v>
      </c>
      <c r="BG54">
        <v>828.0252099686121</v>
      </c>
      <c r="BH54">
        <v>2.5512778257369377</v>
      </c>
      <c r="BI54">
        <v>854.16781605672679</v>
      </c>
      <c r="BJ54">
        <v>3.0104874536657595</v>
      </c>
      <c r="BK54">
        <v>1007.9111994872964</v>
      </c>
      <c r="BL54">
        <v>2.6062301969542525</v>
      </c>
      <c r="BM54">
        <v>872.56586994028373</v>
      </c>
      <c r="BN54">
        <v>1.654826270402314</v>
      </c>
      <c r="BO54">
        <v>554.03583533069479</v>
      </c>
      <c r="BP54">
        <v>2.1276993178910755</v>
      </c>
      <c r="BQ54">
        <v>712.3537316299321</v>
      </c>
      <c r="BR54">
        <v>2.9164690658267509</v>
      </c>
      <c r="BS54">
        <v>976.43384323879627</v>
      </c>
      <c r="BT54">
        <v>1.7024416396122946</v>
      </c>
      <c r="BU54">
        <v>569.97746094219622</v>
      </c>
      <c r="BV54">
        <v>2.4891169301697844</v>
      </c>
      <c r="BW54">
        <v>833.35634822084387</v>
      </c>
      <c r="BX54">
        <v>1.4790016381083699</v>
      </c>
      <c r="BY54">
        <v>495.16974843868229</v>
      </c>
      <c r="BZ54">
        <v>2.188289402306109</v>
      </c>
      <c r="CA54">
        <v>732.63929189208534</v>
      </c>
      <c r="CB54">
        <v>2.4486961852559972</v>
      </c>
      <c r="CC54">
        <v>819.82348282370788</v>
      </c>
      <c r="CD54">
        <v>2.2635679757584435</v>
      </c>
      <c r="CE54">
        <v>757.84255828392691</v>
      </c>
      <c r="CF54">
        <v>3.2506628667690713</v>
      </c>
      <c r="CG54">
        <v>1088.3219277942851</v>
      </c>
      <c r="CH54">
        <v>2.8320968889524267</v>
      </c>
      <c r="CI54">
        <v>948.18603842127254</v>
      </c>
      <c r="CJ54">
        <v>2.0140440640527264</v>
      </c>
      <c r="CK54">
        <v>674.3019526448528</v>
      </c>
      <c r="CL54">
        <v>2.3144726451897988</v>
      </c>
      <c r="CM54">
        <v>774.88544160954461</v>
      </c>
      <c r="CN54">
        <v>2.0968375581221403</v>
      </c>
      <c r="CO54">
        <v>702.02121445929265</v>
      </c>
      <c r="CP54">
        <v>2.1287607188490294</v>
      </c>
      <c r="CQ54">
        <v>712.70908867065509</v>
      </c>
      <c r="CR54">
        <v>3.0248683203348126</v>
      </c>
      <c r="CS54">
        <v>1012.7259136480952</v>
      </c>
      <c r="CT54">
        <v>2.0953487540757245</v>
      </c>
      <c r="CU54">
        <v>701.52276286455265</v>
      </c>
    </row>
    <row r="55" spans="2:99" x14ac:dyDescent="0.2">
      <c r="C55" s="105" t="s">
        <v>221</v>
      </c>
      <c r="D55">
        <v>6</v>
      </c>
      <c r="E55">
        <v>3981.6000000000004</v>
      </c>
      <c r="F55">
        <v>5</v>
      </c>
      <c r="G55">
        <v>3318</v>
      </c>
      <c r="H55">
        <v>7</v>
      </c>
      <c r="I55">
        <v>4645.2</v>
      </c>
      <c r="J55">
        <v>5</v>
      </c>
      <c r="K55">
        <v>3318</v>
      </c>
      <c r="L55">
        <v>7.4130566431311733</v>
      </c>
      <c r="M55">
        <v>4919.3043883818464</v>
      </c>
      <c r="N55">
        <v>7.3319336454218931</v>
      </c>
      <c r="O55">
        <v>4865.4711671019686</v>
      </c>
      <c r="P55">
        <v>8</v>
      </c>
      <c r="Q55">
        <v>5308.8</v>
      </c>
      <c r="R55">
        <v>7.4836866585243094</v>
      </c>
      <c r="S55">
        <v>4966.1744665967317</v>
      </c>
      <c r="T55">
        <v>7</v>
      </c>
      <c r="U55">
        <v>4645.2</v>
      </c>
      <c r="V55">
        <v>8.4894116080843869</v>
      </c>
      <c r="W55">
        <v>5633.5735431247995</v>
      </c>
      <c r="X55">
        <v>8</v>
      </c>
      <c r="Y55">
        <v>5308.8</v>
      </c>
      <c r="Z55">
        <v>7.495105334143509</v>
      </c>
      <c r="AA55">
        <v>4973.7518997376328</v>
      </c>
      <c r="AB55">
        <v>8</v>
      </c>
      <c r="AC55">
        <v>5308.8</v>
      </c>
      <c r="AD55">
        <v>5.2849030427934585</v>
      </c>
      <c r="AE55">
        <v>3507.0616591977391</v>
      </c>
      <c r="AF55">
        <v>5.2699030456719802</v>
      </c>
      <c r="AG55">
        <v>3497.1076611079261</v>
      </c>
      <c r="AH55">
        <v>7.2984637895509845</v>
      </c>
      <c r="AI55">
        <v>4843.2605707460334</v>
      </c>
      <c r="AJ55">
        <v>7</v>
      </c>
      <c r="AK55">
        <v>4645.2</v>
      </c>
      <c r="AL55">
        <v>7.346836208495013</v>
      </c>
      <c r="AM55">
        <v>4875.3605079572908</v>
      </c>
      <c r="AN55">
        <v>8.3104381344618261</v>
      </c>
      <c r="AO55">
        <v>5514.8067460288676</v>
      </c>
      <c r="AP55">
        <v>6.3991803281500355</v>
      </c>
      <c r="AQ55">
        <v>4246.4960657603633</v>
      </c>
      <c r="AR55">
        <v>8</v>
      </c>
      <c r="AS55">
        <v>5308.8</v>
      </c>
      <c r="AT55">
        <v>8.3974762329818144</v>
      </c>
      <c r="AU55">
        <v>5572.5652282067322</v>
      </c>
      <c r="AV55">
        <v>7</v>
      </c>
      <c r="AW55">
        <v>4645.2</v>
      </c>
      <c r="AX55">
        <v>9.349070486348948</v>
      </c>
      <c r="AY55">
        <v>6204.0431747411621</v>
      </c>
      <c r="AZ55">
        <v>3.3711243652799165</v>
      </c>
      <c r="BA55">
        <v>2237.0781287997529</v>
      </c>
      <c r="BB55">
        <v>3.1754929668727399</v>
      </c>
      <c r="BC55">
        <v>2107.2571328167501</v>
      </c>
      <c r="BD55">
        <v>1.6221997735899605</v>
      </c>
      <c r="BE55">
        <v>1076.4917697542978</v>
      </c>
      <c r="BF55">
        <v>2.8432079392183667</v>
      </c>
      <c r="BG55">
        <v>1886.7527884653082</v>
      </c>
      <c r="BH55">
        <v>2.9764907966930942</v>
      </c>
      <c r="BI55">
        <v>1975.1992926855373</v>
      </c>
      <c r="BJ55">
        <v>2.6104051375313468</v>
      </c>
      <c r="BK55">
        <v>1732.2648492658018</v>
      </c>
      <c r="BL55">
        <v>2.2925166326104032</v>
      </c>
      <c r="BM55">
        <v>1521.3140374002635</v>
      </c>
      <c r="BN55">
        <v>1.654826270402314</v>
      </c>
      <c r="BO55">
        <v>1098.1427130389757</v>
      </c>
      <c r="BP55">
        <v>1.7823938421805827</v>
      </c>
      <c r="BQ55">
        <v>1182.7965536710346</v>
      </c>
      <c r="BR55">
        <v>2.4887456281772788</v>
      </c>
      <c r="BS55">
        <v>1651.5315988584423</v>
      </c>
      <c r="BT55">
        <v>1.7024416396122946</v>
      </c>
      <c r="BU55">
        <v>1129.7402720467187</v>
      </c>
      <c r="BV55">
        <v>2.4891169301697844</v>
      </c>
      <c r="BW55">
        <v>1651.777994860669</v>
      </c>
      <c r="BX55">
        <v>1.8487520476354622</v>
      </c>
      <c r="BY55">
        <v>1226.8318588108928</v>
      </c>
      <c r="BZ55">
        <v>2.1986244809871334</v>
      </c>
      <c r="CA55">
        <v>1459.0072055830617</v>
      </c>
      <c r="CB55">
        <v>2.1838883762013217</v>
      </c>
      <c r="CC55">
        <v>1449.2283264471971</v>
      </c>
      <c r="CD55">
        <v>2.2481823184668204</v>
      </c>
      <c r="CE55">
        <v>1491.893786534582</v>
      </c>
      <c r="CF55">
        <v>3.2506628667690713</v>
      </c>
      <c r="CG55">
        <v>2157.1398783879558</v>
      </c>
      <c r="CH55">
        <v>2.4903668794102582</v>
      </c>
      <c r="CI55">
        <v>1652.6074611766473</v>
      </c>
      <c r="CJ55">
        <v>2.4138621367605677</v>
      </c>
      <c r="CK55">
        <v>1601.8389139543128</v>
      </c>
      <c r="CL55">
        <v>1.8124455823758496</v>
      </c>
      <c r="CM55">
        <v>1202.7388884646139</v>
      </c>
      <c r="CN55">
        <v>2.0968375581221403</v>
      </c>
      <c r="CO55">
        <v>1391.4614035698523</v>
      </c>
      <c r="CP55">
        <v>2.1287607188490294</v>
      </c>
      <c r="CQ55">
        <v>1412.6456130282158</v>
      </c>
      <c r="CR55">
        <v>2.6887718402976111</v>
      </c>
      <c r="CS55">
        <v>1784.2689932214948</v>
      </c>
      <c r="CT55">
        <v>2.403998891309425</v>
      </c>
      <c r="CU55">
        <v>1595.2936642729344</v>
      </c>
    </row>
    <row r="56" spans="2:99" x14ac:dyDescent="0.2">
      <c r="C56" s="105" t="s">
        <v>222</v>
      </c>
      <c r="D56">
        <v>6</v>
      </c>
      <c r="E56">
        <v>6904.7999999999993</v>
      </c>
      <c r="F56">
        <v>5</v>
      </c>
      <c r="G56">
        <v>5754</v>
      </c>
      <c r="H56">
        <v>7</v>
      </c>
      <c r="I56">
        <v>8055.5999999999995</v>
      </c>
      <c r="J56">
        <v>5</v>
      </c>
      <c r="K56">
        <v>5754</v>
      </c>
      <c r="L56">
        <v>7</v>
      </c>
      <c r="M56">
        <v>8055.5999999999995</v>
      </c>
      <c r="N56">
        <v>7</v>
      </c>
      <c r="O56">
        <v>8055.5999999999995</v>
      </c>
      <c r="P56">
        <v>8</v>
      </c>
      <c r="Q56">
        <v>9206.4</v>
      </c>
      <c r="R56">
        <v>6</v>
      </c>
      <c r="S56">
        <v>6904.7999999999993</v>
      </c>
      <c r="T56">
        <v>6</v>
      </c>
      <c r="U56">
        <v>6904.7999999999993</v>
      </c>
      <c r="V56">
        <v>8</v>
      </c>
      <c r="W56">
        <v>9206.4</v>
      </c>
      <c r="X56">
        <v>7</v>
      </c>
      <c r="Y56">
        <v>8055.5999999999995</v>
      </c>
      <c r="Z56">
        <v>6</v>
      </c>
      <c r="AA56">
        <v>6904.7999999999993</v>
      </c>
      <c r="AB56">
        <v>7</v>
      </c>
      <c r="AC56">
        <v>8055.5999999999995</v>
      </c>
      <c r="AD56">
        <v>5</v>
      </c>
      <c r="AE56">
        <v>5754</v>
      </c>
      <c r="AF56">
        <v>5</v>
      </c>
      <c r="AG56">
        <v>5754</v>
      </c>
      <c r="AH56">
        <v>6</v>
      </c>
      <c r="AI56">
        <v>6904.7999999999993</v>
      </c>
      <c r="AJ56">
        <v>6</v>
      </c>
      <c r="AK56">
        <v>6904.7999999999993</v>
      </c>
      <c r="AL56">
        <v>7</v>
      </c>
      <c r="AM56">
        <v>8055.5999999999995</v>
      </c>
      <c r="AN56">
        <v>8</v>
      </c>
      <c r="AO56">
        <v>9206.4</v>
      </c>
      <c r="AP56">
        <v>6</v>
      </c>
      <c r="AQ56">
        <v>6904.7999999999993</v>
      </c>
      <c r="AR56">
        <v>7</v>
      </c>
      <c r="AS56">
        <v>8055.5999999999995</v>
      </c>
      <c r="AT56">
        <v>7</v>
      </c>
      <c r="AU56">
        <v>8055.5999999999995</v>
      </c>
      <c r="AV56">
        <v>7</v>
      </c>
      <c r="AW56">
        <v>8055.5999999999995</v>
      </c>
      <c r="AX56">
        <v>8</v>
      </c>
      <c r="AY56">
        <v>9206.4</v>
      </c>
      <c r="AZ56">
        <v>6</v>
      </c>
      <c r="BA56">
        <v>6904.7999999999993</v>
      </c>
      <c r="BB56">
        <v>8</v>
      </c>
      <c r="BC56">
        <v>9206.4</v>
      </c>
      <c r="BD56">
        <v>5</v>
      </c>
      <c r="BE56">
        <v>5754</v>
      </c>
      <c r="BF56">
        <v>7</v>
      </c>
      <c r="BG56">
        <v>8055.5999999999995</v>
      </c>
      <c r="BH56">
        <v>7</v>
      </c>
      <c r="BI56">
        <v>8055.5999999999995</v>
      </c>
      <c r="BJ56">
        <v>6</v>
      </c>
      <c r="BK56">
        <v>6904.7999999999993</v>
      </c>
      <c r="BL56">
        <v>8</v>
      </c>
      <c r="BM56">
        <v>9206.4</v>
      </c>
      <c r="BN56">
        <v>5</v>
      </c>
      <c r="BO56">
        <v>5754</v>
      </c>
      <c r="BP56">
        <v>5</v>
      </c>
      <c r="BQ56">
        <v>5754</v>
      </c>
      <c r="BR56">
        <v>7</v>
      </c>
      <c r="BS56">
        <v>8055.5999999999995</v>
      </c>
      <c r="BT56">
        <v>5</v>
      </c>
      <c r="BU56">
        <v>5754</v>
      </c>
      <c r="BV56">
        <v>7</v>
      </c>
      <c r="BW56">
        <v>8055.5999999999995</v>
      </c>
      <c r="BX56">
        <v>5</v>
      </c>
      <c r="BY56">
        <v>5754</v>
      </c>
      <c r="BZ56">
        <v>7</v>
      </c>
      <c r="CA56">
        <v>8055.5999999999995</v>
      </c>
      <c r="CB56">
        <v>7</v>
      </c>
      <c r="CC56">
        <v>8055.5999999999995</v>
      </c>
      <c r="CD56">
        <v>6</v>
      </c>
      <c r="CE56">
        <v>6904.7999999999993</v>
      </c>
      <c r="CF56">
        <v>7</v>
      </c>
      <c r="CG56">
        <v>8055.5999999999995</v>
      </c>
      <c r="CH56">
        <v>7</v>
      </c>
      <c r="CI56">
        <v>8055.5999999999995</v>
      </c>
      <c r="CJ56">
        <v>6</v>
      </c>
      <c r="CK56">
        <v>6904.7999999999993</v>
      </c>
      <c r="CL56">
        <v>8</v>
      </c>
      <c r="CM56">
        <v>9206.4</v>
      </c>
      <c r="CN56">
        <v>7</v>
      </c>
      <c r="CO56">
        <v>8055.5999999999995</v>
      </c>
      <c r="CP56">
        <v>7</v>
      </c>
      <c r="CQ56">
        <v>8055.5999999999995</v>
      </c>
      <c r="CR56">
        <v>8</v>
      </c>
      <c r="CS56">
        <v>9206.4</v>
      </c>
      <c r="CT56">
        <v>6</v>
      </c>
      <c r="CU56">
        <v>6904.7999999999993</v>
      </c>
    </row>
    <row r="57" spans="2:99" x14ac:dyDescent="0.2">
      <c r="C57" s="105" t="s">
        <v>223</v>
      </c>
      <c r="D57">
        <v>6</v>
      </c>
      <c r="E57">
        <v>8467.2000000000007</v>
      </c>
      <c r="F57">
        <v>5</v>
      </c>
      <c r="G57">
        <v>7056</v>
      </c>
      <c r="H57">
        <v>7</v>
      </c>
      <c r="I57">
        <v>9878.4</v>
      </c>
      <c r="J57">
        <v>5</v>
      </c>
      <c r="K57">
        <v>7056</v>
      </c>
      <c r="L57">
        <v>6.3671614605610429</v>
      </c>
      <c r="M57">
        <v>8985.3382531437437</v>
      </c>
      <c r="N57">
        <v>7.3319336454218931</v>
      </c>
      <c r="O57">
        <v>10346.824760419377</v>
      </c>
      <c r="P57">
        <v>7</v>
      </c>
      <c r="Q57">
        <v>9878.4</v>
      </c>
      <c r="R57">
        <v>7.3869493268194475</v>
      </c>
      <c r="S57">
        <v>10424.462890007604</v>
      </c>
      <c r="T57">
        <v>6</v>
      </c>
      <c r="U57">
        <v>8467.2000000000007</v>
      </c>
      <c r="V57">
        <v>8.4894116080843869</v>
      </c>
      <c r="W57">
        <v>11980.257661328687</v>
      </c>
      <c r="X57">
        <v>7</v>
      </c>
      <c r="Y57">
        <v>9878.4</v>
      </c>
      <c r="Z57">
        <v>6.495105334143509</v>
      </c>
      <c r="AA57">
        <v>9165.89264754332</v>
      </c>
      <c r="AB57">
        <v>7</v>
      </c>
      <c r="AC57">
        <v>9878.4</v>
      </c>
      <c r="AD57">
        <v>6.2849030427934585</v>
      </c>
      <c r="AE57">
        <v>8869.2551739901282</v>
      </c>
      <c r="AF57">
        <v>5.2699030456719802</v>
      </c>
      <c r="AG57">
        <v>7436.8871780522986</v>
      </c>
      <c r="AH57">
        <v>6.2984637895509845</v>
      </c>
      <c r="AI57">
        <v>8888.3920998143494</v>
      </c>
      <c r="AJ57">
        <v>6</v>
      </c>
      <c r="AK57">
        <v>8467.2000000000007</v>
      </c>
      <c r="AL57">
        <v>6.346836208495013</v>
      </c>
      <c r="AM57">
        <v>8956.6552574281632</v>
      </c>
      <c r="AN57">
        <v>7.2716333676540978</v>
      </c>
      <c r="AO57">
        <v>10261.729008433464</v>
      </c>
      <c r="AP57">
        <v>6.3991803281500355</v>
      </c>
      <c r="AQ57">
        <v>9030.5232790853297</v>
      </c>
      <c r="AR57">
        <v>7</v>
      </c>
      <c r="AS57">
        <v>9878.4</v>
      </c>
      <c r="AT57">
        <v>7.3974762329818136</v>
      </c>
      <c r="AU57">
        <v>10439.318459983935</v>
      </c>
      <c r="AV57">
        <v>7</v>
      </c>
      <c r="AW57">
        <v>9878.4</v>
      </c>
      <c r="AX57">
        <v>7.349070486348948</v>
      </c>
      <c r="AY57">
        <v>10371.008270335637</v>
      </c>
      <c r="AZ57">
        <v>2.8092703043999303</v>
      </c>
      <c r="BA57">
        <v>3964.442253569182</v>
      </c>
      <c r="BB57">
        <v>2.8245056987928314</v>
      </c>
      <c r="BC57">
        <v>3985.9424421364438</v>
      </c>
      <c r="BD57">
        <v>1.3518331446583003</v>
      </c>
      <c r="BE57">
        <v>1907.7069337417934</v>
      </c>
      <c r="BF57">
        <v>2.4537237772524416</v>
      </c>
      <c r="BG57">
        <v>3462.6949944586459</v>
      </c>
      <c r="BH57">
        <v>2.5512778257369377</v>
      </c>
      <c r="BI57">
        <v>3600.3632676799666</v>
      </c>
      <c r="BJ57">
        <v>2.5964110548163557</v>
      </c>
      <c r="BK57">
        <v>3664.0552805568414</v>
      </c>
      <c r="BL57">
        <v>2.5941649866788201</v>
      </c>
      <c r="BM57">
        <v>3660.885629201151</v>
      </c>
      <c r="BN57">
        <v>1.3263639778753205</v>
      </c>
      <c r="BO57">
        <v>1871.7648455776523</v>
      </c>
      <c r="BP57">
        <v>1.7712205494549591</v>
      </c>
      <c r="BQ57">
        <v>2499.5464393908383</v>
      </c>
      <c r="BR57">
        <v>2.4887456281772788</v>
      </c>
      <c r="BS57">
        <v>3512.1178304837758</v>
      </c>
      <c r="BT57">
        <v>1.3619533116898357</v>
      </c>
      <c r="BU57">
        <v>1921.9885134566962</v>
      </c>
      <c r="BV57">
        <v>2.4720763330032467</v>
      </c>
      <c r="BW57">
        <v>3488.5941211341819</v>
      </c>
      <c r="BX57">
        <v>1.8487520476354622</v>
      </c>
      <c r="BY57">
        <v>2608.9588896231644</v>
      </c>
      <c r="BZ57">
        <v>2.188289402306109</v>
      </c>
      <c r="CA57">
        <v>3088.1140045343814</v>
      </c>
      <c r="CB57">
        <v>2.1838883762013217</v>
      </c>
      <c r="CC57">
        <v>3081.9032764953054</v>
      </c>
      <c r="CD57">
        <v>1.9402011220786659</v>
      </c>
      <c r="CE57">
        <v>2738.0118234774136</v>
      </c>
      <c r="CF57">
        <v>2.8894781037947301</v>
      </c>
      <c r="CG57">
        <v>4077.6315000751233</v>
      </c>
      <c r="CH57">
        <v>2.4780847778333732</v>
      </c>
      <c r="CI57">
        <v>3497.0732384784565</v>
      </c>
      <c r="CJ57">
        <v>1.9990903635392074</v>
      </c>
      <c r="CK57">
        <v>2821.1163210265295</v>
      </c>
      <c r="CL57">
        <v>1.8032204386213453</v>
      </c>
      <c r="CM57">
        <v>2544.7046829824426</v>
      </c>
      <c r="CN57">
        <v>1.8426957712200778</v>
      </c>
      <c r="CO57">
        <v>2600.412272345774</v>
      </c>
      <c r="CP57">
        <v>1.8858654149414824</v>
      </c>
      <c r="CQ57">
        <v>2661.3332735654199</v>
      </c>
      <c r="CR57">
        <v>2.3526753602604096</v>
      </c>
      <c r="CS57">
        <v>3320.0954683994901</v>
      </c>
      <c r="CT57">
        <v>2.0953487540757245</v>
      </c>
      <c r="CU57">
        <v>2956.9561617516624</v>
      </c>
    </row>
    <row r="58" spans="2:99" x14ac:dyDescent="0.2">
      <c r="C58" s="105" t="s">
        <v>224</v>
      </c>
      <c r="D58">
        <v>5</v>
      </c>
      <c r="E58">
        <v>5886</v>
      </c>
      <c r="F58">
        <v>4</v>
      </c>
      <c r="G58">
        <v>4708.8</v>
      </c>
      <c r="H58">
        <v>8</v>
      </c>
      <c r="I58">
        <v>9417.6</v>
      </c>
      <c r="J58">
        <v>5</v>
      </c>
      <c r="K58">
        <v>5886</v>
      </c>
      <c r="L58">
        <v>6</v>
      </c>
      <c r="M58">
        <v>7063.2000000000007</v>
      </c>
      <c r="N58">
        <v>7</v>
      </c>
      <c r="O58">
        <v>8240.4</v>
      </c>
      <c r="P58">
        <v>8</v>
      </c>
      <c r="Q58">
        <v>9417.6</v>
      </c>
      <c r="R58">
        <v>7</v>
      </c>
      <c r="S58">
        <v>8240.4</v>
      </c>
      <c r="T58">
        <v>6</v>
      </c>
      <c r="U58">
        <v>7063.2000000000007</v>
      </c>
      <c r="V58">
        <v>8</v>
      </c>
      <c r="W58">
        <v>9417.6</v>
      </c>
      <c r="X58">
        <v>8</v>
      </c>
      <c r="Y58">
        <v>9417.6</v>
      </c>
      <c r="Z58">
        <v>6</v>
      </c>
      <c r="AA58">
        <v>7063.2000000000007</v>
      </c>
      <c r="AB58">
        <v>7</v>
      </c>
      <c r="AC58">
        <v>8240.4</v>
      </c>
      <c r="AD58">
        <v>5</v>
      </c>
      <c r="AE58">
        <v>5886</v>
      </c>
      <c r="AF58">
        <v>5</v>
      </c>
      <c r="AG58">
        <v>5886</v>
      </c>
      <c r="AH58">
        <v>7</v>
      </c>
      <c r="AI58">
        <v>8240.4</v>
      </c>
      <c r="AJ58">
        <v>6</v>
      </c>
      <c r="AK58">
        <v>7063.2000000000007</v>
      </c>
      <c r="AL58">
        <v>6</v>
      </c>
      <c r="AM58">
        <v>7063.2000000000007</v>
      </c>
      <c r="AN58">
        <v>7</v>
      </c>
      <c r="AO58">
        <v>8240.4</v>
      </c>
      <c r="AP58">
        <v>6</v>
      </c>
      <c r="AQ58">
        <v>7063.2000000000007</v>
      </c>
      <c r="AR58">
        <v>8</v>
      </c>
      <c r="AS58">
        <v>9417.6</v>
      </c>
      <c r="AT58">
        <v>7</v>
      </c>
      <c r="AU58">
        <v>8240.4</v>
      </c>
      <c r="AV58">
        <v>8</v>
      </c>
      <c r="AW58">
        <v>9417.6</v>
      </c>
      <c r="AX58">
        <v>9</v>
      </c>
      <c r="AY58">
        <v>10594.800000000001</v>
      </c>
      <c r="AZ58">
        <v>6</v>
      </c>
      <c r="BA58">
        <v>7063.2000000000007</v>
      </c>
      <c r="BB58">
        <v>8</v>
      </c>
      <c r="BC58">
        <v>9417.6</v>
      </c>
      <c r="BD58">
        <v>5</v>
      </c>
      <c r="BE58">
        <v>5886</v>
      </c>
      <c r="BF58">
        <v>7</v>
      </c>
      <c r="BG58">
        <v>8240.4</v>
      </c>
      <c r="BH58">
        <v>7</v>
      </c>
      <c r="BI58">
        <v>8240.4</v>
      </c>
      <c r="BJ58">
        <v>5</v>
      </c>
      <c r="BK58">
        <v>5886</v>
      </c>
      <c r="BL58">
        <v>7</v>
      </c>
      <c r="BM58">
        <v>8240.4</v>
      </c>
      <c r="BN58">
        <v>5</v>
      </c>
      <c r="BO58">
        <v>5886</v>
      </c>
      <c r="BP58">
        <v>6</v>
      </c>
      <c r="BQ58">
        <v>7063.2000000000007</v>
      </c>
      <c r="BR58">
        <v>6</v>
      </c>
      <c r="BS58">
        <v>7063.2000000000007</v>
      </c>
      <c r="BT58">
        <v>5</v>
      </c>
      <c r="BU58">
        <v>5886</v>
      </c>
      <c r="BV58">
        <v>7</v>
      </c>
      <c r="BW58">
        <v>8240.4</v>
      </c>
      <c r="BX58">
        <v>4</v>
      </c>
      <c r="BY58">
        <v>4708.8</v>
      </c>
      <c r="BZ58">
        <v>6</v>
      </c>
      <c r="CA58">
        <v>7063.2000000000007</v>
      </c>
      <c r="CB58">
        <v>7</v>
      </c>
      <c r="CC58">
        <v>8240.4</v>
      </c>
      <c r="CD58">
        <v>6</v>
      </c>
      <c r="CE58">
        <v>7063.2000000000007</v>
      </c>
      <c r="CF58">
        <v>8</v>
      </c>
      <c r="CG58">
        <v>9417.6</v>
      </c>
      <c r="CH58">
        <v>7</v>
      </c>
      <c r="CI58">
        <v>8240.4</v>
      </c>
      <c r="CJ58">
        <v>5</v>
      </c>
      <c r="CK58">
        <v>5886</v>
      </c>
      <c r="CL58">
        <v>8</v>
      </c>
      <c r="CM58">
        <v>9417.6</v>
      </c>
      <c r="CN58">
        <v>7</v>
      </c>
      <c r="CO58">
        <v>8240.4</v>
      </c>
      <c r="CP58">
        <v>8</v>
      </c>
      <c r="CQ58">
        <v>9417.6</v>
      </c>
      <c r="CR58">
        <v>8</v>
      </c>
      <c r="CS58">
        <v>9417.6</v>
      </c>
      <c r="CT58">
        <v>6</v>
      </c>
      <c r="CU58">
        <v>7063.2000000000007</v>
      </c>
    </row>
    <row r="59" spans="2:99" x14ac:dyDescent="0.2">
      <c r="C59" s="105" t="s">
        <v>225</v>
      </c>
      <c r="D59">
        <v>6</v>
      </c>
      <c r="E59">
        <v>1821.6</v>
      </c>
      <c r="F59">
        <v>5</v>
      </c>
      <c r="G59">
        <v>1517.9999999999998</v>
      </c>
      <c r="H59">
        <v>8</v>
      </c>
      <c r="I59">
        <v>2428.7999999999997</v>
      </c>
      <c r="J59">
        <v>5</v>
      </c>
      <c r="K59">
        <v>1517.9999999999998</v>
      </c>
      <c r="L59">
        <v>7.4130566431311733</v>
      </c>
      <c r="M59">
        <v>2250.6039968546238</v>
      </c>
      <c r="N59">
        <v>7.3319336454218931</v>
      </c>
      <c r="O59">
        <v>2225.9750547500867</v>
      </c>
      <c r="P59">
        <v>9</v>
      </c>
      <c r="Q59">
        <v>2732.3999999999996</v>
      </c>
      <c r="R59">
        <v>7.4836866585243094</v>
      </c>
      <c r="S59">
        <v>2272.04726952798</v>
      </c>
      <c r="T59">
        <v>7</v>
      </c>
      <c r="U59">
        <v>2125.1999999999998</v>
      </c>
      <c r="V59">
        <v>8.4894116080843869</v>
      </c>
      <c r="W59">
        <v>2577.3853642144195</v>
      </c>
      <c r="X59">
        <v>7</v>
      </c>
      <c r="Y59">
        <v>2125.1999999999998</v>
      </c>
      <c r="Z59">
        <v>7.495105334143509</v>
      </c>
      <c r="AA59">
        <v>2275.5139794459692</v>
      </c>
      <c r="AB59">
        <v>8</v>
      </c>
      <c r="AC59">
        <v>2428.7999999999997</v>
      </c>
      <c r="AD59">
        <v>5.2849030427934585</v>
      </c>
      <c r="AE59">
        <v>1604.4965637920939</v>
      </c>
      <c r="AF59">
        <v>5.3084606236251206</v>
      </c>
      <c r="AG59">
        <v>1611.6486453325865</v>
      </c>
      <c r="AH59">
        <v>8.2984637895509845</v>
      </c>
      <c r="AI59">
        <v>2519.4136065076787</v>
      </c>
      <c r="AJ59">
        <v>6</v>
      </c>
      <c r="AK59">
        <v>1821.6</v>
      </c>
      <c r="AL59">
        <v>6.3963842382800147</v>
      </c>
      <c r="AM59">
        <v>1941.9422547418123</v>
      </c>
      <c r="AN59">
        <v>8.3104381344618261</v>
      </c>
      <c r="AO59">
        <v>2523.0490176226103</v>
      </c>
      <c r="AP59">
        <v>6.4490778691687902</v>
      </c>
      <c r="AQ59">
        <v>1957.9400410796445</v>
      </c>
      <c r="AR59">
        <v>8</v>
      </c>
      <c r="AS59">
        <v>2428.7999999999997</v>
      </c>
      <c r="AT59">
        <v>8.4968452912272667</v>
      </c>
      <c r="AU59">
        <v>2579.6422304165981</v>
      </c>
      <c r="AV59">
        <v>8</v>
      </c>
      <c r="AW59">
        <v>2428.7999999999997</v>
      </c>
      <c r="AX59">
        <v>9.349070486348948</v>
      </c>
      <c r="AY59">
        <v>2838.3777996555405</v>
      </c>
      <c r="AZ59">
        <v>3.3711243652799165</v>
      </c>
      <c r="BA59">
        <v>1023.4733572989826</v>
      </c>
      <c r="BB59">
        <v>3.5098726807990834</v>
      </c>
      <c r="BC59">
        <v>1065.5973458906017</v>
      </c>
      <c r="BD59">
        <v>1.3518331446583003</v>
      </c>
      <c r="BE59">
        <v>410.4165427182599</v>
      </c>
      <c r="BF59">
        <v>2.4537237772524416</v>
      </c>
      <c r="BG59">
        <v>744.95053877384123</v>
      </c>
      <c r="BH59">
        <v>2.9764907966930942</v>
      </c>
      <c r="BI59">
        <v>903.66260587602335</v>
      </c>
      <c r="BJ59">
        <v>3.0244815363807511</v>
      </c>
      <c r="BK59">
        <v>918.2325944451959</v>
      </c>
      <c r="BL59">
        <v>2.6182954072296849</v>
      </c>
      <c r="BM59">
        <v>794.91448563493225</v>
      </c>
      <c r="BN59">
        <v>1.654826270402314</v>
      </c>
      <c r="BO59">
        <v>502.40525569414245</v>
      </c>
      <c r="BP59">
        <v>1.7823938421805827</v>
      </c>
      <c r="BQ59">
        <v>541.13477048602488</v>
      </c>
      <c r="BR59">
        <v>2.8970703163968619</v>
      </c>
      <c r="BS59">
        <v>879.5505480580872</v>
      </c>
      <c r="BT59">
        <v>2.0429299675347536</v>
      </c>
      <c r="BU59">
        <v>620.23353814355119</v>
      </c>
      <c r="BV59">
        <v>2.4891169301697844</v>
      </c>
      <c r="BW59">
        <v>755.69589999954644</v>
      </c>
      <c r="BX59">
        <v>1.8487520476354622</v>
      </c>
      <c r="BY59">
        <v>561.28112166212622</v>
      </c>
      <c r="BZ59">
        <v>2.2089595596681577</v>
      </c>
      <c r="CA59">
        <v>670.6401223152526</v>
      </c>
      <c r="CB59">
        <v>2.4596005025499839</v>
      </c>
      <c r="CC59">
        <v>746.73471257417498</v>
      </c>
      <c r="CD59">
        <v>2.2635679757584435</v>
      </c>
      <c r="CE59">
        <v>687.21923744026333</v>
      </c>
      <c r="CF59">
        <v>2.8894781037947301</v>
      </c>
      <c r="CG59">
        <v>877.24555231208001</v>
      </c>
      <c r="CH59">
        <v>2.8320968889524267</v>
      </c>
      <c r="CI59">
        <v>859.82461548595666</v>
      </c>
      <c r="CJ59">
        <v>2.4138621367605677</v>
      </c>
      <c r="CK59">
        <v>732.84854472050824</v>
      </c>
      <c r="CL59">
        <v>2.3144726451897988</v>
      </c>
      <c r="CM59">
        <v>702.67389507962287</v>
      </c>
      <c r="CN59">
        <v>2.1059380242515178</v>
      </c>
      <c r="CO59">
        <v>639.3627841627607</v>
      </c>
      <c r="CP59">
        <v>1.8858654149414824</v>
      </c>
      <c r="CQ59">
        <v>572.54873997623395</v>
      </c>
      <c r="CR59">
        <v>2.3526753602604096</v>
      </c>
      <c r="CS59">
        <v>714.27223937506028</v>
      </c>
      <c r="CT59">
        <v>2.0953487540757245</v>
      </c>
      <c r="CU59">
        <v>636.14788173738987</v>
      </c>
    </row>
    <row r="60" spans="2:99" x14ac:dyDescent="0.2">
      <c r="C60" s="105" t="s">
        <v>226</v>
      </c>
      <c r="D60">
        <v>6</v>
      </c>
      <c r="E60">
        <v>3909.6000000000004</v>
      </c>
      <c r="F60">
        <v>5</v>
      </c>
      <c r="G60">
        <v>3258</v>
      </c>
      <c r="H60">
        <v>8</v>
      </c>
      <c r="I60">
        <v>5212.8</v>
      </c>
      <c r="J60">
        <v>5</v>
      </c>
      <c r="K60">
        <v>3258</v>
      </c>
      <c r="L60">
        <v>7.3671614605610429</v>
      </c>
      <c r="M60">
        <v>4800.4424077015756</v>
      </c>
      <c r="N60">
        <v>8.3793527376250214</v>
      </c>
      <c r="O60">
        <v>5459.9862438364644</v>
      </c>
      <c r="P60">
        <v>9</v>
      </c>
      <c r="Q60">
        <v>5864.4000000000005</v>
      </c>
      <c r="R60">
        <v>7.4836866585243094</v>
      </c>
      <c r="S60">
        <v>4876.3702266944401</v>
      </c>
      <c r="T60">
        <v>6</v>
      </c>
      <c r="U60">
        <v>3909.6000000000004</v>
      </c>
      <c r="V60">
        <v>8.5383527688928247</v>
      </c>
      <c r="W60">
        <v>5563.5906642105647</v>
      </c>
      <c r="X60">
        <v>8</v>
      </c>
      <c r="Y60">
        <v>5212.8</v>
      </c>
      <c r="Z60">
        <v>6.495105334143509</v>
      </c>
      <c r="AA60">
        <v>4232.2106357279108</v>
      </c>
      <c r="AB60">
        <v>7</v>
      </c>
      <c r="AC60">
        <v>4561.2</v>
      </c>
      <c r="AD60">
        <v>6.2849030427934585</v>
      </c>
      <c r="AE60">
        <v>4095.2428226842176</v>
      </c>
      <c r="AF60">
        <v>4.3084606236251206</v>
      </c>
      <c r="AG60">
        <v>2807.3929423541285</v>
      </c>
      <c r="AH60">
        <v>7.2984637895509845</v>
      </c>
      <c r="AI60">
        <v>4755.6790052714214</v>
      </c>
      <c r="AJ60">
        <v>6</v>
      </c>
      <c r="AK60">
        <v>3909.6000000000004</v>
      </c>
      <c r="AL60">
        <v>7.3963842382800147</v>
      </c>
      <c r="AM60">
        <v>4819.483969663258</v>
      </c>
      <c r="AN60">
        <v>8.3104381344618261</v>
      </c>
      <c r="AO60">
        <v>5415.081488415326</v>
      </c>
      <c r="AP60">
        <v>6.3991803281500355</v>
      </c>
      <c r="AQ60">
        <v>4169.7059018225636</v>
      </c>
      <c r="AR60">
        <v>8</v>
      </c>
      <c r="AS60">
        <v>5212.8</v>
      </c>
      <c r="AT60">
        <v>8.3974762329818144</v>
      </c>
      <c r="AU60">
        <v>5471.7955134109507</v>
      </c>
      <c r="AV60">
        <v>7</v>
      </c>
      <c r="AW60">
        <v>4561.2</v>
      </c>
      <c r="AX60">
        <v>9.349070486348948</v>
      </c>
      <c r="AY60">
        <v>6091.8543289049749</v>
      </c>
      <c r="AZ60">
        <v>3.3711243652799165</v>
      </c>
      <c r="BA60">
        <v>2196.6246364163935</v>
      </c>
      <c r="BB60">
        <v>2.8577208070999607</v>
      </c>
      <c r="BC60">
        <v>1862.0908779063345</v>
      </c>
      <c r="BD60">
        <v>1.3518331446583003</v>
      </c>
      <c r="BE60">
        <v>880.85447705934848</v>
      </c>
      <c r="BF60">
        <v>2.8432079392183667</v>
      </c>
      <c r="BG60">
        <v>1852.6342931946879</v>
      </c>
      <c r="BH60">
        <v>2.5512778257369377</v>
      </c>
      <c r="BI60">
        <v>1662.4126312501887</v>
      </c>
      <c r="BJ60">
        <v>2.5964110548163557</v>
      </c>
      <c r="BK60">
        <v>1691.8214433183375</v>
      </c>
      <c r="BL60">
        <v>2.2925166326104032</v>
      </c>
      <c r="BM60">
        <v>1493.8038378089389</v>
      </c>
      <c r="BN60">
        <v>1.9582589473946126</v>
      </c>
      <c r="BO60">
        <v>1276.0015301223295</v>
      </c>
      <c r="BP60">
        <v>1.7712205494549591</v>
      </c>
      <c r="BQ60">
        <v>1154.1273100248513</v>
      </c>
      <c r="BR60">
        <v>2.8970703163968619</v>
      </c>
      <c r="BS60">
        <v>1887.7310181641953</v>
      </c>
      <c r="BT60">
        <v>1.7024416396122946</v>
      </c>
      <c r="BU60">
        <v>1109.3109723713712</v>
      </c>
      <c r="BV60">
        <v>2.4891169301697844</v>
      </c>
      <c r="BW60">
        <v>1621.9085916986317</v>
      </c>
      <c r="BX60">
        <v>1.8487520476354622</v>
      </c>
      <c r="BY60">
        <v>1204.6468342392673</v>
      </c>
      <c r="BZ60">
        <v>2.188289402306109</v>
      </c>
      <c r="CA60">
        <v>1425.8893745426608</v>
      </c>
      <c r="CB60">
        <v>2.1838883762013217</v>
      </c>
      <c r="CC60">
        <v>1423.0216659327812</v>
      </c>
      <c r="CD60">
        <v>1.955586779370289</v>
      </c>
      <c r="CE60">
        <v>1274.2603454376804</v>
      </c>
      <c r="CF60">
        <v>2.8894781037947301</v>
      </c>
      <c r="CG60">
        <v>1882.7839324326462</v>
      </c>
      <c r="CH60">
        <v>2.8198147873755421</v>
      </c>
      <c r="CI60">
        <v>1837.3913154539034</v>
      </c>
      <c r="CJ60">
        <v>2.3989084362470492</v>
      </c>
      <c r="CK60">
        <v>1563.1287370585774</v>
      </c>
      <c r="CL60">
        <v>2.0542339700283199</v>
      </c>
      <c r="CM60">
        <v>1338.5388548704532</v>
      </c>
      <c r="CN60">
        <v>2.0968375581221403</v>
      </c>
      <c r="CO60">
        <v>1366.2993528723866</v>
      </c>
      <c r="CP60">
        <v>2.1411339380216061</v>
      </c>
      <c r="CQ60">
        <v>1395.1628740148785</v>
      </c>
      <c r="CR60">
        <v>2.6887718402976111</v>
      </c>
      <c r="CS60">
        <v>1752.0037311379235</v>
      </c>
      <c r="CT60">
        <v>2.403998891309425</v>
      </c>
      <c r="CU60">
        <v>1566.4456775772214</v>
      </c>
    </row>
    <row r="61" spans="2:99" x14ac:dyDescent="0.2">
      <c r="C61" s="105" t="s">
        <v>227</v>
      </c>
      <c r="D61">
        <v>6</v>
      </c>
      <c r="E61">
        <v>5709.5999999999995</v>
      </c>
      <c r="F61">
        <v>5</v>
      </c>
      <c r="G61">
        <v>4758</v>
      </c>
      <c r="H61">
        <v>8</v>
      </c>
      <c r="I61">
        <v>7612.7999999999993</v>
      </c>
      <c r="J61">
        <v>5</v>
      </c>
      <c r="K61">
        <v>4758</v>
      </c>
      <c r="L61">
        <v>7.4130566431311733</v>
      </c>
      <c r="M61">
        <v>7054.2647016036235</v>
      </c>
      <c r="N61">
        <v>6.3793527376250205</v>
      </c>
      <c r="O61">
        <v>6070.5920651239694</v>
      </c>
      <c r="P61">
        <v>9</v>
      </c>
      <c r="Q61">
        <v>8564.4</v>
      </c>
      <c r="R61">
        <v>7.4353179926718784</v>
      </c>
      <c r="S61">
        <v>7075.4486018265588</v>
      </c>
      <c r="T61">
        <v>6</v>
      </c>
      <c r="U61">
        <v>5709.5999999999995</v>
      </c>
      <c r="V61">
        <v>8.4894116080843869</v>
      </c>
      <c r="W61">
        <v>8078.5240862531018</v>
      </c>
      <c r="X61">
        <v>7</v>
      </c>
      <c r="Y61">
        <v>6661.1999999999989</v>
      </c>
      <c r="Z61">
        <v>7.4455948007291584</v>
      </c>
      <c r="AA61">
        <v>7085.2280123738665</v>
      </c>
      <c r="AB61">
        <v>8</v>
      </c>
      <c r="AC61">
        <v>7612.7999999999993</v>
      </c>
      <c r="AD61">
        <v>5.2849030427934585</v>
      </c>
      <c r="AE61">
        <v>5029.1137355222545</v>
      </c>
      <c r="AF61">
        <v>5.2699030456719802</v>
      </c>
      <c r="AG61">
        <v>5014.8397382614558</v>
      </c>
      <c r="AH61">
        <v>7.2611558158571121</v>
      </c>
      <c r="AI61">
        <v>6909.7158743696273</v>
      </c>
      <c r="AJ61">
        <v>6</v>
      </c>
      <c r="AK61">
        <v>5709.5999999999995</v>
      </c>
      <c r="AL61">
        <v>6.346836208495013</v>
      </c>
      <c r="AM61">
        <v>6039.6493360038539</v>
      </c>
      <c r="AN61">
        <v>7.2716333676540978</v>
      </c>
      <c r="AO61">
        <v>6919.686312659639</v>
      </c>
      <c r="AP61">
        <v>5.3991803281500355</v>
      </c>
      <c r="AQ61">
        <v>5137.860000267573</v>
      </c>
      <c r="AR61">
        <v>7</v>
      </c>
      <c r="AS61">
        <v>6661.1999999999989</v>
      </c>
      <c r="AT61">
        <v>8.4968452912272667</v>
      </c>
      <c r="AU61">
        <v>8085.5979791318659</v>
      </c>
      <c r="AV61">
        <v>7</v>
      </c>
      <c r="AW61">
        <v>6661.1999999999989</v>
      </c>
      <c r="AX61">
        <v>9.349070486348948</v>
      </c>
      <c r="AY61">
        <v>8896.5754748096588</v>
      </c>
      <c r="AZ61">
        <v>3.3711243652799165</v>
      </c>
      <c r="BA61">
        <v>3207.9619460003682</v>
      </c>
      <c r="BB61">
        <v>3.5264802349526478</v>
      </c>
      <c r="BC61">
        <v>3355.7985915809395</v>
      </c>
      <c r="BD61">
        <v>1.3518331446583003</v>
      </c>
      <c r="BE61">
        <v>1286.4044204568384</v>
      </c>
      <c r="BF61">
        <v>2.8626777401278489</v>
      </c>
      <c r="BG61">
        <v>2724.1241375056607</v>
      </c>
      <c r="BH61">
        <v>2.5512778257369377</v>
      </c>
      <c r="BI61">
        <v>2427.7959789712695</v>
      </c>
      <c r="BJ61">
        <v>2.6104051375313468</v>
      </c>
      <c r="BK61">
        <v>2484.0615288748295</v>
      </c>
      <c r="BL61">
        <v>2.5941649866788201</v>
      </c>
      <c r="BM61">
        <v>2468.6074013235648</v>
      </c>
      <c r="BN61">
        <v>1.654826270402314</v>
      </c>
      <c r="BO61">
        <v>1574.7326789148419</v>
      </c>
      <c r="BP61">
        <v>1.7712205494549591</v>
      </c>
      <c r="BQ61">
        <v>1685.4934748613389</v>
      </c>
      <c r="BR61">
        <v>2.5081443776071679</v>
      </c>
      <c r="BS61">
        <v>2386.7501897309808</v>
      </c>
      <c r="BT61">
        <v>1.7024416396122946</v>
      </c>
      <c r="BU61">
        <v>1620.0434642550592</v>
      </c>
      <c r="BV61">
        <v>2.4720763330032467</v>
      </c>
      <c r="BW61">
        <v>2352.4278384858894</v>
      </c>
      <c r="BX61">
        <v>1.8487520476354622</v>
      </c>
      <c r="BY61">
        <v>1759.2724485299057</v>
      </c>
      <c r="BZ61">
        <v>1.8889645888522673</v>
      </c>
      <c r="CA61">
        <v>1797.5387027518173</v>
      </c>
      <c r="CB61">
        <v>1.919080567146646</v>
      </c>
      <c r="CC61">
        <v>1826.197067696748</v>
      </c>
      <c r="CD61">
        <v>1.955586779370289</v>
      </c>
      <c r="CE61">
        <v>1860.9363792487668</v>
      </c>
      <c r="CF61">
        <v>2.8894781037947301</v>
      </c>
      <c r="CG61">
        <v>2749.627363571065</v>
      </c>
      <c r="CH61">
        <v>2.4903668794102582</v>
      </c>
      <c r="CI61">
        <v>2369.8331224468016</v>
      </c>
      <c r="CJ61">
        <v>2.3989084362470492</v>
      </c>
      <c r="CK61">
        <v>2282.8012679326916</v>
      </c>
      <c r="CL61">
        <v>1.8032204386213453</v>
      </c>
      <c r="CM61">
        <v>1715.944569392072</v>
      </c>
      <c r="CN61">
        <v>1.8335953050907008</v>
      </c>
      <c r="CO61">
        <v>1744.8492923243107</v>
      </c>
      <c r="CP61">
        <v>2.1287607188490294</v>
      </c>
      <c r="CQ61">
        <v>2025.7287000567362</v>
      </c>
      <c r="CR61">
        <v>2.6887718402976111</v>
      </c>
      <c r="CS61">
        <v>2558.6352832272064</v>
      </c>
      <c r="CT61">
        <v>2.0953487540757245</v>
      </c>
      <c r="CU61">
        <v>1993.9338743784592</v>
      </c>
    </row>
    <row r="62" spans="2:99" x14ac:dyDescent="0.2">
      <c r="C62" s="105" t="s">
        <v>228</v>
      </c>
      <c r="D62">
        <v>6</v>
      </c>
      <c r="E62">
        <v>10231.200000000001</v>
      </c>
      <c r="F62">
        <v>5</v>
      </c>
      <c r="G62">
        <v>8526</v>
      </c>
      <c r="H62">
        <v>7</v>
      </c>
      <c r="I62">
        <v>11936.4</v>
      </c>
      <c r="J62">
        <v>4</v>
      </c>
      <c r="K62">
        <v>6820.8</v>
      </c>
      <c r="L62">
        <v>7.3212662779909126</v>
      </c>
      <c r="M62">
        <v>12484.223257230104</v>
      </c>
      <c r="N62">
        <v>6.3319336454218931</v>
      </c>
      <c r="O62">
        <v>10797.213252173413</v>
      </c>
      <c r="P62">
        <v>8</v>
      </c>
      <c r="Q62">
        <v>13641.6</v>
      </c>
      <c r="R62">
        <v>7.4836866585243094</v>
      </c>
      <c r="S62">
        <v>12761.182490115652</v>
      </c>
      <c r="T62">
        <v>5</v>
      </c>
      <c r="U62">
        <v>8526</v>
      </c>
      <c r="V62">
        <v>9.4404704472759473</v>
      </c>
      <c r="W62">
        <v>16097.890206694945</v>
      </c>
      <c r="X62">
        <v>7</v>
      </c>
      <c r="Y62">
        <v>11936.4</v>
      </c>
      <c r="Z62">
        <v>6.495105334143509</v>
      </c>
      <c r="AA62">
        <v>11075.453615781511</v>
      </c>
      <c r="AB62">
        <v>7</v>
      </c>
      <c r="AC62">
        <v>11936.4</v>
      </c>
      <c r="AD62">
        <v>5.2849030427934585</v>
      </c>
      <c r="AE62">
        <v>9011.8166685714059</v>
      </c>
      <c r="AF62">
        <v>5.3084606236251206</v>
      </c>
      <c r="AG62">
        <v>9051.987055405556</v>
      </c>
      <c r="AH62">
        <v>7.2611558158571121</v>
      </c>
      <c r="AI62">
        <v>12381.722897199548</v>
      </c>
      <c r="AJ62">
        <v>5</v>
      </c>
      <c r="AK62">
        <v>8526</v>
      </c>
      <c r="AL62">
        <v>7.346836208495013</v>
      </c>
      <c r="AM62">
        <v>12527.825102725696</v>
      </c>
      <c r="AN62">
        <v>7.2716333676540978</v>
      </c>
      <c r="AO62">
        <v>12399.589218523768</v>
      </c>
      <c r="AP62">
        <v>6.3492827871312807</v>
      </c>
      <c r="AQ62">
        <v>10826.79700861626</v>
      </c>
      <c r="AR62">
        <v>7</v>
      </c>
      <c r="AS62">
        <v>11936.4</v>
      </c>
      <c r="AT62">
        <v>7.3974762329818136</v>
      </c>
      <c r="AU62">
        <v>12614.176472480589</v>
      </c>
      <c r="AV62">
        <v>6</v>
      </c>
      <c r="AW62">
        <v>10231.200000000001</v>
      </c>
      <c r="AX62">
        <v>7.349070486348948</v>
      </c>
      <c r="AY62">
        <v>12531.634993322226</v>
      </c>
      <c r="AZ62">
        <v>3.3711243652799165</v>
      </c>
      <c r="BA62">
        <v>5748.4412676753136</v>
      </c>
      <c r="BB62">
        <v>2.8411132529463963</v>
      </c>
      <c r="BC62">
        <v>4844.6663189241954</v>
      </c>
      <c r="BD62">
        <v>1.3518331446583003</v>
      </c>
      <c r="BE62">
        <v>2305.1458782713339</v>
      </c>
      <c r="BF62">
        <v>2.4537237772524416</v>
      </c>
      <c r="BG62">
        <v>4184.0897849708635</v>
      </c>
      <c r="BH62">
        <v>2.5512778257369377</v>
      </c>
      <c r="BI62">
        <v>4350.4389484466265</v>
      </c>
      <c r="BJ62">
        <v>2.5824169721013641</v>
      </c>
      <c r="BK62">
        <v>4403.537420827246</v>
      </c>
      <c r="BL62">
        <v>2.2925166326104032</v>
      </c>
      <c r="BM62">
        <v>3909.1993619272598</v>
      </c>
      <c r="BN62">
        <v>1.6423114626349666</v>
      </c>
      <c r="BO62">
        <v>2800.469506085145</v>
      </c>
      <c r="BP62">
        <v>1.760047256729335</v>
      </c>
      <c r="BQ62">
        <v>3001.2325821748623</v>
      </c>
      <c r="BR62">
        <v>2.4887456281772788</v>
      </c>
      <c r="BS62">
        <v>4243.8090451678963</v>
      </c>
      <c r="BT62">
        <v>1.7024416396122946</v>
      </c>
      <c r="BU62">
        <v>2903.0034838668848</v>
      </c>
      <c r="BV62">
        <v>2.1310944262645957</v>
      </c>
      <c r="BW62">
        <v>3633.9422156663886</v>
      </c>
      <c r="BX62">
        <v>1.8487520476354622</v>
      </c>
      <c r="BY62">
        <v>3152.49199162799</v>
      </c>
      <c r="BZ62">
        <v>1.8786295101712431</v>
      </c>
      <c r="CA62">
        <v>3203.4390407440037</v>
      </c>
      <c r="CB62">
        <v>1.919080567146646</v>
      </c>
      <c r="CC62">
        <v>3272.4161830984608</v>
      </c>
      <c r="CD62">
        <v>2.2635679757584435</v>
      </c>
      <c r="CE62">
        <v>3859.8361122632978</v>
      </c>
      <c r="CF62">
        <v>2.5282933408203889</v>
      </c>
      <c r="CG62">
        <v>4311.245804766927</v>
      </c>
      <c r="CH62">
        <v>2.4780847778333732</v>
      </c>
      <c r="CI62">
        <v>4225.6301631614679</v>
      </c>
      <c r="CJ62">
        <v>2.0140440640527264</v>
      </c>
      <c r="CK62">
        <v>3434.3479380227091</v>
      </c>
      <c r="CL62">
        <v>1.8032204386213453</v>
      </c>
      <c r="CM62">
        <v>3074.8514919371182</v>
      </c>
      <c r="CN62">
        <v>1.8335953050907008</v>
      </c>
      <c r="CO62">
        <v>3126.6467142406632</v>
      </c>
      <c r="CP62">
        <v>1.8734921957689055</v>
      </c>
      <c r="CQ62">
        <v>3194.6788922251376</v>
      </c>
      <c r="CR62">
        <v>2.6887718402976111</v>
      </c>
      <c r="CS62">
        <v>4584.8937420754864</v>
      </c>
      <c r="CT62">
        <v>2.0953487540757245</v>
      </c>
      <c r="CU62">
        <v>3572.9886954499257</v>
      </c>
    </row>
    <row r="63" spans="2:99" x14ac:dyDescent="0.2">
      <c r="C63" s="105" t="s">
        <v>229</v>
      </c>
      <c r="D63">
        <v>6</v>
      </c>
      <c r="E63">
        <v>4773.6000000000004</v>
      </c>
      <c r="F63">
        <v>5</v>
      </c>
      <c r="G63">
        <v>3978</v>
      </c>
      <c r="H63">
        <v>8</v>
      </c>
      <c r="I63">
        <v>6364.8</v>
      </c>
      <c r="J63">
        <v>5</v>
      </c>
      <c r="K63">
        <v>3978</v>
      </c>
      <c r="L63">
        <v>6.3671614605610429</v>
      </c>
      <c r="M63">
        <v>5065.713658022366</v>
      </c>
      <c r="N63">
        <v>7.3793527376250205</v>
      </c>
      <c r="O63">
        <v>5871.0130380544661</v>
      </c>
      <c r="P63">
        <v>9</v>
      </c>
      <c r="Q63">
        <v>7160.4000000000005</v>
      </c>
      <c r="R63">
        <v>6.4353179926718784</v>
      </c>
      <c r="S63">
        <v>5119.938994969747</v>
      </c>
      <c r="T63">
        <v>6</v>
      </c>
      <c r="U63">
        <v>4773.6000000000004</v>
      </c>
      <c r="V63">
        <v>8.4404704472759473</v>
      </c>
      <c r="W63">
        <v>6715.2382878527442</v>
      </c>
      <c r="X63">
        <v>7</v>
      </c>
      <c r="Y63">
        <v>5569.2</v>
      </c>
      <c r="Z63">
        <v>7.4455948007291584</v>
      </c>
      <c r="AA63">
        <v>5923.715223460119</v>
      </c>
      <c r="AB63">
        <v>7</v>
      </c>
      <c r="AC63">
        <v>5569.2</v>
      </c>
      <c r="AD63">
        <v>5.2849030427934585</v>
      </c>
      <c r="AE63">
        <v>4204.6688608464756</v>
      </c>
      <c r="AF63">
        <v>5.3084606236251206</v>
      </c>
      <c r="AG63">
        <v>4223.411272156146</v>
      </c>
      <c r="AH63">
        <v>6.2984637895509845</v>
      </c>
      <c r="AI63">
        <v>5011.0577909667636</v>
      </c>
      <c r="AJ63">
        <v>6</v>
      </c>
      <c r="AK63">
        <v>4773.6000000000004</v>
      </c>
      <c r="AL63">
        <v>7.3963842382800147</v>
      </c>
      <c r="AM63">
        <v>5884.5632999755799</v>
      </c>
      <c r="AN63">
        <v>8.2716333676540987</v>
      </c>
      <c r="AO63">
        <v>6580.9115073056009</v>
      </c>
      <c r="AP63">
        <v>6.4490778691687902</v>
      </c>
      <c r="AQ63">
        <v>5130.8863527106896</v>
      </c>
      <c r="AR63">
        <v>7</v>
      </c>
      <c r="AS63">
        <v>5569.2</v>
      </c>
      <c r="AT63">
        <v>8</v>
      </c>
      <c r="AU63">
        <v>6364.8</v>
      </c>
      <c r="AV63">
        <v>7</v>
      </c>
      <c r="AW63">
        <v>5569.2</v>
      </c>
      <c r="AX63">
        <v>8.349070486348948</v>
      </c>
      <c r="AY63">
        <v>6642.5204789392228</v>
      </c>
      <c r="AZ63">
        <v>3.3711243652799165</v>
      </c>
      <c r="BA63">
        <v>2682.0665450167016</v>
      </c>
      <c r="BB63">
        <v>3.1921005210263047</v>
      </c>
      <c r="BC63">
        <v>2539.6351745285283</v>
      </c>
      <c r="BD63">
        <v>1.3518331446583003</v>
      </c>
      <c r="BE63">
        <v>1075.5184498901438</v>
      </c>
      <c r="BF63">
        <v>2.8432079392183667</v>
      </c>
      <c r="BG63">
        <v>2262.0562364421326</v>
      </c>
      <c r="BH63">
        <v>2.9764907966930942</v>
      </c>
      <c r="BI63">
        <v>2368.0960778490257</v>
      </c>
      <c r="BJ63">
        <v>2.6104051375313468</v>
      </c>
      <c r="BK63">
        <v>2076.8383274199396</v>
      </c>
      <c r="BL63">
        <v>2.6062301969542525</v>
      </c>
      <c r="BM63">
        <v>2073.5167446968035</v>
      </c>
      <c r="BN63">
        <v>1.654826270402314</v>
      </c>
      <c r="BO63">
        <v>1316.579780732081</v>
      </c>
      <c r="BP63">
        <v>2.1165260251654514</v>
      </c>
      <c r="BQ63">
        <v>1683.9081056216332</v>
      </c>
      <c r="BR63">
        <v>2.5081443776071679</v>
      </c>
      <c r="BS63">
        <v>1995.4796668242629</v>
      </c>
      <c r="BT63">
        <v>1.7024416396122946</v>
      </c>
      <c r="BU63">
        <v>1354.4625684755415</v>
      </c>
      <c r="BV63">
        <v>2.8300988369084346</v>
      </c>
      <c r="BW63">
        <v>2251.6266346443508</v>
      </c>
      <c r="BX63">
        <v>1.4790016381083699</v>
      </c>
      <c r="BY63">
        <v>1176.6937032790192</v>
      </c>
      <c r="BZ63">
        <v>2.188289402306109</v>
      </c>
      <c r="CA63">
        <v>1741.0030484747404</v>
      </c>
      <c r="CB63">
        <v>1.919080567146646</v>
      </c>
      <c r="CC63">
        <v>1526.8204992218716</v>
      </c>
      <c r="CD63">
        <v>2.2635679757584435</v>
      </c>
      <c r="CE63">
        <v>1800.8946815134177</v>
      </c>
      <c r="CF63">
        <v>2.8894781037947301</v>
      </c>
      <c r="CG63">
        <v>2298.8687793790873</v>
      </c>
      <c r="CH63">
        <v>2.8198147873755421</v>
      </c>
      <c r="CI63">
        <v>2243.4446448359813</v>
      </c>
      <c r="CJ63">
        <v>2.3989084362470492</v>
      </c>
      <c r="CK63">
        <v>1908.5715518781524</v>
      </c>
      <c r="CL63">
        <v>2.3052475014352947</v>
      </c>
      <c r="CM63">
        <v>1834.0549121419206</v>
      </c>
      <c r="CN63">
        <v>1.8335953050907008</v>
      </c>
      <c r="CO63">
        <v>1458.8084247301615</v>
      </c>
      <c r="CP63">
        <v>1.8858654149414824</v>
      </c>
      <c r="CQ63">
        <v>1500.3945241274434</v>
      </c>
      <c r="CR63">
        <v>2.3526753602604096</v>
      </c>
      <c r="CS63">
        <v>1871.788516623182</v>
      </c>
      <c r="CT63">
        <v>2.0953487540757245</v>
      </c>
      <c r="CU63">
        <v>1667.0594687426465</v>
      </c>
    </row>
    <row r="64" spans="2:99" x14ac:dyDescent="0.2">
      <c r="C64" s="105" t="s">
        <v>230</v>
      </c>
      <c r="D64">
        <v>6</v>
      </c>
      <c r="E64">
        <v>6055.1999999999989</v>
      </c>
      <c r="F64">
        <v>4</v>
      </c>
      <c r="G64">
        <v>4036.7999999999993</v>
      </c>
      <c r="H64">
        <v>7</v>
      </c>
      <c r="I64">
        <v>7064.3999999999987</v>
      </c>
      <c r="J64">
        <v>5</v>
      </c>
      <c r="K64">
        <v>5045.9999999999991</v>
      </c>
      <c r="L64">
        <v>7.3671614605610429</v>
      </c>
      <c r="M64">
        <v>7434.939345998203</v>
      </c>
      <c r="N64">
        <v>6.3793527376250205</v>
      </c>
      <c r="O64">
        <v>6438.0427828111697</v>
      </c>
      <c r="P64">
        <v>9</v>
      </c>
      <c r="Q64">
        <v>9082.7999999999993</v>
      </c>
      <c r="R64">
        <v>7.4353179926718784</v>
      </c>
      <c r="S64">
        <v>7503.7229182044584</v>
      </c>
      <c r="T64">
        <v>6</v>
      </c>
      <c r="U64">
        <v>6055.1999999999989</v>
      </c>
      <c r="V64">
        <v>8.4894116080843869</v>
      </c>
      <c r="W64">
        <v>8567.5141948787623</v>
      </c>
      <c r="X64">
        <v>7</v>
      </c>
      <c r="Y64">
        <v>7064.3999999999987</v>
      </c>
      <c r="Z64">
        <v>6.495105334143509</v>
      </c>
      <c r="AA64">
        <v>6554.8603032176279</v>
      </c>
      <c r="AB64">
        <v>8</v>
      </c>
      <c r="AC64">
        <v>8073.5999999999985</v>
      </c>
      <c r="AD64">
        <v>5.2849030427934585</v>
      </c>
      <c r="AE64">
        <v>5333.5241507871569</v>
      </c>
      <c r="AF64">
        <v>5.3084606236251206</v>
      </c>
      <c r="AG64">
        <v>5357.2984613624703</v>
      </c>
      <c r="AH64">
        <v>7.2984637895509845</v>
      </c>
      <c r="AI64">
        <v>7365.609656414852</v>
      </c>
      <c r="AJ64">
        <v>6</v>
      </c>
      <c r="AK64">
        <v>6055.1999999999989</v>
      </c>
      <c r="AL64">
        <v>6.3963842382800147</v>
      </c>
      <c r="AM64">
        <v>6455.2309732721897</v>
      </c>
      <c r="AN64">
        <v>7.2716333676540978</v>
      </c>
      <c r="AO64">
        <v>7338.5323946365143</v>
      </c>
      <c r="AP64">
        <v>5.3991803281500355</v>
      </c>
      <c r="AQ64">
        <v>5448.8527871690148</v>
      </c>
      <c r="AR64">
        <v>7</v>
      </c>
      <c r="AS64">
        <v>7064.3999999999987</v>
      </c>
      <c r="AT64">
        <v>8.4471607621045397</v>
      </c>
      <c r="AU64">
        <v>8524.8746411158991</v>
      </c>
      <c r="AV64">
        <v>7</v>
      </c>
      <c r="AW64">
        <v>7064.3999999999987</v>
      </c>
      <c r="AX64">
        <v>9.349070486348948</v>
      </c>
      <c r="AY64">
        <v>9435.0819348233563</v>
      </c>
      <c r="AZ64">
        <v>3.3711243652799165</v>
      </c>
      <c r="BA64">
        <v>3402.1387094404913</v>
      </c>
      <c r="BB64">
        <v>2.8411132529463963</v>
      </c>
      <c r="BC64">
        <v>2867.2514948735025</v>
      </c>
      <c r="BD64">
        <v>1.6221997735899605</v>
      </c>
      <c r="BE64">
        <v>1637.1240115069879</v>
      </c>
      <c r="BF64">
        <v>2.4731935781619239</v>
      </c>
      <c r="BG64">
        <v>2495.9469590810131</v>
      </c>
      <c r="BH64">
        <v>2.5512778257369377</v>
      </c>
      <c r="BI64">
        <v>2574.7495817337172</v>
      </c>
      <c r="BJ64">
        <v>2.6104051375313468</v>
      </c>
      <c r="BK64">
        <v>2634.4208647966348</v>
      </c>
      <c r="BL64">
        <v>2.2925166326104032</v>
      </c>
      <c r="BM64">
        <v>2313.6077856304187</v>
      </c>
      <c r="BN64">
        <v>1.654826270402314</v>
      </c>
      <c r="BO64">
        <v>1670.050672090015</v>
      </c>
      <c r="BP64">
        <v>2.1053527324398282</v>
      </c>
      <c r="BQ64">
        <v>2124.7219775782742</v>
      </c>
      <c r="BR64">
        <v>2.8776715669669723</v>
      </c>
      <c r="BS64">
        <v>2904.146145383068</v>
      </c>
      <c r="BT64">
        <v>1.7024416396122946</v>
      </c>
      <c r="BU64">
        <v>1718.1041026967273</v>
      </c>
      <c r="BV64">
        <v>2.4891169301697844</v>
      </c>
      <c r="BW64">
        <v>2512.016805927346</v>
      </c>
      <c r="BX64">
        <v>1.8487520476354622</v>
      </c>
      <c r="BY64">
        <v>1865.7605664737082</v>
      </c>
      <c r="BZ64">
        <v>2.1986244809871334</v>
      </c>
      <c r="CA64">
        <v>2218.8518262122147</v>
      </c>
      <c r="CB64">
        <v>2.1947926934953079</v>
      </c>
      <c r="CC64">
        <v>2214.9847862754646</v>
      </c>
      <c r="CD64">
        <v>2.2635679757584435</v>
      </c>
      <c r="CE64">
        <v>2284.3928011354205</v>
      </c>
      <c r="CF64">
        <v>2.8894781037947301</v>
      </c>
      <c r="CG64">
        <v>2916.0613023496412</v>
      </c>
      <c r="CH64">
        <v>2.4780847778333732</v>
      </c>
      <c r="CI64">
        <v>2500.8831577894398</v>
      </c>
      <c r="CJ64">
        <v>2.3989084362470492</v>
      </c>
      <c r="CK64">
        <v>2420.9783938605215</v>
      </c>
      <c r="CL64">
        <v>2.063459113782824</v>
      </c>
      <c r="CM64">
        <v>2082.4429376296257</v>
      </c>
      <c r="CN64">
        <v>2.0968375581221403</v>
      </c>
      <c r="CO64">
        <v>2116.1284636568635</v>
      </c>
      <c r="CP64">
        <v>2.1411339380216061</v>
      </c>
      <c r="CQ64">
        <v>2160.8323702514044</v>
      </c>
      <c r="CR64">
        <v>2.6887718402976111</v>
      </c>
      <c r="CS64">
        <v>2713.5085412283488</v>
      </c>
      <c r="CT64">
        <v>2.4202287533543263</v>
      </c>
      <c r="CU64">
        <v>2442.4948578851859</v>
      </c>
    </row>
    <row r="65" spans="2:99" x14ac:dyDescent="0.2">
      <c r="C65" s="105" t="s">
        <v>231</v>
      </c>
      <c r="D65">
        <v>6</v>
      </c>
      <c r="E65">
        <v>6156</v>
      </c>
      <c r="F65">
        <v>5</v>
      </c>
      <c r="G65">
        <v>5130</v>
      </c>
      <c r="H65">
        <v>8</v>
      </c>
      <c r="I65">
        <v>8208</v>
      </c>
      <c r="J65">
        <v>5</v>
      </c>
      <c r="K65">
        <v>5130</v>
      </c>
      <c r="L65">
        <v>7.4130566431311733</v>
      </c>
      <c r="M65">
        <v>7605.7961158525841</v>
      </c>
      <c r="N65">
        <v>7.3319336454218931</v>
      </c>
      <c r="O65">
        <v>7522.5639202028624</v>
      </c>
      <c r="P65">
        <v>8</v>
      </c>
      <c r="Q65">
        <v>8208</v>
      </c>
      <c r="R65">
        <v>7.4353179926718784</v>
      </c>
      <c r="S65">
        <v>7628.6362604813476</v>
      </c>
      <c r="T65">
        <v>6</v>
      </c>
      <c r="U65">
        <v>6156</v>
      </c>
      <c r="V65">
        <v>8.4894116080843869</v>
      </c>
      <c r="W65">
        <v>8710.1363098945803</v>
      </c>
      <c r="X65">
        <v>7</v>
      </c>
      <c r="Y65">
        <v>7182</v>
      </c>
      <c r="Z65">
        <v>6.495105334143509</v>
      </c>
      <c r="AA65">
        <v>6663.9780728312398</v>
      </c>
      <c r="AB65">
        <v>8</v>
      </c>
      <c r="AC65">
        <v>8208</v>
      </c>
      <c r="AD65">
        <v>6.2849030427934585</v>
      </c>
      <c r="AE65">
        <v>6448.3105219060881</v>
      </c>
      <c r="AF65">
        <v>5.2699030456719802</v>
      </c>
      <c r="AG65">
        <v>5406.9205248594517</v>
      </c>
      <c r="AH65">
        <v>7.2984637895509845</v>
      </c>
      <c r="AI65">
        <v>7488.2238480793103</v>
      </c>
      <c r="AJ65">
        <v>6</v>
      </c>
      <c r="AK65">
        <v>6156</v>
      </c>
      <c r="AL65">
        <v>7.346836208495013</v>
      </c>
      <c r="AM65">
        <v>7537.8539499158833</v>
      </c>
      <c r="AN65">
        <v>8.2716333676540987</v>
      </c>
      <c r="AO65">
        <v>8486.695835213106</v>
      </c>
      <c r="AP65">
        <v>5.3991803281500355</v>
      </c>
      <c r="AQ65">
        <v>5539.5590166819366</v>
      </c>
      <c r="AR65">
        <v>7</v>
      </c>
      <c r="AS65">
        <v>7182</v>
      </c>
      <c r="AT65">
        <v>8.4471607621045397</v>
      </c>
      <c r="AU65">
        <v>8666.7869419192575</v>
      </c>
      <c r="AV65">
        <v>7</v>
      </c>
      <c r="AW65">
        <v>7182</v>
      </c>
      <c r="AX65">
        <v>8.349070486348948</v>
      </c>
      <c r="AY65">
        <v>8566.1463189940205</v>
      </c>
      <c r="AZ65">
        <v>3.3711243652799165</v>
      </c>
      <c r="BA65">
        <v>3458.7735987771944</v>
      </c>
      <c r="BB65">
        <v>3.1588854127191754</v>
      </c>
      <c r="BC65">
        <v>3241.0164334498741</v>
      </c>
      <c r="BD65">
        <v>1.6221997735899605</v>
      </c>
      <c r="BE65">
        <v>1664.3769677032994</v>
      </c>
      <c r="BF65">
        <v>2.4537237772524416</v>
      </c>
      <c r="BG65">
        <v>2517.5205954610051</v>
      </c>
      <c r="BH65">
        <v>2.5512778257369377</v>
      </c>
      <c r="BI65">
        <v>2617.611049206098</v>
      </c>
      <c r="BJ65">
        <v>2.5964110548163557</v>
      </c>
      <c r="BK65">
        <v>2663.917742241581</v>
      </c>
      <c r="BL65">
        <v>2.6062301969542525</v>
      </c>
      <c r="BM65">
        <v>2673.9921820750633</v>
      </c>
      <c r="BN65">
        <v>1.654826270402314</v>
      </c>
      <c r="BO65">
        <v>1697.8517534327741</v>
      </c>
      <c r="BP65">
        <v>2.1053527324398282</v>
      </c>
      <c r="BQ65">
        <v>2160.0919034832636</v>
      </c>
      <c r="BR65">
        <v>2.8776715669669723</v>
      </c>
      <c r="BS65">
        <v>2952.4910277081135</v>
      </c>
      <c r="BT65">
        <v>1.7024416396122946</v>
      </c>
      <c r="BU65">
        <v>1746.7051222422142</v>
      </c>
      <c r="BV65">
        <v>2.8300988369084346</v>
      </c>
      <c r="BW65">
        <v>2903.681406668054</v>
      </c>
      <c r="BX65">
        <v>1.8487520476354622</v>
      </c>
      <c r="BY65">
        <v>1896.8196008739842</v>
      </c>
      <c r="BZ65">
        <v>2.1986244809871334</v>
      </c>
      <c r="CA65">
        <v>2255.7887174927987</v>
      </c>
      <c r="CB65">
        <v>2.1947926934953079</v>
      </c>
      <c r="CC65">
        <v>2251.8573035261861</v>
      </c>
      <c r="CD65">
        <v>2.2635679757584435</v>
      </c>
      <c r="CE65">
        <v>2322.4207431281629</v>
      </c>
      <c r="CF65">
        <v>2.8894781037947301</v>
      </c>
      <c r="CG65">
        <v>2964.6045344933932</v>
      </c>
      <c r="CH65">
        <v>2.4903668794102582</v>
      </c>
      <c r="CI65">
        <v>2555.1164182749249</v>
      </c>
      <c r="CJ65">
        <v>2.0140440640527264</v>
      </c>
      <c r="CK65">
        <v>2066.4092097180974</v>
      </c>
      <c r="CL65">
        <v>1.8032204386213453</v>
      </c>
      <c r="CM65">
        <v>1850.1041700255003</v>
      </c>
      <c r="CN65">
        <v>1.8426957712200778</v>
      </c>
      <c r="CO65">
        <v>1890.6058612717998</v>
      </c>
      <c r="CP65">
        <v>1.8734921957689055</v>
      </c>
      <c r="CQ65">
        <v>1922.202992858897</v>
      </c>
      <c r="CR65">
        <v>2.6887718402976111</v>
      </c>
      <c r="CS65">
        <v>2758.6799081453491</v>
      </c>
      <c r="CT65">
        <v>2.0953487540757245</v>
      </c>
      <c r="CU65">
        <v>2149.8278216816934</v>
      </c>
    </row>
    <row r="66" spans="2:99" x14ac:dyDescent="0.2">
      <c r="C66" s="105" t="s">
        <v>232</v>
      </c>
      <c r="D66">
        <v>5</v>
      </c>
      <c r="E66">
        <v>5951.9999999999991</v>
      </c>
      <c r="F66">
        <v>4</v>
      </c>
      <c r="G66">
        <v>4761.5999999999995</v>
      </c>
      <c r="H66">
        <v>8</v>
      </c>
      <c r="I66">
        <v>9523.1999999999989</v>
      </c>
      <c r="J66">
        <v>5</v>
      </c>
      <c r="K66">
        <v>5951.9999999999991</v>
      </c>
      <c r="L66">
        <v>6.3671614605610429</v>
      </c>
      <c r="M66">
        <v>7579.4690026518647</v>
      </c>
      <c r="N66">
        <v>6.3793527376250205</v>
      </c>
      <c r="O66">
        <v>7593.981498868824</v>
      </c>
      <c r="P66">
        <v>9</v>
      </c>
      <c r="Q66">
        <v>10713.599999999999</v>
      </c>
      <c r="R66">
        <v>7.4836866585243094</v>
      </c>
      <c r="S66">
        <v>8908.5805983073369</v>
      </c>
      <c r="T66">
        <v>7</v>
      </c>
      <c r="U66">
        <v>8332.7999999999993</v>
      </c>
      <c r="V66">
        <v>8.4404704472759473</v>
      </c>
      <c r="W66">
        <v>10047.536020437286</v>
      </c>
      <c r="X66">
        <v>7</v>
      </c>
      <c r="Y66">
        <v>8332.7999999999993</v>
      </c>
      <c r="Z66">
        <v>6.495105334143509</v>
      </c>
      <c r="AA66">
        <v>7731.7733897644321</v>
      </c>
      <c r="AB66">
        <v>7</v>
      </c>
      <c r="AC66">
        <v>8332.7999999999993</v>
      </c>
      <c r="AD66">
        <v>5.2849030427934585</v>
      </c>
      <c r="AE66">
        <v>6291.1485821413326</v>
      </c>
      <c r="AF66">
        <v>5.3084606236251206</v>
      </c>
      <c r="AG66">
        <v>6319.1915263633427</v>
      </c>
      <c r="AH66">
        <v>7.2984637895509845</v>
      </c>
      <c r="AI66">
        <v>8688.0912950814909</v>
      </c>
      <c r="AJ66">
        <v>6</v>
      </c>
      <c r="AK66">
        <v>7142.4</v>
      </c>
      <c r="AL66">
        <v>7.3963842382800147</v>
      </c>
      <c r="AM66">
        <v>8804.655797248528</v>
      </c>
      <c r="AN66">
        <v>8.3104381344618261</v>
      </c>
      <c r="AO66">
        <v>9892.7455552633564</v>
      </c>
      <c r="AP66">
        <v>5.3991803281500355</v>
      </c>
      <c r="AQ66">
        <v>6427.1842626298012</v>
      </c>
      <c r="AR66">
        <v>7</v>
      </c>
      <c r="AS66">
        <v>8332.7999999999993</v>
      </c>
      <c r="AT66">
        <v>7.3974762329818136</v>
      </c>
      <c r="AU66">
        <v>8805.9557077415502</v>
      </c>
      <c r="AV66">
        <v>7</v>
      </c>
      <c r="AW66">
        <v>8332.7999999999993</v>
      </c>
      <c r="AX66">
        <v>8.349070486348948</v>
      </c>
      <c r="AY66">
        <v>9938.7335069497858</v>
      </c>
      <c r="AZ66">
        <v>3.3711243652799165</v>
      </c>
      <c r="BA66">
        <v>4012.986444429212</v>
      </c>
      <c r="BB66">
        <v>3.1754929668727399</v>
      </c>
      <c r="BC66">
        <v>3780.1068277653089</v>
      </c>
      <c r="BD66">
        <v>1.3518331446583003</v>
      </c>
      <c r="BE66">
        <v>1609.2221754012405</v>
      </c>
      <c r="BF66">
        <v>2.8432079392183667</v>
      </c>
      <c r="BG66">
        <v>3384.5547308455434</v>
      </c>
      <c r="BH66">
        <v>2.9764907966930942</v>
      </c>
      <c r="BI66">
        <v>3543.214644383459</v>
      </c>
      <c r="BJ66">
        <v>2.5824169721013641</v>
      </c>
      <c r="BK66">
        <v>3074.1091635894636</v>
      </c>
      <c r="BL66">
        <v>2.2925166326104032</v>
      </c>
      <c r="BM66">
        <v>2729.0117994594234</v>
      </c>
      <c r="BN66">
        <v>1.6423114626349666</v>
      </c>
      <c r="BO66">
        <v>1955.0075651206641</v>
      </c>
      <c r="BP66">
        <v>2.1165260251654514</v>
      </c>
      <c r="BQ66">
        <v>2519.5125803569531</v>
      </c>
      <c r="BR66">
        <v>2.5081443776071679</v>
      </c>
      <c r="BS66">
        <v>2985.6950671035725</v>
      </c>
      <c r="BT66">
        <v>1.3619533116898357</v>
      </c>
      <c r="BU66">
        <v>1621.2692222355802</v>
      </c>
      <c r="BV66">
        <v>2.4720763330032467</v>
      </c>
      <c r="BW66">
        <v>2942.7596668070646</v>
      </c>
      <c r="BX66">
        <v>1.8487520476354622</v>
      </c>
      <c r="BY66">
        <v>2200.7544375052539</v>
      </c>
      <c r="BZ66">
        <v>1.8992996675332918</v>
      </c>
      <c r="CA66">
        <v>2260.9263242316301</v>
      </c>
      <c r="CB66">
        <v>1.919080567146646</v>
      </c>
      <c r="CC66">
        <v>2284.4735071313671</v>
      </c>
      <c r="CD66">
        <v>1.955586779370289</v>
      </c>
      <c r="CE66">
        <v>2327.9305021623918</v>
      </c>
      <c r="CF66">
        <v>2.5282933408203889</v>
      </c>
      <c r="CG66">
        <v>3009.6803929125908</v>
      </c>
      <c r="CH66">
        <v>2.8320968889524267</v>
      </c>
      <c r="CI66">
        <v>3371.3281366089682</v>
      </c>
      <c r="CJ66">
        <v>2.0140440640527264</v>
      </c>
      <c r="CK66">
        <v>2397.5180538483651</v>
      </c>
      <c r="CL66">
        <v>2.0542339700283199</v>
      </c>
      <c r="CM66">
        <v>2445.3601179217117</v>
      </c>
      <c r="CN66">
        <v>2.0968375581221403</v>
      </c>
      <c r="CO66">
        <v>2496.0754291885955</v>
      </c>
      <c r="CP66">
        <v>2.1287607188490294</v>
      </c>
      <c r="CQ66">
        <v>2534.0767597178842</v>
      </c>
      <c r="CR66">
        <v>2.6887718402976111</v>
      </c>
      <c r="CS66">
        <v>3200.7139986902757</v>
      </c>
      <c r="CT66">
        <v>2.0791188920308232</v>
      </c>
      <c r="CU66">
        <v>2474.9831290734919</v>
      </c>
    </row>
    <row r="67" spans="2:99" x14ac:dyDescent="0.2">
      <c r="C67" s="105" t="s">
        <v>233</v>
      </c>
      <c r="D67">
        <v>5</v>
      </c>
      <c r="E67">
        <v>5616</v>
      </c>
      <c r="F67">
        <v>5</v>
      </c>
      <c r="G67">
        <v>5616</v>
      </c>
      <c r="H67">
        <v>7</v>
      </c>
      <c r="I67">
        <v>7862.4000000000005</v>
      </c>
      <c r="J67">
        <v>4</v>
      </c>
      <c r="K67">
        <v>4492.8</v>
      </c>
      <c r="L67">
        <v>7.4130566431311733</v>
      </c>
      <c r="M67">
        <v>8326.345221564934</v>
      </c>
      <c r="N67">
        <v>7.3319336454218931</v>
      </c>
      <c r="O67">
        <v>8235.2278705378703</v>
      </c>
      <c r="P67">
        <v>9</v>
      </c>
      <c r="Q67">
        <v>10108.800000000001</v>
      </c>
      <c r="R67">
        <v>7.4353179926718784</v>
      </c>
      <c r="S67">
        <v>8351.3491693690539</v>
      </c>
      <c r="T67">
        <v>6</v>
      </c>
      <c r="U67">
        <v>6739.2000000000007</v>
      </c>
      <c r="V67">
        <v>9.4894116080843869</v>
      </c>
      <c r="W67">
        <v>10658.507118200383</v>
      </c>
      <c r="X67">
        <v>8</v>
      </c>
      <c r="Y67">
        <v>8985.6</v>
      </c>
      <c r="Z67">
        <v>7.4455948007291584</v>
      </c>
      <c r="AA67">
        <v>8362.8920801789918</v>
      </c>
      <c r="AB67">
        <v>8</v>
      </c>
      <c r="AC67">
        <v>8985.6</v>
      </c>
      <c r="AD67">
        <v>6.2442026081086786</v>
      </c>
      <c r="AE67">
        <v>7013.4883694276677</v>
      </c>
      <c r="AF67">
        <v>4.2699030456719802</v>
      </c>
      <c r="AG67">
        <v>4795.9551008987683</v>
      </c>
      <c r="AH67">
        <v>7.2984637895509845</v>
      </c>
      <c r="AI67">
        <v>8197.6345284236668</v>
      </c>
      <c r="AJ67">
        <v>6</v>
      </c>
      <c r="AK67">
        <v>6739.2000000000007</v>
      </c>
      <c r="AL67">
        <v>7.346836208495013</v>
      </c>
      <c r="AM67">
        <v>8251.9664293815986</v>
      </c>
      <c r="AN67">
        <v>7.2716333676540978</v>
      </c>
      <c r="AO67">
        <v>8167.498598549083</v>
      </c>
      <c r="AP67">
        <v>6.3991803281500355</v>
      </c>
      <c r="AQ67">
        <v>7187.5593445781205</v>
      </c>
      <c r="AR67">
        <v>7</v>
      </c>
      <c r="AS67">
        <v>7862.4000000000005</v>
      </c>
      <c r="AT67">
        <v>8.3974762329818144</v>
      </c>
      <c r="AU67">
        <v>9432.0453048851741</v>
      </c>
      <c r="AV67">
        <v>7</v>
      </c>
      <c r="AW67">
        <v>7862.4000000000005</v>
      </c>
      <c r="AX67">
        <v>9.349070486348948</v>
      </c>
      <c r="AY67">
        <v>10500.87597026714</v>
      </c>
      <c r="AZ67">
        <v>3.3711243652799165</v>
      </c>
      <c r="BA67">
        <v>3786.4468870824026</v>
      </c>
      <c r="BB67">
        <v>2.8411132529463963</v>
      </c>
      <c r="BC67">
        <v>3191.1384057093924</v>
      </c>
      <c r="BD67">
        <v>1.3518331446583003</v>
      </c>
      <c r="BE67">
        <v>1518.378988080203</v>
      </c>
      <c r="BF67">
        <v>2.8432079392183667</v>
      </c>
      <c r="BG67">
        <v>3193.4911573300697</v>
      </c>
      <c r="BH67">
        <v>2.9764907966930942</v>
      </c>
      <c r="BI67">
        <v>3343.1944628456836</v>
      </c>
      <c r="BJ67">
        <v>2.1823346559669514</v>
      </c>
      <c r="BK67">
        <v>2451.1982855820797</v>
      </c>
      <c r="BL67">
        <v>2.6062301969542525</v>
      </c>
      <c r="BM67">
        <v>2927.3177572190166</v>
      </c>
      <c r="BN67">
        <v>1.654826270402314</v>
      </c>
      <c r="BO67">
        <v>1858.7008669158793</v>
      </c>
      <c r="BP67">
        <v>1.7712205494549591</v>
      </c>
      <c r="BQ67">
        <v>1989.4349211478102</v>
      </c>
      <c r="BR67">
        <v>2.5275431270370574</v>
      </c>
      <c r="BS67">
        <v>2838.9364402880228</v>
      </c>
      <c r="BT67">
        <v>1.7024416396122946</v>
      </c>
      <c r="BU67">
        <v>1912.1824496125294</v>
      </c>
      <c r="BV67">
        <v>2.4891169301697844</v>
      </c>
      <c r="BW67">
        <v>2795.776135966702</v>
      </c>
      <c r="BX67">
        <v>1.8487520476354622</v>
      </c>
      <c r="BY67">
        <v>2076.5182999041513</v>
      </c>
      <c r="BZ67">
        <v>2.1986244809871334</v>
      </c>
      <c r="CA67">
        <v>2469.4950170447482</v>
      </c>
      <c r="CB67">
        <v>1.919080567146646</v>
      </c>
      <c r="CC67">
        <v>2155.5112930191131</v>
      </c>
      <c r="CD67">
        <v>1.955586779370289</v>
      </c>
      <c r="CE67">
        <v>2196.5150705887086</v>
      </c>
      <c r="CF67">
        <v>2.8894781037947301</v>
      </c>
      <c r="CG67">
        <v>3245.4618061822412</v>
      </c>
      <c r="CH67">
        <v>2.4780847778333732</v>
      </c>
      <c r="CI67">
        <v>2783.3848224624448</v>
      </c>
      <c r="CJ67">
        <v>1.9990903635392074</v>
      </c>
      <c r="CK67">
        <v>2245.3782963272379</v>
      </c>
      <c r="CL67">
        <v>2.0542339700283199</v>
      </c>
      <c r="CM67">
        <v>2307.315595135809</v>
      </c>
      <c r="CN67">
        <v>1.8335953050907008</v>
      </c>
      <c r="CO67">
        <v>2059.4942466778753</v>
      </c>
      <c r="CP67">
        <v>2.1411339380216061</v>
      </c>
      <c r="CQ67">
        <v>2404.9216391858681</v>
      </c>
      <c r="CR67">
        <v>2.3526753602604096</v>
      </c>
      <c r="CS67">
        <v>2642.5249646444922</v>
      </c>
      <c r="CT67">
        <v>2.0953487540757245</v>
      </c>
      <c r="CU67">
        <v>2353.4957205778537</v>
      </c>
    </row>
    <row r="68" spans="2:99" x14ac:dyDescent="0.2">
      <c r="C68" s="105" t="s">
        <v>234</v>
      </c>
      <c r="D68">
        <v>6</v>
      </c>
      <c r="E68">
        <v>6199.2000000000007</v>
      </c>
      <c r="F68">
        <v>5</v>
      </c>
      <c r="G68">
        <v>5166</v>
      </c>
      <c r="H68">
        <v>7</v>
      </c>
      <c r="I68">
        <v>7232.4000000000005</v>
      </c>
      <c r="J68">
        <v>5</v>
      </c>
      <c r="K68">
        <v>5166</v>
      </c>
      <c r="L68">
        <v>8.4130566431311742</v>
      </c>
      <c r="M68">
        <v>8692.3701236831293</v>
      </c>
      <c r="N68">
        <v>7.3319336454218931</v>
      </c>
      <c r="O68">
        <v>7575.3538424499002</v>
      </c>
      <c r="P68">
        <v>8</v>
      </c>
      <c r="Q68">
        <v>8265.6</v>
      </c>
      <c r="R68">
        <v>6.4836866585243094</v>
      </c>
      <c r="S68">
        <v>6698.9450555873163</v>
      </c>
      <c r="T68">
        <v>6</v>
      </c>
      <c r="U68">
        <v>6199.2000000000007</v>
      </c>
      <c r="V68">
        <v>9.4404704472759473</v>
      </c>
      <c r="W68">
        <v>9753.8940661255092</v>
      </c>
      <c r="X68">
        <v>7</v>
      </c>
      <c r="Y68">
        <v>7232.4000000000005</v>
      </c>
      <c r="Z68">
        <v>6.495105334143509</v>
      </c>
      <c r="AA68">
        <v>6710.7428312370739</v>
      </c>
      <c r="AB68">
        <v>8</v>
      </c>
      <c r="AC68">
        <v>8265.6</v>
      </c>
      <c r="AD68">
        <v>6.2849030427934585</v>
      </c>
      <c r="AE68">
        <v>6493.5618238142015</v>
      </c>
      <c r="AF68">
        <v>5.3084606236251206</v>
      </c>
      <c r="AG68">
        <v>5484.7015163294745</v>
      </c>
      <c r="AH68">
        <v>6.2611558158571121</v>
      </c>
      <c r="AI68">
        <v>6469.0261889435687</v>
      </c>
      <c r="AJ68">
        <v>5</v>
      </c>
      <c r="AK68">
        <v>5166</v>
      </c>
      <c r="AL68">
        <v>6.3963842382800147</v>
      </c>
      <c r="AM68">
        <v>6608.7441949909116</v>
      </c>
      <c r="AN68">
        <v>7.2716333676540978</v>
      </c>
      <c r="AO68">
        <v>7513.0515954602142</v>
      </c>
      <c r="AP68">
        <v>5.3991803281500355</v>
      </c>
      <c r="AQ68">
        <v>5578.4331150446169</v>
      </c>
      <c r="AR68">
        <v>8</v>
      </c>
      <c r="AS68">
        <v>8265.6</v>
      </c>
      <c r="AT68">
        <v>7.3974762329818136</v>
      </c>
      <c r="AU68">
        <v>7643.0724439168098</v>
      </c>
      <c r="AV68">
        <v>7</v>
      </c>
      <c r="AW68">
        <v>7232.4000000000005</v>
      </c>
      <c r="AX68">
        <v>8.349070486348948</v>
      </c>
      <c r="AY68">
        <v>8626.2596264957338</v>
      </c>
      <c r="AZ68">
        <v>2.8092703043999303</v>
      </c>
      <c r="BA68">
        <v>2902.5380785060083</v>
      </c>
      <c r="BB68">
        <v>3.1754929668727399</v>
      </c>
      <c r="BC68">
        <v>3280.9193333729149</v>
      </c>
      <c r="BD68">
        <v>1.3518331446583003</v>
      </c>
      <c r="BE68">
        <v>1396.714005060956</v>
      </c>
      <c r="BF68">
        <v>2.8432079392183667</v>
      </c>
      <c r="BG68">
        <v>2937.6024428004166</v>
      </c>
      <c r="BH68">
        <v>2.5512778257369377</v>
      </c>
      <c r="BI68">
        <v>2635.9802495514041</v>
      </c>
      <c r="BJ68">
        <v>2.5964110548163557</v>
      </c>
      <c r="BK68">
        <v>2682.6119018362588</v>
      </c>
      <c r="BL68">
        <v>2.5941649866788201</v>
      </c>
      <c r="BM68">
        <v>2680.2912642365573</v>
      </c>
      <c r="BN68">
        <v>1.6423114626349666</v>
      </c>
      <c r="BO68">
        <v>1696.8362031944475</v>
      </c>
      <c r="BP68">
        <v>1.7712205494549591</v>
      </c>
      <c r="BQ68">
        <v>1830.0250716968637</v>
      </c>
      <c r="BR68">
        <v>2.8970703163968619</v>
      </c>
      <c r="BS68">
        <v>2993.2530509012377</v>
      </c>
      <c r="BT68">
        <v>1.7024416396122946</v>
      </c>
      <c r="BU68">
        <v>1758.9627020474229</v>
      </c>
      <c r="BV68">
        <v>2.4720763330032467</v>
      </c>
      <c r="BW68">
        <v>2554.1492672589548</v>
      </c>
      <c r="BX68">
        <v>1.4790016381083699</v>
      </c>
      <c r="BY68">
        <v>1528.1044924935679</v>
      </c>
      <c r="BZ68">
        <v>1.8992996675332918</v>
      </c>
      <c r="CA68">
        <v>1962.3564164953973</v>
      </c>
      <c r="CB68">
        <v>2.1947926934953079</v>
      </c>
      <c r="CC68">
        <v>2267.6598109193524</v>
      </c>
      <c r="CD68">
        <v>2.2635679757584435</v>
      </c>
      <c r="CE68">
        <v>2338.7184325536241</v>
      </c>
      <c r="CF68">
        <v>2.8894781037947301</v>
      </c>
      <c r="CG68">
        <v>2985.4087768407153</v>
      </c>
      <c r="CH68">
        <v>2.4780847778333732</v>
      </c>
      <c r="CI68">
        <v>2560.3571924574412</v>
      </c>
      <c r="CJ68">
        <v>2.0140440640527264</v>
      </c>
      <c r="CK68">
        <v>2080.9103269792772</v>
      </c>
      <c r="CL68">
        <v>1.8124455823758496</v>
      </c>
      <c r="CM68">
        <v>1872.618775710728</v>
      </c>
      <c r="CN68">
        <v>1.8426957712200778</v>
      </c>
      <c r="CO68">
        <v>1903.8732708245843</v>
      </c>
      <c r="CP68">
        <v>2.1411339380216061</v>
      </c>
      <c r="CQ68">
        <v>2212.2195847639236</v>
      </c>
      <c r="CR68">
        <v>2.6887718402976111</v>
      </c>
      <c r="CS68">
        <v>2778.0390653954919</v>
      </c>
      <c r="CT68">
        <v>2.0953487540757245</v>
      </c>
      <c r="CU68">
        <v>2164.9143327110387</v>
      </c>
    </row>
    <row r="69" spans="2:99" x14ac:dyDescent="0.2">
      <c r="C69" s="105" t="s">
        <v>235</v>
      </c>
      <c r="D69">
        <v>6</v>
      </c>
      <c r="E69">
        <v>4550.3999999999996</v>
      </c>
      <c r="F69">
        <v>4</v>
      </c>
      <c r="G69">
        <v>3033.6</v>
      </c>
      <c r="H69">
        <v>8</v>
      </c>
      <c r="I69">
        <v>6067.2</v>
      </c>
      <c r="J69">
        <v>5</v>
      </c>
      <c r="K69">
        <v>3792</v>
      </c>
      <c r="L69">
        <v>7.4130566431311733</v>
      </c>
      <c r="M69">
        <v>5622.0621581506821</v>
      </c>
      <c r="N69">
        <v>8.3793527376250214</v>
      </c>
      <c r="O69">
        <v>6354.9011162148163</v>
      </c>
      <c r="P69">
        <v>8</v>
      </c>
      <c r="Q69">
        <v>6067.2</v>
      </c>
      <c r="R69">
        <v>7.4353179926718784</v>
      </c>
      <c r="S69">
        <v>5638.9451656423525</v>
      </c>
      <c r="T69">
        <v>6</v>
      </c>
      <c r="U69">
        <v>4550.3999999999996</v>
      </c>
      <c r="V69">
        <v>9.4894116080843869</v>
      </c>
      <c r="W69">
        <v>7196.7697635711984</v>
      </c>
      <c r="X69">
        <v>7</v>
      </c>
      <c r="Y69">
        <v>5308.8</v>
      </c>
      <c r="Z69">
        <v>6.495105334143509</v>
      </c>
      <c r="AA69">
        <v>4925.8878854144368</v>
      </c>
      <c r="AB69">
        <v>8</v>
      </c>
      <c r="AC69">
        <v>6067.2</v>
      </c>
      <c r="AD69">
        <v>6.2849030427934585</v>
      </c>
      <c r="AE69">
        <v>4766.4704676545589</v>
      </c>
      <c r="AF69">
        <v>4.3084606236251206</v>
      </c>
      <c r="AG69">
        <v>3267.5365369572914</v>
      </c>
      <c r="AH69">
        <v>7.2611558158571121</v>
      </c>
      <c r="AI69">
        <v>5506.8605707460338</v>
      </c>
      <c r="AJ69">
        <v>6</v>
      </c>
      <c r="AK69">
        <v>4550.3999999999996</v>
      </c>
      <c r="AL69">
        <v>7.346836208495013</v>
      </c>
      <c r="AM69">
        <v>5571.8405805226175</v>
      </c>
      <c r="AN69">
        <v>7.3104381344618261</v>
      </c>
      <c r="AO69">
        <v>5544.2362811758485</v>
      </c>
      <c r="AP69">
        <v>5.3991803281500355</v>
      </c>
      <c r="AQ69">
        <v>4094.7383608689865</v>
      </c>
      <c r="AR69">
        <v>7</v>
      </c>
      <c r="AS69">
        <v>5308.8</v>
      </c>
      <c r="AT69">
        <v>7.3974762329818136</v>
      </c>
      <c r="AU69">
        <v>5610.2459750934077</v>
      </c>
      <c r="AV69">
        <v>7</v>
      </c>
      <c r="AW69">
        <v>5308.8</v>
      </c>
      <c r="AX69">
        <v>9.299203274013383</v>
      </c>
      <c r="AY69">
        <v>7052.5157630117492</v>
      </c>
      <c r="AZ69">
        <v>2.8092703043999303</v>
      </c>
      <c r="BA69">
        <v>2130.5505988569071</v>
      </c>
      <c r="BB69">
        <v>3.1588854127191754</v>
      </c>
      <c r="BC69">
        <v>2395.6986970062226</v>
      </c>
      <c r="BD69">
        <v>1.3518331446583003</v>
      </c>
      <c r="BE69">
        <v>1025.2302569088549</v>
      </c>
      <c r="BF69">
        <v>2.8432079392183667</v>
      </c>
      <c r="BG69">
        <v>2156.2889011032094</v>
      </c>
      <c r="BH69">
        <v>2.9764907966930942</v>
      </c>
      <c r="BI69">
        <v>2257.3706202120425</v>
      </c>
      <c r="BJ69">
        <v>2.5964110548163557</v>
      </c>
      <c r="BK69">
        <v>1969.1181439727241</v>
      </c>
      <c r="BL69">
        <v>2.6062301969542525</v>
      </c>
      <c r="BM69">
        <v>1976.564981370105</v>
      </c>
      <c r="BN69">
        <v>1.654826270402314</v>
      </c>
      <c r="BO69">
        <v>1255.020243473115</v>
      </c>
      <c r="BP69">
        <v>2.1165260251654514</v>
      </c>
      <c r="BQ69">
        <v>1605.1733374854782</v>
      </c>
      <c r="BR69">
        <v>2.4887456281772788</v>
      </c>
      <c r="BS69">
        <v>1887.4646844096483</v>
      </c>
      <c r="BT69">
        <v>1.7024416396122946</v>
      </c>
      <c r="BU69">
        <v>1291.1317394819641</v>
      </c>
      <c r="BV69">
        <v>2.4720763330032467</v>
      </c>
      <c r="BW69">
        <v>1874.8226909496623</v>
      </c>
      <c r="BX69">
        <v>1.8487520476354622</v>
      </c>
      <c r="BY69">
        <v>1402.0935529267344</v>
      </c>
      <c r="BZ69">
        <v>1.8992996675332918</v>
      </c>
      <c r="CA69">
        <v>1440.4288678572484</v>
      </c>
      <c r="CB69">
        <v>2.1947926934953079</v>
      </c>
      <c r="CC69">
        <v>1664.5307787468414</v>
      </c>
      <c r="CD69">
        <v>2.2635679757584435</v>
      </c>
      <c r="CE69">
        <v>1716.6899528152035</v>
      </c>
      <c r="CF69">
        <v>2.5282933408203889</v>
      </c>
      <c r="CG69">
        <v>1917.4576696781828</v>
      </c>
      <c r="CH69">
        <v>2.4903668794102582</v>
      </c>
      <c r="CI69">
        <v>1888.6942413447398</v>
      </c>
      <c r="CJ69">
        <v>2.4138621367605677</v>
      </c>
      <c r="CK69">
        <v>1830.6730445192145</v>
      </c>
      <c r="CL69">
        <v>2.0542339700283199</v>
      </c>
      <c r="CM69">
        <v>1557.9310428694778</v>
      </c>
      <c r="CN69">
        <v>1.8335953050907008</v>
      </c>
      <c r="CO69">
        <v>1390.5986793807874</v>
      </c>
      <c r="CP69">
        <v>1.8858654149414824</v>
      </c>
      <c r="CQ69">
        <v>1430.2403306916203</v>
      </c>
      <c r="CR69">
        <v>2.6887718402976111</v>
      </c>
      <c r="CS69">
        <v>2039.1645636817082</v>
      </c>
      <c r="CT69">
        <v>2.0953487540757245</v>
      </c>
      <c r="CU69">
        <v>1589.1124950910294</v>
      </c>
    </row>
    <row r="70" spans="2:99" x14ac:dyDescent="0.2">
      <c r="C70" s="105" t="s">
        <v>236</v>
      </c>
      <c r="D70">
        <v>6</v>
      </c>
      <c r="E70">
        <v>3211.2</v>
      </c>
      <c r="F70">
        <v>5</v>
      </c>
      <c r="G70">
        <v>2675.9999999999995</v>
      </c>
      <c r="H70">
        <v>7</v>
      </c>
      <c r="I70">
        <v>3746.3999999999996</v>
      </c>
      <c r="J70">
        <v>5</v>
      </c>
      <c r="K70">
        <v>2675.9999999999995</v>
      </c>
      <c r="L70">
        <v>7.3671614605610429</v>
      </c>
      <c r="M70">
        <v>3942.9048136922697</v>
      </c>
      <c r="N70">
        <v>8.3319336454218931</v>
      </c>
      <c r="O70">
        <v>4459.250887029797</v>
      </c>
      <c r="P70">
        <v>10</v>
      </c>
      <c r="Q70">
        <v>5351.9999999999991</v>
      </c>
      <c r="R70">
        <v>8.4353179926718784</v>
      </c>
      <c r="S70">
        <v>4514.5821896779889</v>
      </c>
      <c r="T70">
        <v>6</v>
      </c>
      <c r="U70">
        <v>3211.2</v>
      </c>
      <c r="V70">
        <v>8.4404704472759473</v>
      </c>
      <c r="W70">
        <v>4517.3397833820864</v>
      </c>
      <c r="X70">
        <v>7</v>
      </c>
      <c r="Y70">
        <v>3746.3999999999996</v>
      </c>
      <c r="Z70">
        <v>6.495105334143509</v>
      </c>
      <c r="AA70">
        <v>3476.1803748336056</v>
      </c>
      <c r="AB70">
        <v>7</v>
      </c>
      <c r="AC70">
        <v>3746.3999999999996</v>
      </c>
      <c r="AD70">
        <v>6.3256034774782375</v>
      </c>
      <c r="AE70">
        <v>3385.4629811463524</v>
      </c>
      <c r="AF70">
        <v>5.3084606236251206</v>
      </c>
      <c r="AG70">
        <v>2841.088125764164</v>
      </c>
      <c r="AH70">
        <v>6.2984637895509845</v>
      </c>
      <c r="AI70">
        <v>3370.9378201676864</v>
      </c>
      <c r="AJ70">
        <v>6</v>
      </c>
      <c r="AK70">
        <v>3211.2</v>
      </c>
      <c r="AL70">
        <v>7.346836208495013</v>
      </c>
      <c r="AM70">
        <v>3932.0267387865306</v>
      </c>
      <c r="AN70">
        <v>7.3104381344618261</v>
      </c>
      <c r="AO70">
        <v>3912.5464895639689</v>
      </c>
      <c r="AP70">
        <v>6.3991803281500355</v>
      </c>
      <c r="AQ70">
        <v>3424.8413116258985</v>
      </c>
      <c r="AR70">
        <v>8</v>
      </c>
      <c r="AS70">
        <v>4281.5999999999995</v>
      </c>
      <c r="AT70">
        <v>8.4471607621045397</v>
      </c>
      <c r="AU70">
        <v>4520.9204398783495</v>
      </c>
      <c r="AV70">
        <v>7</v>
      </c>
      <c r="AW70">
        <v>3746.3999999999996</v>
      </c>
      <c r="AX70">
        <v>9.349070486348948</v>
      </c>
      <c r="AY70">
        <v>5003.6225242939563</v>
      </c>
      <c r="AZ70">
        <v>3.3711243652799165</v>
      </c>
      <c r="BA70">
        <v>1804.2257602978111</v>
      </c>
      <c r="BB70">
        <v>2.8411132529463963</v>
      </c>
      <c r="BC70">
        <v>1520.5638129769111</v>
      </c>
      <c r="BD70">
        <v>1.6221997735899605</v>
      </c>
      <c r="BE70">
        <v>868.20131882534679</v>
      </c>
      <c r="BF70">
        <v>2.8432079392183667</v>
      </c>
      <c r="BG70">
        <v>1521.6848890696697</v>
      </c>
      <c r="BH70">
        <v>2.9764907966930942</v>
      </c>
      <c r="BI70">
        <v>1593.0178743901438</v>
      </c>
      <c r="BJ70">
        <v>2.5964110548163557</v>
      </c>
      <c r="BK70">
        <v>1389.5991965377134</v>
      </c>
      <c r="BL70">
        <v>2.2925166326104032</v>
      </c>
      <c r="BM70">
        <v>1226.9549017730876</v>
      </c>
      <c r="BN70">
        <v>1.654826270402314</v>
      </c>
      <c r="BO70">
        <v>885.66301991931834</v>
      </c>
      <c r="BP70">
        <v>2.1165260251654514</v>
      </c>
      <c r="BQ70">
        <v>1132.7647286685494</v>
      </c>
      <c r="BR70">
        <v>2.9164690658267509</v>
      </c>
      <c r="BS70">
        <v>1560.8942440304768</v>
      </c>
      <c r="BT70">
        <v>1.7024416396122946</v>
      </c>
      <c r="BU70">
        <v>911.14676552049991</v>
      </c>
      <c r="BV70">
        <v>2.4891169301697844</v>
      </c>
      <c r="BW70">
        <v>1332.1753810268685</v>
      </c>
      <c r="BX70">
        <v>1.8487520476354622</v>
      </c>
      <c r="BY70">
        <v>989.45209589449928</v>
      </c>
      <c r="BZ70">
        <v>2.188289402306109</v>
      </c>
      <c r="CA70">
        <v>1171.1724881142295</v>
      </c>
      <c r="CB70">
        <v>1.9299848844406322</v>
      </c>
      <c r="CC70">
        <v>1032.9279101526263</v>
      </c>
      <c r="CD70">
        <v>2.571549172146598</v>
      </c>
      <c r="CE70">
        <v>1376.293116932859</v>
      </c>
      <c r="CF70">
        <v>2.8894781037947301</v>
      </c>
      <c r="CG70">
        <v>1546.4486811509394</v>
      </c>
      <c r="CH70">
        <v>2.8320968889524267</v>
      </c>
      <c r="CI70">
        <v>1515.7382549673387</v>
      </c>
      <c r="CJ70">
        <v>2.4138621367605677</v>
      </c>
      <c r="CK70">
        <v>1291.8990155942556</v>
      </c>
      <c r="CL70">
        <v>2.3052475014352947</v>
      </c>
      <c r="CM70">
        <v>1233.7684627681695</v>
      </c>
      <c r="CN70">
        <v>1.8426957712200778</v>
      </c>
      <c r="CO70">
        <v>986.21077675698552</v>
      </c>
      <c r="CP70">
        <v>2.1287607188490294</v>
      </c>
      <c r="CQ70">
        <v>1139.3127367280003</v>
      </c>
      <c r="CR70">
        <v>2.6887718402976111</v>
      </c>
      <c r="CS70">
        <v>1439.0306889272813</v>
      </c>
      <c r="CT70">
        <v>2.0953487540757245</v>
      </c>
      <c r="CU70">
        <v>1121.4306531813277</v>
      </c>
    </row>
    <row r="71" spans="2:99" x14ac:dyDescent="0.2">
      <c r="B71" s="105" t="s">
        <v>130</v>
      </c>
      <c r="C71" s="105" t="s">
        <v>237</v>
      </c>
      <c r="D71">
        <v>7</v>
      </c>
      <c r="E71">
        <v>3948</v>
      </c>
      <c r="F71">
        <v>6</v>
      </c>
      <c r="G71">
        <v>3384</v>
      </c>
      <c r="H71">
        <v>7</v>
      </c>
      <c r="I71">
        <v>3948</v>
      </c>
      <c r="J71">
        <v>7</v>
      </c>
      <c r="K71">
        <v>3948</v>
      </c>
      <c r="L71">
        <v>5</v>
      </c>
      <c r="M71">
        <v>2820</v>
      </c>
      <c r="N71">
        <v>8</v>
      </c>
      <c r="O71">
        <v>4512</v>
      </c>
      <c r="P71">
        <v>7</v>
      </c>
      <c r="Q71">
        <v>3948</v>
      </c>
      <c r="R71">
        <v>7</v>
      </c>
      <c r="S71">
        <v>3948</v>
      </c>
      <c r="T71">
        <v>6</v>
      </c>
      <c r="U71">
        <v>3384</v>
      </c>
      <c r="V71">
        <v>4</v>
      </c>
      <c r="W71">
        <v>2256</v>
      </c>
      <c r="X71">
        <v>6</v>
      </c>
      <c r="Y71">
        <v>3384</v>
      </c>
      <c r="Z71">
        <v>6</v>
      </c>
      <c r="AA71">
        <v>3384</v>
      </c>
      <c r="AB71">
        <v>8</v>
      </c>
      <c r="AC71">
        <v>4512</v>
      </c>
      <c r="AD71">
        <v>6</v>
      </c>
      <c r="AE71">
        <v>3384</v>
      </c>
      <c r="AF71">
        <v>7</v>
      </c>
      <c r="AG71">
        <v>3948</v>
      </c>
      <c r="AH71">
        <v>7</v>
      </c>
      <c r="AI71">
        <v>3948</v>
      </c>
      <c r="AJ71">
        <v>5</v>
      </c>
      <c r="AK71">
        <v>2820</v>
      </c>
      <c r="AL71">
        <v>7</v>
      </c>
      <c r="AM71">
        <v>3948</v>
      </c>
      <c r="AN71">
        <v>8</v>
      </c>
      <c r="AO71">
        <v>4512</v>
      </c>
      <c r="AP71">
        <v>8</v>
      </c>
      <c r="AQ71">
        <v>4512</v>
      </c>
      <c r="AR71">
        <v>7</v>
      </c>
      <c r="AS71">
        <v>3948</v>
      </c>
      <c r="AT71">
        <v>5</v>
      </c>
      <c r="AU71">
        <v>2820</v>
      </c>
      <c r="AV71">
        <v>5</v>
      </c>
      <c r="AW71">
        <v>2820</v>
      </c>
      <c r="AX71">
        <v>5</v>
      </c>
      <c r="AY71">
        <v>2820</v>
      </c>
      <c r="AZ71">
        <v>8</v>
      </c>
      <c r="BA71">
        <v>4512</v>
      </c>
      <c r="BB71">
        <v>4</v>
      </c>
      <c r="BC71">
        <v>2256</v>
      </c>
      <c r="BD71">
        <v>6</v>
      </c>
      <c r="BE71">
        <v>3384</v>
      </c>
      <c r="BF71">
        <v>7</v>
      </c>
      <c r="BG71">
        <v>3948</v>
      </c>
      <c r="BH71">
        <v>5</v>
      </c>
      <c r="BI71">
        <v>2820</v>
      </c>
      <c r="BJ71">
        <v>6</v>
      </c>
      <c r="BK71">
        <v>3384</v>
      </c>
      <c r="BL71">
        <v>8</v>
      </c>
      <c r="BM71">
        <v>4512</v>
      </c>
      <c r="BN71">
        <v>8</v>
      </c>
      <c r="BO71">
        <v>4512</v>
      </c>
      <c r="BP71">
        <v>5</v>
      </c>
      <c r="BQ71">
        <v>2820</v>
      </c>
      <c r="BR71">
        <v>4</v>
      </c>
      <c r="BS71">
        <v>2256</v>
      </c>
      <c r="BT71">
        <v>6</v>
      </c>
      <c r="BU71">
        <v>3384</v>
      </c>
      <c r="BV71">
        <v>5</v>
      </c>
      <c r="BW71">
        <v>2820</v>
      </c>
      <c r="BX71">
        <v>4</v>
      </c>
      <c r="BY71">
        <v>2256</v>
      </c>
      <c r="BZ71">
        <v>5</v>
      </c>
      <c r="CA71">
        <v>2820</v>
      </c>
      <c r="CB71">
        <v>7</v>
      </c>
      <c r="CC71">
        <v>3948</v>
      </c>
      <c r="CD71">
        <v>6</v>
      </c>
      <c r="CE71">
        <v>3384</v>
      </c>
      <c r="CF71">
        <v>6</v>
      </c>
      <c r="CG71">
        <v>3384</v>
      </c>
      <c r="CH71">
        <v>7</v>
      </c>
      <c r="CI71">
        <v>3948</v>
      </c>
      <c r="CJ71">
        <v>9</v>
      </c>
      <c r="CK71">
        <v>5076</v>
      </c>
      <c r="CL71">
        <v>4</v>
      </c>
      <c r="CM71">
        <v>2256</v>
      </c>
      <c r="CN71">
        <v>8</v>
      </c>
      <c r="CO71">
        <v>4512</v>
      </c>
      <c r="CP71">
        <v>7</v>
      </c>
      <c r="CQ71">
        <v>3948</v>
      </c>
      <c r="CR71">
        <v>5</v>
      </c>
      <c r="CS71">
        <v>2820</v>
      </c>
      <c r="CT71">
        <v>6</v>
      </c>
      <c r="CU71">
        <v>3384</v>
      </c>
    </row>
    <row r="72" spans="2:99" x14ac:dyDescent="0.2">
      <c r="C72" s="105" t="s">
        <v>238</v>
      </c>
      <c r="D72">
        <v>7</v>
      </c>
      <c r="E72">
        <v>520.79999999999995</v>
      </c>
      <c r="F72">
        <v>7</v>
      </c>
      <c r="G72">
        <v>520.79999999999995</v>
      </c>
      <c r="H72">
        <v>7</v>
      </c>
      <c r="I72">
        <v>520.79999999999995</v>
      </c>
      <c r="J72">
        <v>7</v>
      </c>
      <c r="K72">
        <v>520.79999999999995</v>
      </c>
      <c r="L72">
        <v>5</v>
      </c>
      <c r="M72">
        <v>371.99999999999994</v>
      </c>
      <c r="N72">
        <v>8</v>
      </c>
      <c r="O72">
        <v>595.19999999999993</v>
      </c>
      <c r="P72">
        <v>6</v>
      </c>
      <c r="Q72">
        <v>446.4</v>
      </c>
      <c r="R72">
        <v>7</v>
      </c>
      <c r="S72">
        <v>520.79999999999995</v>
      </c>
      <c r="T72">
        <v>6</v>
      </c>
      <c r="U72">
        <v>446.4</v>
      </c>
      <c r="V72">
        <v>5</v>
      </c>
      <c r="W72">
        <v>371.99999999999994</v>
      </c>
      <c r="X72">
        <v>7</v>
      </c>
      <c r="Y72">
        <v>520.79999999999995</v>
      </c>
      <c r="Z72">
        <v>5</v>
      </c>
      <c r="AA72">
        <v>371.99999999999994</v>
      </c>
      <c r="AB72">
        <v>8</v>
      </c>
      <c r="AC72">
        <v>595.19999999999993</v>
      </c>
      <c r="AD72">
        <v>7</v>
      </c>
      <c r="AE72">
        <v>520.79999999999995</v>
      </c>
      <c r="AF72">
        <v>7</v>
      </c>
      <c r="AG72">
        <v>520.79999999999995</v>
      </c>
      <c r="AH72">
        <v>8</v>
      </c>
      <c r="AI72">
        <v>595.19999999999993</v>
      </c>
      <c r="AJ72">
        <v>5</v>
      </c>
      <c r="AK72">
        <v>371.99999999999994</v>
      </c>
      <c r="AL72">
        <v>8</v>
      </c>
      <c r="AM72">
        <v>595.19999999999993</v>
      </c>
      <c r="AN72">
        <v>8</v>
      </c>
      <c r="AO72">
        <v>595.19999999999993</v>
      </c>
      <c r="AP72">
        <v>9</v>
      </c>
      <c r="AQ72">
        <v>669.59999999999991</v>
      </c>
      <c r="AR72">
        <v>9</v>
      </c>
      <c r="AS72">
        <v>669.59999999999991</v>
      </c>
      <c r="AT72">
        <v>4</v>
      </c>
      <c r="AU72">
        <v>297.59999999999997</v>
      </c>
      <c r="AV72">
        <v>4</v>
      </c>
      <c r="AW72">
        <v>297.59999999999997</v>
      </c>
      <c r="AX72">
        <v>5</v>
      </c>
      <c r="AY72">
        <v>371.99999999999994</v>
      </c>
      <c r="AZ72">
        <v>8</v>
      </c>
      <c r="BA72">
        <v>595.19999999999993</v>
      </c>
      <c r="BB72">
        <v>4</v>
      </c>
      <c r="BC72">
        <v>297.59999999999997</v>
      </c>
      <c r="BD72">
        <v>6</v>
      </c>
      <c r="BE72">
        <v>446.4</v>
      </c>
      <c r="BF72">
        <v>8</v>
      </c>
      <c r="BG72">
        <v>595.19999999999993</v>
      </c>
      <c r="BH72">
        <v>6</v>
      </c>
      <c r="BI72">
        <v>446.4</v>
      </c>
      <c r="BJ72">
        <v>6</v>
      </c>
      <c r="BK72">
        <v>446.4</v>
      </c>
      <c r="BL72">
        <v>9</v>
      </c>
      <c r="BM72">
        <v>669.59999999999991</v>
      </c>
      <c r="BN72">
        <v>9</v>
      </c>
      <c r="BO72">
        <v>669.59999999999991</v>
      </c>
      <c r="BP72">
        <v>5</v>
      </c>
      <c r="BQ72">
        <v>371.99999999999994</v>
      </c>
      <c r="BR72">
        <v>5</v>
      </c>
      <c r="BS72">
        <v>371.99999999999994</v>
      </c>
      <c r="BT72">
        <v>5</v>
      </c>
      <c r="BU72">
        <v>371.99999999999994</v>
      </c>
      <c r="BV72">
        <v>5</v>
      </c>
      <c r="BW72">
        <v>371.99999999999994</v>
      </c>
      <c r="BX72">
        <v>5</v>
      </c>
      <c r="BY72">
        <v>371.99999999999994</v>
      </c>
      <c r="BZ72">
        <v>5</v>
      </c>
      <c r="CA72">
        <v>371.99999999999994</v>
      </c>
      <c r="CB72">
        <v>7</v>
      </c>
      <c r="CC72">
        <v>520.79999999999995</v>
      </c>
      <c r="CD72">
        <v>6</v>
      </c>
      <c r="CE72">
        <v>446.4</v>
      </c>
      <c r="CF72">
        <v>6</v>
      </c>
      <c r="CG72">
        <v>446.4</v>
      </c>
      <c r="CH72">
        <v>8</v>
      </c>
      <c r="CI72">
        <v>595.19999999999993</v>
      </c>
      <c r="CJ72">
        <v>8</v>
      </c>
      <c r="CK72">
        <v>595.19999999999993</v>
      </c>
      <c r="CL72">
        <v>4</v>
      </c>
      <c r="CM72">
        <v>297.59999999999997</v>
      </c>
      <c r="CN72">
        <v>7</v>
      </c>
      <c r="CO72">
        <v>520.79999999999995</v>
      </c>
      <c r="CP72">
        <v>8</v>
      </c>
      <c r="CQ72">
        <v>595.19999999999993</v>
      </c>
      <c r="CR72">
        <v>6</v>
      </c>
      <c r="CS72">
        <v>446.4</v>
      </c>
      <c r="CT72">
        <v>6</v>
      </c>
      <c r="CU72">
        <v>446.4</v>
      </c>
    </row>
    <row r="73" spans="2:99" x14ac:dyDescent="0.2">
      <c r="C73" s="105" t="s">
        <v>239</v>
      </c>
      <c r="D73">
        <v>7</v>
      </c>
      <c r="E73">
        <v>3914.3999999999996</v>
      </c>
      <c r="F73">
        <v>7</v>
      </c>
      <c r="G73">
        <v>3914.3999999999996</v>
      </c>
      <c r="H73">
        <v>7</v>
      </c>
      <c r="I73">
        <v>3914.3999999999996</v>
      </c>
      <c r="J73">
        <v>8</v>
      </c>
      <c r="K73">
        <v>4473.5999999999995</v>
      </c>
      <c r="L73">
        <v>5</v>
      </c>
      <c r="M73">
        <v>2795.9999999999995</v>
      </c>
      <c r="N73">
        <v>8</v>
      </c>
      <c r="O73">
        <v>4473.5999999999995</v>
      </c>
      <c r="P73">
        <v>6</v>
      </c>
      <c r="Q73">
        <v>3355.2</v>
      </c>
      <c r="R73">
        <v>7</v>
      </c>
      <c r="S73">
        <v>3914.3999999999996</v>
      </c>
      <c r="T73">
        <v>6</v>
      </c>
      <c r="U73">
        <v>3355.2</v>
      </c>
      <c r="V73">
        <v>4</v>
      </c>
      <c r="W73">
        <v>2236.7999999999997</v>
      </c>
      <c r="X73">
        <v>6</v>
      </c>
      <c r="Y73">
        <v>3355.2</v>
      </c>
      <c r="Z73">
        <v>5</v>
      </c>
      <c r="AA73">
        <v>2795.9999999999995</v>
      </c>
      <c r="AB73">
        <v>8</v>
      </c>
      <c r="AC73">
        <v>4473.5999999999995</v>
      </c>
      <c r="AD73">
        <v>7</v>
      </c>
      <c r="AE73">
        <v>3914.3999999999996</v>
      </c>
      <c r="AF73">
        <v>8</v>
      </c>
      <c r="AG73">
        <v>4473.5999999999995</v>
      </c>
      <c r="AH73">
        <v>7</v>
      </c>
      <c r="AI73">
        <v>3914.3999999999996</v>
      </c>
      <c r="AJ73">
        <v>5</v>
      </c>
      <c r="AK73">
        <v>2795.9999999999995</v>
      </c>
      <c r="AL73">
        <v>7</v>
      </c>
      <c r="AM73">
        <v>3914.3999999999996</v>
      </c>
      <c r="AN73">
        <v>8</v>
      </c>
      <c r="AO73">
        <v>4473.5999999999995</v>
      </c>
      <c r="AP73">
        <v>9</v>
      </c>
      <c r="AQ73">
        <v>5032.7999999999993</v>
      </c>
      <c r="AR73">
        <v>7</v>
      </c>
      <c r="AS73">
        <v>3914.3999999999996</v>
      </c>
      <c r="AT73">
        <v>5</v>
      </c>
      <c r="AU73">
        <v>2795.9999999999995</v>
      </c>
      <c r="AV73">
        <v>4</v>
      </c>
      <c r="AW73">
        <v>2236.7999999999997</v>
      </c>
      <c r="AX73">
        <v>4</v>
      </c>
      <c r="AY73">
        <v>2236.7999999999997</v>
      </c>
      <c r="AZ73">
        <v>9</v>
      </c>
      <c r="BA73">
        <v>5032.7999999999993</v>
      </c>
      <c r="BB73">
        <v>4</v>
      </c>
      <c r="BC73">
        <v>2236.7999999999997</v>
      </c>
      <c r="BD73">
        <v>6</v>
      </c>
      <c r="BE73">
        <v>3355.2</v>
      </c>
      <c r="BF73">
        <v>8</v>
      </c>
      <c r="BG73">
        <v>4473.5999999999995</v>
      </c>
      <c r="BH73">
        <v>6</v>
      </c>
      <c r="BI73">
        <v>3355.2</v>
      </c>
      <c r="BJ73">
        <v>6</v>
      </c>
      <c r="BK73">
        <v>3355.2</v>
      </c>
      <c r="BL73">
        <v>8</v>
      </c>
      <c r="BM73">
        <v>4473.5999999999995</v>
      </c>
      <c r="BN73">
        <v>8</v>
      </c>
      <c r="BO73">
        <v>4473.5999999999995</v>
      </c>
      <c r="BP73">
        <v>5</v>
      </c>
      <c r="BQ73">
        <v>2795.9999999999995</v>
      </c>
      <c r="BR73">
        <v>5</v>
      </c>
      <c r="BS73">
        <v>2795.9999999999995</v>
      </c>
      <c r="BT73">
        <v>6</v>
      </c>
      <c r="BU73">
        <v>3355.2</v>
      </c>
      <c r="BV73">
        <v>5</v>
      </c>
      <c r="BW73">
        <v>2795.9999999999995</v>
      </c>
      <c r="BX73">
        <v>4</v>
      </c>
      <c r="BY73">
        <v>2236.7999999999997</v>
      </c>
      <c r="BZ73">
        <v>5</v>
      </c>
      <c r="CA73">
        <v>2795.9999999999995</v>
      </c>
      <c r="CB73">
        <v>8</v>
      </c>
      <c r="CC73">
        <v>4473.5999999999995</v>
      </c>
      <c r="CD73">
        <v>6</v>
      </c>
      <c r="CE73">
        <v>3355.2</v>
      </c>
      <c r="CF73">
        <v>6</v>
      </c>
      <c r="CG73">
        <v>3355.2</v>
      </c>
      <c r="CH73">
        <v>8</v>
      </c>
      <c r="CI73">
        <v>4473.5999999999995</v>
      </c>
      <c r="CJ73">
        <v>8</v>
      </c>
      <c r="CK73">
        <v>4473.5999999999995</v>
      </c>
      <c r="CL73">
        <v>4</v>
      </c>
      <c r="CM73">
        <v>2236.7999999999997</v>
      </c>
      <c r="CN73">
        <v>8</v>
      </c>
      <c r="CO73">
        <v>4473.5999999999995</v>
      </c>
      <c r="CP73">
        <v>8</v>
      </c>
      <c r="CQ73">
        <v>4473.5999999999995</v>
      </c>
      <c r="CR73">
        <v>6</v>
      </c>
      <c r="CS73">
        <v>3355.2</v>
      </c>
      <c r="CT73">
        <v>6</v>
      </c>
      <c r="CU73">
        <v>3355.2</v>
      </c>
    </row>
    <row r="74" spans="2:99" x14ac:dyDescent="0.2">
      <c r="C74" s="105" t="s">
        <v>240</v>
      </c>
      <c r="D74">
        <v>7</v>
      </c>
      <c r="E74">
        <v>2822.4</v>
      </c>
      <c r="F74">
        <v>7</v>
      </c>
      <c r="G74">
        <v>2822.4</v>
      </c>
      <c r="H74">
        <v>7</v>
      </c>
      <c r="I74">
        <v>2822.4</v>
      </c>
      <c r="J74">
        <v>8</v>
      </c>
      <c r="K74">
        <v>3225.6</v>
      </c>
      <c r="L74">
        <v>5</v>
      </c>
      <c r="M74">
        <v>2016</v>
      </c>
      <c r="N74">
        <v>7</v>
      </c>
      <c r="O74">
        <v>2822.4</v>
      </c>
      <c r="P74">
        <v>6</v>
      </c>
      <c r="Q74">
        <v>2419.1999999999998</v>
      </c>
      <c r="R74">
        <v>6</v>
      </c>
      <c r="S74">
        <v>2419.1999999999998</v>
      </c>
      <c r="T74">
        <v>6</v>
      </c>
      <c r="U74">
        <v>2419.1999999999998</v>
      </c>
      <c r="V74">
        <v>4</v>
      </c>
      <c r="W74">
        <v>1612.8</v>
      </c>
      <c r="X74">
        <v>6</v>
      </c>
      <c r="Y74">
        <v>2419.1999999999998</v>
      </c>
      <c r="Z74">
        <v>5</v>
      </c>
      <c r="AA74">
        <v>2016</v>
      </c>
      <c r="AB74">
        <v>8</v>
      </c>
      <c r="AC74">
        <v>3225.6</v>
      </c>
      <c r="AD74">
        <v>6</v>
      </c>
      <c r="AE74">
        <v>2419.1999999999998</v>
      </c>
      <c r="AF74">
        <v>8</v>
      </c>
      <c r="AG74">
        <v>3225.6</v>
      </c>
      <c r="AH74">
        <v>7</v>
      </c>
      <c r="AI74">
        <v>2822.4</v>
      </c>
      <c r="AJ74">
        <v>5</v>
      </c>
      <c r="AK74">
        <v>2016</v>
      </c>
      <c r="AL74">
        <v>8</v>
      </c>
      <c r="AM74">
        <v>3225.6</v>
      </c>
      <c r="AN74">
        <v>7</v>
      </c>
      <c r="AO74">
        <v>2822.4</v>
      </c>
      <c r="AP74">
        <v>9</v>
      </c>
      <c r="AQ74">
        <v>3628.7999999999997</v>
      </c>
      <c r="AR74">
        <v>7</v>
      </c>
      <c r="AS74">
        <v>2822.4</v>
      </c>
      <c r="AT74">
        <v>5</v>
      </c>
      <c r="AU74">
        <v>2016</v>
      </c>
      <c r="AV74">
        <v>5</v>
      </c>
      <c r="AW74">
        <v>2016</v>
      </c>
      <c r="AX74">
        <v>4</v>
      </c>
      <c r="AY74">
        <v>1612.8</v>
      </c>
      <c r="AZ74">
        <v>8</v>
      </c>
      <c r="BA74">
        <v>3225.6</v>
      </c>
      <c r="BB74">
        <v>4</v>
      </c>
      <c r="BC74">
        <v>1612.8</v>
      </c>
      <c r="BD74">
        <v>7</v>
      </c>
      <c r="BE74">
        <v>2822.4</v>
      </c>
      <c r="BF74">
        <v>8</v>
      </c>
      <c r="BG74">
        <v>3225.6</v>
      </c>
      <c r="BH74">
        <v>5</v>
      </c>
      <c r="BI74">
        <v>2016</v>
      </c>
      <c r="BJ74">
        <v>6</v>
      </c>
      <c r="BK74">
        <v>2419.1999999999998</v>
      </c>
      <c r="BL74">
        <v>8</v>
      </c>
      <c r="BM74">
        <v>3225.6</v>
      </c>
      <c r="BN74">
        <v>9</v>
      </c>
      <c r="BO74">
        <v>3628.7999999999997</v>
      </c>
      <c r="BP74">
        <v>6</v>
      </c>
      <c r="BQ74">
        <v>2419.1999999999998</v>
      </c>
      <c r="BR74">
        <v>4</v>
      </c>
      <c r="BS74">
        <v>1612.8</v>
      </c>
      <c r="BT74">
        <v>5</v>
      </c>
      <c r="BU74">
        <v>2016</v>
      </c>
      <c r="BV74">
        <v>6</v>
      </c>
      <c r="BW74">
        <v>2419.1999999999998</v>
      </c>
      <c r="BX74">
        <v>5</v>
      </c>
      <c r="BY74">
        <v>2016</v>
      </c>
      <c r="BZ74">
        <v>5</v>
      </c>
      <c r="CA74">
        <v>2016</v>
      </c>
      <c r="CB74">
        <v>7</v>
      </c>
      <c r="CC74">
        <v>2822.4</v>
      </c>
      <c r="CD74">
        <v>6</v>
      </c>
      <c r="CE74">
        <v>2419.1999999999998</v>
      </c>
      <c r="CF74">
        <v>6</v>
      </c>
      <c r="CG74">
        <v>2419.1999999999998</v>
      </c>
      <c r="CH74">
        <v>8</v>
      </c>
      <c r="CI74">
        <v>3225.6</v>
      </c>
      <c r="CJ74">
        <v>8</v>
      </c>
      <c r="CK74">
        <v>3225.6</v>
      </c>
      <c r="CL74">
        <v>5</v>
      </c>
      <c r="CM74">
        <v>2016</v>
      </c>
      <c r="CN74">
        <v>7</v>
      </c>
      <c r="CO74">
        <v>2822.4</v>
      </c>
      <c r="CP74">
        <v>7</v>
      </c>
      <c r="CQ74">
        <v>2822.4</v>
      </c>
      <c r="CR74">
        <v>5</v>
      </c>
      <c r="CS74">
        <v>2016</v>
      </c>
      <c r="CT74">
        <v>6</v>
      </c>
      <c r="CU74">
        <v>2419.1999999999998</v>
      </c>
    </row>
    <row r="75" spans="2:99" x14ac:dyDescent="0.2">
      <c r="C75" s="105" t="s">
        <v>241</v>
      </c>
      <c r="D75">
        <v>6</v>
      </c>
      <c r="E75">
        <v>3859.2</v>
      </c>
      <c r="F75">
        <v>6</v>
      </c>
      <c r="G75">
        <v>3859.2</v>
      </c>
      <c r="H75">
        <v>7</v>
      </c>
      <c r="I75">
        <v>4502.3999999999996</v>
      </c>
      <c r="J75">
        <v>7</v>
      </c>
      <c r="K75">
        <v>4502.3999999999996</v>
      </c>
      <c r="L75">
        <v>5</v>
      </c>
      <c r="M75">
        <v>3215.9999999999995</v>
      </c>
      <c r="N75">
        <v>8</v>
      </c>
      <c r="O75">
        <v>5145.5999999999995</v>
      </c>
      <c r="P75">
        <v>6</v>
      </c>
      <c r="Q75">
        <v>3859.2</v>
      </c>
      <c r="R75">
        <v>7</v>
      </c>
      <c r="S75">
        <v>4502.3999999999996</v>
      </c>
      <c r="T75">
        <v>6</v>
      </c>
      <c r="U75">
        <v>3859.2</v>
      </c>
      <c r="V75">
        <v>5</v>
      </c>
      <c r="W75">
        <v>3215.9999999999995</v>
      </c>
      <c r="X75">
        <v>7</v>
      </c>
      <c r="Y75">
        <v>4502.3999999999996</v>
      </c>
      <c r="Z75">
        <v>6</v>
      </c>
      <c r="AA75">
        <v>3859.2</v>
      </c>
      <c r="AB75">
        <v>8</v>
      </c>
      <c r="AC75">
        <v>5145.5999999999995</v>
      </c>
      <c r="AD75">
        <v>6</v>
      </c>
      <c r="AE75">
        <v>3859.2</v>
      </c>
      <c r="AF75">
        <v>8</v>
      </c>
      <c r="AG75">
        <v>5145.5999999999995</v>
      </c>
      <c r="AH75">
        <v>7</v>
      </c>
      <c r="AI75">
        <v>4502.3999999999996</v>
      </c>
      <c r="AJ75">
        <v>4</v>
      </c>
      <c r="AK75">
        <v>2572.7999999999997</v>
      </c>
      <c r="AL75">
        <v>7</v>
      </c>
      <c r="AM75">
        <v>4502.3999999999996</v>
      </c>
      <c r="AN75">
        <v>8</v>
      </c>
      <c r="AO75">
        <v>5145.5999999999995</v>
      </c>
      <c r="AP75">
        <v>8</v>
      </c>
      <c r="AQ75">
        <v>5145.5999999999995</v>
      </c>
      <c r="AR75">
        <v>7</v>
      </c>
      <c r="AS75">
        <v>4502.3999999999996</v>
      </c>
      <c r="AT75">
        <v>5</v>
      </c>
      <c r="AU75">
        <v>3215.9999999999995</v>
      </c>
      <c r="AV75">
        <v>4</v>
      </c>
      <c r="AW75">
        <v>2572.7999999999997</v>
      </c>
      <c r="AX75">
        <v>5</v>
      </c>
      <c r="AY75">
        <v>3215.9999999999995</v>
      </c>
      <c r="AZ75">
        <v>9</v>
      </c>
      <c r="BA75">
        <v>5788.7999999999993</v>
      </c>
      <c r="BB75">
        <v>4</v>
      </c>
      <c r="BC75">
        <v>2572.7999999999997</v>
      </c>
      <c r="BD75">
        <v>6</v>
      </c>
      <c r="BE75">
        <v>3859.2</v>
      </c>
      <c r="BF75">
        <v>7</v>
      </c>
      <c r="BG75">
        <v>4502.3999999999996</v>
      </c>
      <c r="BH75">
        <v>5</v>
      </c>
      <c r="BI75">
        <v>3215.9999999999995</v>
      </c>
      <c r="BJ75">
        <v>6</v>
      </c>
      <c r="BK75">
        <v>3859.2</v>
      </c>
      <c r="BL75">
        <v>8</v>
      </c>
      <c r="BM75">
        <v>5145.5999999999995</v>
      </c>
      <c r="BN75">
        <v>9</v>
      </c>
      <c r="BO75">
        <v>5788.7999999999993</v>
      </c>
      <c r="BP75">
        <v>5</v>
      </c>
      <c r="BQ75">
        <v>3215.9999999999995</v>
      </c>
      <c r="BR75">
        <v>4</v>
      </c>
      <c r="BS75">
        <v>2572.7999999999997</v>
      </c>
      <c r="BT75">
        <v>6</v>
      </c>
      <c r="BU75">
        <v>3859.2</v>
      </c>
      <c r="BV75">
        <v>5</v>
      </c>
      <c r="BW75">
        <v>3215.9999999999995</v>
      </c>
      <c r="BX75">
        <v>4</v>
      </c>
      <c r="BY75">
        <v>2572.7999999999997</v>
      </c>
      <c r="BZ75">
        <v>6</v>
      </c>
      <c r="CA75">
        <v>3859.2</v>
      </c>
      <c r="CB75">
        <v>7</v>
      </c>
      <c r="CC75">
        <v>4502.3999999999996</v>
      </c>
      <c r="CD75">
        <v>6</v>
      </c>
      <c r="CE75">
        <v>3859.2</v>
      </c>
      <c r="CF75">
        <v>6</v>
      </c>
      <c r="CG75">
        <v>3859.2</v>
      </c>
      <c r="CH75">
        <v>8</v>
      </c>
      <c r="CI75">
        <v>5145.5999999999995</v>
      </c>
      <c r="CJ75">
        <v>8</v>
      </c>
      <c r="CK75">
        <v>5145.5999999999995</v>
      </c>
      <c r="CL75">
        <v>5</v>
      </c>
      <c r="CM75">
        <v>3215.9999999999995</v>
      </c>
      <c r="CN75">
        <v>7</v>
      </c>
      <c r="CO75">
        <v>4502.3999999999996</v>
      </c>
      <c r="CP75">
        <v>8</v>
      </c>
      <c r="CQ75">
        <v>5145.5999999999995</v>
      </c>
      <c r="CR75">
        <v>5</v>
      </c>
      <c r="CS75">
        <v>3215.9999999999995</v>
      </c>
      <c r="CT75">
        <v>6</v>
      </c>
      <c r="CU75">
        <v>3859.2</v>
      </c>
    </row>
    <row r="76" spans="2:99" x14ac:dyDescent="0.2">
      <c r="C76" s="105" t="s">
        <v>242</v>
      </c>
      <c r="D76">
        <v>7</v>
      </c>
      <c r="E76">
        <v>5451.5999999999995</v>
      </c>
      <c r="F76">
        <v>6</v>
      </c>
      <c r="G76">
        <v>4672.7999999999993</v>
      </c>
      <c r="H76">
        <v>6</v>
      </c>
      <c r="I76">
        <v>4672.7999999999993</v>
      </c>
      <c r="J76">
        <v>7</v>
      </c>
      <c r="K76">
        <v>5451.5999999999995</v>
      </c>
      <c r="L76">
        <v>5</v>
      </c>
      <c r="M76">
        <v>3894</v>
      </c>
      <c r="N76">
        <v>8</v>
      </c>
      <c r="O76">
        <v>6230.4</v>
      </c>
      <c r="P76">
        <v>6</v>
      </c>
      <c r="Q76">
        <v>4672.7999999999993</v>
      </c>
      <c r="R76">
        <v>7</v>
      </c>
      <c r="S76">
        <v>5451.5999999999995</v>
      </c>
      <c r="T76">
        <v>7</v>
      </c>
      <c r="U76">
        <v>5451.5999999999995</v>
      </c>
      <c r="V76">
        <v>4</v>
      </c>
      <c r="W76">
        <v>3115.2</v>
      </c>
      <c r="X76">
        <v>7</v>
      </c>
      <c r="Y76">
        <v>5451.5999999999995</v>
      </c>
      <c r="Z76">
        <v>5</v>
      </c>
      <c r="AA76">
        <v>3894</v>
      </c>
      <c r="AB76">
        <v>8</v>
      </c>
      <c r="AC76">
        <v>6230.4</v>
      </c>
      <c r="AD76">
        <v>6</v>
      </c>
      <c r="AE76">
        <v>4672.7999999999993</v>
      </c>
      <c r="AF76">
        <v>8</v>
      </c>
      <c r="AG76">
        <v>6230.4</v>
      </c>
      <c r="AH76">
        <v>7</v>
      </c>
      <c r="AI76">
        <v>5451.5999999999995</v>
      </c>
      <c r="AJ76">
        <v>5</v>
      </c>
      <c r="AK76">
        <v>3894</v>
      </c>
      <c r="AL76">
        <v>7</v>
      </c>
      <c r="AM76">
        <v>5451.5999999999995</v>
      </c>
      <c r="AN76">
        <v>8</v>
      </c>
      <c r="AO76">
        <v>6230.4</v>
      </c>
      <c r="AP76">
        <v>9</v>
      </c>
      <c r="AQ76">
        <v>7009.2</v>
      </c>
      <c r="AR76">
        <v>7</v>
      </c>
      <c r="AS76">
        <v>5451.5999999999995</v>
      </c>
      <c r="AT76">
        <v>4</v>
      </c>
      <c r="AU76">
        <v>3115.2</v>
      </c>
      <c r="AV76">
        <v>4</v>
      </c>
      <c r="AW76">
        <v>3115.2</v>
      </c>
      <c r="AX76">
        <v>5</v>
      </c>
      <c r="AY76">
        <v>3894</v>
      </c>
      <c r="AZ76">
        <v>9</v>
      </c>
      <c r="BA76">
        <v>7009.2</v>
      </c>
      <c r="BB76">
        <v>4</v>
      </c>
      <c r="BC76">
        <v>3115.2</v>
      </c>
      <c r="BD76">
        <v>6</v>
      </c>
      <c r="BE76">
        <v>4672.7999999999993</v>
      </c>
      <c r="BF76">
        <v>7</v>
      </c>
      <c r="BG76">
        <v>5451.5999999999995</v>
      </c>
      <c r="BH76">
        <v>6</v>
      </c>
      <c r="BI76">
        <v>4672.7999999999993</v>
      </c>
      <c r="BJ76">
        <v>6</v>
      </c>
      <c r="BK76">
        <v>4672.7999999999993</v>
      </c>
      <c r="BL76">
        <v>9</v>
      </c>
      <c r="BM76">
        <v>7009.2</v>
      </c>
      <c r="BN76">
        <v>9</v>
      </c>
      <c r="BO76">
        <v>7009.2</v>
      </c>
      <c r="BP76">
        <v>6</v>
      </c>
      <c r="BQ76">
        <v>4672.7999999999993</v>
      </c>
      <c r="BR76">
        <v>4</v>
      </c>
      <c r="BS76">
        <v>3115.2</v>
      </c>
      <c r="BT76">
        <v>6</v>
      </c>
      <c r="BU76">
        <v>4672.7999999999993</v>
      </c>
      <c r="BV76">
        <v>6</v>
      </c>
      <c r="BW76">
        <v>4672.7999999999993</v>
      </c>
      <c r="BX76">
        <v>4</v>
      </c>
      <c r="BY76">
        <v>3115.2</v>
      </c>
      <c r="BZ76">
        <v>5</v>
      </c>
      <c r="CA76">
        <v>3894</v>
      </c>
      <c r="CB76">
        <v>7</v>
      </c>
      <c r="CC76">
        <v>5451.5999999999995</v>
      </c>
      <c r="CD76">
        <v>6</v>
      </c>
      <c r="CE76">
        <v>4672.7999999999993</v>
      </c>
      <c r="CF76">
        <v>6</v>
      </c>
      <c r="CG76">
        <v>4672.7999999999993</v>
      </c>
      <c r="CH76">
        <v>8</v>
      </c>
      <c r="CI76">
        <v>6230.4</v>
      </c>
      <c r="CJ76">
        <v>8</v>
      </c>
      <c r="CK76">
        <v>6230.4</v>
      </c>
      <c r="CL76">
        <v>4</v>
      </c>
      <c r="CM76">
        <v>3115.2</v>
      </c>
      <c r="CN76">
        <v>8</v>
      </c>
      <c r="CO76">
        <v>6230.4</v>
      </c>
      <c r="CP76">
        <v>7</v>
      </c>
      <c r="CQ76">
        <v>5451.5999999999995</v>
      </c>
      <c r="CR76">
        <v>5</v>
      </c>
      <c r="CS76">
        <v>3894</v>
      </c>
      <c r="CT76">
        <v>6</v>
      </c>
      <c r="CU76">
        <v>4672.7999999999993</v>
      </c>
    </row>
    <row r="77" spans="2:99" x14ac:dyDescent="0.2">
      <c r="C77" s="105" t="s">
        <v>243</v>
      </c>
      <c r="D77">
        <v>6</v>
      </c>
      <c r="E77">
        <v>1670.3999999999999</v>
      </c>
      <c r="F77">
        <v>6</v>
      </c>
      <c r="G77">
        <v>1670.3999999999999</v>
      </c>
      <c r="H77">
        <v>6</v>
      </c>
      <c r="I77">
        <v>1670.3999999999999</v>
      </c>
      <c r="J77">
        <v>7</v>
      </c>
      <c r="K77">
        <v>1948.7999999999997</v>
      </c>
      <c r="L77">
        <v>5</v>
      </c>
      <c r="M77">
        <v>1392</v>
      </c>
      <c r="N77">
        <v>7</v>
      </c>
      <c r="O77">
        <v>1948.7999999999997</v>
      </c>
      <c r="P77">
        <v>6</v>
      </c>
      <c r="Q77">
        <v>1670.3999999999999</v>
      </c>
      <c r="R77">
        <v>7</v>
      </c>
      <c r="S77">
        <v>1948.7999999999997</v>
      </c>
      <c r="T77">
        <v>6</v>
      </c>
      <c r="U77">
        <v>1670.3999999999999</v>
      </c>
      <c r="V77">
        <v>4</v>
      </c>
      <c r="W77">
        <v>1113.5999999999999</v>
      </c>
      <c r="X77">
        <v>6</v>
      </c>
      <c r="Y77">
        <v>1670.3999999999999</v>
      </c>
      <c r="Z77">
        <v>6</v>
      </c>
      <c r="AA77">
        <v>1670.3999999999999</v>
      </c>
      <c r="AB77">
        <v>8</v>
      </c>
      <c r="AC77">
        <v>2227.1999999999998</v>
      </c>
      <c r="AD77">
        <v>6</v>
      </c>
      <c r="AE77">
        <v>1670.3999999999999</v>
      </c>
      <c r="AF77">
        <v>8</v>
      </c>
      <c r="AG77">
        <v>2227.1999999999998</v>
      </c>
      <c r="AH77">
        <v>6</v>
      </c>
      <c r="AI77">
        <v>1670.3999999999999</v>
      </c>
      <c r="AJ77">
        <v>5</v>
      </c>
      <c r="AK77">
        <v>1392</v>
      </c>
      <c r="AL77">
        <v>8</v>
      </c>
      <c r="AM77">
        <v>2227.1999999999998</v>
      </c>
      <c r="AN77">
        <v>8</v>
      </c>
      <c r="AO77">
        <v>2227.1999999999998</v>
      </c>
      <c r="AP77">
        <v>9</v>
      </c>
      <c r="AQ77">
        <v>2505.6</v>
      </c>
      <c r="AR77">
        <v>8</v>
      </c>
      <c r="AS77">
        <v>2227.1999999999998</v>
      </c>
      <c r="AT77">
        <v>4</v>
      </c>
      <c r="AU77">
        <v>1113.5999999999999</v>
      </c>
      <c r="AV77">
        <v>5</v>
      </c>
      <c r="AW77">
        <v>1392</v>
      </c>
      <c r="AX77">
        <v>5</v>
      </c>
      <c r="AY77">
        <v>1392</v>
      </c>
      <c r="AZ77">
        <v>9</v>
      </c>
      <c r="BA77">
        <v>2505.6</v>
      </c>
      <c r="BB77">
        <v>5</v>
      </c>
      <c r="BC77">
        <v>1392</v>
      </c>
      <c r="BD77">
        <v>6</v>
      </c>
      <c r="BE77">
        <v>1670.3999999999999</v>
      </c>
      <c r="BF77">
        <v>8</v>
      </c>
      <c r="BG77">
        <v>2227.1999999999998</v>
      </c>
      <c r="BH77">
        <v>5</v>
      </c>
      <c r="BI77">
        <v>1392</v>
      </c>
      <c r="BJ77">
        <v>6</v>
      </c>
      <c r="BK77">
        <v>1670.3999999999999</v>
      </c>
      <c r="BL77">
        <v>9</v>
      </c>
      <c r="BM77">
        <v>2505.6</v>
      </c>
      <c r="BN77">
        <v>9</v>
      </c>
      <c r="BO77">
        <v>2505.6</v>
      </c>
      <c r="BP77">
        <v>5</v>
      </c>
      <c r="BQ77">
        <v>1392</v>
      </c>
      <c r="BR77">
        <v>4</v>
      </c>
      <c r="BS77">
        <v>1113.5999999999999</v>
      </c>
      <c r="BT77">
        <v>6</v>
      </c>
      <c r="BU77">
        <v>1670.3999999999999</v>
      </c>
      <c r="BV77">
        <v>5</v>
      </c>
      <c r="BW77">
        <v>1392</v>
      </c>
      <c r="BX77">
        <v>5</v>
      </c>
      <c r="BY77">
        <v>1392</v>
      </c>
      <c r="BZ77">
        <v>6</v>
      </c>
      <c r="CA77">
        <v>1670.3999999999999</v>
      </c>
      <c r="CB77">
        <v>8</v>
      </c>
      <c r="CC77">
        <v>2227.1999999999998</v>
      </c>
      <c r="CD77">
        <v>6</v>
      </c>
      <c r="CE77">
        <v>1670.3999999999999</v>
      </c>
      <c r="CF77">
        <v>6</v>
      </c>
      <c r="CG77">
        <v>1670.3999999999999</v>
      </c>
      <c r="CH77">
        <v>7</v>
      </c>
      <c r="CI77">
        <v>1948.7999999999997</v>
      </c>
      <c r="CJ77">
        <v>9</v>
      </c>
      <c r="CK77">
        <v>2505.6</v>
      </c>
      <c r="CL77">
        <v>5</v>
      </c>
      <c r="CM77">
        <v>1392</v>
      </c>
      <c r="CN77">
        <v>8</v>
      </c>
      <c r="CO77">
        <v>2227.1999999999998</v>
      </c>
      <c r="CP77">
        <v>7</v>
      </c>
      <c r="CQ77">
        <v>1948.7999999999997</v>
      </c>
      <c r="CR77">
        <v>5</v>
      </c>
      <c r="CS77">
        <v>1392</v>
      </c>
      <c r="CT77">
        <v>6</v>
      </c>
      <c r="CU77">
        <v>1670.3999999999999</v>
      </c>
    </row>
    <row r="78" spans="2:99" x14ac:dyDescent="0.2">
      <c r="C78" s="105" t="s">
        <v>244</v>
      </c>
      <c r="D78">
        <v>7</v>
      </c>
      <c r="E78">
        <v>3864</v>
      </c>
      <c r="F78">
        <v>7</v>
      </c>
      <c r="G78">
        <v>3864</v>
      </c>
      <c r="H78">
        <v>6</v>
      </c>
      <c r="I78">
        <v>3312</v>
      </c>
      <c r="J78">
        <v>6</v>
      </c>
      <c r="K78">
        <v>3312</v>
      </c>
      <c r="L78">
        <v>4</v>
      </c>
      <c r="M78">
        <v>2208</v>
      </c>
      <c r="N78">
        <v>8</v>
      </c>
      <c r="O78">
        <v>4416</v>
      </c>
      <c r="P78">
        <v>7</v>
      </c>
      <c r="Q78">
        <v>3864</v>
      </c>
      <c r="R78">
        <v>6</v>
      </c>
      <c r="S78">
        <v>3312</v>
      </c>
      <c r="T78">
        <v>6</v>
      </c>
      <c r="U78">
        <v>3312</v>
      </c>
      <c r="V78">
        <v>5</v>
      </c>
      <c r="W78">
        <v>2760</v>
      </c>
      <c r="X78">
        <v>6</v>
      </c>
      <c r="Y78">
        <v>3312</v>
      </c>
      <c r="Z78">
        <v>5</v>
      </c>
      <c r="AA78">
        <v>2760</v>
      </c>
      <c r="AB78">
        <v>7</v>
      </c>
      <c r="AC78">
        <v>3864</v>
      </c>
      <c r="AD78">
        <v>6</v>
      </c>
      <c r="AE78">
        <v>3312</v>
      </c>
      <c r="AF78">
        <v>8</v>
      </c>
      <c r="AG78">
        <v>4416</v>
      </c>
      <c r="AH78">
        <v>7</v>
      </c>
      <c r="AI78">
        <v>3864</v>
      </c>
      <c r="AJ78">
        <v>4</v>
      </c>
      <c r="AK78">
        <v>2208</v>
      </c>
      <c r="AL78">
        <v>7</v>
      </c>
      <c r="AM78">
        <v>3864</v>
      </c>
      <c r="AN78">
        <v>8</v>
      </c>
      <c r="AO78">
        <v>4416</v>
      </c>
      <c r="AP78">
        <v>7</v>
      </c>
      <c r="AQ78">
        <v>3864</v>
      </c>
      <c r="AR78">
        <v>8</v>
      </c>
      <c r="AS78">
        <v>4416</v>
      </c>
      <c r="AT78">
        <v>4</v>
      </c>
      <c r="AU78">
        <v>2208</v>
      </c>
      <c r="AV78">
        <v>5</v>
      </c>
      <c r="AW78">
        <v>2760</v>
      </c>
      <c r="AX78">
        <v>5</v>
      </c>
      <c r="AY78">
        <v>2760</v>
      </c>
      <c r="AZ78">
        <v>9</v>
      </c>
      <c r="BA78">
        <v>4968</v>
      </c>
      <c r="BB78">
        <v>5</v>
      </c>
      <c r="BC78">
        <v>2760</v>
      </c>
      <c r="BD78">
        <v>7</v>
      </c>
      <c r="BE78">
        <v>3864</v>
      </c>
      <c r="BF78">
        <v>8</v>
      </c>
      <c r="BG78">
        <v>4416</v>
      </c>
      <c r="BH78">
        <v>6</v>
      </c>
      <c r="BI78">
        <v>3312</v>
      </c>
      <c r="BJ78">
        <v>6</v>
      </c>
      <c r="BK78">
        <v>3312</v>
      </c>
      <c r="BL78">
        <v>8</v>
      </c>
      <c r="BM78">
        <v>4416</v>
      </c>
      <c r="BN78">
        <v>9</v>
      </c>
      <c r="BO78">
        <v>4968</v>
      </c>
      <c r="BP78">
        <v>6</v>
      </c>
      <c r="BQ78">
        <v>3312</v>
      </c>
      <c r="BR78">
        <v>4</v>
      </c>
      <c r="BS78">
        <v>2208</v>
      </c>
      <c r="BT78">
        <v>6</v>
      </c>
      <c r="BU78">
        <v>3312</v>
      </c>
      <c r="BV78">
        <v>6</v>
      </c>
      <c r="BW78">
        <v>3312</v>
      </c>
      <c r="BX78">
        <v>4</v>
      </c>
      <c r="BY78">
        <v>2208</v>
      </c>
      <c r="BZ78">
        <v>5</v>
      </c>
      <c r="CA78">
        <v>2760</v>
      </c>
      <c r="CB78">
        <v>7</v>
      </c>
      <c r="CC78">
        <v>3864</v>
      </c>
      <c r="CD78">
        <v>7</v>
      </c>
      <c r="CE78">
        <v>3864</v>
      </c>
      <c r="CF78">
        <v>6</v>
      </c>
      <c r="CG78">
        <v>3312</v>
      </c>
      <c r="CH78">
        <v>8</v>
      </c>
      <c r="CI78">
        <v>4416</v>
      </c>
      <c r="CJ78">
        <v>8</v>
      </c>
      <c r="CK78">
        <v>4416</v>
      </c>
      <c r="CL78">
        <v>4</v>
      </c>
      <c r="CM78">
        <v>2208</v>
      </c>
      <c r="CN78">
        <v>8</v>
      </c>
      <c r="CO78">
        <v>4416</v>
      </c>
      <c r="CP78">
        <v>8</v>
      </c>
      <c r="CQ78">
        <v>4416</v>
      </c>
      <c r="CR78">
        <v>5</v>
      </c>
      <c r="CS78">
        <v>2760</v>
      </c>
      <c r="CT78">
        <v>6</v>
      </c>
      <c r="CU78">
        <v>3312</v>
      </c>
    </row>
    <row r="79" spans="2:99" x14ac:dyDescent="0.2">
      <c r="C79" s="105" t="s">
        <v>245</v>
      </c>
      <c r="D79">
        <v>7</v>
      </c>
      <c r="E79">
        <v>5300.4</v>
      </c>
      <c r="F79">
        <v>6</v>
      </c>
      <c r="G79">
        <v>4543.2</v>
      </c>
      <c r="H79">
        <v>7</v>
      </c>
      <c r="I79">
        <v>5300.4</v>
      </c>
      <c r="J79">
        <v>7</v>
      </c>
      <c r="K79">
        <v>5300.4</v>
      </c>
      <c r="L79">
        <v>5</v>
      </c>
      <c r="M79">
        <v>3785.9999999999995</v>
      </c>
      <c r="N79">
        <v>7</v>
      </c>
      <c r="O79">
        <v>5300.4</v>
      </c>
      <c r="P79">
        <v>7</v>
      </c>
      <c r="Q79">
        <v>5300.4</v>
      </c>
      <c r="R79">
        <v>7</v>
      </c>
      <c r="S79">
        <v>5300.4</v>
      </c>
      <c r="T79">
        <v>6</v>
      </c>
      <c r="U79">
        <v>4543.2</v>
      </c>
      <c r="V79">
        <v>5</v>
      </c>
      <c r="W79">
        <v>3785.9999999999995</v>
      </c>
      <c r="X79">
        <v>6</v>
      </c>
      <c r="Y79">
        <v>4543.2</v>
      </c>
      <c r="Z79">
        <v>5</v>
      </c>
      <c r="AA79">
        <v>3785.9999999999995</v>
      </c>
      <c r="AB79">
        <v>8</v>
      </c>
      <c r="AC79">
        <v>6057.5999999999995</v>
      </c>
      <c r="AD79">
        <v>6</v>
      </c>
      <c r="AE79">
        <v>4543.2</v>
      </c>
      <c r="AF79">
        <v>8</v>
      </c>
      <c r="AG79">
        <v>6057.5999999999995</v>
      </c>
      <c r="AH79">
        <v>7</v>
      </c>
      <c r="AI79">
        <v>5300.4</v>
      </c>
      <c r="AJ79">
        <v>4</v>
      </c>
      <c r="AK79">
        <v>3028.7999999999997</v>
      </c>
      <c r="AL79">
        <v>8</v>
      </c>
      <c r="AM79">
        <v>6057.5999999999995</v>
      </c>
      <c r="AN79">
        <v>7</v>
      </c>
      <c r="AO79">
        <v>5300.4</v>
      </c>
      <c r="AP79">
        <v>8</v>
      </c>
      <c r="AQ79">
        <v>6057.5999999999995</v>
      </c>
      <c r="AR79">
        <v>7</v>
      </c>
      <c r="AS79">
        <v>5300.4</v>
      </c>
      <c r="AT79">
        <v>4</v>
      </c>
      <c r="AU79">
        <v>3028.7999999999997</v>
      </c>
      <c r="AV79">
        <v>5</v>
      </c>
      <c r="AW79">
        <v>3785.9999999999995</v>
      </c>
      <c r="AX79">
        <v>5</v>
      </c>
      <c r="AY79">
        <v>3785.9999999999995</v>
      </c>
      <c r="AZ79">
        <v>8</v>
      </c>
      <c r="BA79">
        <v>6057.5999999999995</v>
      </c>
      <c r="BB79">
        <v>4</v>
      </c>
      <c r="BC79">
        <v>3028.7999999999997</v>
      </c>
      <c r="BD79">
        <v>6</v>
      </c>
      <c r="BE79">
        <v>4543.2</v>
      </c>
      <c r="BF79">
        <v>7</v>
      </c>
      <c r="BG79">
        <v>5300.4</v>
      </c>
      <c r="BH79">
        <v>5</v>
      </c>
      <c r="BI79">
        <v>3785.9999999999995</v>
      </c>
      <c r="BJ79">
        <v>6</v>
      </c>
      <c r="BK79">
        <v>4543.2</v>
      </c>
      <c r="BL79">
        <v>9</v>
      </c>
      <c r="BM79">
        <v>6814.7999999999993</v>
      </c>
      <c r="BN79">
        <v>8</v>
      </c>
      <c r="BO79">
        <v>6057.5999999999995</v>
      </c>
      <c r="BP79">
        <v>5</v>
      </c>
      <c r="BQ79">
        <v>3785.9999999999995</v>
      </c>
      <c r="BR79">
        <v>4</v>
      </c>
      <c r="BS79">
        <v>3028.7999999999997</v>
      </c>
      <c r="BT79">
        <v>6</v>
      </c>
      <c r="BU79">
        <v>4543.2</v>
      </c>
      <c r="BV79">
        <v>5</v>
      </c>
      <c r="BW79">
        <v>3785.9999999999995</v>
      </c>
      <c r="BX79">
        <v>4</v>
      </c>
      <c r="BY79">
        <v>3028.7999999999997</v>
      </c>
      <c r="BZ79">
        <v>5</v>
      </c>
      <c r="CA79">
        <v>3785.9999999999995</v>
      </c>
      <c r="CB79">
        <v>7</v>
      </c>
      <c r="CC79">
        <v>5300.4</v>
      </c>
      <c r="CD79">
        <v>6</v>
      </c>
      <c r="CE79">
        <v>4543.2</v>
      </c>
      <c r="CF79">
        <v>6</v>
      </c>
      <c r="CG79">
        <v>4543.2</v>
      </c>
      <c r="CH79">
        <v>8</v>
      </c>
      <c r="CI79">
        <v>6057.5999999999995</v>
      </c>
      <c r="CJ79">
        <v>9</v>
      </c>
      <c r="CK79">
        <v>6814.7999999999993</v>
      </c>
      <c r="CL79">
        <v>5</v>
      </c>
      <c r="CM79">
        <v>3785.9999999999995</v>
      </c>
      <c r="CN79">
        <v>7</v>
      </c>
      <c r="CO79">
        <v>5300.4</v>
      </c>
      <c r="CP79">
        <v>7</v>
      </c>
      <c r="CQ79">
        <v>5300.4</v>
      </c>
      <c r="CR79">
        <v>5</v>
      </c>
      <c r="CS79">
        <v>3785.9999999999995</v>
      </c>
      <c r="CT79">
        <v>6</v>
      </c>
      <c r="CU79">
        <v>4543.2</v>
      </c>
    </row>
    <row r="80" spans="2:99" x14ac:dyDescent="0.2">
      <c r="C80" s="105" t="s">
        <v>246</v>
      </c>
      <c r="D80">
        <v>6</v>
      </c>
      <c r="E80">
        <v>4831.2</v>
      </c>
      <c r="F80">
        <v>6</v>
      </c>
      <c r="G80">
        <v>4831.2</v>
      </c>
      <c r="H80">
        <v>7</v>
      </c>
      <c r="I80">
        <v>5636.4</v>
      </c>
      <c r="J80">
        <v>7</v>
      </c>
      <c r="K80">
        <v>5636.4</v>
      </c>
      <c r="L80">
        <v>4</v>
      </c>
      <c r="M80">
        <v>3220.7999999999997</v>
      </c>
      <c r="N80">
        <v>7</v>
      </c>
      <c r="O80">
        <v>5636.4</v>
      </c>
      <c r="P80">
        <v>6</v>
      </c>
      <c r="Q80">
        <v>4831.2</v>
      </c>
      <c r="R80">
        <v>7</v>
      </c>
      <c r="S80">
        <v>5636.4</v>
      </c>
      <c r="T80">
        <v>6</v>
      </c>
      <c r="U80">
        <v>4831.2</v>
      </c>
      <c r="V80">
        <v>4</v>
      </c>
      <c r="W80">
        <v>3220.7999999999997</v>
      </c>
      <c r="X80">
        <v>6</v>
      </c>
      <c r="Y80">
        <v>4831.2</v>
      </c>
      <c r="Z80">
        <v>5</v>
      </c>
      <c r="AA80">
        <v>4025.9999999999995</v>
      </c>
      <c r="AB80">
        <v>7</v>
      </c>
      <c r="AC80">
        <v>5636.4</v>
      </c>
      <c r="AD80">
        <v>6</v>
      </c>
      <c r="AE80">
        <v>4831.2</v>
      </c>
      <c r="AF80">
        <v>8</v>
      </c>
      <c r="AG80">
        <v>6441.5999999999995</v>
      </c>
      <c r="AH80">
        <v>7</v>
      </c>
      <c r="AI80">
        <v>5636.4</v>
      </c>
      <c r="AJ80">
        <v>5</v>
      </c>
      <c r="AK80">
        <v>4025.9999999999995</v>
      </c>
      <c r="AL80">
        <v>7</v>
      </c>
      <c r="AM80">
        <v>5636.4</v>
      </c>
      <c r="AN80">
        <v>7</v>
      </c>
      <c r="AO80">
        <v>5636.4</v>
      </c>
      <c r="AP80">
        <v>7</v>
      </c>
      <c r="AQ80">
        <v>5636.4</v>
      </c>
      <c r="AR80">
        <v>8</v>
      </c>
      <c r="AS80">
        <v>6441.5999999999995</v>
      </c>
      <c r="AT80">
        <v>4</v>
      </c>
      <c r="AU80">
        <v>3220.7999999999997</v>
      </c>
      <c r="AV80">
        <v>4</v>
      </c>
      <c r="AW80">
        <v>3220.7999999999997</v>
      </c>
      <c r="AX80">
        <v>5</v>
      </c>
      <c r="AY80">
        <v>4025.9999999999995</v>
      </c>
      <c r="AZ80">
        <v>8</v>
      </c>
      <c r="BA80">
        <v>6441.5999999999995</v>
      </c>
      <c r="BB80">
        <v>4</v>
      </c>
      <c r="BC80">
        <v>3220.7999999999997</v>
      </c>
      <c r="BD80">
        <v>6</v>
      </c>
      <c r="BE80">
        <v>4831.2</v>
      </c>
      <c r="BF80">
        <v>7</v>
      </c>
      <c r="BG80">
        <v>5636.4</v>
      </c>
      <c r="BH80">
        <v>5</v>
      </c>
      <c r="BI80">
        <v>4025.9999999999995</v>
      </c>
      <c r="BJ80">
        <v>5</v>
      </c>
      <c r="BK80">
        <v>4025.9999999999995</v>
      </c>
      <c r="BL80">
        <v>9</v>
      </c>
      <c r="BM80">
        <v>7246.7999999999993</v>
      </c>
      <c r="BN80">
        <v>8</v>
      </c>
      <c r="BO80">
        <v>6441.5999999999995</v>
      </c>
      <c r="BP80">
        <v>5</v>
      </c>
      <c r="BQ80">
        <v>4025.9999999999995</v>
      </c>
      <c r="BR80">
        <v>4</v>
      </c>
      <c r="BS80">
        <v>3220.7999999999997</v>
      </c>
      <c r="BT80">
        <v>6</v>
      </c>
      <c r="BU80">
        <v>4831.2</v>
      </c>
      <c r="BV80">
        <v>6</v>
      </c>
      <c r="BW80">
        <v>4831.2</v>
      </c>
      <c r="BX80">
        <v>4</v>
      </c>
      <c r="BY80">
        <v>3220.7999999999997</v>
      </c>
      <c r="BZ80">
        <v>5</v>
      </c>
      <c r="CA80">
        <v>4025.9999999999995</v>
      </c>
      <c r="CB80">
        <v>7</v>
      </c>
      <c r="CC80">
        <v>5636.4</v>
      </c>
      <c r="CD80">
        <v>6</v>
      </c>
      <c r="CE80">
        <v>4831.2</v>
      </c>
      <c r="CF80">
        <v>7</v>
      </c>
      <c r="CG80">
        <v>5636.4</v>
      </c>
      <c r="CH80">
        <v>8</v>
      </c>
      <c r="CI80">
        <v>6441.5999999999995</v>
      </c>
      <c r="CJ80">
        <v>8</v>
      </c>
      <c r="CK80">
        <v>6441.5999999999995</v>
      </c>
      <c r="CL80">
        <v>4</v>
      </c>
      <c r="CM80">
        <v>3220.7999999999997</v>
      </c>
      <c r="CN80">
        <v>7</v>
      </c>
      <c r="CO80">
        <v>5636.4</v>
      </c>
      <c r="CP80">
        <v>6</v>
      </c>
      <c r="CQ80">
        <v>4831.2</v>
      </c>
      <c r="CR80">
        <v>5</v>
      </c>
      <c r="CS80">
        <v>4025.9999999999995</v>
      </c>
      <c r="CT80">
        <v>6</v>
      </c>
      <c r="CU80">
        <v>4831.2</v>
      </c>
    </row>
    <row r="81" spans="2:99" x14ac:dyDescent="0.2">
      <c r="C81" s="105" t="s">
        <v>247</v>
      </c>
      <c r="D81">
        <v>6</v>
      </c>
      <c r="E81">
        <v>4521.6000000000004</v>
      </c>
      <c r="F81">
        <v>6</v>
      </c>
      <c r="G81">
        <v>4521.6000000000004</v>
      </c>
      <c r="H81">
        <v>7</v>
      </c>
      <c r="I81">
        <v>5275.2</v>
      </c>
      <c r="J81">
        <v>6</v>
      </c>
      <c r="K81">
        <v>4521.6000000000004</v>
      </c>
      <c r="L81">
        <v>5</v>
      </c>
      <c r="M81">
        <v>3768</v>
      </c>
      <c r="N81">
        <v>7</v>
      </c>
      <c r="O81">
        <v>5275.2</v>
      </c>
      <c r="P81">
        <v>6</v>
      </c>
      <c r="Q81">
        <v>4521.6000000000004</v>
      </c>
      <c r="R81">
        <v>6</v>
      </c>
      <c r="S81">
        <v>4521.6000000000004</v>
      </c>
      <c r="T81">
        <v>7</v>
      </c>
      <c r="U81">
        <v>5275.2</v>
      </c>
      <c r="V81">
        <v>5</v>
      </c>
      <c r="W81">
        <v>3768</v>
      </c>
      <c r="X81">
        <v>6</v>
      </c>
      <c r="Y81">
        <v>4521.6000000000004</v>
      </c>
      <c r="Z81">
        <v>5</v>
      </c>
      <c r="AA81">
        <v>3768</v>
      </c>
      <c r="AB81">
        <v>8</v>
      </c>
      <c r="AC81">
        <v>6028.8</v>
      </c>
      <c r="AD81">
        <v>7</v>
      </c>
      <c r="AE81">
        <v>5275.2</v>
      </c>
      <c r="AF81">
        <v>7</v>
      </c>
      <c r="AG81">
        <v>5275.2</v>
      </c>
      <c r="AH81">
        <v>7</v>
      </c>
      <c r="AI81">
        <v>5275.2</v>
      </c>
      <c r="AJ81">
        <v>5</v>
      </c>
      <c r="AK81">
        <v>3768</v>
      </c>
      <c r="AL81">
        <v>7</v>
      </c>
      <c r="AM81">
        <v>5275.2</v>
      </c>
      <c r="AN81">
        <v>8</v>
      </c>
      <c r="AO81">
        <v>6028.8</v>
      </c>
      <c r="AP81">
        <v>8</v>
      </c>
      <c r="AQ81">
        <v>6028.8</v>
      </c>
      <c r="AR81">
        <v>7</v>
      </c>
      <c r="AS81">
        <v>5275.2</v>
      </c>
      <c r="AT81">
        <v>4</v>
      </c>
      <c r="AU81">
        <v>3014.4</v>
      </c>
      <c r="AV81">
        <v>5</v>
      </c>
      <c r="AW81">
        <v>3768</v>
      </c>
      <c r="AX81">
        <v>4</v>
      </c>
      <c r="AY81">
        <v>3014.4</v>
      </c>
      <c r="AZ81">
        <v>7</v>
      </c>
      <c r="BA81">
        <v>5275.2</v>
      </c>
      <c r="BB81">
        <v>4</v>
      </c>
      <c r="BC81">
        <v>3014.4</v>
      </c>
      <c r="BD81">
        <v>6</v>
      </c>
      <c r="BE81">
        <v>4521.6000000000004</v>
      </c>
      <c r="BF81">
        <v>8</v>
      </c>
      <c r="BG81">
        <v>6028.8</v>
      </c>
      <c r="BH81">
        <v>5</v>
      </c>
      <c r="BI81">
        <v>3768</v>
      </c>
      <c r="BJ81">
        <v>6</v>
      </c>
      <c r="BK81">
        <v>4521.6000000000004</v>
      </c>
      <c r="BL81">
        <v>9</v>
      </c>
      <c r="BM81">
        <v>6782.4000000000005</v>
      </c>
      <c r="BN81">
        <v>8</v>
      </c>
      <c r="BO81">
        <v>6028.8</v>
      </c>
      <c r="BP81">
        <v>5</v>
      </c>
      <c r="BQ81">
        <v>3768</v>
      </c>
      <c r="BR81">
        <v>4</v>
      </c>
      <c r="BS81">
        <v>3014.4</v>
      </c>
      <c r="BT81">
        <v>5</v>
      </c>
      <c r="BU81">
        <v>3768</v>
      </c>
      <c r="BV81">
        <v>5</v>
      </c>
      <c r="BW81">
        <v>3768</v>
      </c>
      <c r="BX81">
        <v>4</v>
      </c>
      <c r="BY81">
        <v>3014.4</v>
      </c>
      <c r="BZ81">
        <v>5</v>
      </c>
      <c r="CA81">
        <v>3768</v>
      </c>
      <c r="CB81">
        <v>7</v>
      </c>
      <c r="CC81">
        <v>5275.2</v>
      </c>
      <c r="CD81">
        <v>6</v>
      </c>
      <c r="CE81">
        <v>4521.6000000000004</v>
      </c>
      <c r="CF81">
        <v>6</v>
      </c>
      <c r="CG81">
        <v>4521.6000000000004</v>
      </c>
      <c r="CH81">
        <v>8</v>
      </c>
      <c r="CI81">
        <v>6028.8</v>
      </c>
      <c r="CJ81">
        <v>9</v>
      </c>
      <c r="CK81">
        <v>6782.4000000000005</v>
      </c>
      <c r="CL81">
        <v>4</v>
      </c>
      <c r="CM81">
        <v>3014.4</v>
      </c>
      <c r="CN81">
        <v>8</v>
      </c>
      <c r="CO81">
        <v>6028.8</v>
      </c>
      <c r="CP81">
        <v>7</v>
      </c>
      <c r="CQ81">
        <v>5275.2</v>
      </c>
      <c r="CR81">
        <v>5</v>
      </c>
      <c r="CS81">
        <v>3768</v>
      </c>
      <c r="CT81">
        <v>6</v>
      </c>
      <c r="CU81">
        <v>4521.6000000000004</v>
      </c>
    </row>
    <row r="82" spans="2:99" x14ac:dyDescent="0.2">
      <c r="C82" s="105" t="s">
        <v>248</v>
      </c>
      <c r="D82">
        <v>6</v>
      </c>
      <c r="E82">
        <v>3052.7999999999993</v>
      </c>
      <c r="F82">
        <v>6</v>
      </c>
      <c r="G82">
        <v>3052.7999999999993</v>
      </c>
      <c r="H82">
        <v>7</v>
      </c>
      <c r="I82">
        <v>3561.5999999999995</v>
      </c>
      <c r="J82">
        <v>7</v>
      </c>
      <c r="K82">
        <v>3561.5999999999995</v>
      </c>
      <c r="L82">
        <v>5</v>
      </c>
      <c r="M82">
        <v>2543.9999999999995</v>
      </c>
      <c r="N82">
        <v>7</v>
      </c>
      <c r="O82">
        <v>3561.5999999999995</v>
      </c>
      <c r="P82">
        <v>7</v>
      </c>
      <c r="Q82">
        <v>3561.5999999999995</v>
      </c>
      <c r="R82">
        <v>7</v>
      </c>
      <c r="S82">
        <v>3561.5999999999995</v>
      </c>
      <c r="T82">
        <v>7</v>
      </c>
      <c r="U82">
        <v>3561.5999999999995</v>
      </c>
      <c r="V82">
        <v>5</v>
      </c>
      <c r="W82">
        <v>2543.9999999999995</v>
      </c>
      <c r="X82">
        <v>6</v>
      </c>
      <c r="Y82">
        <v>3052.7999999999993</v>
      </c>
      <c r="Z82">
        <v>5</v>
      </c>
      <c r="AA82">
        <v>2543.9999999999995</v>
      </c>
      <c r="AB82">
        <v>7</v>
      </c>
      <c r="AC82">
        <v>3561.5999999999995</v>
      </c>
      <c r="AD82">
        <v>6</v>
      </c>
      <c r="AE82">
        <v>3052.7999999999993</v>
      </c>
      <c r="AF82">
        <v>8</v>
      </c>
      <c r="AG82">
        <v>4070.3999999999992</v>
      </c>
      <c r="AH82">
        <v>7</v>
      </c>
      <c r="AI82">
        <v>3561.5999999999995</v>
      </c>
      <c r="AJ82">
        <v>5</v>
      </c>
      <c r="AK82">
        <v>2543.9999999999995</v>
      </c>
      <c r="AL82">
        <v>7</v>
      </c>
      <c r="AM82">
        <v>3561.5999999999995</v>
      </c>
      <c r="AN82">
        <v>9</v>
      </c>
      <c r="AO82">
        <v>4579.1999999999989</v>
      </c>
      <c r="AP82">
        <v>8</v>
      </c>
      <c r="AQ82">
        <v>4070.3999999999992</v>
      </c>
      <c r="AR82">
        <v>8</v>
      </c>
      <c r="AS82">
        <v>4070.3999999999992</v>
      </c>
      <c r="AT82">
        <v>4</v>
      </c>
      <c r="AU82">
        <v>2035.1999999999996</v>
      </c>
      <c r="AV82">
        <v>4</v>
      </c>
      <c r="AW82">
        <v>2035.1999999999996</v>
      </c>
      <c r="AX82">
        <v>4</v>
      </c>
      <c r="AY82">
        <v>2035.1999999999996</v>
      </c>
      <c r="AZ82">
        <v>9</v>
      </c>
      <c r="BA82">
        <v>4579.1999999999989</v>
      </c>
      <c r="BB82">
        <v>5</v>
      </c>
      <c r="BC82">
        <v>2543.9999999999995</v>
      </c>
      <c r="BD82">
        <v>7</v>
      </c>
      <c r="BE82">
        <v>3561.5999999999995</v>
      </c>
      <c r="BF82">
        <v>8</v>
      </c>
      <c r="BG82">
        <v>4070.3999999999992</v>
      </c>
      <c r="BH82">
        <v>6</v>
      </c>
      <c r="BI82">
        <v>3052.7999999999993</v>
      </c>
      <c r="BJ82">
        <v>5</v>
      </c>
      <c r="BK82">
        <v>2543.9999999999995</v>
      </c>
      <c r="BL82">
        <v>8</v>
      </c>
      <c r="BM82">
        <v>4070.3999999999992</v>
      </c>
      <c r="BN82">
        <v>9</v>
      </c>
      <c r="BO82">
        <v>4579.1999999999989</v>
      </c>
      <c r="BP82">
        <v>5</v>
      </c>
      <c r="BQ82">
        <v>2543.9999999999995</v>
      </c>
      <c r="BR82">
        <v>4</v>
      </c>
      <c r="BS82">
        <v>2035.1999999999996</v>
      </c>
      <c r="BT82">
        <v>6</v>
      </c>
      <c r="BU82">
        <v>3052.7999999999993</v>
      </c>
      <c r="BV82">
        <v>5</v>
      </c>
      <c r="BW82">
        <v>2543.9999999999995</v>
      </c>
      <c r="BX82">
        <v>4</v>
      </c>
      <c r="BY82">
        <v>2035.1999999999996</v>
      </c>
      <c r="BZ82">
        <v>5</v>
      </c>
      <c r="CA82">
        <v>2543.9999999999995</v>
      </c>
      <c r="CB82">
        <v>8</v>
      </c>
      <c r="CC82">
        <v>4070.3999999999992</v>
      </c>
      <c r="CD82">
        <v>6</v>
      </c>
      <c r="CE82">
        <v>3052.7999999999993</v>
      </c>
      <c r="CF82">
        <v>7</v>
      </c>
      <c r="CG82">
        <v>3561.5999999999995</v>
      </c>
      <c r="CH82">
        <v>8</v>
      </c>
      <c r="CI82">
        <v>4070.3999999999992</v>
      </c>
      <c r="CJ82">
        <v>8</v>
      </c>
      <c r="CK82">
        <v>4070.3999999999992</v>
      </c>
      <c r="CL82">
        <v>4</v>
      </c>
      <c r="CM82">
        <v>2035.1999999999996</v>
      </c>
      <c r="CN82">
        <v>7</v>
      </c>
      <c r="CO82">
        <v>3561.5999999999995</v>
      </c>
      <c r="CP82">
        <v>8</v>
      </c>
      <c r="CQ82">
        <v>4070.3999999999992</v>
      </c>
      <c r="CR82">
        <v>6</v>
      </c>
      <c r="CS82">
        <v>3052.7999999999993</v>
      </c>
      <c r="CT82">
        <v>6</v>
      </c>
      <c r="CU82">
        <v>3052.7999999999993</v>
      </c>
    </row>
    <row r="83" spans="2:99" x14ac:dyDescent="0.2">
      <c r="C83" s="105" t="s">
        <v>249</v>
      </c>
      <c r="D83">
        <v>7</v>
      </c>
      <c r="E83">
        <v>6022.8</v>
      </c>
      <c r="F83">
        <v>7</v>
      </c>
      <c r="G83">
        <v>6022.8</v>
      </c>
      <c r="H83">
        <v>6</v>
      </c>
      <c r="I83">
        <v>5162.3999999999996</v>
      </c>
      <c r="J83">
        <v>7</v>
      </c>
      <c r="K83">
        <v>6022.8</v>
      </c>
      <c r="L83">
        <v>4</v>
      </c>
      <c r="M83">
        <v>3441.6</v>
      </c>
      <c r="N83">
        <v>7</v>
      </c>
      <c r="O83">
        <v>6022.8</v>
      </c>
      <c r="P83">
        <v>6</v>
      </c>
      <c r="Q83">
        <v>5162.3999999999996</v>
      </c>
      <c r="R83">
        <v>7</v>
      </c>
      <c r="S83">
        <v>6022.8</v>
      </c>
      <c r="T83">
        <v>6</v>
      </c>
      <c r="U83">
        <v>5162.3999999999996</v>
      </c>
      <c r="V83">
        <v>4</v>
      </c>
      <c r="W83">
        <v>3441.6</v>
      </c>
      <c r="X83">
        <v>6</v>
      </c>
      <c r="Y83">
        <v>5162.3999999999996</v>
      </c>
      <c r="Z83">
        <v>6</v>
      </c>
      <c r="AA83">
        <v>5162.3999999999996</v>
      </c>
      <c r="AB83">
        <v>7</v>
      </c>
      <c r="AC83">
        <v>6022.8</v>
      </c>
      <c r="AD83">
        <v>6</v>
      </c>
      <c r="AE83">
        <v>5162.3999999999996</v>
      </c>
      <c r="AF83">
        <v>8</v>
      </c>
      <c r="AG83">
        <v>6883.2</v>
      </c>
      <c r="AH83">
        <v>7</v>
      </c>
      <c r="AI83">
        <v>6022.8</v>
      </c>
      <c r="AJ83">
        <v>4</v>
      </c>
      <c r="AK83">
        <v>3441.6</v>
      </c>
      <c r="AL83">
        <v>7</v>
      </c>
      <c r="AM83">
        <v>6022.8</v>
      </c>
      <c r="AN83">
        <v>8</v>
      </c>
      <c r="AO83">
        <v>6883.2</v>
      </c>
      <c r="AP83">
        <v>7</v>
      </c>
      <c r="AQ83">
        <v>6022.8</v>
      </c>
      <c r="AR83">
        <v>8</v>
      </c>
      <c r="AS83">
        <v>6883.2</v>
      </c>
      <c r="AT83">
        <v>4</v>
      </c>
      <c r="AU83">
        <v>3441.6</v>
      </c>
      <c r="AV83">
        <v>4</v>
      </c>
      <c r="AW83">
        <v>3441.6</v>
      </c>
      <c r="AX83">
        <v>5</v>
      </c>
      <c r="AY83">
        <v>4302</v>
      </c>
      <c r="AZ83">
        <v>9</v>
      </c>
      <c r="BA83">
        <v>7743.5999999999995</v>
      </c>
      <c r="BB83">
        <v>4</v>
      </c>
      <c r="BC83">
        <v>3441.6</v>
      </c>
      <c r="BD83">
        <v>6</v>
      </c>
      <c r="BE83">
        <v>5162.3999999999996</v>
      </c>
      <c r="BF83">
        <v>8</v>
      </c>
      <c r="BG83">
        <v>6883.2</v>
      </c>
      <c r="BH83">
        <v>5</v>
      </c>
      <c r="BI83">
        <v>4302</v>
      </c>
      <c r="BJ83">
        <v>6</v>
      </c>
      <c r="BK83">
        <v>5162.3999999999996</v>
      </c>
      <c r="BL83">
        <v>9</v>
      </c>
      <c r="BM83">
        <v>7743.5999999999995</v>
      </c>
      <c r="BN83">
        <v>8</v>
      </c>
      <c r="BO83">
        <v>6883.2</v>
      </c>
      <c r="BP83">
        <v>5</v>
      </c>
      <c r="BQ83">
        <v>4302</v>
      </c>
      <c r="BR83">
        <v>4</v>
      </c>
      <c r="BS83">
        <v>3441.6</v>
      </c>
      <c r="BT83">
        <v>5</v>
      </c>
      <c r="BU83">
        <v>4302</v>
      </c>
      <c r="BV83">
        <v>6</v>
      </c>
      <c r="BW83">
        <v>5162.3999999999996</v>
      </c>
      <c r="BX83">
        <v>4</v>
      </c>
      <c r="BY83">
        <v>3441.6</v>
      </c>
      <c r="BZ83">
        <v>5</v>
      </c>
      <c r="CA83">
        <v>4302</v>
      </c>
      <c r="CB83">
        <v>7</v>
      </c>
      <c r="CC83">
        <v>6022.8</v>
      </c>
      <c r="CD83">
        <v>6</v>
      </c>
      <c r="CE83">
        <v>5162.3999999999996</v>
      </c>
      <c r="CF83">
        <v>6</v>
      </c>
      <c r="CG83">
        <v>5162.3999999999996</v>
      </c>
      <c r="CH83">
        <v>8</v>
      </c>
      <c r="CI83">
        <v>6883.2</v>
      </c>
      <c r="CJ83">
        <v>8</v>
      </c>
      <c r="CK83">
        <v>6883.2</v>
      </c>
      <c r="CL83">
        <v>4</v>
      </c>
      <c r="CM83">
        <v>3441.6</v>
      </c>
      <c r="CN83">
        <v>7</v>
      </c>
      <c r="CO83">
        <v>6022.8</v>
      </c>
      <c r="CP83">
        <v>7</v>
      </c>
      <c r="CQ83">
        <v>6022.8</v>
      </c>
      <c r="CR83">
        <v>5</v>
      </c>
      <c r="CS83">
        <v>4302</v>
      </c>
      <c r="CT83">
        <v>6</v>
      </c>
      <c r="CU83">
        <v>5162.3999999999996</v>
      </c>
    </row>
    <row r="84" spans="2:99" x14ac:dyDescent="0.2">
      <c r="C84" s="105" t="s">
        <v>250</v>
      </c>
      <c r="D84">
        <v>7</v>
      </c>
      <c r="E84">
        <v>5468.4</v>
      </c>
      <c r="F84">
        <v>5</v>
      </c>
      <c r="G84">
        <v>3905.9999999999995</v>
      </c>
      <c r="H84">
        <v>7</v>
      </c>
      <c r="I84">
        <v>5468.4</v>
      </c>
      <c r="J84">
        <v>7</v>
      </c>
      <c r="K84">
        <v>5468.4</v>
      </c>
      <c r="L84">
        <v>5</v>
      </c>
      <c r="M84">
        <v>3905.9999999999995</v>
      </c>
      <c r="N84">
        <v>7</v>
      </c>
      <c r="O84">
        <v>5468.4</v>
      </c>
      <c r="P84">
        <v>7</v>
      </c>
      <c r="Q84">
        <v>5468.4</v>
      </c>
      <c r="R84">
        <v>6</v>
      </c>
      <c r="S84">
        <v>4687.2</v>
      </c>
      <c r="T84">
        <v>6</v>
      </c>
      <c r="U84">
        <v>4687.2</v>
      </c>
      <c r="V84">
        <v>5</v>
      </c>
      <c r="W84">
        <v>3905.9999999999995</v>
      </c>
      <c r="X84">
        <v>6</v>
      </c>
      <c r="Y84">
        <v>4687.2</v>
      </c>
      <c r="Z84">
        <v>5</v>
      </c>
      <c r="AA84">
        <v>3905.9999999999995</v>
      </c>
      <c r="AB84">
        <v>8</v>
      </c>
      <c r="AC84">
        <v>6249.5999999999995</v>
      </c>
      <c r="AD84">
        <v>6</v>
      </c>
      <c r="AE84">
        <v>4687.2</v>
      </c>
      <c r="AF84">
        <v>7</v>
      </c>
      <c r="AG84">
        <v>5468.4</v>
      </c>
      <c r="AH84">
        <v>6</v>
      </c>
      <c r="AI84">
        <v>4687.2</v>
      </c>
      <c r="AJ84">
        <v>4</v>
      </c>
      <c r="AK84">
        <v>3124.7999999999997</v>
      </c>
      <c r="AL84">
        <v>8</v>
      </c>
      <c r="AM84">
        <v>6249.5999999999995</v>
      </c>
      <c r="AN84">
        <v>8</v>
      </c>
      <c r="AO84">
        <v>6249.5999999999995</v>
      </c>
      <c r="AP84">
        <v>8</v>
      </c>
      <c r="AQ84">
        <v>6249.5999999999995</v>
      </c>
      <c r="AR84">
        <v>8</v>
      </c>
      <c r="AS84">
        <v>6249.5999999999995</v>
      </c>
      <c r="AT84">
        <v>4</v>
      </c>
      <c r="AU84">
        <v>3124.7999999999997</v>
      </c>
      <c r="AV84">
        <v>4</v>
      </c>
      <c r="AW84">
        <v>3124.7999999999997</v>
      </c>
      <c r="AX84">
        <v>5</v>
      </c>
      <c r="AY84">
        <v>3905.9999999999995</v>
      </c>
      <c r="AZ84">
        <v>8</v>
      </c>
      <c r="BA84">
        <v>6249.5999999999995</v>
      </c>
      <c r="BB84">
        <v>4</v>
      </c>
      <c r="BC84">
        <v>3124.7999999999997</v>
      </c>
      <c r="BD84">
        <v>6</v>
      </c>
      <c r="BE84">
        <v>4687.2</v>
      </c>
      <c r="BF84">
        <v>8</v>
      </c>
      <c r="BG84">
        <v>6249.5999999999995</v>
      </c>
      <c r="BH84">
        <v>6</v>
      </c>
      <c r="BI84">
        <v>4687.2</v>
      </c>
      <c r="BJ84">
        <v>6</v>
      </c>
      <c r="BK84">
        <v>4687.2</v>
      </c>
      <c r="BL84">
        <v>8</v>
      </c>
      <c r="BM84">
        <v>6249.5999999999995</v>
      </c>
      <c r="BN84">
        <v>8</v>
      </c>
      <c r="BO84">
        <v>6249.5999999999995</v>
      </c>
      <c r="BP84">
        <v>5</v>
      </c>
      <c r="BQ84">
        <v>3905.9999999999995</v>
      </c>
      <c r="BR84">
        <v>5</v>
      </c>
      <c r="BS84">
        <v>3905.9999999999995</v>
      </c>
      <c r="BT84">
        <v>6</v>
      </c>
      <c r="BU84">
        <v>4687.2</v>
      </c>
      <c r="BV84">
        <v>5</v>
      </c>
      <c r="BW84">
        <v>3905.9999999999995</v>
      </c>
      <c r="BX84">
        <v>5</v>
      </c>
      <c r="BY84">
        <v>3905.9999999999995</v>
      </c>
      <c r="BZ84">
        <v>5</v>
      </c>
      <c r="CA84">
        <v>3905.9999999999995</v>
      </c>
      <c r="CB84">
        <v>8</v>
      </c>
      <c r="CC84">
        <v>6249.5999999999995</v>
      </c>
      <c r="CD84">
        <v>6</v>
      </c>
      <c r="CE84">
        <v>4687.2</v>
      </c>
      <c r="CF84">
        <v>7</v>
      </c>
      <c r="CG84">
        <v>5468.4</v>
      </c>
      <c r="CH84">
        <v>7</v>
      </c>
      <c r="CI84">
        <v>5468.4</v>
      </c>
      <c r="CJ84">
        <v>9</v>
      </c>
      <c r="CK84">
        <v>7030.7999999999993</v>
      </c>
      <c r="CL84">
        <v>4</v>
      </c>
      <c r="CM84">
        <v>3124.7999999999997</v>
      </c>
      <c r="CN84">
        <v>7</v>
      </c>
      <c r="CO84">
        <v>5468.4</v>
      </c>
      <c r="CP84">
        <v>8</v>
      </c>
      <c r="CQ84">
        <v>6249.5999999999995</v>
      </c>
      <c r="CR84">
        <v>5</v>
      </c>
      <c r="CS84">
        <v>3905.9999999999995</v>
      </c>
      <c r="CT84">
        <v>5</v>
      </c>
      <c r="CU84">
        <v>3905.9999999999995</v>
      </c>
    </row>
    <row r="85" spans="2:99" x14ac:dyDescent="0.2">
      <c r="C85" s="105" t="s">
        <v>251</v>
      </c>
      <c r="D85">
        <v>7</v>
      </c>
      <c r="E85">
        <v>1050</v>
      </c>
      <c r="F85">
        <v>6</v>
      </c>
      <c r="G85">
        <v>900</v>
      </c>
      <c r="H85">
        <v>6</v>
      </c>
      <c r="I85">
        <v>900</v>
      </c>
      <c r="J85">
        <v>7</v>
      </c>
      <c r="K85">
        <v>1050</v>
      </c>
      <c r="L85">
        <v>5</v>
      </c>
      <c r="M85">
        <v>750</v>
      </c>
      <c r="N85">
        <v>8</v>
      </c>
      <c r="O85">
        <v>1200</v>
      </c>
      <c r="P85">
        <v>7</v>
      </c>
      <c r="Q85">
        <v>1050</v>
      </c>
      <c r="R85">
        <v>7</v>
      </c>
      <c r="S85">
        <v>1050</v>
      </c>
      <c r="T85">
        <v>6</v>
      </c>
      <c r="U85">
        <v>900</v>
      </c>
      <c r="V85">
        <v>5</v>
      </c>
      <c r="W85">
        <v>750</v>
      </c>
      <c r="X85">
        <v>7</v>
      </c>
      <c r="Y85">
        <v>1050</v>
      </c>
      <c r="Z85">
        <v>6</v>
      </c>
      <c r="AA85">
        <v>900</v>
      </c>
      <c r="AB85">
        <v>8</v>
      </c>
      <c r="AC85">
        <v>1200</v>
      </c>
      <c r="AD85">
        <v>7</v>
      </c>
      <c r="AE85">
        <v>1050</v>
      </c>
      <c r="AF85">
        <v>7</v>
      </c>
      <c r="AG85">
        <v>1050</v>
      </c>
      <c r="AH85">
        <v>7</v>
      </c>
      <c r="AI85">
        <v>1050</v>
      </c>
      <c r="AJ85">
        <v>5</v>
      </c>
      <c r="AK85">
        <v>750</v>
      </c>
      <c r="AL85">
        <v>7</v>
      </c>
      <c r="AM85">
        <v>1050</v>
      </c>
      <c r="AN85">
        <v>8</v>
      </c>
      <c r="AO85">
        <v>1200</v>
      </c>
      <c r="AP85">
        <v>9</v>
      </c>
      <c r="AQ85">
        <v>1350</v>
      </c>
      <c r="AR85">
        <v>8</v>
      </c>
      <c r="AS85">
        <v>1200</v>
      </c>
      <c r="AT85">
        <v>5</v>
      </c>
      <c r="AU85">
        <v>750</v>
      </c>
      <c r="AV85">
        <v>5</v>
      </c>
      <c r="AW85">
        <v>750</v>
      </c>
      <c r="AX85">
        <v>5</v>
      </c>
      <c r="AY85">
        <v>750</v>
      </c>
      <c r="AZ85">
        <v>8</v>
      </c>
      <c r="BA85">
        <v>1200</v>
      </c>
      <c r="BB85">
        <v>5</v>
      </c>
      <c r="BC85">
        <v>750</v>
      </c>
      <c r="BD85">
        <v>6</v>
      </c>
      <c r="BE85">
        <v>900</v>
      </c>
      <c r="BF85">
        <v>8</v>
      </c>
      <c r="BG85">
        <v>1200</v>
      </c>
      <c r="BH85">
        <v>5</v>
      </c>
      <c r="BI85">
        <v>750</v>
      </c>
      <c r="BJ85">
        <v>6</v>
      </c>
      <c r="BK85">
        <v>900</v>
      </c>
      <c r="BL85">
        <v>9</v>
      </c>
      <c r="BM85">
        <v>1350</v>
      </c>
      <c r="BN85">
        <v>8</v>
      </c>
      <c r="BO85">
        <v>1200</v>
      </c>
      <c r="BP85">
        <v>5</v>
      </c>
      <c r="BQ85">
        <v>750</v>
      </c>
      <c r="BR85">
        <v>4</v>
      </c>
      <c r="BS85">
        <v>600</v>
      </c>
      <c r="BT85">
        <v>6</v>
      </c>
      <c r="BU85">
        <v>900</v>
      </c>
      <c r="BV85">
        <v>6</v>
      </c>
      <c r="BW85">
        <v>900</v>
      </c>
      <c r="BX85">
        <v>4</v>
      </c>
      <c r="BY85">
        <v>600</v>
      </c>
      <c r="BZ85">
        <v>5</v>
      </c>
      <c r="CA85">
        <v>750</v>
      </c>
      <c r="CB85">
        <v>7</v>
      </c>
      <c r="CC85">
        <v>1050</v>
      </c>
      <c r="CD85">
        <v>6</v>
      </c>
      <c r="CE85">
        <v>900</v>
      </c>
      <c r="CF85">
        <v>7</v>
      </c>
      <c r="CG85">
        <v>1050</v>
      </c>
      <c r="CH85">
        <v>8</v>
      </c>
      <c r="CI85">
        <v>1200</v>
      </c>
      <c r="CJ85">
        <v>9</v>
      </c>
      <c r="CK85">
        <v>1350</v>
      </c>
      <c r="CL85">
        <v>5</v>
      </c>
      <c r="CM85">
        <v>750</v>
      </c>
      <c r="CN85">
        <v>8</v>
      </c>
      <c r="CO85">
        <v>1200</v>
      </c>
      <c r="CP85">
        <v>8</v>
      </c>
      <c r="CQ85">
        <v>1200</v>
      </c>
      <c r="CR85">
        <v>6</v>
      </c>
      <c r="CS85">
        <v>900</v>
      </c>
      <c r="CT85">
        <v>6</v>
      </c>
      <c r="CU85">
        <v>900</v>
      </c>
    </row>
    <row r="86" spans="2:99" x14ac:dyDescent="0.2">
      <c r="C86" s="105" t="s">
        <v>252</v>
      </c>
      <c r="D86">
        <v>6</v>
      </c>
      <c r="E86">
        <v>3240</v>
      </c>
      <c r="F86">
        <v>7</v>
      </c>
      <c r="G86">
        <v>3780</v>
      </c>
      <c r="H86">
        <v>6</v>
      </c>
      <c r="I86">
        <v>3240</v>
      </c>
      <c r="J86">
        <v>7</v>
      </c>
      <c r="K86">
        <v>3780</v>
      </c>
      <c r="L86">
        <v>4</v>
      </c>
      <c r="M86">
        <v>2160</v>
      </c>
      <c r="N86">
        <v>7</v>
      </c>
      <c r="O86">
        <v>3780</v>
      </c>
      <c r="P86">
        <v>7</v>
      </c>
      <c r="Q86">
        <v>3780</v>
      </c>
      <c r="R86">
        <v>7</v>
      </c>
      <c r="S86">
        <v>3780</v>
      </c>
      <c r="T86">
        <v>6</v>
      </c>
      <c r="U86">
        <v>3240</v>
      </c>
      <c r="V86">
        <v>4</v>
      </c>
      <c r="W86">
        <v>2160</v>
      </c>
      <c r="X86">
        <v>6</v>
      </c>
      <c r="Y86">
        <v>3240</v>
      </c>
      <c r="Z86">
        <v>5</v>
      </c>
      <c r="AA86">
        <v>2700</v>
      </c>
      <c r="AB86">
        <v>8</v>
      </c>
      <c r="AC86">
        <v>4320</v>
      </c>
      <c r="AD86">
        <v>6</v>
      </c>
      <c r="AE86">
        <v>3240</v>
      </c>
      <c r="AF86">
        <v>7</v>
      </c>
      <c r="AG86">
        <v>3780</v>
      </c>
      <c r="AH86">
        <v>7</v>
      </c>
      <c r="AI86">
        <v>3780</v>
      </c>
      <c r="AJ86">
        <v>5</v>
      </c>
      <c r="AK86">
        <v>2700</v>
      </c>
      <c r="AL86">
        <v>7</v>
      </c>
      <c r="AM86">
        <v>3780</v>
      </c>
      <c r="AN86">
        <v>7</v>
      </c>
      <c r="AO86">
        <v>3780</v>
      </c>
      <c r="AP86">
        <v>8</v>
      </c>
      <c r="AQ86">
        <v>4320</v>
      </c>
      <c r="AR86">
        <v>7</v>
      </c>
      <c r="AS86">
        <v>3780</v>
      </c>
      <c r="AT86">
        <v>5</v>
      </c>
      <c r="AU86">
        <v>2700</v>
      </c>
      <c r="AV86">
        <v>4</v>
      </c>
      <c r="AW86">
        <v>2160</v>
      </c>
      <c r="AX86">
        <v>5</v>
      </c>
      <c r="AY86">
        <v>2700</v>
      </c>
      <c r="AZ86">
        <v>8</v>
      </c>
      <c r="BA86">
        <v>4320</v>
      </c>
      <c r="BB86">
        <v>4</v>
      </c>
      <c r="BC86">
        <v>2160</v>
      </c>
      <c r="BD86">
        <v>6</v>
      </c>
      <c r="BE86">
        <v>3240</v>
      </c>
      <c r="BF86">
        <v>7</v>
      </c>
      <c r="BG86">
        <v>3780</v>
      </c>
      <c r="BH86">
        <v>6</v>
      </c>
      <c r="BI86">
        <v>3240</v>
      </c>
      <c r="BJ86">
        <v>6</v>
      </c>
      <c r="BK86">
        <v>3240</v>
      </c>
      <c r="BL86">
        <v>8</v>
      </c>
      <c r="BM86">
        <v>4320</v>
      </c>
      <c r="BN86">
        <v>9</v>
      </c>
      <c r="BO86">
        <v>4860</v>
      </c>
      <c r="BP86">
        <v>5</v>
      </c>
      <c r="BQ86">
        <v>2700</v>
      </c>
      <c r="BR86">
        <v>4</v>
      </c>
      <c r="BS86">
        <v>2160</v>
      </c>
      <c r="BT86">
        <v>5</v>
      </c>
      <c r="BU86">
        <v>2700</v>
      </c>
      <c r="BV86">
        <v>6</v>
      </c>
      <c r="BW86">
        <v>3240</v>
      </c>
      <c r="BX86">
        <v>4</v>
      </c>
      <c r="BY86">
        <v>2160</v>
      </c>
      <c r="BZ86">
        <v>6</v>
      </c>
      <c r="CA86">
        <v>3240</v>
      </c>
      <c r="CB86">
        <v>8</v>
      </c>
      <c r="CC86">
        <v>4320</v>
      </c>
      <c r="CD86">
        <v>6</v>
      </c>
      <c r="CE86">
        <v>3240</v>
      </c>
      <c r="CF86">
        <v>7</v>
      </c>
      <c r="CG86">
        <v>3780</v>
      </c>
      <c r="CH86">
        <v>8</v>
      </c>
      <c r="CI86">
        <v>4320</v>
      </c>
      <c r="CJ86">
        <v>8</v>
      </c>
      <c r="CK86">
        <v>4320</v>
      </c>
      <c r="CL86">
        <v>5</v>
      </c>
      <c r="CM86">
        <v>2700</v>
      </c>
      <c r="CN86">
        <v>7</v>
      </c>
      <c r="CO86">
        <v>3780</v>
      </c>
      <c r="CP86">
        <v>8</v>
      </c>
      <c r="CQ86">
        <v>4320</v>
      </c>
      <c r="CR86">
        <v>6</v>
      </c>
      <c r="CS86">
        <v>3240</v>
      </c>
      <c r="CT86">
        <v>6</v>
      </c>
      <c r="CU86">
        <v>3240</v>
      </c>
    </row>
    <row r="87" spans="2:99" x14ac:dyDescent="0.2">
      <c r="B87" s="105" t="s">
        <v>131</v>
      </c>
      <c r="C87" s="105" t="s">
        <v>253</v>
      </c>
      <c r="D87">
        <v>4</v>
      </c>
      <c r="E87">
        <v>7819.2</v>
      </c>
      <c r="F87">
        <v>5</v>
      </c>
      <c r="G87">
        <v>9774</v>
      </c>
      <c r="H87">
        <v>4</v>
      </c>
      <c r="I87">
        <v>7819.2</v>
      </c>
      <c r="J87">
        <v>5</v>
      </c>
      <c r="K87">
        <v>9774</v>
      </c>
      <c r="L87">
        <v>4</v>
      </c>
      <c r="M87">
        <v>7819.2</v>
      </c>
      <c r="N87">
        <v>4</v>
      </c>
      <c r="O87">
        <v>7819.2</v>
      </c>
      <c r="P87">
        <v>6</v>
      </c>
      <c r="Q87">
        <v>11728.8</v>
      </c>
      <c r="R87">
        <v>4</v>
      </c>
      <c r="S87">
        <v>7819.2</v>
      </c>
      <c r="T87">
        <v>3</v>
      </c>
      <c r="U87">
        <v>5864.4</v>
      </c>
      <c r="V87">
        <v>5</v>
      </c>
      <c r="W87">
        <v>9774</v>
      </c>
      <c r="X87">
        <v>4</v>
      </c>
      <c r="Y87">
        <v>7819.2</v>
      </c>
      <c r="Z87">
        <v>4</v>
      </c>
      <c r="AA87">
        <v>7819.2</v>
      </c>
      <c r="AB87">
        <v>5</v>
      </c>
      <c r="AC87">
        <v>9774</v>
      </c>
      <c r="AD87">
        <v>3</v>
      </c>
      <c r="AE87">
        <v>5864.4</v>
      </c>
      <c r="AF87">
        <v>5</v>
      </c>
      <c r="AG87">
        <v>9774</v>
      </c>
      <c r="AH87">
        <v>5</v>
      </c>
      <c r="AI87">
        <v>9774</v>
      </c>
      <c r="AJ87">
        <v>3</v>
      </c>
      <c r="AK87">
        <v>5864.4</v>
      </c>
      <c r="AL87">
        <v>6</v>
      </c>
      <c r="AM87">
        <v>11728.8</v>
      </c>
      <c r="AN87">
        <v>5</v>
      </c>
      <c r="AO87">
        <v>9774</v>
      </c>
      <c r="AP87">
        <v>4</v>
      </c>
      <c r="AQ87">
        <v>7819.2</v>
      </c>
      <c r="AR87">
        <v>4</v>
      </c>
      <c r="AS87">
        <v>7819.2</v>
      </c>
      <c r="AT87">
        <v>5</v>
      </c>
      <c r="AU87">
        <v>9774</v>
      </c>
      <c r="AV87">
        <v>6</v>
      </c>
      <c r="AW87">
        <v>11728.8</v>
      </c>
      <c r="AX87">
        <v>6</v>
      </c>
      <c r="AY87">
        <v>11728.8</v>
      </c>
      <c r="AZ87">
        <v>3</v>
      </c>
      <c r="BA87">
        <v>5864.4</v>
      </c>
      <c r="BB87">
        <v>4</v>
      </c>
      <c r="BC87">
        <v>7819.2</v>
      </c>
      <c r="BD87">
        <v>6</v>
      </c>
      <c r="BE87">
        <v>11728.8</v>
      </c>
      <c r="BF87">
        <v>4</v>
      </c>
      <c r="BG87">
        <v>7819.2</v>
      </c>
      <c r="BH87">
        <v>3</v>
      </c>
      <c r="BI87">
        <v>5864.4</v>
      </c>
      <c r="BJ87">
        <v>5</v>
      </c>
      <c r="BK87">
        <v>9774</v>
      </c>
      <c r="BL87">
        <v>4</v>
      </c>
      <c r="BM87">
        <v>7819.2</v>
      </c>
      <c r="BN87">
        <v>5</v>
      </c>
      <c r="BO87">
        <v>9774</v>
      </c>
      <c r="BP87">
        <v>5</v>
      </c>
      <c r="BQ87">
        <v>9774</v>
      </c>
      <c r="BR87">
        <v>4</v>
      </c>
      <c r="BS87">
        <v>7819.2</v>
      </c>
      <c r="BT87">
        <v>5</v>
      </c>
      <c r="BU87">
        <v>9774</v>
      </c>
      <c r="BV87">
        <v>4</v>
      </c>
      <c r="BW87">
        <v>7819.2</v>
      </c>
      <c r="BX87">
        <v>3</v>
      </c>
      <c r="BY87">
        <v>5864.4</v>
      </c>
      <c r="BZ87">
        <v>4</v>
      </c>
      <c r="CA87">
        <v>7819.2</v>
      </c>
      <c r="CB87">
        <v>4</v>
      </c>
      <c r="CC87">
        <v>7819.2</v>
      </c>
      <c r="CD87">
        <v>6</v>
      </c>
      <c r="CE87">
        <v>11728.8</v>
      </c>
      <c r="CF87">
        <v>5</v>
      </c>
      <c r="CG87">
        <v>9774</v>
      </c>
      <c r="CH87">
        <v>4</v>
      </c>
      <c r="CI87">
        <v>7819.2</v>
      </c>
      <c r="CJ87">
        <v>6</v>
      </c>
      <c r="CK87">
        <v>11728.8</v>
      </c>
      <c r="CL87">
        <v>7</v>
      </c>
      <c r="CM87">
        <v>13683.6</v>
      </c>
      <c r="CN87">
        <v>7</v>
      </c>
      <c r="CO87">
        <v>13683.6</v>
      </c>
      <c r="CP87">
        <v>6</v>
      </c>
      <c r="CQ87">
        <v>11728.8</v>
      </c>
      <c r="CR87">
        <v>4</v>
      </c>
      <c r="CS87">
        <v>7819.2</v>
      </c>
      <c r="CT87">
        <v>6</v>
      </c>
      <c r="CU87">
        <v>11728.8</v>
      </c>
    </row>
    <row r="88" spans="2:99" x14ac:dyDescent="0.2">
      <c r="C88" s="105" t="s">
        <v>254</v>
      </c>
      <c r="D88">
        <v>3</v>
      </c>
      <c r="E88">
        <v>5677.2</v>
      </c>
      <c r="F88">
        <v>5</v>
      </c>
      <c r="G88">
        <v>9462</v>
      </c>
      <c r="H88">
        <v>4</v>
      </c>
      <c r="I88">
        <v>7569.5999999999995</v>
      </c>
      <c r="J88">
        <v>4</v>
      </c>
      <c r="K88">
        <v>7569.5999999999995</v>
      </c>
      <c r="L88">
        <v>4</v>
      </c>
      <c r="M88">
        <v>7569.5999999999995</v>
      </c>
      <c r="N88">
        <v>4</v>
      </c>
      <c r="O88">
        <v>7569.5999999999995</v>
      </c>
      <c r="P88">
        <v>5</v>
      </c>
      <c r="Q88">
        <v>9462</v>
      </c>
      <c r="R88">
        <v>4</v>
      </c>
      <c r="S88">
        <v>7569.5999999999995</v>
      </c>
      <c r="T88">
        <v>3</v>
      </c>
      <c r="U88">
        <v>5677.2</v>
      </c>
      <c r="V88">
        <v>5</v>
      </c>
      <c r="W88">
        <v>9462</v>
      </c>
      <c r="X88">
        <v>3</v>
      </c>
      <c r="Y88">
        <v>5677.2</v>
      </c>
      <c r="Z88">
        <v>4</v>
      </c>
      <c r="AA88">
        <v>7569.5999999999995</v>
      </c>
      <c r="AB88">
        <v>5</v>
      </c>
      <c r="AC88">
        <v>9462</v>
      </c>
      <c r="AD88">
        <v>3</v>
      </c>
      <c r="AE88">
        <v>5677.2</v>
      </c>
      <c r="AF88">
        <v>5</v>
      </c>
      <c r="AG88">
        <v>9462</v>
      </c>
      <c r="AH88">
        <v>5</v>
      </c>
      <c r="AI88">
        <v>9462</v>
      </c>
      <c r="AJ88">
        <v>3</v>
      </c>
      <c r="AK88">
        <v>5677.2</v>
      </c>
      <c r="AL88">
        <v>6</v>
      </c>
      <c r="AM88">
        <v>11354.4</v>
      </c>
      <c r="AN88">
        <v>5</v>
      </c>
      <c r="AO88">
        <v>9462</v>
      </c>
      <c r="AP88">
        <v>4</v>
      </c>
      <c r="AQ88">
        <v>7569.5999999999995</v>
      </c>
      <c r="AR88">
        <v>4</v>
      </c>
      <c r="AS88">
        <v>7569.5999999999995</v>
      </c>
      <c r="AT88">
        <v>5</v>
      </c>
      <c r="AU88">
        <v>9462</v>
      </c>
      <c r="AV88">
        <v>6</v>
      </c>
      <c r="AW88">
        <v>11354.4</v>
      </c>
      <c r="AX88">
        <v>6</v>
      </c>
      <c r="AY88">
        <v>11354.4</v>
      </c>
      <c r="AZ88">
        <v>4</v>
      </c>
      <c r="BA88">
        <v>7569.5999999999995</v>
      </c>
      <c r="BB88">
        <v>4</v>
      </c>
      <c r="BC88">
        <v>7569.5999999999995</v>
      </c>
      <c r="BD88">
        <v>6</v>
      </c>
      <c r="BE88">
        <v>11354.4</v>
      </c>
      <c r="BF88">
        <v>4</v>
      </c>
      <c r="BG88">
        <v>7569.5999999999995</v>
      </c>
      <c r="BH88">
        <v>4</v>
      </c>
      <c r="BI88">
        <v>7569.5999999999995</v>
      </c>
      <c r="BJ88">
        <v>5</v>
      </c>
      <c r="BK88">
        <v>9462</v>
      </c>
      <c r="BL88">
        <v>4</v>
      </c>
      <c r="BM88">
        <v>7569.5999999999995</v>
      </c>
      <c r="BN88">
        <v>4</v>
      </c>
      <c r="BO88">
        <v>7569.5999999999995</v>
      </c>
      <c r="BP88">
        <v>5</v>
      </c>
      <c r="BQ88">
        <v>9462</v>
      </c>
      <c r="BR88">
        <v>4</v>
      </c>
      <c r="BS88">
        <v>7569.5999999999995</v>
      </c>
      <c r="BT88">
        <v>4</v>
      </c>
      <c r="BU88">
        <v>7569.5999999999995</v>
      </c>
      <c r="BV88">
        <v>5</v>
      </c>
      <c r="BW88">
        <v>9462</v>
      </c>
      <c r="BX88">
        <v>3</v>
      </c>
      <c r="BY88">
        <v>5677.2</v>
      </c>
      <c r="BZ88">
        <v>4</v>
      </c>
      <c r="CA88">
        <v>7569.5999999999995</v>
      </c>
      <c r="CB88">
        <v>4</v>
      </c>
      <c r="CC88">
        <v>7569.5999999999995</v>
      </c>
      <c r="CD88">
        <v>6</v>
      </c>
      <c r="CE88">
        <v>11354.4</v>
      </c>
      <c r="CF88">
        <v>5</v>
      </c>
      <c r="CG88">
        <v>9462</v>
      </c>
      <c r="CH88">
        <v>4</v>
      </c>
      <c r="CI88">
        <v>7569.5999999999995</v>
      </c>
      <c r="CJ88">
        <v>7</v>
      </c>
      <c r="CK88">
        <v>13246.8</v>
      </c>
      <c r="CL88">
        <v>6</v>
      </c>
      <c r="CM88">
        <v>11354.4</v>
      </c>
      <c r="CN88">
        <v>6</v>
      </c>
      <c r="CO88">
        <v>11354.4</v>
      </c>
      <c r="CP88">
        <v>6</v>
      </c>
      <c r="CQ88">
        <v>11354.4</v>
      </c>
      <c r="CR88">
        <v>4</v>
      </c>
      <c r="CS88">
        <v>7569.5999999999995</v>
      </c>
      <c r="CT88">
        <v>6</v>
      </c>
      <c r="CU88">
        <v>11354.4</v>
      </c>
    </row>
    <row r="89" spans="2:99" x14ac:dyDescent="0.2">
      <c r="C89" s="105" t="s">
        <v>255</v>
      </c>
      <c r="D89">
        <v>3</v>
      </c>
      <c r="E89">
        <v>7192.7999999999993</v>
      </c>
      <c r="F89">
        <v>5</v>
      </c>
      <c r="G89">
        <v>11988</v>
      </c>
      <c r="H89">
        <v>4</v>
      </c>
      <c r="I89">
        <v>9590.4</v>
      </c>
      <c r="J89">
        <v>4</v>
      </c>
      <c r="K89">
        <v>9590.4</v>
      </c>
      <c r="L89">
        <v>4</v>
      </c>
      <c r="M89">
        <v>9590.4</v>
      </c>
      <c r="N89">
        <v>4</v>
      </c>
      <c r="O89">
        <v>9590.4</v>
      </c>
      <c r="P89">
        <v>6</v>
      </c>
      <c r="Q89">
        <v>14385.599999999999</v>
      </c>
      <c r="R89">
        <v>4</v>
      </c>
      <c r="S89">
        <v>9590.4</v>
      </c>
      <c r="T89">
        <v>3</v>
      </c>
      <c r="U89">
        <v>7192.7999999999993</v>
      </c>
      <c r="V89">
        <v>5</v>
      </c>
      <c r="W89">
        <v>11988</v>
      </c>
      <c r="X89">
        <v>3</v>
      </c>
      <c r="Y89">
        <v>7192.7999999999993</v>
      </c>
      <c r="Z89">
        <v>5</v>
      </c>
      <c r="AA89">
        <v>11988</v>
      </c>
      <c r="AB89">
        <v>5</v>
      </c>
      <c r="AC89">
        <v>11988</v>
      </c>
      <c r="AD89">
        <v>3</v>
      </c>
      <c r="AE89">
        <v>7192.7999999999993</v>
      </c>
      <c r="AF89">
        <v>5</v>
      </c>
      <c r="AG89">
        <v>11988</v>
      </c>
      <c r="AH89">
        <v>5</v>
      </c>
      <c r="AI89">
        <v>11988</v>
      </c>
      <c r="AJ89">
        <v>3</v>
      </c>
      <c r="AK89">
        <v>7192.7999999999993</v>
      </c>
      <c r="AL89">
        <v>6</v>
      </c>
      <c r="AM89">
        <v>14385.599999999999</v>
      </c>
      <c r="AN89">
        <v>4</v>
      </c>
      <c r="AO89">
        <v>9590.4</v>
      </c>
      <c r="AP89">
        <v>4</v>
      </c>
      <c r="AQ89">
        <v>9590.4</v>
      </c>
      <c r="AR89">
        <v>3</v>
      </c>
      <c r="AS89">
        <v>7192.7999999999993</v>
      </c>
      <c r="AT89">
        <v>5</v>
      </c>
      <c r="AU89">
        <v>11988</v>
      </c>
      <c r="AV89">
        <v>6</v>
      </c>
      <c r="AW89">
        <v>14385.599999999999</v>
      </c>
      <c r="AX89">
        <v>5</v>
      </c>
      <c r="AY89">
        <v>11988</v>
      </c>
      <c r="AZ89">
        <v>4</v>
      </c>
      <c r="BA89">
        <v>9590.4</v>
      </c>
      <c r="BB89">
        <v>4</v>
      </c>
      <c r="BC89">
        <v>9590.4</v>
      </c>
      <c r="BD89">
        <v>6</v>
      </c>
      <c r="BE89">
        <v>14385.599999999999</v>
      </c>
      <c r="BF89">
        <v>4</v>
      </c>
      <c r="BG89">
        <v>9590.4</v>
      </c>
      <c r="BH89">
        <v>3</v>
      </c>
      <c r="BI89">
        <v>7192.7999999999993</v>
      </c>
      <c r="BJ89">
        <v>4</v>
      </c>
      <c r="BK89">
        <v>9590.4</v>
      </c>
      <c r="BL89">
        <v>4</v>
      </c>
      <c r="BM89">
        <v>9590.4</v>
      </c>
      <c r="BN89">
        <v>4</v>
      </c>
      <c r="BO89">
        <v>9590.4</v>
      </c>
      <c r="BP89">
        <v>4</v>
      </c>
      <c r="BQ89">
        <v>9590.4</v>
      </c>
      <c r="BR89">
        <v>4</v>
      </c>
      <c r="BS89">
        <v>9590.4</v>
      </c>
      <c r="BT89">
        <v>4</v>
      </c>
      <c r="BU89">
        <v>9590.4</v>
      </c>
      <c r="BV89">
        <v>4</v>
      </c>
      <c r="BW89">
        <v>9590.4</v>
      </c>
      <c r="BX89">
        <v>3</v>
      </c>
      <c r="BY89">
        <v>7192.7999999999993</v>
      </c>
      <c r="BZ89">
        <v>4</v>
      </c>
      <c r="CA89">
        <v>9590.4</v>
      </c>
      <c r="CB89">
        <v>3</v>
      </c>
      <c r="CC89">
        <v>7192.7999999999993</v>
      </c>
      <c r="CD89">
        <v>6</v>
      </c>
      <c r="CE89">
        <v>14385.599999999999</v>
      </c>
      <c r="CF89">
        <v>5</v>
      </c>
      <c r="CG89">
        <v>11988</v>
      </c>
      <c r="CH89">
        <v>4</v>
      </c>
      <c r="CI89">
        <v>9590.4</v>
      </c>
      <c r="CJ89">
        <v>6</v>
      </c>
      <c r="CK89">
        <v>14385.599999999999</v>
      </c>
      <c r="CL89">
        <v>6</v>
      </c>
      <c r="CM89">
        <v>14385.599999999999</v>
      </c>
      <c r="CN89">
        <v>6</v>
      </c>
      <c r="CO89">
        <v>14385.599999999999</v>
      </c>
      <c r="CP89">
        <v>5</v>
      </c>
      <c r="CQ89">
        <v>11988</v>
      </c>
      <c r="CR89">
        <v>4</v>
      </c>
      <c r="CS89">
        <v>9590.4</v>
      </c>
      <c r="CT89">
        <v>6</v>
      </c>
      <c r="CU89">
        <v>14385.599999999999</v>
      </c>
    </row>
    <row r="90" spans="2:99" x14ac:dyDescent="0.2">
      <c r="C90" s="105" t="s">
        <v>256</v>
      </c>
      <c r="D90">
        <v>4</v>
      </c>
      <c r="E90">
        <v>8788.7999999999993</v>
      </c>
      <c r="F90">
        <v>6</v>
      </c>
      <c r="G90">
        <v>13183.199999999999</v>
      </c>
      <c r="H90">
        <v>4</v>
      </c>
      <c r="I90">
        <v>8788.7999999999993</v>
      </c>
      <c r="J90">
        <v>5</v>
      </c>
      <c r="K90">
        <v>10986</v>
      </c>
      <c r="L90">
        <v>5</v>
      </c>
      <c r="M90">
        <v>10986</v>
      </c>
      <c r="N90">
        <v>4</v>
      </c>
      <c r="O90">
        <v>8788.7999999999993</v>
      </c>
      <c r="P90">
        <v>5</v>
      </c>
      <c r="Q90">
        <v>10986</v>
      </c>
      <c r="R90">
        <v>4</v>
      </c>
      <c r="S90">
        <v>8788.7999999999993</v>
      </c>
      <c r="T90">
        <v>3</v>
      </c>
      <c r="U90">
        <v>6591.5999999999995</v>
      </c>
      <c r="V90">
        <v>5</v>
      </c>
      <c r="W90">
        <v>10986</v>
      </c>
      <c r="X90">
        <v>4</v>
      </c>
      <c r="Y90">
        <v>8788.7999999999993</v>
      </c>
      <c r="Z90">
        <v>5</v>
      </c>
      <c r="AA90">
        <v>10986</v>
      </c>
      <c r="AB90">
        <v>5</v>
      </c>
      <c r="AC90">
        <v>10986</v>
      </c>
      <c r="AD90">
        <v>3</v>
      </c>
      <c r="AE90">
        <v>6591.5999999999995</v>
      </c>
      <c r="AF90">
        <v>5</v>
      </c>
      <c r="AG90">
        <v>10986</v>
      </c>
      <c r="AH90">
        <v>5</v>
      </c>
      <c r="AI90">
        <v>10986</v>
      </c>
      <c r="AJ90">
        <v>3</v>
      </c>
      <c r="AK90">
        <v>6591.5999999999995</v>
      </c>
      <c r="AL90">
        <v>5</v>
      </c>
      <c r="AM90">
        <v>10986</v>
      </c>
      <c r="AN90">
        <v>5</v>
      </c>
      <c r="AO90">
        <v>10986</v>
      </c>
      <c r="AP90">
        <v>4</v>
      </c>
      <c r="AQ90">
        <v>8788.7999999999993</v>
      </c>
      <c r="AR90">
        <v>3</v>
      </c>
      <c r="AS90">
        <v>6591.5999999999995</v>
      </c>
      <c r="AT90">
        <v>4</v>
      </c>
      <c r="AU90">
        <v>8788.7999999999993</v>
      </c>
      <c r="AV90">
        <v>6</v>
      </c>
      <c r="AW90">
        <v>13183.199999999999</v>
      </c>
      <c r="AX90">
        <v>6</v>
      </c>
      <c r="AY90">
        <v>13183.199999999999</v>
      </c>
      <c r="AZ90">
        <v>4</v>
      </c>
      <c r="BA90">
        <v>8788.7999999999993</v>
      </c>
      <c r="BB90">
        <v>4</v>
      </c>
      <c r="BC90">
        <v>8788.7999999999993</v>
      </c>
      <c r="BD90">
        <v>6</v>
      </c>
      <c r="BE90">
        <v>13183.199999999999</v>
      </c>
      <c r="BF90">
        <v>4</v>
      </c>
      <c r="BG90">
        <v>8788.7999999999993</v>
      </c>
      <c r="BH90">
        <v>4</v>
      </c>
      <c r="BI90">
        <v>8788.7999999999993</v>
      </c>
      <c r="BJ90">
        <v>5</v>
      </c>
      <c r="BK90">
        <v>10986</v>
      </c>
      <c r="BL90">
        <v>4</v>
      </c>
      <c r="BM90">
        <v>8788.7999999999993</v>
      </c>
      <c r="BN90">
        <v>4</v>
      </c>
      <c r="BO90">
        <v>8788.7999999999993</v>
      </c>
      <c r="BP90">
        <v>5</v>
      </c>
      <c r="BQ90">
        <v>10986</v>
      </c>
      <c r="BR90">
        <v>4</v>
      </c>
      <c r="BS90">
        <v>8788.7999999999993</v>
      </c>
      <c r="BT90">
        <v>5</v>
      </c>
      <c r="BU90">
        <v>10986</v>
      </c>
      <c r="BV90">
        <v>5</v>
      </c>
      <c r="BW90">
        <v>10986</v>
      </c>
      <c r="BX90">
        <v>3</v>
      </c>
      <c r="BY90">
        <v>6591.5999999999995</v>
      </c>
      <c r="BZ90">
        <v>5</v>
      </c>
      <c r="CA90">
        <v>10986</v>
      </c>
      <c r="CB90">
        <v>3</v>
      </c>
      <c r="CC90">
        <v>6591.5999999999995</v>
      </c>
      <c r="CD90">
        <v>6</v>
      </c>
      <c r="CE90">
        <v>13183.199999999999</v>
      </c>
      <c r="CF90">
        <v>5</v>
      </c>
      <c r="CG90">
        <v>10986</v>
      </c>
      <c r="CH90">
        <v>4</v>
      </c>
      <c r="CI90">
        <v>8788.7999999999993</v>
      </c>
      <c r="CJ90">
        <v>6</v>
      </c>
      <c r="CK90">
        <v>13183.199999999999</v>
      </c>
      <c r="CL90">
        <v>6</v>
      </c>
      <c r="CM90">
        <v>13183.199999999999</v>
      </c>
      <c r="CN90">
        <v>6</v>
      </c>
      <c r="CO90">
        <v>13183.199999999999</v>
      </c>
      <c r="CP90">
        <v>6</v>
      </c>
      <c r="CQ90">
        <v>13183.199999999999</v>
      </c>
      <c r="CR90">
        <v>4</v>
      </c>
      <c r="CS90">
        <v>8788.7999999999993</v>
      </c>
      <c r="CT90">
        <v>6</v>
      </c>
      <c r="CU90">
        <v>13183.199999999999</v>
      </c>
    </row>
    <row r="91" spans="2:99" x14ac:dyDescent="0.2">
      <c r="C91" s="105" t="s">
        <v>257</v>
      </c>
      <c r="D91">
        <v>3</v>
      </c>
      <c r="E91">
        <v>6890.4</v>
      </c>
      <c r="F91">
        <v>5</v>
      </c>
      <c r="G91">
        <v>11483.999999999998</v>
      </c>
      <c r="H91">
        <v>4</v>
      </c>
      <c r="I91">
        <v>9187.1999999999989</v>
      </c>
      <c r="J91">
        <v>5</v>
      </c>
      <c r="K91">
        <v>11483.999999999998</v>
      </c>
      <c r="L91">
        <v>4</v>
      </c>
      <c r="M91">
        <v>9187.1999999999989</v>
      </c>
      <c r="N91">
        <v>5</v>
      </c>
      <c r="O91">
        <v>11483.999999999998</v>
      </c>
      <c r="P91">
        <v>5</v>
      </c>
      <c r="Q91">
        <v>11483.999999999998</v>
      </c>
      <c r="R91">
        <v>3</v>
      </c>
      <c r="S91">
        <v>6890.4</v>
      </c>
      <c r="T91">
        <v>3</v>
      </c>
      <c r="U91">
        <v>6890.4</v>
      </c>
      <c r="V91">
        <v>5</v>
      </c>
      <c r="W91">
        <v>11483.999999999998</v>
      </c>
      <c r="X91">
        <v>3</v>
      </c>
      <c r="Y91">
        <v>6890.4</v>
      </c>
      <c r="Z91">
        <v>4</v>
      </c>
      <c r="AA91">
        <v>9187.1999999999989</v>
      </c>
      <c r="AB91">
        <v>5</v>
      </c>
      <c r="AC91">
        <v>11483.999999999998</v>
      </c>
      <c r="AD91">
        <v>3</v>
      </c>
      <c r="AE91">
        <v>6890.4</v>
      </c>
      <c r="AF91">
        <v>5</v>
      </c>
      <c r="AG91">
        <v>11483.999999999998</v>
      </c>
      <c r="AH91">
        <v>6</v>
      </c>
      <c r="AI91">
        <v>13780.8</v>
      </c>
      <c r="AJ91">
        <v>3</v>
      </c>
      <c r="AK91">
        <v>6890.4</v>
      </c>
      <c r="AL91">
        <v>6</v>
      </c>
      <c r="AM91">
        <v>13780.8</v>
      </c>
      <c r="AN91">
        <v>4</v>
      </c>
      <c r="AO91">
        <v>9187.1999999999989</v>
      </c>
      <c r="AP91">
        <v>4</v>
      </c>
      <c r="AQ91">
        <v>9187.1999999999989</v>
      </c>
      <c r="AR91">
        <v>3</v>
      </c>
      <c r="AS91">
        <v>6890.4</v>
      </c>
      <c r="AT91">
        <v>5</v>
      </c>
      <c r="AU91">
        <v>11483.999999999998</v>
      </c>
      <c r="AV91">
        <v>6</v>
      </c>
      <c r="AW91">
        <v>13780.8</v>
      </c>
      <c r="AX91">
        <v>5</v>
      </c>
      <c r="AY91">
        <v>11483.999999999998</v>
      </c>
      <c r="AZ91">
        <v>4</v>
      </c>
      <c r="BA91">
        <v>9187.1999999999989</v>
      </c>
      <c r="BB91">
        <v>4</v>
      </c>
      <c r="BC91">
        <v>9187.1999999999989</v>
      </c>
      <c r="BD91">
        <v>6</v>
      </c>
      <c r="BE91">
        <v>13780.8</v>
      </c>
      <c r="BF91">
        <v>4</v>
      </c>
      <c r="BG91">
        <v>9187.1999999999989</v>
      </c>
      <c r="BH91">
        <v>4</v>
      </c>
      <c r="BI91">
        <v>9187.1999999999989</v>
      </c>
      <c r="BJ91">
        <v>5</v>
      </c>
      <c r="BK91">
        <v>11483.999999999998</v>
      </c>
      <c r="BL91">
        <v>4</v>
      </c>
      <c r="BM91">
        <v>9187.1999999999989</v>
      </c>
      <c r="BN91">
        <v>4</v>
      </c>
      <c r="BO91">
        <v>9187.1999999999989</v>
      </c>
      <c r="BP91">
        <v>5</v>
      </c>
      <c r="BQ91">
        <v>11483.999999999998</v>
      </c>
      <c r="BR91">
        <v>4</v>
      </c>
      <c r="BS91">
        <v>9187.1999999999989</v>
      </c>
      <c r="BT91">
        <v>4</v>
      </c>
      <c r="BU91">
        <v>9187.1999999999989</v>
      </c>
      <c r="BV91">
        <v>4</v>
      </c>
      <c r="BW91">
        <v>9187.1999999999989</v>
      </c>
      <c r="BX91">
        <v>3</v>
      </c>
      <c r="BY91">
        <v>6890.4</v>
      </c>
      <c r="BZ91">
        <v>5</v>
      </c>
      <c r="CA91">
        <v>11483.999999999998</v>
      </c>
      <c r="CB91">
        <v>4</v>
      </c>
      <c r="CC91">
        <v>9187.1999999999989</v>
      </c>
      <c r="CD91">
        <v>6</v>
      </c>
      <c r="CE91">
        <v>13780.8</v>
      </c>
      <c r="CF91">
        <v>5</v>
      </c>
      <c r="CG91">
        <v>11483.999999999998</v>
      </c>
      <c r="CH91">
        <v>4</v>
      </c>
      <c r="CI91">
        <v>9187.1999999999989</v>
      </c>
      <c r="CJ91">
        <v>6</v>
      </c>
      <c r="CK91">
        <v>13780.8</v>
      </c>
      <c r="CL91">
        <v>6</v>
      </c>
      <c r="CM91">
        <v>13780.8</v>
      </c>
      <c r="CN91">
        <v>7</v>
      </c>
      <c r="CO91">
        <v>16077.599999999999</v>
      </c>
      <c r="CP91">
        <v>5</v>
      </c>
      <c r="CQ91">
        <v>11483.999999999998</v>
      </c>
      <c r="CR91">
        <v>4</v>
      </c>
      <c r="CS91">
        <v>9187.1999999999989</v>
      </c>
      <c r="CT91">
        <v>5</v>
      </c>
      <c r="CU91">
        <v>11483.999999999998</v>
      </c>
    </row>
    <row r="92" spans="2:99" x14ac:dyDescent="0.2">
      <c r="C92" s="105" t="s">
        <v>258</v>
      </c>
      <c r="D92">
        <v>3</v>
      </c>
      <c r="E92">
        <v>4262.3999999999996</v>
      </c>
      <c r="F92">
        <v>5</v>
      </c>
      <c r="G92">
        <v>7104</v>
      </c>
      <c r="H92">
        <v>3</v>
      </c>
      <c r="I92">
        <v>4262.3999999999996</v>
      </c>
      <c r="J92">
        <v>5</v>
      </c>
      <c r="K92">
        <v>7104</v>
      </c>
      <c r="L92">
        <v>4</v>
      </c>
      <c r="M92">
        <v>5683.2</v>
      </c>
      <c r="N92">
        <v>5</v>
      </c>
      <c r="O92">
        <v>7104</v>
      </c>
      <c r="P92">
        <v>6</v>
      </c>
      <c r="Q92">
        <v>8524.7999999999993</v>
      </c>
      <c r="R92">
        <v>4</v>
      </c>
      <c r="S92">
        <v>5683.2</v>
      </c>
      <c r="T92">
        <v>3</v>
      </c>
      <c r="U92">
        <v>4262.3999999999996</v>
      </c>
      <c r="V92">
        <v>5</v>
      </c>
      <c r="W92">
        <v>7104</v>
      </c>
      <c r="X92">
        <v>3</v>
      </c>
      <c r="Y92">
        <v>4262.3999999999996</v>
      </c>
      <c r="Z92">
        <v>5</v>
      </c>
      <c r="AA92">
        <v>7104</v>
      </c>
      <c r="AB92">
        <v>5</v>
      </c>
      <c r="AC92">
        <v>7104</v>
      </c>
      <c r="AD92">
        <v>3</v>
      </c>
      <c r="AE92">
        <v>4262.3999999999996</v>
      </c>
      <c r="AF92">
        <v>5</v>
      </c>
      <c r="AG92">
        <v>7104</v>
      </c>
      <c r="AH92">
        <v>6</v>
      </c>
      <c r="AI92">
        <v>8524.7999999999993</v>
      </c>
      <c r="AJ92">
        <v>3</v>
      </c>
      <c r="AK92">
        <v>4262.3999999999996</v>
      </c>
      <c r="AL92">
        <v>5</v>
      </c>
      <c r="AM92">
        <v>7104</v>
      </c>
      <c r="AN92">
        <v>4</v>
      </c>
      <c r="AO92">
        <v>5683.2</v>
      </c>
      <c r="AP92">
        <v>4</v>
      </c>
      <c r="AQ92">
        <v>5683.2</v>
      </c>
      <c r="AR92">
        <v>4</v>
      </c>
      <c r="AS92">
        <v>5683.2</v>
      </c>
      <c r="AT92">
        <v>5</v>
      </c>
      <c r="AU92">
        <v>7104</v>
      </c>
      <c r="AV92">
        <v>7</v>
      </c>
      <c r="AW92">
        <v>9945.6</v>
      </c>
      <c r="AX92">
        <v>6</v>
      </c>
      <c r="AY92">
        <v>8524.7999999999993</v>
      </c>
      <c r="AZ92">
        <v>4</v>
      </c>
      <c r="BA92">
        <v>5683.2</v>
      </c>
      <c r="BB92">
        <v>4</v>
      </c>
      <c r="BC92">
        <v>5683.2</v>
      </c>
      <c r="BD92">
        <v>6</v>
      </c>
      <c r="BE92">
        <v>8524.7999999999993</v>
      </c>
      <c r="BF92">
        <v>4</v>
      </c>
      <c r="BG92">
        <v>5683.2</v>
      </c>
      <c r="BH92">
        <v>4</v>
      </c>
      <c r="BI92">
        <v>5683.2</v>
      </c>
      <c r="BJ92">
        <v>5</v>
      </c>
      <c r="BK92">
        <v>7104</v>
      </c>
      <c r="BL92">
        <v>4</v>
      </c>
      <c r="BM92">
        <v>5683.2</v>
      </c>
      <c r="BN92">
        <v>4</v>
      </c>
      <c r="BO92">
        <v>5683.2</v>
      </c>
      <c r="BP92">
        <v>5</v>
      </c>
      <c r="BQ92">
        <v>7104</v>
      </c>
      <c r="BR92">
        <v>5</v>
      </c>
      <c r="BS92">
        <v>7104</v>
      </c>
      <c r="BT92">
        <v>5</v>
      </c>
      <c r="BU92">
        <v>7104</v>
      </c>
      <c r="BV92">
        <v>5</v>
      </c>
      <c r="BW92">
        <v>7104</v>
      </c>
      <c r="BX92">
        <v>4</v>
      </c>
      <c r="BY92">
        <v>5683.2</v>
      </c>
      <c r="BZ92">
        <v>5</v>
      </c>
      <c r="CA92">
        <v>7104</v>
      </c>
      <c r="CB92">
        <v>3</v>
      </c>
      <c r="CC92">
        <v>4262.3999999999996</v>
      </c>
      <c r="CD92">
        <v>7</v>
      </c>
      <c r="CE92">
        <v>9945.6</v>
      </c>
      <c r="CF92">
        <v>5</v>
      </c>
      <c r="CG92">
        <v>7104</v>
      </c>
      <c r="CH92">
        <v>4</v>
      </c>
      <c r="CI92">
        <v>5683.2</v>
      </c>
      <c r="CJ92">
        <v>6</v>
      </c>
      <c r="CK92">
        <v>8524.7999999999993</v>
      </c>
      <c r="CL92">
        <v>7</v>
      </c>
      <c r="CM92">
        <v>9945.6</v>
      </c>
      <c r="CN92">
        <v>6</v>
      </c>
      <c r="CO92">
        <v>8524.7999999999993</v>
      </c>
      <c r="CP92">
        <v>6</v>
      </c>
      <c r="CQ92">
        <v>8524.7999999999993</v>
      </c>
      <c r="CR92">
        <v>4</v>
      </c>
      <c r="CS92">
        <v>5683.2</v>
      </c>
      <c r="CT92">
        <v>6</v>
      </c>
      <c r="CU92">
        <v>8524.7999999999993</v>
      </c>
    </row>
    <row r="93" spans="2:99" x14ac:dyDescent="0.2">
      <c r="C93" s="105" t="s">
        <v>259</v>
      </c>
      <c r="D93">
        <v>4</v>
      </c>
      <c r="E93">
        <v>7089.5999999999995</v>
      </c>
      <c r="F93">
        <v>5</v>
      </c>
      <c r="G93">
        <v>8862</v>
      </c>
      <c r="H93">
        <v>3</v>
      </c>
      <c r="I93">
        <v>5317.2</v>
      </c>
      <c r="J93">
        <v>4</v>
      </c>
      <c r="K93">
        <v>7089.5999999999995</v>
      </c>
      <c r="L93">
        <v>4</v>
      </c>
      <c r="M93">
        <v>7089.5999999999995</v>
      </c>
      <c r="N93">
        <v>4</v>
      </c>
      <c r="O93">
        <v>7089.5999999999995</v>
      </c>
      <c r="P93">
        <v>6</v>
      </c>
      <c r="Q93">
        <v>10634.4</v>
      </c>
      <c r="R93">
        <v>4</v>
      </c>
      <c r="S93">
        <v>7089.5999999999995</v>
      </c>
      <c r="T93">
        <v>3</v>
      </c>
      <c r="U93">
        <v>5317.2</v>
      </c>
      <c r="V93">
        <v>5</v>
      </c>
      <c r="W93">
        <v>8862</v>
      </c>
      <c r="X93">
        <v>3</v>
      </c>
      <c r="Y93">
        <v>5317.2</v>
      </c>
      <c r="Z93">
        <v>4</v>
      </c>
      <c r="AA93">
        <v>7089.5999999999995</v>
      </c>
      <c r="AB93">
        <v>5</v>
      </c>
      <c r="AC93">
        <v>8862</v>
      </c>
      <c r="AD93">
        <v>4</v>
      </c>
      <c r="AE93">
        <v>7089.5999999999995</v>
      </c>
      <c r="AF93">
        <v>5</v>
      </c>
      <c r="AG93">
        <v>8862</v>
      </c>
      <c r="AH93">
        <v>6</v>
      </c>
      <c r="AI93">
        <v>10634.4</v>
      </c>
      <c r="AJ93">
        <v>4</v>
      </c>
      <c r="AK93">
        <v>7089.5999999999995</v>
      </c>
      <c r="AL93">
        <v>5</v>
      </c>
      <c r="AM93">
        <v>8862</v>
      </c>
      <c r="AN93">
        <v>5</v>
      </c>
      <c r="AO93">
        <v>8862</v>
      </c>
      <c r="AP93">
        <v>3</v>
      </c>
      <c r="AQ93">
        <v>5317.2</v>
      </c>
      <c r="AR93">
        <v>3</v>
      </c>
      <c r="AS93">
        <v>5317.2</v>
      </c>
      <c r="AT93">
        <v>5</v>
      </c>
      <c r="AU93">
        <v>8862</v>
      </c>
      <c r="AV93">
        <v>6</v>
      </c>
      <c r="AW93">
        <v>10634.4</v>
      </c>
      <c r="AX93">
        <v>6</v>
      </c>
      <c r="AY93">
        <v>10634.4</v>
      </c>
      <c r="AZ93">
        <v>3</v>
      </c>
      <c r="BA93">
        <v>5317.2</v>
      </c>
      <c r="BB93">
        <v>4</v>
      </c>
      <c r="BC93">
        <v>7089.5999999999995</v>
      </c>
      <c r="BD93">
        <v>6</v>
      </c>
      <c r="BE93">
        <v>10634.4</v>
      </c>
      <c r="BF93">
        <v>4</v>
      </c>
      <c r="BG93">
        <v>7089.5999999999995</v>
      </c>
      <c r="BH93">
        <v>4</v>
      </c>
      <c r="BI93">
        <v>7089.5999999999995</v>
      </c>
      <c r="BJ93">
        <v>5</v>
      </c>
      <c r="BK93">
        <v>8862</v>
      </c>
      <c r="BL93">
        <v>4</v>
      </c>
      <c r="BM93">
        <v>7089.5999999999995</v>
      </c>
      <c r="BN93">
        <v>5</v>
      </c>
      <c r="BO93">
        <v>8862</v>
      </c>
      <c r="BP93">
        <v>5</v>
      </c>
      <c r="BQ93">
        <v>8862</v>
      </c>
      <c r="BR93">
        <v>4</v>
      </c>
      <c r="BS93">
        <v>7089.5999999999995</v>
      </c>
      <c r="BT93">
        <v>4</v>
      </c>
      <c r="BU93">
        <v>7089.5999999999995</v>
      </c>
      <c r="BV93">
        <v>5</v>
      </c>
      <c r="BW93">
        <v>8862</v>
      </c>
      <c r="BX93">
        <v>3</v>
      </c>
      <c r="BY93">
        <v>5317.2</v>
      </c>
      <c r="BZ93">
        <v>5</v>
      </c>
      <c r="CA93">
        <v>8862</v>
      </c>
      <c r="CB93">
        <v>4</v>
      </c>
      <c r="CC93">
        <v>7089.5999999999995</v>
      </c>
      <c r="CD93">
        <v>6</v>
      </c>
      <c r="CE93">
        <v>10634.4</v>
      </c>
      <c r="CF93">
        <v>5</v>
      </c>
      <c r="CG93">
        <v>8862</v>
      </c>
      <c r="CH93">
        <v>4</v>
      </c>
      <c r="CI93">
        <v>7089.5999999999995</v>
      </c>
      <c r="CJ93">
        <v>6</v>
      </c>
      <c r="CK93">
        <v>10634.4</v>
      </c>
      <c r="CL93">
        <v>6</v>
      </c>
      <c r="CM93">
        <v>10634.4</v>
      </c>
      <c r="CN93">
        <v>7</v>
      </c>
      <c r="CO93">
        <v>12406.8</v>
      </c>
      <c r="CP93">
        <v>6</v>
      </c>
      <c r="CQ93">
        <v>10634.4</v>
      </c>
      <c r="CR93">
        <v>4</v>
      </c>
      <c r="CS93">
        <v>7089.5999999999995</v>
      </c>
      <c r="CT93">
        <v>6</v>
      </c>
      <c r="CU93">
        <v>10634.4</v>
      </c>
    </row>
    <row r="94" spans="2:99" x14ac:dyDescent="0.2">
      <c r="C94" s="105" t="s">
        <v>260</v>
      </c>
      <c r="D94">
        <v>4</v>
      </c>
      <c r="E94">
        <v>9580.7999999999993</v>
      </c>
      <c r="F94">
        <v>5</v>
      </c>
      <c r="G94">
        <v>11976</v>
      </c>
      <c r="H94">
        <v>4</v>
      </c>
      <c r="I94">
        <v>9580.7999999999993</v>
      </c>
      <c r="J94">
        <v>5</v>
      </c>
      <c r="K94">
        <v>11976</v>
      </c>
      <c r="L94">
        <v>5</v>
      </c>
      <c r="M94">
        <v>11976</v>
      </c>
      <c r="N94">
        <v>4</v>
      </c>
      <c r="O94">
        <v>9580.7999999999993</v>
      </c>
      <c r="P94">
        <v>5</v>
      </c>
      <c r="Q94">
        <v>11976</v>
      </c>
      <c r="R94">
        <v>4</v>
      </c>
      <c r="S94">
        <v>9580.7999999999993</v>
      </c>
      <c r="T94">
        <v>3</v>
      </c>
      <c r="U94">
        <v>7185.5999999999995</v>
      </c>
      <c r="V94">
        <v>5</v>
      </c>
      <c r="W94">
        <v>11976</v>
      </c>
      <c r="X94">
        <v>3</v>
      </c>
      <c r="Y94">
        <v>7185.5999999999995</v>
      </c>
      <c r="Z94">
        <v>4</v>
      </c>
      <c r="AA94">
        <v>9580.7999999999993</v>
      </c>
      <c r="AB94">
        <v>5</v>
      </c>
      <c r="AC94">
        <v>11976</v>
      </c>
      <c r="AD94">
        <v>3</v>
      </c>
      <c r="AE94">
        <v>7185.5999999999995</v>
      </c>
      <c r="AF94">
        <v>6</v>
      </c>
      <c r="AG94">
        <v>14371.199999999999</v>
      </c>
      <c r="AH94">
        <v>6</v>
      </c>
      <c r="AI94">
        <v>14371.199999999999</v>
      </c>
      <c r="AJ94">
        <v>4</v>
      </c>
      <c r="AK94">
        <v>9580.7999999999993</v>
      </c>
      <c r="AL94">
        <v>5</v>
      </c>
      <c r="AM94">
        <v>11976</v>
      </c>
      <c r="AN94">
        <v>5</v>
      </c>
      <c r="AO94">
        <v>11976</v>
      </c>
      <c r="AP94">
        <v>4</v>
      </c>
      <c r="AQ94">
        <v>9580.7999999999993</v>
      </c>
      <c r="AR94">
        <v>3</v>
      </c>
      <c r="AS94">
        <v>7185.5999999999995</v>
      </c>
      <c r="AT94">
        <v>5</v>
      </c>
      <c r="AU94">
        <v>11976</v>
      </c>
      <c r="AV94">
        <v>5</v>
      </c>
      <c r="AW94">
        <v>11976</v>
      </c>
      <c r="AX94">
        <v>6</v>
      </c>
      <c r="AY94">
        <v>14371.199999999999</v>
      </c>
      <c r="AZ94">
        <v>3</v>
      </c>
      <c r="BA94">
        <v>7185.5999999999995</v>
      </c>
      <c r="BB94">
        <v>4</v>
      </c>
      <c r="BC94">
        <v>9580.7999999999993</v>
      </c>
      <c r="BD94">
        <v>6</v>
      </c>
      <c r="BE94">
        <v>14371.199999999999</v>
      </c>
      <c r="BF94">
        <v>4</v>
      </c>
      <c r="BG94">
        <v>9580.7999999999993</v>
      </c>
      <c r="BH94">
        <v>3</v>
      </c>
      <c r="BI94">
        <v>7185.5999999999995</v>
      </c>
      <c r="BJ94">
        <v>4</v>
      </c>
      <c r="BK94">
        <v>9580.7999999999993</v>
      </c>
      <c r="BL94">
        <v>3</v>
      </c>
      <c r="BM94">
        <v>7185.5999999999995</v>
      </c>
      <c r="BN94">
        <v>5</v>
      </c>
      <c r="BO94">
        <v>11976</v>
      </c>
      <c r="BP94">
        <v>5</v>
      </c>
      <c r="BQ94">
        <v>11976</v>
      </c>
      <c r="BR94">
        <v>4</v>
      </c>
      <c r="BS94">
        <v>9580.7999999999993</v>
      </c>
      <c r="BT94">
        <v>4</v>
      </c>
      <c r="BU94">
        <v>9580.7999999999993</v>
      </c>
      <c r="BV94">
        <v>4</v>
      </c>
      <c r="BW94">
        <v>9580.7999999999993</v>
      </c>
      <c r="BX94">
        <v>3</v>
      </c>
      <c r="BY94">
        <v>7185.5999999999995</v>
      </c>
      <c r="BZ94">
        <v>4</v>
      </c>
      <c r="CA94">
        <v>9580.7999999999993</v>
      </c>
      <c r="CB94">
        <v>3</v>
      </c>
      <c r="CC94">
        <v>7185.5999999999995</v>
      </c>
      <c r="CD94">
        <v>6</v>
      </c>
      <c r="CE94">
        <v>14371.199999999999</v>
      </c>
      <c r="CF94">
        <v>4</v>
      </c>
      <c r="CG94">
        <v>9580.7999999999993</v>
      </c>
      <c r="CH94">
        <v>3</v>
      </c>
      <c r="CI94">
        <v>7185.5999999999995</v>
      </c>
      <c r="CJ94">
        <v>6</v>
      </c>
      <c r="CK94">
        <v>14371.199999999999</v>
      </c>
      <c r="CL94">
        <v>6</v>
      </c>
      <c r="CM94">
        <v>14371.199999999999</v>
      </c>
      <c r="CN94">
        <v>6</v>
      </c>
      <c r="CO94">
        <v>14371.199999999999</v>
      </c>
      <c r="CP94">
        <v>5</v>
      </c>
      <c r="CQ94">
        <v>11976</v>
      </c>
      <c r="CR94">
        <v>4</v>
      </c>
      <c r="CS94">
        <v>9580.7999999999993</v>
      </c>
      <c r="CT94">
        <v>6</v>
      </c>
      <c r="CU94">
        <v>14371.199999999999</v>
      </c>
    </row>
    <row r="95" spans="2:99" x14ac:dyDescent="0.2">
      <c r="B95" s="105" t="s">
        <v>132</v>
      </c>
      <c r="C95" s="105" t="s">
        <v>261</v>
      </c>
      <c r="D95">
        <v>12</v>
      </c>
      <c r="E95">
        <v>20793.599999999999</v>
      </c>
      <c r="F95">
        <v>13</v>
      </c>
      <c r="G95">
        <v>22526.399999999998</v>
      </c>
      <c r="H95">
        <v>14</v>
      </c>
      <c r="I95">
        <v>24259.200000000001</v>
      </c>
      <c r="J95">
        <v>9</v>
      </c>
      <c r="K95">
        <v>15595.199999999999</v>
      </c>
      <c r="L95">
        <v>9</v>
      </c>
      <c r="M95">
        <v>15595.199999999999</v>
      </c>
      <c r="N95">
        <v>10</v>
      </c>
      <c r="O95">
        <v>17328</v>
      </c>
      <c r="P95">
        <v>14</v>
      </c>
      <c r="Q95">
        <v>24259.200000000001</v>
      </c>
      <c r="R95">
        <v>10</v>
      </c>
      <c r="S95">
        <v>17328</v>
      </c>
      <c r="T95">
        <v>15</v>
      </c>
      <c r="U95">
        <v>25992</v>
      </c>
      <c r="V95">
        <v>9</v>
      </c>
      <c r="W95">
        <v>15595.199999999999</v>
      </c>
      <c r="X95">
        <v>8</v>
      </c>
      <c r="Y95">
        <v>13862.4</v>
      </c>
      <c r="Z95">
        <v>12</v>
      </c>
      <c r="AA95">
        <v>20793.599999999999</v>
      </c>
      <c r="AB95">
        <v>11</v>
      </c>
      <c r="AC95">
        <v>19060.8</v>
      </c>
      <c r="AD95">
        <v>9</v>
      </c>
      <c r="AE95">
        <v>15595.199999999999</v>
      </c>
      <c r="AF95">
        <v>10</v>
      </c>
      <c r="AG95">
        <v>17328</v>
      </c>
      <c r="AH95">
        <v>10</v>
      </c>
      <c r="AI95">
        <v>17328</v>
      </c>
      <c r="AJ95">
        <v>15</v>
      </c>
      <c r="AK95">
        <v>25992</v>
      </c>
      <c r="AL95">
        <v>11</v>
      </c>
      <c r="AM95">
        <v>19060.8</v>
      </c>
      <c r="AN95">
        <v>11</v>
      </c>
      <c r="AO95">
        <v>19060.8</v>
      </c>
      <c r="AP95">
        <v>9</v>
      </c>
      <c r="AQ95">
        <v>15595.199999999999</v>
      </c>
      <c r="AR95">
        <v>12</v>
      </c>
      <c r="AS95">
        <v>20793.599999999999</v>
      </c>
      <c r="AT95">
        <v>12</v>
      </c>
      <c r="AU95">
        <v>20793.599999999999</v>
      </c>
      <c r="AV95">
        <v>9</v>
      </c>
      <c r="AW95">
        <v>15595.199999999999</v>
      </c>
      <c r="AX95">
        <v>8</v>
      </c>
      <c r="AY95">
        <v>13862.4</v>
      </c>
      <c r="AZ95">
        <v>15</v>
      </c>
      <c r="BA95">
        <v>25992</v>
      </c>
      <c r="BB95">
        <v>11</v>
      </c>
      <c r="BC95">
        <v>19060.8</v>
      </c>
      <c r="BD95">
        <v>14</v>
      </c>
      <c r="BE95">
        <v>24259.200000000001</v>
      </c>
      <c r="BF95">
        <v>12</v>
      </c>
      <c r="BG95">
        <v>20793.599999999999</v>
      </c>
      <c r="BH95">
        <v>10</v>
      </c>
      <c r="BI95">
        <v>17328</v>
      </c>
      <c r="BJ95">
        <v>8</v>
      </c>
      <c r="BK95">
        <v>13862.4</v>
      </c>
      <c r="BL95">
        <v>12</v>
      </c>
      <c r="BM95">
        <v>20793.599999999999</v>
      </c>
      <c r="BN95">
        <v>8</v>
      </c>
      <c r="BO95">
        <v>13862.4</v>
      </c>
      <c r="BP95">
        <v>15</v>
      </c>
      <c r="BQ95">
        <v>25992</v>
      </c>
      <c r="BR95">
        <v>15</v>
      </c>
      <c r="BS95">
        <v>25992</v>
      </c>
      <c r="BT95">
        <v>17</v>
      </c>
      <c r="BU95">
        <v>29457.599999999999</v>
      </c>
      <c r="BV95">
        <v>12</v>
      </c>
      <c r="BW95">
        <v>20793.599999999999</v>
      </c>
      <c r="BX95">
        <v>15</v>
      </c>
      <c r="BY95">
        <v>25992</v>
      </c>
      <c r="BZ95">
        <v>14</v>
      </c>
      <c r="CA95">
        <v>24259.200000000001</v>
      </c>
      <c r="CB95">
        <v>9</v>
      </c>
      <c r="CC95">
        <v>15595.199999999999</v>
      </c>
      <c r="CD95">
        <v>14</v>
      </c>
      <c r="CE95">
        <v>24259.200000000001</v>
      </c>
      <c r="CF95">
        <v>9</v>
      </c>
      <c r="CG95">
        <v>15595.199999999999</v>
      </c>
      <c r="CH95">
        <v>16</v>
      </c>
      <c r="CI95">
        <v>27724.799999999999</v>
      </c>
      <c r="CJ95">
        <v>11</v>
      </c>
      <c r="CK95">
        <v>19060.8</v>
      </c>
      <c r="CL95">
        <v>14</v>
      </c>
      <c r="CM95">
        <v>24259.200000000001</v>
      </c>
      <c r="CN95">
        <v>11</v>
      </c>
      <c r="CO95">
        <v>19060.8</v>
      </c>
      <c r="CP95">
        <v>16</v>
      </c>
      <c r="CQ95">
        <v>27724.799999999999</v>
      </c>
      <c r="CR95">
        <v>16</v>
      </c>
      <c r="CS95">
        <v>27724.799999999999</v>
      </c>
      <c r="CT95">
        <v>16</v>
      </c>
      <c r="CU95">
        <v>27724.799999999999</v>
      </c>
    </row>
    <row r="96" spans="2:99" x14ac:dyDescent="0.2">
      <c r="C96" s="105" t="s">
        <v>262</v>
      </c>
      <c r="D96">
        <v>12</v>
      </c>
      <c r="E96">
        <v>9878.4</v>
      </c>
      <c r="F96">
        <v>17</v>
      </c>
      <c r="G96">
        <v>13994.4</v>
      </c>
      <c r="H96">
        <v>16</v>
      </c>
      <c r="I96">
        <v>13171.199999999999</v>
      </c>
      <c r="J96">
        <v>8</v>
      </c>
      <c r="K96">
        <v>6585.5999999999995</v>
      </c>
      <c r="L96">
        <v>9</v>
      </c>
      <c r="M96">
        <v>7408.7999999999993</v>
      </c>
      <c r="N96">
        <v>12</v>
      </c>
      <c r="O96">
        <v>9878.4</v>
      </c>
      <c r="P96">
        <v>15</v>
      </c>
      <c r="Q96">
        <v>12347.999999999998</v>
      </c>
      <c r="R96">
        <v>10</v>
      </c>
      <c r="S96">
        <v>8232</v>
      </c>
      <c r="T96">
        <v>16</v>
      </c>
      <c r="U96">
        <v>13171.199999999999</v>
      </c>
      <c r="V96">
        <v>10</v>
      </c>
      <c r="W96">
        <v>8232</v>
      </c>
      <c r="X96">
        <v>9</v>
      </c>
      <c r="Y96">
        <v>7408.7999999999993</v>
      </c>
      <c r="Z96">
        <v>13</v>
      </c>
      <c r="AA96">
        <v>10701.599999999999</v>
      </c>
      <c r="AB96">
        <v>13</v>
      </c>
      <c r="AC96">
        <v>10701.599999999999</v>
      </c>
      <c r="AD96">
        <v>9</v>
      </c>
      <c r="AE96">
        <v>7408.7999999999993</v>
      </c>
      <c r="AF96">
        <v>10</v>
      </c>
      <c r="AG96">
        <v>8232</v>
      </c>
      <c r="AH96">
        <v>11</v>
      </c>
      <c r="AI96">
        <v>9055.1999999999989</v>
      </c>
      <c r="AJ96">
        <v>13</v>
      </c>
      <c r="AK96">
        <v>10701.599999999999</v>
      </c>
      <c r="AL96">
        <v>13</v>
      </c>
      <c r="AM96">
        <v>10701.599999999999</v>
      </c>
      <c r="AN96">
        <v>10</v>
      </c>
      <c r="AO96">
        <v>8232</v>
      </c>
      <c r="AP96">
        <v>9</v>
      </c>
      <c r="AQ96">
        <v>7408.7999999999993</v>
      </c>
      <c r="AR96">
        <v>12</v>
      </c>
      <c r="AS96">
        <v>9878.4</v>
      </c>
      <c r="AT96">
        <v>12</v>
      </c>
      <c r="AU96">
        <v>9878.4</v>
      </c>
      <c r="AV96">
        <v>10</v>
      </c>
      <c r="AW96">
        <v>8232</v>
      </c>
      <c r="AX96">
        <v>9</v>
      </c>
      <c r="AY96">
        <v>7408.7999999999993</v>
      </c>
      <c r="AZ96">
        <v>18</v>
      </c>
      <c r="BA96">
        <v>14817.599999999999</v>
      </c>
      <c r="BB96">
        <v>11</v>
      </c>
      <c r="BC96">
        <v>9055.1999999999989</v>
      </c>
      <c r="BD96">
        <v>15</v>
      </c>
      <c r="BE96">
        <v>12347.999999999998</v>
      </c>
      <c r="BF96">
        <v>15</v>
      </c>
      <c r="BG96">
        <v>12347.999999999998</v>
      </c>
      <c r="BH96">
        <v>10</v>
      </c>
      <c r="BI96">
        <v>8232</v>
      </c>
      <c r="BJ96">
        <v>9</v>
      </c>
      <c r="BK96">
        <v>7408.7999999999993</v>
      </c>
      <c r="BL96">
        <v>14</v>
      </c>
      <c r="BM96">
        <v>11524.8</v>
      </c>
      <c r="BN96">
        <v>10</v>
      </c>
      <c r="BO96">
        <v>8232</v>
      </c>
      <c r="BP96">
        <v>16</v>
      </c>
      <c r="BQ96">
        <v>13171.199999999999</v>
      </c>
      <c r="BR96">
        <v>19</v>
      </c>
      <c r="BS96">
        <v>15640.8</v>
      </c>
      <c r="BT96">
        <v>16</v>
      </c>
      <c r="BU96">
        <v>13171.199999999999</v>
      </c>
      <c r="BV96">
        <v>12</v>
      </c>
      <c r="BW96">
        <v>9878.4</v>
      </c>
      <c r="BX96">
        <v>15</v>
      </c>
      <c r="BY96">
        <v>12347.999999999998</v>
      </c>
      <c r="BZ96">
        <v>14</v>
      </c>
      <c r="CA96">
        <v>11524.8</v>
      </c>
      <c r="CB96">
        <v>10</v>
      </c>
      <c r="CC96">
        <v>8232</v>
      </c>
      <c r="CD96">
        <v>16</v>
      </c>
      <c r="CE96">
        <v>13171.199999999999</v>
      </c>
      <c r="CF96">
        <v>11</v>
      </c>
      <c r="CG96">
        <v>9055.1999999999989</v>
      </c>
      <c r="CH96">
        <v>18</v>
      </c>
      <c r="CI96">
        <v>14817.599999999999</v>
      </c>
      <c r="CJ96">
        <v>12</v>
      </c>
      <c r="CK96">
        <v>9878.4</v>
      </c>
      <c r="CL96">
        <v>13</v>
      </c>
      <c r="CM96">
        <v>10701.599999999999</v>
      </c>
      <c r="CN96">
        <v>13</v>
      </c>
      <c r="CO96">
        <v>10701.599999999999</v>
      </c>
      <c r="CP96">
        <v>16</v>
      </c>
      <c r="CQ96">
        <v>13171.199999999999</v>
      </c>
      <c r="CR96">
        <v>17</v>
      </c>
      <c r="CS96">
        <v>13994.4</v>
      </c>
      <c r="CT96">
        <v>17</v>
      </c>
      <c r="CU96">
        <v>13994.4</v>
      </c>
    </row>
    <row r="97" spans="2:99" x14ac:dyDescent="0.2">
      <c r="C97" s="105" t="s">
        <v>263</v>
      </c>
      <c r="D97">
        <v>13</v>
      </c>
      <c r="E97">
        <v>23774.399999999998</v>
      </c>
      <c r="F97">
        <v>14</v>
      </c>
      <c r="G97">
        <v>25603.200000000001</v>
      </c>
      <c r="H97">
        <v>13</v>
      </c>
      <c r="I97">
        <v>23774.399999999998</v>
      </c>
      <c r="J97">
        <v>8</v>
      </c>
      <c r="K97">
        <v>14630.4</v>
      </c>
      <c r="L97">
        <v>9</v>
      </c>
      <c r="M97">
        <v>16459.2</v>
      </c>
      <c r="N97">
        <v>10</v>
      </c>
      <c r="O97">
        <v>18288</v>
      </c>
      <c r="P97">
        <v>15</v>
      </c>
      <c r="Q97">
        <v>27432</v>
      </c>
      <c r="R97">
        <v>9</v>
      </c>
      <c r="S97">
        <v>16459.2</v>
      </c>
      <c r="T97">
        <v>14</v>
      </c>
      <c r="U97">
        <v>25603.200000000001</v>
      </c>
      <c r="V97">
        <v>10</v>
      </c>
      <c r="W97">
        <v>18288</v>
      </c>
      <c r="X97">
        <v>8</v>
      </c>
      <c r="Y97">
        <v>14630.4</v>
      </c>
      <c r="Z97">
        <v>10</v>
      </c>
      <c r="AA97">
        <v>18288</v>
      </c>
      <c r="AB97">
        <v>13</v>
      </c>
      <c r="AC97">
        <v>23774.399999999998</v>
      </c>
      <c r="AD97">
        <v>8</v>
      </c>
      <c r="AE97">
        <v>14630.4</v>
      </c>
      <c r="AF97">
        <v>9</v>
      </c>
      <c r="AG97">
        <v>16459.2</v>
      </c>
      <c r="AH97">
        <v>11</v>
      </c>
      <c r="AI97">
        <v>20116.8</v>
      </c>
      <c r="AJ97">
        <v>13</v>
      </c>
      <c r="AK97">
        <v>23774.399999999998</v>
      </c>
      <c r="AL97">
        <v>11</v>
      </c>
      <c r="AM97">
        <v>20116.8</v>
      </c>
      <c r="AN97">
        <v>10</v>
      </c>
      <c r="AO97">
        <v>18288</v>
      </c>
      <c r="AP97">
        <v>8</v>
      </c>
      <c r="AQ97">
        <v>14630.4</v>
      </c>
      <c r="AR97">
        <v>11</v>
      </c>
      <c r="AS97">
        <v>20116.8</v>
      </c>
      <c r="AT97">
        <v>12</v>
      </c>
      <c r="AU97">
        <v>21945.599999999999</v>
      </c>
      <c r="AV97">
        <v>9</v>
      </c>
      <c r="AW97">
        <v>16459.2</v>
      </c>
      <c r="AX97">
        <v>9</v>
      </c>
      <c r="AY97">
        <v>16459.2</v>
      </c>
      <c r="AZ97">
        <v>17</v>
      </c>
      <c r="BA97">
        <v>31089.599999999999</v>
      </c>
      <c r="BB97">
        <v>10</v>
      </c>
      <c r="BC97">
        <v>18288</v>
      </c>
      <c r="BD97">
        <v>15</v>
      </c>
      <c r="BE97">
        <v>27432</v>
      </c>
      <c r="BF97">
        <v>14</v>
      </c>
      <c r="BG97">
        <v>25603.200000000001</v>
      </c>
      <c r="BH97">
        <v>10</v>
      </c>
      <c r="BI97">
        <v>18288</v>
      </c>
      <c r="BJ97">
        <v>8</v>
      </c>
      <c r="BK97">
        <v>14630.4</v>
      </c>
      <c r="BL97">
        <v>12</v>
      </c>
      <c r="BM97">
        <v>21945.599999999999</v>
      </c>
      <c r="BN97">
        <v>8</v>
      </c>
      <c r="BO97">
        <v>14630.4</v>
      </c>
      <c r="BP97">
        <v>12</v>
      </c>
      <c r="BQ97">
        <v>21945.599999999999</v>
      </c>
      <c r="BR97">
        <v>17</v>
      </c>
      <c r="BS97">
        <v>31089.599999999999</v>
      </c>
      <c r="BT97">
        <v>17</v>
      </c>
      <c r="BU97">
        <v>31089.599999999999</v>
      </c>
      <c r="BV97">
        <v>10</v>
      </c>
      <c r="BW97">
        <v>18288</v>
      </c>
      <c r="BX97">
        <v>14</v>
      </c>
      <c r="BY97">
        <v>25603.200000000001</v>
      </c>
      <c r="BZ97">
        <v>14</v>
      </c>
      <c r="CA97">
        <v>25603.200000000001</v>
      </c>
      <c r="CB97">
        <v>9</v>
      </c>
      <c r="CC97">
        <v>16459.2</v>
      </c>
      <c r="CD97">
        <v>15</v>
      </c>
      <c r="CE97">
        <v>27432</v>
      </c>
      <c r="CF97">
        <v>10</v>
      </c>
      <c r="CG97">
        <v>18288</v>
      </c>
      <c r="CH97">
        <v>17</v>
      </c>
      <c r="CI97">
        <v>31089.599999999999</v>
      </c>
      <c r="CJ97">
        <v>10</v>
      </c>
      <c r="CK97">
        <v>18288</v>
      </c>
      <c r="CL97">
        <v>14</v>
      </c>
      <c r="CM97">
        <v>25603.200000000001</v>
      </c>
      <c r="CN97">
        <v>11</v>
      </c>
      <c r="CO97">
        <v>20116.8</v>
      </c>
      <c r="CP97">
        <v>14</v>
      </c>
      <c r="CQ97">
        <v>25603.200000000001</v>
      </c>
      <c r="CR97">
        <v>16</v>
      </c>
      <c r="CS97">
        <v>29260.799999999999</v>
      </c>
      <c r="CT97">
        <v>16</v>
      </c>
      <c r="CU97">
        <v>29260.799999999999</v>
      </c>
    </row>
    <row r="98" spans="2:99" x14ac:dyDescent="0.2">
      <c r="C98" s="105" t="s">
        <v>264</v>
      </c>
      <c r="D98">
        <v>14</v>
      </c>
      <c r="E98">
        <v>17690.399999999998</v>
      </c>
      <c r="F98">
        <v>14</v>
      </c>
      <c r="G98">
        <v>17690.399999999998</v>
      </c>
      <c r="H98">
        <v>15</v>
      </c>
      <c r="I98">
        <v>18954</v>
      </c>
      <c r="J98">
        <v>9</v>
      </c>
      <c r="K98">
        <v>11372.4</v>
      </c>
      <c r="L98">
        <v>10</v>
      </c>
      <c r="M98">
        <v>12636</v>
      </c>
      <c r="N98">
        <v>11</v>
      </c>
      <c r="O98">
        <v>13899.599999999999</v>
      </c>
      <c r="P98">
        <v>14</v>
      </c>
      <c r="Q98">
        <v>17690.399999999998</v>
      </c>
      <c r="R98">
        <v>11</v>
      </c>
      <c r="S98">
        <v>13899.599999999999</v>
      </c>
      <c r="T98">
        <v>15</v>
      </c>
      <c r="U98">
        <v>18954</v>
      </c>
      <c r="V98">
        <v>9</v>
      </c>
      <c r="W98">
        <v>11372.4</v>
      </c>
      <c r="X98">
        <v>8</v>
      </c>
      <c r="Y98">
        <v>10108.799999999999</v>
      </c>
      <c r="Z98">
        <v>11</v>
      </c>
      <c r="AA98">
        <v>13899.599999999999</v>
      </c>
      <c r="AB98">
        <v>12</v>
      </c>
      <c r="AC98">
        <v>15163.199999999999</v>
      </c>
      <c r="AD98">
        <v>9</v>
      </c>
      <c r="AE98">
        <v>11372.4</v>
      </c>
      <c r="AF98">
        <v>11</v>
      </c>
      <c r="AG98">
        <v>13899.599999999999</v>
      </c>
      <c r="AH98">
        <v>11</v>
      </c>
      <c r="AI98">
        <v>13899.599999999999</v>
      </c>
      <c r="AJ98">
        <v>14</v>
      </c>
      <c r="AK98">
        <v>17690.399999999998</v>
      </c>
      <c r="AL98">
        <v>12</v>
      </c>
      <c r="AM98">
        <v>15163.199999999999</v>
      </c>
      <c r="AN98">
        <v>11</v>
      </c>
      <c r="AO98">
        <v>13899.599999999999</v>
      </c>
      <c r="AP98">
        <v>9</v>
      </c>
      <c r="AQ98">
        <v>11372.4</v>
      </c>
      <c r="AR98">
        <v>12</v>
      </c>
      <c r="AS98">
        <v>15163.199999999999</v>
      </c>
      <c r="AT98">
        <v>12</v>
      </c>
      <c r="AU98">
        <v>15163.199999999999</v>
      </c>
      <c r="AV98">
        <v>11</v>
      </c>
      <c r="AW98">
        <v>13899.599999999999</v>
      </c>
      <c r="AX98">
        <v>8</v>
      </c>
      <c r="AY98">
        <v>10108.799999999999</v>
      </c>
      <c r="AZ98">
        <v>16</v>
      </c>
      <c r="BA98">
        <v>20217.599999999999</v>
      </c>
      <c r="BB98">
        <v>11</v>
      </c>
      <c r="BC98">
        <v>13899.599999999999</v>
      </c>
      <c r="BD98">
        <v>17</v>
      </c>
      <c r="BE98">
        <v>21481.199999999997</v>
      </c>
      <c r="BF98">
        <v>12</v>
      </c>
      <c r="BG98">
        <v>15163.199999999999</v>
      </c>
      <c r="BH98">
        <v>10</v>
      </c>
      <c r="BI98">
        <v>12636</v>
      </c>
      <c r="BJ98">
        <v>9</v>
      </c>
      <c r="BK98">
        <v>11372.4</v>
      </c>
      <c r="BL98">
        <v>13</v>
      </c>
      <c r="BM98">
        <v>16426.8</v>
      </c>
      <c r="BN98">
        <v>9</v>
      </c>
      <c r="BO98">
        <v>11372.4</v>
      </c>
      <c r="BP98">
        <v>15</v>
      </c>
      <c r="BQ98">
        <v>18954</v>
      </c>
      <c r="BR98">
        <v>15</v>
      </c>
      <c r="BS98">
        <v>18954</v>
      </c>
      <c r="BT98">
        <v>17</v>
      </c>
      <c r="BU98">
        <v>21481.199999999997</v>
      </c>
      <c r="BV98">
        <v>12</v>
      </c>
      <c r="BW98">
        <v>15163.199999999999</v>
      </c>
      <c r="BX98">
        <v>15</v>
      </c>
      <c r="BY98">
        <v>18954</v>
      </c>
      <c r="BZ98">
        <v>15</v>
      </c>
      <c r="CA98">
        <v>18954</v>
      </c>
      <c r="CB98">
        <v>9</v>
      </c>
      <c r="CC98">
        <v>11372.4</v>
      </c>
      <c r="CD98">
        <v>16</v>
      </c>
      <c r="CE98">
        <v>20217.599999999999</v>
      </c>
      <c r="CF98">
        <v>10</v>
      </c>
      <c r="CG98">
        <v>12636</v>
      </c>
      <c r="CH98">
        <v>16</v>
      </c>
      <c r="CI98">
        <v>20217.599999999999</v>
      </c>
      <c r="CJ98">
        <v>11</v>
      </c>
      <c r="CK98">
        <v>13899.599999999999</v>
      </c>
      <c r="CL98">
        <v>15</v>
      </c>
      <c r="CM98">
        <v>18954</v>
      </c>
      <c r="CN98">
        <v>12</v>
      </c>
      <c r="CO98">
        <v>15163.199999999999</v>
      </c>
      <c r="CP98">
        <v>16</v>
      </c>
      <c r="CQ98">
        <v>20217.599999999999</v>
      </c>
      <c r="CR98">
        <v>15</v>
      </c>
      <c r="CS98">
        <v>18954</v>
      </c>
      <c r="CT98">
        <v>17</v>
      </c>
      <c r="CU98">
        <v>21481.199999999997</v>
      </c>
    </row>
    <row r="99" spans="2:99" x14ac:dyDescent="0.2">
      <c r="C99" s="105" t="s">
        <v>265</v>
      </c>
      <c r="D99">
        <v>9</v>
      </c>
      <c r="E99">
        <v>49334.399999999994</v>
      </c>
      <c r="F99">
        <v>10</v>
      </c>
      <c r="G99">
        <v>54815.999999999993</v>
      </c>
      <c r="H99">
        <v>10</v>
      </c>
      <c r="I99">
        <v>54815.999999999993</v>
      </c>
      <c r="J99">
        <v>5</v>
      </c>
      <c r="K99">
        <v>27407.999999999996</v>
      </c>
      <c r="L99">
        <v>6</v>
      </c>
      <c r="M99">
        <v>32889.599999999999</v>
      </c>
      <c r="N99">
        <v>7</v>
      </c>
      <c r="O99">
        <v>38371.199999999997</v>
      </c>
      <c r="P99">
        <v>10</v>
      </c>
      <c r="Q99">
        <v>54815.999999999993</v>
      </c>
      <c r="R99">
        <v>7</v>
      </c>
      <c r="S99">
        <v>38371.199999999997</v>
      </c>
      <c r="T99">
        <v>12</v>
      </c>
      <c r="U99">
        <v>65779.199999999997</v>
      </c>
      <c r="V99">
        <v>7</v>
      </c>
      <c r="W99">
        <v>38371.199999999997</v>
      </c>
      <c r="X99">
        <v>6</v>
      </c>
      <c r="Y99">
        <v>32889.599999999999</v>
      </c>
      <c r="Z99">
        <v>9</v>
      </c>
      <c r="AA99">
        <v>49334.399999999994</v>
      </c>
      <c r="AB99">
        <v>9</v>
      </c>
      <c r="AC99">
        <v>49334.399999999994</v>
      </c>
      <c r="AD99">
        <v>6</v>
      </c>
      <c r="AE99">
        <v>32889.599999999999</v>
      </c>
      <c r="AF99">
        <v>8</v>
      </c>
      <c r="AG99">
        <v>43852.799999999996</v>
      </c>
      <c r="AH99">
        <v>8</v>
      </c>
      <c r="AI99">
        <v>43852.799999999996</v>
      </c>
      <c r="AJ99">
        <v>10</v>
      </c>
      <c r="AK99">
        <v>54815.999999999993</v>
      </c>
      <c r="AL99">
        <v>9</v>
      </c>
      <c r="AM99">
        <v>49334.399999999994</v>
      </c>
      <c r="AN99">
        <v>8</v>
      </c>
      <c r="AO99">
        <v>43852.799999999996</v>
      </c>
      <c r="AP99">
        <v>7</v>
      </c>
      <c r="AQ99">
        <v>38371.199999999997</v>
      </c>
      <c r="AR99">
        <v>7</v>
      </c>
      <c r="AS99">
        <v>38371.199999999997</v>
      </c>
      <c r="AT99">
        <v>8</v>
      </c>
      <c r="AU99">
        <v>43852.799999999996</v>
      </c>
      <c r="AV99">
        <v>8</v>
      </c>
      <c r="AW99">
        <v>43852.799999999996</v>
      </c>
      <c r="AX99">
        <v>6</v>
      </c>
      <c r="AY99">
        <v>32889.599999999999</v>
      </c>
      <c r="AZ99">
        <v>11</v>
      </c>
      <c r="BA99">
        <v>60297.599999999991</v>
      </c>
      <c r="BB99">
        <v>7</v>
      </c>
      <c r="BC99">
        <v>38371.199999999997</v>
      </c>
      <c r="BD99">
        <v>11</v>
      </c>
      <c r="BE99">
        <v>60297.599999999991</v>
      </c>
      <c r="BF99">
        <v>10</v>
      </c>
      <c r="BG99">
        <v>54815.999999999993</v>
      </c>
      <c r="BH99">
        <v>7</v>
      </c>
      <c r="BI99">
        <v>38371.199999999997</v>
      </c>
      <c r="BJ99">
        <v>7</v>
      </c>
      <c r="BK99">
        <v>38371.199999999997</v>
      </c>
      <c r="BL99">
        <v>9</v>
      </c>
      <c r="BM99">
        <v>49334.399999999994</v>
      </c>
      <c r="BN99">
        <v>7</v>
      </c>
      <c r="BO99">
        <v>38371.199999999997</v>
      </c>
      <c r="BP99">
        <v>9</v>
      </c>
      <c r="BQ99">
        <v>49334.399999999994</v>
      </c>
      <c r="BR99">
        <v>12</v>
      </c>
      <c r="BS99">
        <v>65779.199999999997</v>
      </c>
      <c r="BT99">
        <v>11</v>
      </c>
      <c r="BU99">
        <v>60297.599999999991</v>
      </c>
      <c r="BV99">
        <v>8</v>
      </c>
      <c r="BW99">
        <v>43852.799999999996</v>
      </c>
      <c r="BX99">
        <v>10</v>
      </c>
      <c r="BY99">
        <v>54815.999999999993</v>
      </c>
      <c r="BZ99">
        <v>10</v>
      </c>
      <c r="CA99">
        <v>54815.999999999993</v>
      </c>
      <c r="CB99">
        <v>8</v>
      </c>
      <c r="CC99">
        <v>43852.799999999996</v>
      </c>
      <c r="CD99">
        <v>12</v>
      </c>
      <c r="CE99">
        <v>65779.199999999997</v>
      </c>
      <c r="CF99">
        <v>7</v>
      </c>
      <c r="CG99">
        <v>38371.199999999997</v>
      </c>
      <c r="CH99">
        <v>12</v>
      </c>
      <c r="CI99">
        <v>65779.199999999997</v>
      </c>
      <c r="CJ99">
        <v>8</v>
      </c>
      <c r="CK99">
        <v>43852.799999999996</v>
      </c>
      <c r="CL99">
        <v>9</v>
      </c>
      <c r="CM99">
        <v>49334.399999999994</v>
      </c>
      <c r="CN99">
        <v>9</v>
      </c>
      <c r="CO99">
        <v>49334.399999999994</v>
      </c>
      <c r="CP99">
        <v>13</v>
      </c>
      <c r="CQ99">
        <v>71260.799999999988</v>
      </c>
      <c r="CR99">
        <v>12</v>
      </c>
      <c r="CS99">
        <v>65779.199999999997</v>
      </c>
      <c r="CT99">
        <v>13</v>
      </c>
      <c r="CU99">
        <v>71260.799999999988</v>
      </c>
    </row>
    <row r="100" spans="2:99" x14ac:dyDescent="0.2">
      <c r="C100" s="105" t="s">
        <v>266</v>
      </c>
      <c r="D100">
        <v>12</v>
      </c>
      <c r="E100">
        <v>19468.8</v>
      </c>
      <c r="F100">
        <v>14</v>
      </c>
      <c r="G100">
        <v>22713.599999999999</v>
      </c>
      <c r="H100">
        <v>12</v>
      </c>
      <c r="I100">
        <v>19468.8</v>
      </c>
      <c r="J100">
        <v>7</v>
      </c>
      <c r="K100">
        <v>11356.8</v>
      </c>
      <c r="L100">
        <v>9</v>
      </c>
      <c r="M100">
        <v>14601.599999999999</v>
      </c>
      <c r="N100">
        <v>10</v>
      </c>
      <c r="O100">
        <v>16223.999999999998</v>
      </c>
      <c r="P100">
        <v>15</v>
      </c>
      <c r="Q100">
        <v>24335.999999999996</v>
      </c>
      <c r="R100">
        <v>9</v>
      </c>
      <c r="S100">
        <v>14601.599999999999</v>
      </c>
      <c r="T100">
        <v>16</v>
      </c>
      <c r="U100">
        <v>25958.399999999998</v>
      </c>
      <c r="V100">
        <v>9</v>
      </c>
      <c r="W100">
        <v>14601.599999999999</v>
      </c>
      <c r="X100">
        <v>8</v>
      </c>
      <c r="Y100">
        <v>12979.199999999999</v>
      </c>
      <c r="Z100">
        <v>11</v>
      </c>
      <c r="AA100">
        <v>17846.399999999998</v>
      </c>
      <c r="AB100">
        <v>13</v>
      </c>
      <c r="AC100">
        <v>21091.199999999997</v>
      </c>
      <c r="AD100">
        <v>9</v>
      </c>
      <c r="AE100">
        <v>14601.599999999999</v>
      </c>
      <c r="AF100">
        <v>9</v>
      </c>
      <c r="AG100">
        <v>14601.599999999999</v>
      </c>
      <c r="AH100">
        <v>10</v>
      </c>
      <c r="AI100">
        <v>16223.999999999998</v>
      </c>
      <c r="AJ100">
        <v>14</v>
      </c>
      <c r="AK100">
        <v>22713.599999999999</v>
      </c>
      <c r="AL100">
        <v>13</v>
      </c>
      <c r="AM100">
        <v>21091.199999999997</v>
      </c>
      <c r="AN100">
        <v>11</v>
      </c>
      <c r="AO100">
        <v>17846.399999999998</v>
      </c>
      <c r="AP100">
        <v>9</v>
      </c>
      <c r="AQ100">
        <v>14601.599999999999</v>
      </c>
      <c r="AR100">
        <v>10</v>
      </c>
      <c r="AS100">
        <v>16223.999999999998</v>
      </c>
      <c r="AT100">
        <v>12</v>
      </c>
      <c r="AU100">
        <v>19468.8</v>
      </c>
      <c r="AV100">
        <v>9</v>
      </c>
      <c r="AW100">
        <v>14601.599999999999</v>
      </c>
      <c r="AX100">
        <v>8</v>
      </c>
      <c r="AY100">
        <v>12979.199999999999</v>
      </c>
      <c r="AZ100">
        <v>16</v>
      </c>
      <c r="BA100">
        <v>25958.399999999998</v>
      </c>
      <c r="BB100">
        <v>11</v>
      </c>
      <c r="BC100">
        <v>17846.399999999998</v>
      </c>
      <c r="BD100">
        <v>15</v>
      </c>
      <c r="BE100">
        <v>24335.999999999996</v>
      </c>
      <c r="BF100">
        <v>13</v>
      </c>
      <c r="BG100">
        <v>21091.199999999997</v>
      </c>
      <c r="BH100">
        <v>9</v>
      </c>
      <c r="BI100">
        <v>14601.599999999999</v>
      </c>
      <c r="BJ100">
        <v>9</v>
      </c>
      <c r="BK100">
        <v>14601.599999999999</v>
      </c>
      <c r="BL100">
        <v>11</v>
      </c>
      <c r="BM100">
        <v>17846.399999999998</v>
      </c>
      <c r="BN100">
        <v>8</v>
      </c>
      <c r="BO100">
        <v>12979.199999999999</v>
      </c>
      <c r="BP100">
        <v>13</v>
      </c>
      <c r="BQ100">
        <v>21091.199999999997</v>
      </c>
      <c r="BR100">
        <v>15</v>
      </c>
      <c r="BS100">
        <v>24335.999999999996</v>
      </c>
      <c r="BT100">
        <v>16</v>
      </c>
      <c r="BU100">
        <v>25958.399999999998</v>
      </c>
      <c r="BV100">
        <v>10</v>
      </c>
      <c r="BW100">
        <v>16223.999999999998</v>
      </c>
      <c r="BX100">
        <v>14</v>
      </c>
      <c r="BY100">
        <v>22713.599999999999</v>
      </c>
      <c r="BZ100">
        <v>15</v>
      </c>
      <c r="CA100">
        <v>24335.999999999996</v>
      </c>
      <c r="CB100">
        <v>10</v>
      </c>
      <c r="CC100">
        <v>16223.999999999998</v>
      </c>
      <c r="CD100">
        <v>15</v>
      </c>
      <c r="CE100">
        <v>24335.999999999996</v>
      </c>
      <c r="CF100">
        <v>11</v>
      </c>
      <c r="CG100">
        <v>17846.399999999998</v>
      </c>
      <c r="CH100">
        <v>17</v>
      </c>
      <c r="CI100">
        <v>27580.799999999999</v>
      </c>
      <c r="CJ100">
        <v>10</v>
      </c>
      <c r="CK100">
        <v>16223.999999999998</v>
      </c>
      <c r="CL100">
        <v>13</v>
      </c>
      <c r="CM100">
        <v>21091.199999999997</v>
      </c>
      <c r="CN100">
        <v>12</v>
      </c>
      <c r="CO100">
        <v>19468.8</v>
      </c>
      <c r="CP100">
        <v>15</v>
      </c>
      <c r="CQ100">
        <v>24335.999999999996</v>
      </c>
      <c r="CR100">
        <v>14</v>
      </c>
      <c r="CS100">
        <v>22713.599999999999</v>
      </c>
      <c r="CT100">
        <v>16</v>
      </c>
      <c r="CU100">
        <v>25958.399999999998</v>
      </c>
    </row>
    <row r="101" spans="2:99" x14ac:dyDescent="0.2">
      <c r="C101" s="105" t="s">
        <v>267</v>
      </c>
      <c r="D101">
        <v>12</v>
      </c>
      <c r="E101">
        <v>14284.8</v>
      </c>
      <c r="F101">
        <v>14</v>
      </c>
      <c r="G101">
        <v>16665.599999999999</v>
      </c>
      <c r="H101">
        <v>13</v>
      </c>
      <c r="I101">
        <v>15475.199999999999</v>
      </c>
      <c r="J101">
        <v>8</v>
      </c>
      <c r="K101">
        <v>9523.1999999999989</v>
      </c>
      <c r="L101">
        <v>9</v>
      </c>
      <c r="M101">
        <v>10713.599999999999</v>
      </c>
      <c r="N101">
        <v>12</v>
      </c>
      <c r="O101">
        <v>14284.8</v>
      </c>
      <c r="P101">
        <v>16</v>
      </c>
      <c r="Q101">
        <v>19046.399999999998</v>
      </c>
      <c r="R101">
        <v>11</v>
      </c>
      <c r="S101">
        <v>13094.399999999998</v>
      </c>
      <c r="T101">
        <v>14</v>
      </c>
      <c r="U101">
        <v>16665.599999999999</v>
      </c>
      <c r="V101">
        <v>10</v>
      </c>
      <c r="W101">
        <v>11903.999999999998</v>
      </c>
      <c r="X101">
        <v>10</v>
      </c>
      <c r="Y101">
        <v>11903.999999999998</v>
      </c>
      <c r="Z101">
        <v>12</v>
      </c>
      <c r="AA101">
        <v>14284.8</v>
      </c>
      <c r="AB101">
        <v>12</v>
      </c>
      <c r="AC101">
        <v>14284.8</v>
      </c>
      <c r="AD101">
        <v>8</v>
      </c>
      <c r="AE101">
        <v>9523.1999999999989</v>
      </c>
      <c r="AF101">
        <v>10</v>
      </c>
      <c r="AG101">
        <v>11903.999999999998</v>
      </c>
      <c r="AH101">
        <v>12</v>
      </c>
      <c r="AI101">
        <v>14284.8</v>
      </c>
      <c r="AJ101">
        <v>14</v>
      </c>
      <c r="AK101">
        <v>16665.599999999999</v>
      </c>
      <c r="AL101">
        <v>11</v>
      </c>
      <c r="AM101">
        <v>13094.399999999998</v>
      </c>
      <c r="AN101">
        <v>11</v>
      </c>
      <c r="AO101">
        <v>13094.399999999998</v>
      </c>
      <c r="AP101">
        <v>10</v>
      </c>
      <c r="AQ101">
        <v>11903.999999999998</v>
      </c>
      <c r="AR101">
        <v>12</v>
      </c>
      <c r="AS101">
        <v>14284.8</v>
      </c>
      <c r="AT101">
        <v>11</v>
      </c>
      <c r="AU101">
        <v>13094.399999999998</v>
      </c>
      <c r="AV101">
        <v>10</v>
      </c>
      <c r="AW101">
        <v>11903.999999999998</v>
      </c>
      <c r="AX101">
        <v>8</v>
      </c>
      <c r="AY101">
        <v>9523.1999999999989</v>
      </c>
      <c r="AZ101">
        <v>15</v>
      </c>
      <c r="BA101">
        <v>17855.999999999996</v>
      </c>
      <c r="BB101">
        <v>12</v>
      </c>
      <c r="BC101">
        <v>14284.8</v>
      </c>
      <c r="BD101">
        <v>15</v>
      </c>
      <c r="BE101">
        <v>17855.999999999996</v>
      </c>
      <c r="BF101">
        <v>15</v>
      </c>
      <c r="BG101">
        <v>17855.999999999996</v>
      </c>
      <c r="BH101">
        <v>11</v>
      </c>
      <c r="BI101">
        <v>13094.399999999998</v>
      </c>
      <c r="BJ101">
        <v>9</v>
      </c>
      <c r="BK101">
        <v>10713.599999999999</v>
      </c>
      <c r="BL101">
        <v>11</v>
      </c>
      <c r="BM101">
        <v>13094.399999999998</v>
      </c>
      <c r="BN101">
        <v>8</v>
      </c>
      <c r="BO101">
        <v>9523.1999999999989</v>
      </c>
      <c r="BP101">
        <v>14</v>
      </c>
      <c r="BQ101">
        <v>16665.599999999999</v>
      </c>
      <c r="BR101">
        <v>17</v>
      </c>
      <c r="BS101">
        <v>20236.8</v>
      </c>
      <c r="BT101">
        <v>17</v>
      </c>
      <c r="BU101">
        <v>20236.8</v>
      </c>
      <c r="BV101">
        <v>11</v>
      </c>
      <c r="BW101">
        <v>13094.399999999998</v>
      </c>
      <c r="BX101">
        <v>16</v>
      </c>
      <c r="BY101">
        <v>19046.399999999998</v>
      </c>
      <c r="BZ101">
        <v>16</v>
      </c>
      <c r="CA101">
        <v>19046.399999999998</v>
      </c>
      <c r="CB101">
        <v>9</v>
      </c>
      <c r="CC101">
        <v>10713.599999999999</v>
      </c>
      <c r="CD101">
        <v>16</v>
      </c>
      <c r="CE101">
        <v>19046.399999999998</v>
      </c>
      <c r="CF101">
        <v>11</v>
      </c>
      <c r="CG101">
        <v>13094.399999999998</v>
      </c>
      <c r="CH101">
        <v>16</v>
      </c>
      <c r="CI101">
        <v>19046.399999999998</v>
      </c>
      <c r="CJ101">
        <v>11</v>
      </c>
      <c r="CK101">
        <v>13094.399999999998</v>
      </c>
      <c r="CL101">
        <v>13</v>
      </c>
      <c r="CM101">
        <v>15475.199999999999</v>
      </c>
      <c r="CN101">
        <v>13</v>
      </c>
      <c r="CO101">
        <v>15475.199999999999</v>
      </c>
      <c r="CP101">
        <v>17</v>
      </c>
      <c r="CQ101">
        <v>20236.8</v>
      </c>
      <c r="CR101">
        <v>16</v>
      </c>
      <c r="CS101">
        <v>19046.399999999998</v>
      </c>
      <c r="CT101">
        <v>18</v>
      </c>
      <c r="CU101">
        <v>21427.199999999997</v>
      </c>
    </row>
    <row r="102" spans="2:99" x14ac:dyDescent="0.2">
      <c r="C102" s="105" t="s">
        <v>268</v>
      </c>
      <c r="D102">
        <v>12</v>
      </c>
      <c r="E102">
        <v>23270.399999999998</v>
      </c>
      <c r="F102">
        <v>13</v>
      </c>
      <c r="G102">
        <v>25209.599999999999</v>
      </c>
      <c r="H102">
        <v>13</v>
      </c>
      <c r="I102">
        <v>25209.599999999999</v>
      </c>
      <c r="J102">
        <v>8</v>
      </c>
      <c r="K102">
        <v>15513.599999999999</v>
      </c>
      <c r="L102">
        <v>9</v>
      </c>
      <c r="M102">
        <v>17452.8</v>
      </c>
      <c r="N102">
        <v>10</v>
      </c>
      <c r="O102">
        <v>19392</v>
      </c>
      <c r="P102">
        <v>15</v>
      </c>
      <c r="Q102">
        <v>29087.999999999996</v>
      </c>
      <c r="R102">
        <v>10</v>
      </c>
      <c r="S102">
        <v>19392</v>
      </c>
      <c r="T102">
        <v>15</v>
      </c>
      <c r="U102">
        <v>29087.999999999996</v>
      </c>
      <c r="V102">
        <v>9</v>
      </c>
      <c r="W102">
        <v>17452.8</v>
      </c>
      <c r="X102">
        <v>8</v>
      </c>
      <c r="Y102">
        <v>15513.599999999999</v>
      </c>
      <c r="Z102">
        <v>11</v>
      </c>
      <c r="AA102">
        <v>21331.199999999997</v>
      </c>
      <c r="AB102">
        <v>11</v>
      </c>
      <c r="AC102">
        <v>21331.199999999997</v>
      </c>
      <c r="AD102">
        <v>9</v>
      </c>
      <c r="AE102">
        <v>17452.8</v>
      </c>
      <c r="AF102">
        <v>10</v>
      </c>
      <c r="AG102">
        <v>19392</v>
      </c>
      <c r="AH102">
        <v>10</v>
      </c>
      <c r="AI102">
        <v>19392</v>
      </c>
      <c r="AJ102">
        <v>12</v>
      </c>
      <c r="AK102">
        <v>23270.399999999998</v>
      </c>
      <c r="AL102">
        <v>12</v>
      </c>
      <c r="AM102">
        <v>23270.399999999998</v>
      </c>
      <c r="AN102">
        <v>11</v>
      </c>
      <c r="AO102">
        <v>21331.199999999997</v>
      </c>
      <c r="AP102">
        <v>9</v>
      </c>
      <c r="AQ102">
        <v>17452.8</v>
      </c>
      <c r="AR102">
        <v>11</v>
      </c>
      <c r="AS102">
        <v>21331.199999999997</v>
      </c>
      <c r="AT102">
        <v>12</v>
      </c>
      <c r="AU102">
        <v>23270.399999999998</v>
      </c>
      <c r="AV102">
        <v>9</v>
      </c>
      <c r="AW102">
        <v>17452.8</v>
      </c>
      <c r="AX102">
        <v>9</v>
      </c>
      <c r="AY102">
        <v>17452.8</v>
      </c>
      <c r="AZ102">
        <v>15</v>
      </c>
      <c r="BA102">
        <v>29087.999999999996</v>
      </c>
      <c r="BB102">
        <v>11</v>
      </c>
      <c r="BC102">
        <v>21331.199999999997</v>
      </c>
      <c r="BD102">
        <v>14</v>
      </c>
      <c r="BE102">
        <v>27148.799999999996</v>
      </c>
      <c r="BF102">
        <v>12</v>
      </c>
      <c r="BG102">
        <v>23270.399999999998</v>
      </c>
      <c r="BH102">
        <v>9</v>
      </c>
      <c r="BI102">
        <v>17452.8</v>
      </c>
      <c r="BJ102">
        <v>8</v>
      </c>
      <c r="BK102">
        <v>15513.599999999999</v>
      </c>
      <c r="BL102">
        <v>11</v>
      </c>
      <c r="BM102">
        <v>21331.199999999997</v>
      </c>
      <c r="BN102">
        <v>8</v>
      </c>
      <c r="BO102">
        <v>15513.599999999999</v>
      </c>
      <c r="BP102">
        <v>12</v>
      </c>
      <c r="BQ102">
        <v>23270.399999999998</v>
      </c>
      <c r="BR102">
        <v>17</v>
      </c>
      <c r="BS102">
        <v>32966.399999999994</v>
      </c>
      <c r="BT102">
        <v>17</v>
      </c>
      <c r="BU102">
        <v>32966.399999999994</v>
      </c>
      <c r="BV102">
        <v>11</v>
      </c>
      <c r="BW102">
        <v>21331.199999999997</v>
      </c>
      <c r="BX102">
        <v>14</v>
      </c>
      <c r="BY102">
        <v>27148.799999999996</v>
      </c>
      <c r="BZ102">
        <v>15</v>
      </c>
      <c r="CA102">
        <v>29087.999999999996</v>
      </c>
      <c r="CB102">
        <v>9</v>
      </c>
      <c r="CC102">
        <v>17452.8</v>
      </c>
      <c r="CD102">
        <v>13</v>
      </c>
      <c r="CE102">
        <v>25209.599999999999</v>
      </c>
      <c r="CF102">
        <v>9</v>
      </c>
      <c r="CG102">
        <v>17452.8</v>
      </c>
      <c r="CH102">
        <v>17</v>
      </c>
      <c r="CI102">
        <v>32966.399999999994</v>
      </c>
      <c r="CJ102">
        <v>10</v>
      </c>
      <c r="CK102">
        <v>19392</v>
      </c>
      <c r="CL102">
        <v>12</v>
      </c>
      <c r="CM102">
        <v>23270.399999999998</v>
      </c>
      <c r="CN102">
        <v>11</v>
      </c>
      <c r="CO102">
        <v>21331.199999999997</v>
      </c>
      <c r="CP102">
        <v>15</v>
      </c>
      <c r="CQ102">
        <v>29087.999999999996</v>
      </c>
      <c r="CR102">
        <v>14</v>
      </c>
      <c r="CS102">
        <v>27148.799999999996</v>
      </c>
      <c r="CT102">
        <v>15</v>
      </c>
      <c r="CU102">
        <v>29087.999999999996</v>
      </c>
    </row>
    <row r="103" spans="2:99" x14ac:dyDescent="0.2">
      <c r="C103" s="105" t="s">
        <v>269</v>
      </c>
      <c r="D103">
        <v>11</v>
      </c>
      <c r="E103">
        <v>22308</v>
      </c>
      <c r="F103">
        <v>14</v>
      </c>
      <c r="G103">
        <v>28392</v>
      </c>
      <c r="H103">
        <v>12</v>
      </c>
      <c r="I103">
        <v>24336</v>
      </c>
      <c r="J103">
        <v>7</v>
      </c>
      <c r="K103">
        <v>14196</v>
      </c>
      <c r="L103">
        <v>9</v>
      </c>
      <c r="M103">
        <v>18252</v>
      </c>
      <c r="N103">
        <v>9</v>
      </c>
      <c r="O103">
        <v>18252</v>
      </c>
      <c r="P103">
        <v>15</v>
      </c>
      <c r="Q103">
        <v>30420</v>
      </c>
      <c r="R103">
        <v>10</v>
      </c>
      <c r="S103">
        <v>20280</v>
      </c>
      <c r="T103">
        <v>16</v>
      </c>
      <c r="U103">
        <v>32448</v>
      </c>
      <c r="V103">
        <v>9</v>
      </c>
      <c r="W103">
        <v>18252</v>
      </c>
      <c r="X103">
        <v>7</v>
      </c>
      <c r="Y103">
        <v>14196</v>
      </c>
      <c r="Z103">
        <v>10</v>
      </c>
      <c r="AA103">
        <v>20280</v>
      </c>
      <c r="AB103">
        <v>11</v>
      </c>
      <c r="AC103">
        <v>22308</v>
      </c>
      <c r="AD103">
        <v>9</v>
      </c>
      <c r="AE103">
        <v>18252</v>
      </c>
      <c r="AF103">
        <v>9</v>
      </c>
      <c r="AG103">
        <v>18252</v>
      </c>
      <c r="AH103">
        <v>11</v>
      </c>
      <c r="AI103">
        <v>22308</v>
      </c>
      <c r="AJ103">
        <v>13</v>
      </c>
      <c r="AK103">
        <v>26364</v>
      </c>
      <c r="AL103">
        <v>13</v>
      </c>
      <c r="AM103">
        <v>26364</v>
      </c>
      <c r="AN103">
        <v>11</v>
      </c>
      <c r="AO103">
        <v>22308</v>
      </c>
      <c r="AP103">
        <v>9</v>
      </c>
      <c r="AQ103">
        <v>18252</v>
      </c>
      <c r="AR103">
        <v>11</v>
      </c>
      <c r="AS103">
        <v>22308</v>
      </c>
      <c r="AT103">
        <v>10</v>
      </c>
      <c r="AU103">
        <v>20280</v>
      </c>
      <c r="AV103">
        <v>10</v>
      </c>
      <c r="AW103">
        <v>20280</v>
      </c>
      <c r="AX103">
        <v>9</v>
      </c>
      <c r="AY103">
        <v>18252</v>
      </c>
      <c r="AZ103">
        <v>16</v>
      </c>
      <c r="BA103">
        <v>32448</v>
      </c>
      <c r="BB103">
        <v>11</v>
      </c>
      <c r="BC103">
        <v>22308</v>
      </c>
      <c r="BD103">
        <v>15</v>
      </c>
      <c r="BE103">
        <v>30420</v>
      </c>
      <c r="BF103">
        <v>13</v>
      </c>
      <c r="BG103">
        <v>26364</v>
      </c>
      <c r="BH103">
        <v>9</v>
      </c>
      <c r="BI103">
        <v>18252</v>
      </c>
      <c r="BJ103">
        <v>8</v>
      </c>
      <c r="BK103">
        <v>16224</v>
      </c>
      <c r="BL103">
        <v>11</v>
      </c>
      <c r="BM103">
        <v>22308</v>
      </c>
      <c r="BN103">
        <v>8</v>
      </c>
      <c r="BO103">
        <v>16224</v>
      </c>
      <c r="BP103">
        <v>12</v>
      </c>
      <c r="BQ103">
        <v>24336</v>
      </c>
      <c r="BR103">
        <v>17</v>
      </c>
      <c r="BS103">
        <v>34476</v>
      </c>
      <c r="BT103">
        <v>16</v>
      </c>
      <c r="BU103">
        <v>32448</v>
      </c>
      <c r="BV103">
        <v>10</v>
      </c>
      <c r="BW103">
        <v>20280</v>
      </c>
      <c r="BX103">
        <v>15</v>
      </c>
      <c r="BY103">
        <v>30420</v>
      </c>
      <c r="BZ103">
        <v>13</v>
      </c>
      <c r="CA103">
        <v>26364</v>
      </c>
      <c r="CB103">
        <v>9</v>
      </c>
      <c r="CC103">
        <v>18252</v>
      </c>
      <c r="CD103">
        <v>14</v>
      </c>
      <c r="CE103">
        <v>28392</v>
      </c>
      <c r="CF103">
        <v>9</v>
      </c>
      <c r="CG103">
        <v>18252</v>
      </c>
      <c r="CH103">
        <v>16</v>
      </c>
      <c r="CI103">
        <v>32448</v>
      </c>
      <c r="CJ103">
        <v>11</v>
      </c>
      <c r="CK103">
        <v>22308</v>
      </c>
      <c r="CL103">
        <v>13</v>
      </c>
      <c r="CM103">
        <v>26364</v>
      </c>
      <c r="CN103">
        <v>10</v>
      </c>
      <c r="CO103">
        <v>20280</v>
      </c>
      <c r="CP103">
        <v>15</v>
      </c>
      <c r="CQ103">
        <v>30420</v>
      </c>
      <c r="CR103">
        <v>15</v>
      </c>
      <c r="CS103">
        <v>30420</v>
      </c>
      <c r="CT103">
        <v>17</v>
      </c>
      <c r="CU103">
        <v>34476</v>
      </c>
    </row>
    <row r="104" spans="2:99" x14ac:dyDescent="0.2">
      <c r="C104" s="105" t="s">
        <v>270</v>
      </c>
      <c r="D104">
        <v>12</v>
      </c>
      <c r="E104">
        <v>24868.800000000003</v>
      </c>
      <c r="F104">
        <v>15</v>
      </c>
      <c r="G104">
        <v>31086</v>
      </c>
      <c r="H104">
        <v>13</v>
      </c>
      <c r="I104">
        <v>26941.200000000001</v>
      </c>
      <c r="J104">
        <v>8</v>
      </c>
      <c r="K104">
        <v>16579.2</v>
      </c>
      <c r="L104">
        <v>8</v>
      </c>
      <c r="M104">
        <v>16579.2</v>
      </c>
      <c r="N104">
        <v>9</v>
      </c>
      <c r="O104">
        <v>18651.600000000002</v>
      </c>
      <c r="P104">
        <v>14</v>
      </c>
      <c r="Q104">
        <v>29013.600000000002</v>
      </c>
      <c r="R104">
        <v>10</v>
      </c>
      <c r="S104">
        <v>20724</v>
      </c>
      <c r="T104">
        <v>15</v>
      </c>
      <c r="U104">
        <v>31086</v>
      </c>
      <c r="V104">
        <v>9</v>
      </c>
      <c r="W104">
        <v>18651.600000000002</v>
      </c>
      <c r="X104">
        <v>9</v>
      </c>
      <c r="Y104">
        <v>18651.600000000002</v>
      </c>
      <c r="Z104">
        <v>10</v>
      </c>
      <c r="AA104">
        <v>20724</v>
      </c>
      <c r="AB104">
        <v>12</v>
      </c>
      <c r="AC104">
        <v>24868.800000000003</v>
      </c>
      <c r="AD104">
        <v>9</v>
      </c>
      <c r="AE104">
        <v>18651.600000000002</v>
      </c>
      <c r="AF104">
        <v>10</v>
      </c>
      <c r="AG104">
        <v>20724</v>
      </c>
      <c r="AH104">
        <v>10</v>
      </c>
      <c r="AI104">
        <v>20724</v>
      </c>
      <c r="AJ104">
        <v>12</v>
      </c>
      <c r="AK104">
        <v>24868.800000000003</v>
      </c>
      <c r="AL104">
        <v>12</v>
      </c>
      <c r="AM104">
        <v>24868.800000000003</v>
      </c>
      <c r="AN104">
        <v>10</v>
      </c>
      <c r="AO104">
        <v>20724</v>
      </c>
      <c r="AP104">
        <v>9</v>
      </c>
      <c r="AQ104">
        <v>18651.600000000002</v>
      </c>
      <c r="AR104">
        <v>12</v>
      </c>
      <c r="AS104">
        <v>24868.800000000003</v>
      </c>
      <c r="AT104">
        <v>11</v>
      </c>
      <c r="AU104">
        <v>22796.400000000001</v>
      </c>
      <c r="AV104">
        <v>9</v>
      </c>
      <c r="AW104">
        <v>18651.600000000002</v>
      </c>
      <c r="AX104">
        <v>7</v>
      </c>
      <c r="AY104">
        <v>14506.800000000001</v>
      </c>
      <c r="AZ104">
        <v>16</v>
      </c>
      <c r="BA104">
        <v>33158.400000000001</v>
      </c>
      <c r="BB104">
        <v>11</v>
      </c>
      <c r="BC104">
        <v>22796.400000000001</v>
      </c>
      <c r="BD104">
        <v>14</v>
      </c>
      <c r="BE104">
        <v>29013.600000000002</v>
      </c>
      <c r="BF104">
        <v>12</v>
      </c>
      <c r="BG104">
        <v>24868.800000000003</v>
      </c>
      <c r="BH104">
        <v>9</v>
      </c>
      <c r="BI104">
        <v>18651.600000000002</v>
      </c>
      <c r="BJ104">
        <v>8</v>
      </c>
      <c r="BK104">
        <v>16579.2</v>
      </c>
      <c r="BL104">
        <v>12</v>
      </c>
      <c r="BM104">
        <v>24868.800000000003</v>
      </c>
      <c r="BN104">
        <v>8</v>
      </c>
      <c r="BO104">
        <v>16579.2</v>
      </c>
      <c r="BP104">
        <v>14</v>
      </c>
      <c r="BQ104">
        <v>29013.600000000002</v>
      </c>
      <c r="BR104">
        <v>15</v>
      </c>
      <c r="BS104">
        <v>31086</v>
      </c>
      <c r="BT104">
        <v>15</v>
      </c>
      <c r="BU104">
        <v>31086</v>
      </c>
      <c r="BV104">
        <v>10</v>
      </c>
      <c r="BW104">
        <v>20724</v>
      </c>
      <c r="BX104">
        <v>15</v>
      </c>
      <c r="BY104">
        <v>31086</v>
      </c>
      <c r="BZ104">
        <v>13</v>
      </c>
      <c r="CA104">
        <v>26941.200000000001</v>
      </c>
      <c r="CB104">
        <v>10</v>
      </c>
      <c r="CC104">
        <v>20724</v>
      </c>
      <c r="CD104">
        <v>14</v>
      </c>
      <c r="CE104">
        <v>29013.600000000002</v>
      </c>
      <c r="CF104">
        <v>9</v>
      </c>
      <c r="CG104">
        <v>18651.600000000002</v>
      </c>
      <c r="CH104">
        <v>15</v>
      </c>
      <c r="CI104">
        <v>31086</v>
      </c>
      <c r="CJ104">
        <v>12</v>
      </c>
      <c r="CK104">
        <v>24868.800000000003</v>
      </c>
      <c r="CL104">
        <v>14</v>
      </c>
      <c r="CM104">
        <v>29013.600000000002</v>
      </c>
      <c r="CN104">
        <v>11</v>
      </c>
      <c r="CO104">
        <v>22796.400000000001</v>
      </c>
      <c r="CP104">
        <v>15</v>
      </c>
      <c r="CQ104">
        <v>31086</v>
      </c>
      <c r="CR104">
        <v>14</v>
      </c>
      <c r="CS104">
        <v>29013.600000000002</v>
      </c>
      <c r="CT104">
        <v>16</v>
      </c>
      <c r="CU104">
        <v>33158.400000000001</v>
      </c>
    </row>
    <row r="105" spans="2:99" x14ac:dyDescent="0.2">
      <c r="C105" s="105" t="s">
        <v>271</v>
      </c>
      <c r="D105">
        <v>11</v>
      </c>
      <c r="E105">
        <v>21978</v>
      </c>
      <c r="F105">
        <v>13</v>
      </c>
      <c r="G105">
        <v>25974</v>
      </c>
      <c r="H105">
        <v>12</v>
      </c>
      <c r="I105">
        <v>23976</v>
      </c>
      <c r="J105">
        <v>8</v>
      </c>
      <c r="K105">
        <v>15984</v>
      </c>
      <c r="L105">
        <v>9</v>
      </c>
      <c r="M105">
        <v>17982</v>
      </c>
      <c r="N105">
        <v>10</v>
      </c>
      <c r="O105">
        <v>19980</v>
      </c>
      <c r="P105">
        <v>14</v>
      </c>
      <c r="Q105">
        <v>27972</v>
      </c>
      <c r="R105">
        <v>10</v>
      </c>
      <c r="S105">
        <v>19980</v>
      </c>
      <c r="T105">
        <v>16</v>
      </c>
      <c r="U105">
        <v>31968</v>
      </c>
      <c r="V105">
        <v>9</v>
      </c>
      <c r="W105">
        <v>17982</v>
      </c>
      <c r="X105">
        <v>8</v>
      </c>
      <c r="Y105">
        <v>15984</v>
      </c>
      <c r="Z105">
        <v>10</v>
      </c>
      <c r="AA105">
        <v>19980</v>
      </c>
      <c r="AB105">
        <v>11</v>
      </c>
      <c r="AC105">
        <v>21978</v>
      </c>
      <c r="AD105">
        <v>9</v>
      </c>
      <c r="AE105">
        <v>17982</v>
      </c>
      <c r="AF105">
        <v>10</v>
      </c>
      <c r="AG105">
        <v>19980</v>
      </c>
      <c r="AH105">
        <v>10</v>
      </c>
      <c r="AI105">
        <v>19980</v>
      </c>
      <c r="AJ105">
        <v>14</v>
      </c>
      <c r="AK105">
        <v>27972</v>
      </c>
      <c r="AL105">
        <v>12</v>
      </c>
      <c r="AM105">
        <v>23976</v>
      </c>
      <c r="AN105">
        <v>10</v>
      </c>
      <c r="AO105">
        <v>19980</v>
      </c>
      <c r="AP105">
        <v>9</v>
      </c>
      <c r="AQ105">
        <v>17982</v>
      </c>
      <c r="AR105">
        <v>10</v>
      </c>
      <c r="AS105">
        <v>19980</v>
      </c>
      <c r="AT105">
        <v>10</v>
      </c>
      <c r="AU105">
        <v>19980</v>
      </c>
      <c r="AV105">
        <v>10</v>
      </c>
      <c r="AW105">
        <v>19980</v>
      </c>
      <c r="AX105">
        <v>9</v>
      </c>
      <c r="AY105">
        <v>17982</v>
      </c>
      <c r="AZ105">
        <v>17</v>
      </c>
      <c r="BA105">
        <v>33966</v>
      </c>
      <c r="BB105">
        <v>10</v>
      </c>
      <c r="BC105">
        <v>19980</v>
      </c>
      <c r="BD105">
        <v>15</v>
      </c>
      <c r="BE105">
        <v>29970</v>
      </c>
      <c r="BF105">
        <v>12</v>
      </c>
      <c r="BG105">
        <v>23976</v>
      </c>
      <c r="BH105">
        <v>10</v>
      </c>
      <c r="BI105">
        <v>19980</v>
      </c>
      <c r="BJ105">
        <v>9</v>
      </c>
      <c r="BK105">
        <v>17982</v>
      </c>
      <c r="BL105">
        <v>11</v>
      </c>
      <c r="BM105">
        <v>21978</v>
      </c>
      <c r="BN105">
        <v>9</v>
      </c>
      <c r="BO105">
        <v>17982</v>
      </c>
      <c r="BP105">
        <v>14</v>
      </c>
      <c r="BQ105">
        <v>27972</v>
      </c>
      <c r="BR105">
        <v>15</v>
      </c>
      <c r="BS105">
        <v>29970</v>
      </c>
      <c r="BT105">
        <v>15</v>
      </c>
      <c r="BU105">
        <v>29970</v>
      </c>
      <c r="BV105">
        <v>10</v>
      </c>
      <c r="BW105">
        <v>19980</v>
      </c>
      <c r="BX105">
        <v>13</v>
      </c>
      <c r="BY105">
        <v>25974</v>
      </c>
      <c r="BZ105">
        <v>15</v>
      </c>
      <c r="CA105">
        <v>29970</v>
      </c>
      <c r="CB105">
        <v>9</v>
      </c>
      <c r="CC105">
        <v>17982</v>
      </c>
      <c r="CD105">
        <v>13</v>
      </c>
      <c r="CE105">
        <v>25974</v>
      </c>
      <c r="CF105">
        <v>10</v>
      </c>
      <c r="CG105">
        <v>19980</v>
      </c>
      <c r="CH105">
        <v>14</v>
      </c>
      <c r="CI105">
        <v>27972</v>
      </c>
      <c r="CJ105">
        <v>11</v>
      </c>
      <c r="CK105">
        <v>21978</v>
      </c>
      <c r="CL105">
        <v>12</v>
      </c>
      <c r="CM105">
        <v>23976</v>
      </c>
      <c r="CN105">
        <v>11</v>
      </c>
      <c r="CO105">
        <v>21978</v>
      </c>
      <c r="CP105">
        <v>14</v>
      </c>
      <c r="CQ105">
        <v>27972</v>
      </c>
      <c r="CR105">
        <v>15</v>
      </c>
      <c r="CS105">
        <v>29970</v>
      </c>
      <c r="CT105">
        <v>16</v>
      </c>
      <c r="CU105">
        <v>31968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715</v>
      </c>
      <c r="E109">
        <f>SUM(L$6:L$19)+SUM(N$6:N$19)+SUM(P$6:P$19)+SUM(R$6:R$19)</f>
        <v>735.42634984750111</v>
      </c>
      <c r="F109">
        <f>SUM(T$6:T$19)+SUM(V$6:V$19)+SUM(X$6:X$19)+SUM(Z$6:Z$19)</f>
        <v>791.25947911073945</v>
      </c>
      <c r="G109">
        <f>SUM(AB$6:AB$19)+SUM(AD$6:AD$19)+SUM(AF$6:AF$19)+SUM(AH$6:AH$19)</f>
        <v>738.94932720180952</v>
      </c>
      <c r="H109">
        <f>SUM(AJ$6:AJ$19)+SUM(AL$6:AL$19)+SUM(AN$6:AN$19)+SUM(AP$6:AP$19)</f>
        <v>766.42664588469097</v>
      </c>
      <c r="I109">
        <f>SUM(AR$6:AR$19)+SUM(AT$6:AT$19)+SUM(AV$6:AV$19)+SUM(AX$6:AX$19)</f>
        <v>874.97456595320011</v>
      </c>
      <c r="J109">
        <f>SUM(AZ$6:AZ$19)+SUM(BB$6:BB$19)+SUM(BD$6:BD$19)+SUM(BF$6:BF$19)</f>
        <v>286.94011148695762</v>
      </c>
      <c r="K109">
        <f>SUM(BH$6:BH$19)+SUM(BJ$6:BJ$19)+SUM(BL$6:BL$19)+SUM(BN$6:BN$19)</f>
        <v>218.58254767690218</v>
      </c>
      <c r="L109">
        <f>SUM(BP$6:BP$19)+SUM(BR$6:BR$19)+SUM(BT$6:BT$19)+SUM(BV$6:BV$19)</f>
        <v>289.96462197035635</v>
      </c>
      <c r="M109">
        <f>SUM(BX$6:BX$19)+SUM(BZ$6:BZ$19)+SUM(CB$6:CB$19)+SUM(CD$6:CD$19)</f>
        <v>254.30656837137684</v>
      </c>
      <c r="N109">
        <f>SUM(CF$6:CF$19)+SUM(CH$6:CH$19)+SUM(CJ$6:CJ$19)+SUM(CL$6:CL$19)</f>
        <v>292.46949543854305</v>
      </c>
      <c r="O109">
        <f>SUM(CN$6:CN$19)+SUM(CP$6:CP$19)+SUM(CR$6:CR$19)+SUM(CT$6:CT$19)</f>
        <v>285.14770431476637</v>
      </c>
    </row>
    <row r="110" spans="2:99" x14ac:dyDescent="0.2">
      <c r="C110" s="105" t="s">
        <v>127</v>
      </c>
      <c r="D110">
        <f>SUM(D$20:D$36)+SUM(F$20:F$36)+SUM(H$20:H$36)+SUM(J$20:J$36)</f>
        <v>1380</v>
      </c>
      <c r="E110">
        <f>SUM(L$20:L$36)+SUM(N$20:N$36)+SUM(P$20:P$36)+SUM(R$20:R$36)</f>
        <v>1331.5626119580238</v>
      </c>
      <c r="F110">
        <f>SUM(T$20:T$36)+SUM(V$20:V$36)+SUM(X$20:X$36)+SUM(Z$20:Z$36)</f>
        <v>1348.7716048609473</v>
      </c>
      <c r="G110">
        <f>SUM(AB$20:AB$36)+SUM(AD$20:AD$36)+SUM(AF$20:AF$36)+SUM(AH$20:AH$36)</f>
        <v>1223.5493187023085</v>
      </c>
      <c r="H110">
        <f>SUM(AJ$20:AJ$36)+SUM(AL$20:AL$36)+SUM(AN$20:AN$36)+SUM(AP$20:AP$36)</f>
        <v>1467.6970598640253</v>
      </c>
      <c r="I110">
        <f>SUM(AR$20:AR$36)+SUM(AT$20:AT$36)+SUM(AV$20:AV$36)+SUM(AX$20:AX$36)</f>
        <v>1439.5377580558377</v>
      </c>
      <c r="J110">
        <f>SUM(AZ$20:AZ$36)+SUM(BB$20:BB$36)+SUM(BD$20:BD$36)+SUM(BF$20:BF$36)</f>
        <v>518.92143166039148</v>
      </c>
      <c r="K110">
        <f>SUM(BH$20:BH$36)+SUM(BJ$20:BJ$36)+SUM(BL$20:BL$36)+SUM(BN$20:BN$36)</f>
        <v>540.97511222063918</v>
      </c>
      <c r="L110">
        <f>SUM(BP$20:BP$36)+SUM(BR$20:BR$36)+SUM(BT$20:BT$36)+SUM(BV$20:BV$36)</f>
        <v>539.04164535681707</v>
      </c>
      <c r="M110">
        <f>SUM(BX$20:BX$36)+SUM(BZ$20:BZ$36)+SUM(CB$20:CB$36)+SUM(CD$20:CD$36)</f>
        <v>553.87824325915562</v>
      </c>
      <c r="N110">
        <f>SUM(CF$20:CF$36)+SUM(CH$20:CH$36)+SUM(CJ$20:CJ$36)+SUM(CL$20:CL$36)</f>
        <v>528.85518967256087</v>
      </c>
      <c r="O110">
        <f>SUM(CN$20:CN$36)+SUM(CP$20:CP$36)+SUM(CR$20:CR$36)+SUM(CT$20:CT$36)</f>
        <v>535.99170734209042</v>
      </c>
    </row>
    <row r="111" spans="2:99" x14ac:dyDescent="0.2">
      <c r="C111" s="105" t="s">
        <v>128</v>
      </c>
      <c r="D111">
        <f>SUM(D$37:D$48)+SUM(F$37:F$48)+SUM(H$37:H$48)+SUM(J$37:J$48)</f>
        <v>500</v>
      </c>
      <c r="E111">
        <f>SUM(L$37:L$48)+SUM(N$37:N$48)+SUM(P$37:P$48)+SUM(R$37:R$48)</f>
        <v>456.40461527101451</v>
      </c>
      <c r="F111">
        <f>SUM(T$37:T$48)+SUM(V$37:V$48)+SUM(X$37:X$48)+SUM(Z$37:Z$48)</f>
        <v>480.35084795780983</v>
      </c>
      <c r="G111">
        <f>SUM(AB$37:AB$48)+SUM(AD$37:AD$48)+SUM(AF$37:AF$48)+SUM(AH$37:AH$48)</f>
        <v>464.37261947610079</v>
      </c>
      <c r="H111">
        <f>SUM(AJ$37:AJ$48)+SUM(AL$37:AL$48)+SUM(AN$37:AN$48)+SUM(AP$37:AP$48)</f>
        <v>433.58911322627932</v>
      </c>
      <c r="I111">
        <f>SUM(AR$37:AR$48)+SUM(AT$37:AT$48)+SUM(AV$37:AV$48)+SUM(AX$37:AX$48)</f>
        <v>410.18556826146533</v>
      </c>
      <c r="J111">
        <f>SUM(AZ$37:AZ$48)+SUM(BB$37:BB$48)+SUM(BD$37:BD$48)+SUM(BF$37:BF$48)</f>
        <v>237.89790336877681</v>
      </c>
      <c r="K111">
        <f>SUM(BH$37:BH$48)+SUM(BJ$37:BJ$48)+SUM(BL$37:BL$48)+SUM(BN$37:BN$48)</f>
        <v>182.60614879456995</v>
      </c>
      <c r="L111">
        <f>SUM(BP$37:BP$48)+SUM(BR$37:BR$48)+SUM(BT$37:BT$48)+SUM(BV$37:BV$48)</f>
        <v>164.31945352162012</v>
      </c>
      <c r="M111">
        <f>SUM(BX$37:BX$48)+SUM(BZ$37:BZ$48)+SUM(CB$37:CB$48)+SUM(CD$37:CD$48)</f>
        <v>161.33361294458166</v>
      </c>
      <c r="N111">
        <f>SUM(CF$37:CF$48)+SUM(CH$37:CH$48)+SUM(CJ$37:CJ$48)+SUM(CL$37:CL$48)</f>
        <v>139.15167329191186</v>
      </c>
      <c r="O111">
        <f>SUM(CN$37:CN$48)+SUM(CP$37:CP$48)+SUM(CR$37:CR$48)+SUM(CT$37:CT$48)</f>
        <v>137.80874096122315</v>
      </c>
    </row>
    <row r="112" spans="2:99" x14ac:dyDescent="0.2">
      <c r="C112" s="105" t="s">
        <v>129</v>
      </c>
      <c r="D112">
        <f>SUM(D$49:D$70)+SUM(F$49:F$70)+SUM(H$49:H$70)+SUM(J$49:J$70)</f>
        <v>511</v>
      </c>
      <c r="E112">
        <f>SUM(L$49:L$70)+SUM(N$49:N$70)+SUM(P$49:P$70)+SUM(R$49:R$70)</f>
        <v>668.73320758201714</v>
      </c>
      <c r="F112">
        <f>SUM(T$49:T$70)+SUM(V$49:V$70)+SUM(X$49:X$70)+SUM(Z$49:Z$70)</f>
        <v>639.31315387065069</v>
      </c>
      <c r="G112">
        <f>SUM(AB$49:AB$70)+SUM(AD$49:AD$70)+SUM(AF$49:AF$70)+SUM(AH$49:AH$70)</f>
        <v>562.48827874928043</v>
      </c>
      <c r="H112">
        <f>SUM(AJ$49:AJ$70)+SUM(AL$49:AL$70)+SUM(AN$49:AN$70)+SUM(AP$49:AP$70)</f>
        <v>589.24211022973441</v>
      </c>
      <c r="I112">
        <f>SUM(AR$49:AR$70)+SUM(AT$49:AT$70)+SUM(AV$49:AV$70)+SUM(AX$49:AX$70)</f>
        <v>688.2338895131943</v>
      </c>
      <c r="J112">
        <f>SUM(AZ$49:AZ$70)+SUM(BB$49:BB$70)+SUM(BD$49:BD$70)+SUM(BF$49:BF$70)</f>
        <v>278.3260354453738</v>
      </c>
      <c r="K112">
        <f>SUM(BH$49:BH$70)+SUM(BJ$49:BJ$70)+SUM(BL$49:BL$70)+SUM(BN$49:BN$70)</f>
        <v>255.39843463214132</v>
      </c>
      <c r="L112">
        <f>SUM(BP$49:BP$70)+SUM(BR$49:BR$70)+SUM(BT$49:BT$70)+SUM(BV$49:BV$70)</f>
        <v>238.82497845878922</v>
      </c>
      <c r="M112">
        <f>SUM(BX$49:BX$70)+SUM(BZ$49:BZ$70)+SUM(CB$49:CB$70)+SUM(CD$49:CD$70)</f>
        <v>227.68863392059711</v>
      </c>
      <c r="N112">
        <f>SUM(CF$49:CF$70)+SUM(CH$49:CH$70)+SUM(CJ$49:CJ$70)+SUM(CL$49:CL$70)</f>
        <v>270.28269463707511</v>
      </c>
      <c r="O112">
        <f>SUM(CN$49:CN$70)+SUM(CP$49:CP$70)+SUM(CR$49:CR$70)+SUM(CT$49:CT$70)</f>
        <v>252.87111090666562</v>
      </c>
    </row>
    <row r="113" spans="2:15" x14ac:dyDescent="0.2">
      <c r="C113" s="105" t="s">
        <v>130</v>
      </c>
      <c r="D113">
        <f>SUM(D$71:D$86)+SUM(F$71:F$86)+SUM(H$71:H$86)+SUM(J$71:J$86)</f>
        <v>425</v>
      </c>
      <c r="E113">
        <f>SUM(L$71:L$86)+SUM(N$71:N$86)+SUM(P$71:P$86)+SUM(R$71:R$86)</f>
        <v>406</v>
      </c>
      <c r="F113">
        <f>SUM(T$71:T$86)+SUM(V$71:V$86)+SUM(X$71:X$86)+SUM(Z$71:Z$86)</f>
        <v>356</v>
      </c>
      <c r="G113">
        <f>SUM(AB$71:AB$86)+SUM(AD$71:AD$86)+SUM(AF$71:AF$86)+SUM(AH$71:AH$86)</f>
        <v>457</v>
      </c>
      <c r="H113">
        <f>SUM(AJ$71:AJ$86)+SUM(AL$71:AL$86)+SUM(AN$71:AN$86)+SUM(AP$71:AP$86)</f>
        <v>448</v>
      </c>
      <c r="I113">
        <f>SUM(AR$71:AR$86)+SUM(AT$71:AT$86)+SUM(AV$71:AV$86)+SUM(AX$71:AX$86)</f>
        <v>338</v>
      </c>
      <c r="J113">
        <f>SUM(AZ$71:AZ$86)+SUM(BB$71:BB$86)+SUM(BD$71:BD$86)+SUM(BF$71:BF$86)</f>
        <v>423</v>
      </c>
      <c r="K113">
        <f>SUM(BH$71:BH$86)+SUM(BJ$71:BJ$86)+SUM(BL$71:BL$86)+SUM(BN$71:BN$86)</f>
        <v>453</v>
      </c>
      <c r="L113">
        <f>SUM(BP$71:BP$86)+SUM(BR$71:BR$86)+SUM(BT$71:BT$86)+SUM(BV$71:BV$86)</f>
        <v>328</v>
      </c>
      <c r="M113">
        <f>SUM(BX$71:BX$86)+SUM(BZ$71:BZ$86)+SUM(CB$71:CB$86)+SUM(CD$71:CD$86)</f>
        <v>365</v>
      </c>
      <c r="N113">
        <f>SUM(CF$71:CF$86)+SUM(CH$71:CH$86)+SUM(CJ$71:CJ$86)+SUM(CL$71:CL$86)</f>
        <v>430</v>
      </c>
      <c r="O113">
        <f>SUM(CN$71:CN$86)+SUM(CP$71:CP$86)+SUM(CR$71:CR$86)+SUM(CT$71:CT$86)</f>
        <v>418</v>
      </c>
    </row>
    <row r="114" spans="2:15" x14ac:dyDescent="0.2">
      <c r="C114" s="105" t="s">
        <v>131</v>
      </c>
      <c r="D114">
        <f>SUM(D$87:D$94)+SUM(F$87:F$94)+SUM(H$87:H$94)+SUM(J$87:J$94)</f>
        <v>136</v>
      </c>
      <c r="E114">
        <f>SUM(L$87:L$94)+SUM(N$87:N$94)+SUM(P$87:P$94)+SUM(R$87:R$94)</f>
        <v>143</v>
      </c>
      <c r="F114">
        <f>SUM(T$87:T$94)+SUM(V$87:V$94)+SUM(X$87:X$94)+SUM(Z$87:Z$94)</f>
        <v>125</v>
      </c>
      <c r="G114">
        <f>SUM(AB$87:AB$94)+SUM(AD$87:AD$94)+SUM(AF$87:AF$94)+SUM(AH$87:AH$94)</f>
        <v>150</v>
      </c>
      <c r="H114">
        <f>SUM(AJ$87:AJ$94)+SUM(AL$87:AL$94)+SUM(AN$87:AN$94)+SUM(AP$87:AP$94)</f>
        <v>138</v>
      </c>
      <c r="I114">
        <f>SUM(AR$87:AR$94)+SUM(AT$87:AT$94)+SUM(AV$87:AV$94)+SUM(AX$87:AX$94)</f>
        <v>160</v>
      </c>
      <c r="J114">
        <f>SUM(AZ$87:AZ$94)+SUM(BB$87:BB$94)+SUM(BD$87:BD$94)+SUM(BF$87:BF$94)</f>
        <v>141</v>
      </c>
      <c r="K114">
        <f>SUM(BH$87:BH$94)+SUM(BJ$87:BJ$94)+SUM(BL$87:BL$94)+SUM(BN$87:BN$94)</f>
        <v>133</v>
      </c>
      <c r="L114">
        <f>SUM(BP$87:BP$94)+SUM(BR$87:BR$94)+SUM(BT$87:BT$94)+SUM(BV$87:BV$94)</f>
        <v>143</v>
      </c>
      <c r="M114">
        <f>SUM(BX$87:BX$94)+SUM(BZ$87:BZ$94)+SUM(CB$87:CB$94)+SUM(CD$87:CD$94)</f>
        <v>138</v>
      </c>
      <c r="N114">
        <f>SUM(CF$87:CF$94)+SUM(CH$87:CH$94)+SUM(CJ$87:CJ$94)+SUM(CL$87:CL$94)</f>
        <v>169</v>
      </c>
      <c r="O114">
        <f>SUM(CN$87:CN$94)+SUM(CP$87:CP$94)+SUM(CR$87:CR$94)+SUM(CT$87:CT$94)</f>
        <v>175</v>
      </c>
    </row>
    <row r="115" spans="2:15" x14ac:dyDescent="0.2">
      <c r="C115" s="105" t="s">
        <v>132</v>
      </c>
      <c r="D115">
        <f>SUM(D$95:D$105)+SUM(F$95:F$105)+SUM(H$95:H$105)+SUM(J$95:J$105)</f>
        <v>509</v>
      </c>
      <c r="E115">
        <f>SUM(L$95:L$105)+SUM(N$95:N$105)+SUM(P$95:P$105)+SUM(R$95:R$105)</f>
        <v>470</v>
      </c>
      <c r="F115">
        <f>SUM(T$95:T$105)+SUM(V$95:V$105)+SUM(X$95:X$105)+SUM(Z$95:Z$105)</f>
        <v>472</v>
      </c>
      <c r="G115">
        <f>SUM(AB$95:AB$105)+SUM(AD$95:AD$105)+SUM(AF$95:AF$105)+SUM(AH$95:AH$105)</f>
        <v>442</v>
      </c>
      <c r="H115">
        <f>SUM(AJ$95:AJ$105)+SUM(AL$95:AL$105)+SUM(AN$95:AN$105)+SUM(AP$95:AP$105)</f>
        <v>484</v>
      </c>
      <c r="I115">
        <f>SUM(AR$95:AR$105)+SUM(AT$95:AT$105)+SUM(AV$95:AV$105)+SUM(AX$95:AX$105)</f>
        <v>436</v>
      </c>
      <c r="J115">
        <f>SUM(AZ$95:AZ$105)+SUM(BB$95:BB$105)+SUM(BD$95:BD$105)+SUM(BF$95:BF$105)</f>
        <v>588</v>
      </c>
      <c r="K115">
        <f>SUM(BH$95:BH$105)+SUM(BJ$95:BJ$105)+SUM(BL$95:BL$105)+SUM(BN$95:BN$105)</f>
        <v>414</v>
      </c>
      <c r="L115">
        <f>SUM(BP$95:BP$105)+SUM(BR$95:BR$105)+SUM(BT$95:BT$105)+SUM(BV$95:BV$105)</f>
        <v>610</v>
      </c>
      <c r="M115">
        <f>SUM(BX$95:BX$105)+SUM(BZ$95:BZ$105)+SUM(CB$95:CB$105)+SUM(CD$95:CD$105)</f>
        <v>569</v>
      </c>
      <c r="N115">
        <f>SUM(CF$95:CF$105)+SUM(CH$95:CH$105)+SUM(CJ$95:CJ$105)+SUM(CL$95:CL$105)</f>
        <v>539</v>
      </c>
      <c r="O115">
        <f>SUM(CN$95:CN$105)+SUM(CP$95:CP$105)+SUM(CR$95:CR$105)+SUM(CT$95:CT$105)</f>
        <v>631</v>
      </c>
    </row>
    <row r="116" spans="2:15" x14ac:dyDescent="0.2">
      <c r="C116" s="105" t="s">
        <v>278</v>
      </c>
      <c r="D116">
        <f t="shared" ref="D116:O116" si="0">SUM(D$109:D$115)</f>
        <v>4176</v>
      </c>
      <c r="E116">
        <f t="shared" si="0"/>
        <v>4211.1267846585561</v>
      </c>
      <c r="F116">
        <f t="shared" si="0"/>
        <v>4212.6950858001474</v>
      </c>
      <c r="G116">
        <f t="shared" si="0"/>
        <v>4038.3595441294992</v>
      </c>
      <c r="H116">
        <f t="shared" si="0"/>
        <v>4326.9549292047304</v>
      </c>
      <c r="I116">
        <f t="shared" si="0"/>
        <v>4346.9317817836982</v>
      </c>
      <c r="J116">
        <f t="shared" si="0"/>
        <v>2474.0854819614997</v>
      </c>
      <c r="K116">
        <f t="shared" si="0"/>
        <v>2197.5622433242524</v>
      </c>
      <c r="L116">
        <f t="shared" si="0"/>
        <v>2313.1506993075827</v>
      </c>
      <c r="M116">
        <f t="shared" si="0"/>
        <v>2269.2070584957114</v>
      </c>
      <c r="N116">
        <f t="shared" si="0"/>
        <v>2368.7590530400907</v>
      </c>
      <c r="O116">
        <f t="shared" si="0"/>
        <v>2435.8192635247456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D109*pricing!D24*2000</f>
        <v>3442724.9999999995</v>
      </c>
      <c r="E120">
        <f>E109*pricing!E24*2000</f>
        <v>3541077.8745157178</v>
      </c>
      <c r="F120">
        <f>F109*pricing!F24*2000</f>
        <v>3809914.3919182103</v>
      </c>
      <c r="G120">
        <f>G109*pricing!G24*2000</f>
        <v>3558041.0104767126</v>
      </c>
      <c r="H120">
        <f>H109*pricing!H24*2000</f>
        <v>3690344.2999347867</v>
      </c>
      <c r="I120">
        <f>I109*pricing!I24*2000</f>
        <v>4213002.5350646582</v>
      </c>
      <c r="J120">
        <f>J109*pricing!J24*2000</f>
        <v>1381616.6368097009</v>
      </c>
      <c r="K120">
        <f>K109*pricing!K24*2000</f>
        <v>1052474.9670642838</v>
      </c>
      <c r="L120">
        <f>L109*pricing!L24*2000</f>
        <v>1396179.6547872657</v>
      </c>
      <c r="M120">
        <f>M109*pricing!M24*2000</f>
        <v>1224486.1267081795</v>
      </c>
      <c r="N120">
        <f>N109*pricing!N24*2000</f>
        <v>1408240.6205365846</v>
      </c>
      <c r="O120">
        <f>O109*pricing!O24*2000</f>
        <v>1372986.1962756</v>
      </c>
    </row>
    <row r="121" spans="2:15" x14ac:dyDescent="0.2">
      <c r="C121" s="105" t="s">
        <v>127</v>
      </c>
      <c r="D121">
        <f>D110*pricing!D25*2000</f>
        <v>6644699.9999999991</v>
      </c>
      <c r="E121">
        <f>E110*pricing!E25*2000</f>
        <v>6411473.9765778845</v>
      </c>
      <c r="F121">
        <f>F110*pricing!F25*2000</f>
        <v>6494335.2774054604</v>
      </c>
      <c r="G121">
        <f>G110*pricing!G25*2000</f>
        <v>5891389.9695516145</v>
      </c>
      <c r="H121">
        <f>H110*pricing!H25*2000</f>
        <v>7066961.3432452809</v>
      </c>
      <c r="I121">
        <f>I110*pricing!I25*2000</f>
        <v>6931374.3050388573</v>
      </c>
      <c r="J121">
        <f>J110*pricing!J25*2000</f>
        <v>2498606.6934447847</v>
      </c>
      <c r="K121">
        <f>K110*pricing!K25*2000</f>
        <v>2604795.1653423775</v>
      </c>
      <c r="L121">
        <f>L110*pricing!L25*2000</f>
        <v>2595485.5223930739</v>
      </c>
      <c r="M121">
        <f>M110*pricing!M25*2000</f>
        <v>2666923.7412928343</v>
      </c>
      <c r="N121">
        <f>N110*pricing!N25*2000</f>
        <v>2546437.7382733803</v>
      </c>
      <c r="O121">
        <f>O110*pricing!O25*2000</f>
        <v>2580800.0708521651</v>
      </c>
    </row>
    <row r="122" spans="2:15" x14ac:dyDescent="0.2">
      <c r="C122" s="105" t="s">
        <v>128</v>
      </c>
      <c r="D122">
        <f>D111*pricing!D26*2000</f>
        <v>2763750</v>
      </c>
      <c r="E122">
        <f>E111*pricing!E26*2000</f>
        <v>2522776.5109105324</v>
      </c>
      <c r="F122">
        <f>F111*pricing!F26*2000</f>
        <v>2655139.3120867936</v>
      </c>
      <c r="G122">
        <f>G111*pricing!G26*2000</f>
        <v>2566819.654154147</v>
      </c>
      <c r="H122">
        <f>H111*pricing!H26*2000</f>
        <v>2396663.8233582587</v>
      </c>
      <c r="I122">
        <f>I111*pricing!I26*2000</f>
        <v>2267300.7285652496</v>
      </c>
      <c r="J122">
        <f>J111*pricing!J26*2000</f>
        <v>1314980.6608709139</v>
      </c>
      <c r="K122">
        <f>K111*pricing!K26*2000</f>
        <v>1009355.4874619853</v>
      </c>
      <c r="L122">
        <f>L111*pricing!L26*2000</f>
        <v>908275.77934075519</v>
      </c>
      <c r="M122">
        <f>M111*pricing!M26*2000</f>
        <v>891771.54555117514</v>
      </c>
      <c r="N122">
        <f>N111*pricing!N26*2000</f>
        <v>769160.87412104278</v>
      </c>
      <c r="O122">
        <f>O111*pricing!O26*2000</f>
        <v>761737.81566316099</v>
      </c>
    </row>
    <row r="123" spans="2:15" x14ac:dyDescent="0.2">
      <c r="C123" s="105" t="s">
        <v>129</v>
      </c>
      <c r="D123">
        <f>D112*pricing!D27*2000</f>
        <v>2897370</v>
      </c>
      <c r="E123">
        <f>E112*pricing!E27*2000</f>
        <v>3791717.2869900372</v>
      </c>
      <c r="F123">
        <f>F112*pricing!F27*2000</f>
        <v>3624905.5824465896</v>
      </c>
      <c r="G123">
        <f>G112*pricing!G27*2000</f>
        <v>3189308.5405084197</v>
      </c>
      <c r="H123">
        <f>H112*pricing!H27*2000</f>
        <v>3341002.7650025939</v>
      </c>
      <c r="I123">
        <f>I112*pricing!I27*2000</f>
        <v>3902286.1535398113</v>
      </c>
      <c r="J123">
        <f>J112*pricing!J27*2000</f>
        <v>1578108.6209752695</v>
      </c>
      <c r="K123">
        <f>K112*pricing!K27*2000</f>
        <v>1448109.1243642413</v>
      </c>
      <c r="L123">
        <f>L112*pricing!L27*2000</f>
        <v>1354137.6278613347</v>
      </c>
      <c r="M123">
        <f>M112*pricing!M27*2000</f>
        <v>1290994.5543297855</v>
      </c>
      <c r="N123">
        <f>N112*pricing!N27*2000</f>
        <v>1532502.8785922159</v>
      </c>
      <c r="O123">
        <f>O112*pricing!O27*2000</f>
        <v>1433779.1988407942</v>
      </c>
    </row>
    <row r="124" spans="2:15" x14ac:dyDescent="0.2">
      <c r="C124" s="105" t="s">
        <v>130</v>
      </c>
      <c r="D124">
        <f>D113*pricing!D28*2000</f>
        <v>2409750</v>
      </c>
      <c r="E124">
        <f>E113*pricing!E28*2000</f>
        <v>2302020</v>
      </c>
      <c r="F124">
        <f>F113*pricing!F28*2000</f>
        <v>2018520</v>
      </c>
      <c r="G124">
        <f>G113*pricing!G28*2000</f>
        <v>2591190</v>
      </c>
      <c r="H124">
        <f>H113*pricing!H28*2000</f>
        <v>2540160</v>
      </c>
      <c r="I124">
        <f>I113*pricing!I28*2000</f>
        <v>1916460</v>
      </c>
      <c r="J124">
        <f>J113*pricing!J28*2000</f>
        <v>2398410</v>
      </c>
      <c r="K124">
        <f>K113*pricing!K28*2000</f>
        <v>2568509.9999999995</v>
      </c>
      <c r="L124">
        <f>L113*pricing!L28*2000</f>
        <v>1859760</v>
      </c>
      <c r="M124">
        <f>M113*pricing!M28*2000</f>
        <v>2069550.0000000002</v>
      </c>
      <c r="N124">
        <f>N113*pricing!N28*2000</f>
        <v>2438100</v>
      </c>
      <c r="O124">
        <f>O113*pricing!O28*2000</f>
        <v>2370060</v>
      </c>
    </row>
    <row r="125" spans="2:15" x14ac:dyDescent="0.2">
      <c r="C125" s="105" t="s">
        <v>131</v>
      </c>
      <c r="D125">
        <f>D114*pricing!D29*2000</f>
        <v>891943.04392229498</v>
      </c>
      <c r="E125">
        <f>E114*pricing!E29*2000</f>
        <v>937851.87706535426</v>
      </c>
      <c r="F125">
        <f>F114*pricing!F29*2000</f>
        <v>819800.59184034471</v>
      </c>
      <c r="G125">
        <f>G114*pricing!G29*2000</f>
        <v>983760.71020841366</v>
      </c>
      <c r="H125">
        <f>H114*pricing!H29*2000</f>
        <v>905059.85339174059</v>
      </c>
      <c r="I125">
        <f>I114*pricing!I29*2000</f>
        <v>1049344.7575556412</v>
      </c>
      <c r="J125">
        <f>J114*pricing!J29*2000</f>
        <v>924735.06759590888</v>
      </c>
      <c r="K125">
        <f>K114*pricing!K29*2000</f>
        <v>872267.8297181268</v>
      </c>
      <c r="L125">
        <f>L114*pricing!L29*2000</f>
        <v>937851.87706535426</v>
      </c>
      <c r="M125">
        <f>M114*pricing!M29*2000</f>
        <v>905059.85339174059</v>
      </c>
      <c r="N125">
        <f>N114*pricing!N29*2000</f>
        <v>1108370.400168146</v>
      </c>
      <c r="O125">
        <f>O114*pricing!O29*2000</f>
        <v>1147720.8285764826</v>
      </c>
    </row>
    <row r="126" spans="2:15" x14ac:dyDescent="0.2">
      <c r="C126" s="105" t="s">
        <v>132</v>
      </c>
      <c r="D126">
        <f>D115*pricing!D30*2000</f>
        <v>2672250</v>
      </c>
      <c r="E126">
        <f>E115*pricing!E30*2000</f>
        <v>2467500</v>
      </c>
      <c r="F126">
        <f>F115*pricing!F30*2000</f>
        <v>2478000</v>
      </c>
      <c r="G126">
        <f>G115*pricing!G30*2000</f>
        <v>2320500</v>
      </c>
      <c r="H126">
        <f>H115*pricing!H30*2000</f>
        <v>2541000</v>
      </c>
      <c r="I126">
        <f>I115*pricing!I30*2000</f>
        <v>2289000</v>
      </c>
      <c r="J126">
        <f>J115*pricing!J30*2000</f>
        <v>3087000</v>
      </c>
      <c r="K126">
        <f>K115*pricing!K30*2000</f>
        <v>2173500</v>
      </c>
      <c r="L126">
        <f>L115*pricing!L30*2000</f>
        <v>3202500</v>
      </c>
      <c r="M126">
        <f>M115*pricing!M30*2000</f>
        <v>2987250</v>
      </c>
      <c r="N126">
        <f>N115*pricing!N30*2000</f>
        <v>2829750</v>
      </c>
      <c r="O126">
        <f>O115*pricing!O30*2000</f>
        <v>3312750</v>
      </c>
    </row>
    <row r="127" spans="2:15" x14ac:dyDescent="0.2">
      <c r="C127" s="105" t="s">
        <v>278</v>
      </c>
      <c r="D127">
        <f t="shared" ref="D127:O127" si="1">SUM(D$120:D$126)</f>
        <v>21722488.043922294</v>
      </c>
      <c r="E127">
        <f t="shared" si="1"/>
        <v>21974417.526059523</v>
      </c>
      <c r="F127">
        <f t="shared" si="1"/>
        <v>21900615.155697402</v>
      </c>
      <c r="G127">
        <f t="shared" si="1"/>
        <v>21101009.884899307</v>
      </c>
      <c r="H127">
        <f t="shared" si="1"/>
        <v>22481192.084932659</v>
      </c>
      <c r="I127">
        <f t="shared" si="1"/>
        <v>22568768.479764216</v>
      </c>
      <c r="J127">
        <f t="shared" si="1"/>
        <v>13183457.679696577</v>
      </c>
      <c r="K127">
        <f t="shared" si="1"/>
        <v>11729012.573951013</v>
      </c>
      <c r="L127">
        <f t="shared" si="1"/>
        <v>12254190.461447785</v>
      </c>
      <c r="M127">
        <f t="shared" si="1"/>
        <v>12036035.821273716</v>
      </c>
      <c r="N127">
        <f t="shared" si="1"/>
        <v>12632562.511691369</v>
      </c>
      <c r="O127">
        <f t="shared" si="1"/>
        <v>12979834.110208202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360430.8</v>
      </c>
      <c r="E131" s="110">
        <f>SUM(M$6:M$19)+SUM(O$6:O$19)+SUM(Q$6:Q$19)+SUM(S$6:S$19)</f>
        <v>370569.18317776389</v>
      </c>
      <c r="F131" s="110">
        <f>SUM(U$6:U$19)+SUM(W$6:W$19)+SUM(Y$6:Y$19)+SUM(AA$6:AA$19)</f>
        <v>401075.98256696388</v>
      </c>
      <c r="G131" s="110">
        <f>SUM(AC$6:AC$19)+SUM(AE$6:AE$19)+SUM(AG$6:AG$19)+SUM(AI$6:AI$19)</f>
        <v>375654.27749153716</v>
      </c>
      <c r="H131" s="110">
        <f>SUM(AK$6:AK$19)+SUM(AM$6:AM$19)+SUM(AO$6:AO$19)+SUM(AQ$6:AQ$19)</f>
        <v>387237.66320529848</v>
      </c>
      <c r="I131" s="110">
        <f>SUM(AS$6:AS$19)+SUM(AU$6:AU$19)+SUM(AW$6:AW$19)+SUM(AY$6:AY$19)</f>
        <v>440781.97502722515</v>
      </c>
      <c r="J131" s="110">
        <f>SUM(BA$6:BA$19)+SUM(BC$6:BC$19)+SUM(BE$6:BE$19)+SUM(BG$6:BG$19)</f>
        <v>144324.85084612144</v>
      </c>
      <c r="K131" s="110">
        <f>SUM(BI$6:BI$19)+SUM(BK$6:BK$19)+SUM(BM$6:BM$19)+SUM(BO$6:BO$19)</f>
        <v>109968.98758861382</v>
      </c>
      <c r="L131" s="110">
        <f>SUM(BQ$6:BQ$19)+SUM(BS$6:BS$19)+SUM(BU$6:BU$19)+SUM(BW$6:BW$19)</f>
        <v>146163.42297982762</v>
      </c>
      <c r="M131" s="110">
        <f>SUM(BY$6:BY$19)+SUM(CA$6:CA$19)+SUM(CC$6:CC$19)+SUM(CE$6:CE$19)</f>
        <v>128123.02503927144</v>
      </c>
      <c r="N131" s="110">
        <f>SUM(CG$6:CG$19)+SUM(CI$6:CI$19)+SUM(CK$6:CK$19)+SUM(CM$6:CM$19)</f>
        <v>147603.18698197216</v>
      </c>
      <c r="O131" s="110">
        <f>SUM(CO$6:CO$19)+SUM(CQ$6:CQ$19)+SUM(CS$6:CS$19)+SUM(CU$6:CU$19)</f>
        <v>144553.45340707761</v>
      </c>
    </row>
    <row r="132" spans="2:15" x14ac:dyDescent="0.2">
      <c r="C132" s="109" t="s">
        <v>127</v>
      </c>
      <c r="D132" s="110">
        <f>SUM(E$20:E$36)+SUM(G$20:G$36)+SUM(I$20:I$36)+SUM(K$20:K$36)</f>
        <v>589281.60000000009</v>
      </c>
      <c r="E132" s="110">
        <f>SUM(M$20:M$36)+SUM(O$20:O$36)+SUM(Q$20:Q$36)+SUM(S$20:S$36)</f>
        <v>564644.73386649904</v>
      </c>
      <c r="F132" s="110">
        <f>SUM(U$20:U$36)+SUM(W$20:W$36)+SUM(Y$20:Y$36)+SUM(AA$20:AA$36)</f>
        <v>575005.20969560219</v>
      </c>
      <c r="G132" s="110">
        <f>SUM(AC$20:AC$36)+SUM(AE$20:AE$36)+SUM(AG$20:AG$36)+SUM(AI$20:AI$36)</f>
        <v>523026.42770070396</v>
      </c>
      <c r="H132" s="110">
        <f>SUM(AK$20:AK$36)+SUM(AM$20:AM$36)+SUM(AO$20:AO$36)+SUM(AQ$20:AQ$36)</f>
        <v>629299.27196472033</v>
      </c>
      <c r="I132" s="110">
        <f>SUM(AS$20:AS$36)+SUM(AU$20:AU$36)+SUM(AW$20:AW$36)+SUM(AY$20:AY$36)</f>
        <v>613772.78446585266</v>
      </c>
      <c r="J132" s="110">
        <f>SUM(BA$20:BA$36)+SUM(BC$20:BC$36)+SUM(BE$20:BE$36)+SUM(BG$20:BG$36)</f>
        <v>220435.64783836436</v>
      </c>
      <c r="K132" s="110">
        <f>SUM(BI$20:BI$36)+SUM(BK$20:BK$36)+SUM(BM$20:BM$36)+SUM(BO$20:BO$36)</f>
        <v>230000.0976286387</v>
      </c>
      <c r="L132" s="110">
        <f>SUM(BQ$20:BQ$36)+SUM(BS$20:BS$36)+SUM(BU$20:BU$36)+SUM(BW$20:BW$36)</f>
        <v>230419.11351379257</v>
      </c>
      <c r="M132" s="110">
        <f>SUM(BY$20:BY$36)+SUM(CA$20:CA$36)+SUM(CC$20:CC$36)+SUM(CE$20:CE$36)</f>
        <v>236351.18052841449</v>
      </c>
      <c r="N132" s="110">
        <f>SUM(CG$20:CG$36)+SUM(CI$20:CI$36)+SUM(CK$20:CK$36)+SUM(CM$20:CM$36)</f>
        <v>225174.22404842687</v>
      </c>
      <c r="O132" s="110">
        <f>SUM(CO$20:CO$36)+SUM(CQ$20:CQ$36)+SUM(CS$20:CS$36)+SUM(CU$20:CU$36)</f>
        <v>228948.65812889196</v>
      </c>
    </row>
    <row r="133" spans="2:15" x14ac:dyDescent="0.2">
      <c r="C133" s="109" t="s">
        <v>128</v>
      </c>
      <c r="D133" s="110">
        <f>SUM(E$37:E$48)+SUM(G$37:G$48)+SUM(I$37:I$48)+SUM(K$37:K$48)</f>
        <v>526486.79999999993</v>
      </c>
      <c r="E133" s="110">
        <f>SUM(M$37:M$48)+SUM(O$37:O$48)+SUM(Q$37:Q$48)+SUM(S$37:S$48)</f>
        <v>478849.96129392821</v>
      </c>
      <c r="F133" s="110">
        <f>SUM(U$37:U$48)+SUM(W$37:W$48)+SUM(Y$37:Y$48)+SUM(AA$37:AA$48)</f>
        <v>501656.17479062482</v>
      </c>
      <c r="G133" s="110">
        <f>SUM(AC$37:AC$48)+SUM(AE$37:AE$48)+SUM(AG$37:AG$48)+SUM(AI$37:AI$48)</f>
        <v>489263.16822964372</v>
      </c>
      <c r="H133" s="110">
        <f>SUM(AK$37:AK$48)+SUM(AM$37:AM$48)+SUM(AO$37:AO$48)+SUM(AQ$37:AQ$48)</f>
        <v>455251.39232759876</v>
      </c>
      <c r="I133" s="110">
        <f>SUM(AS$37:AS$48)+SUM(AU$37:AU$48)+SUM(AW$37:AW$48)+SUM(AY$37:AY$48)</f>
        <v>432243.0541552506</v>
      </c>
      <c r="J133" s="110">
        <f>SUM(BA$37:BA$48)+SUM(BC$37:BC$48)+SUM(BE$37:BE$48)+SUM(BG$37:BG$48)</f>
        <v>250095.42711873518</v>
      </c>
      <c r="K133" s="110">
        <f>SUM(BI$37:BI$48)+SUM(BK$37:BK$48)+SUM(BM$37:BM$48)+SUM(BO$37:BO$48)</f>
        <v>191630.54072175498</v>
      </c>
      <c r="L133" s="110">
        <f>SUM(BQ$37:BQ$48)+SUM(BS$37:BS$48)+SUM(BU$37:BU$48)+SUM(BW$37:BW$48)</f>
        <v>172572.79330122677</v>
      </c>
      <c r="M133" s="110">
        <f>SUM(BY$37:BY$48)+SUM(CA$37:CA$48)+SUM(CC$37:CC$48)+SUM(CE$37:CE$48)</f>
        <v>169185.01475374121</v>
      </c>
      <c r="N133" s="110">
        <f>SUM(CG$37:CG$48)+SUM(CI$37:CI$48)+SUM(CK$37:CK$48)+SUM(CM$37:CM$48)</f>
        <v>146209.45924469491</v>
      </c>
      <c r="O133" s="110">
        <f>SUM(CO$37:CO$48)+SUM(CQ$37:CQ$48)+SUM(CS$37:CS$48)+SUM(CU$37:CU$48)</f>
        <v>144980.91313761892</v>
      </c>
    </row>
    <row r="134" spans="2:15" x14ac:dyDescent="0.2">
      <c r="C134" s="109" t="s">
        <v>129</v>
      </c>
      <c r="D134" s="110">
        <f>SUM(E$49:E$70)+SUM(G$49:G$70)+SUM(I$49:I$70)+SUM(K$49:K$70)</f>
        <v>433420.79999999993</v>
      </c>
      <c r="E134" s="110">
        <f>SUM(M$49:M$70)+SUM(O$49:O$70)+SUM(Q$49:Q$70)+SUM(S$49:S$70)</f>
        <v>565479.71569129569</v>
      </c>
      <c r="F134" s="110">
        <f>SUM(U$49:U$70)+SUM(W$49:W$70)+SUM(Y$49:Y$70)+SUM(AA$49:AA$70)</f>
        <v>543745.43561589008</v>
      </c>
      <c r="G134" s="110">
        <f>SUM(AC$49:AC$70)+SUM(AE$49:AE$70)+SUM(AG$49:AG$70)+SUM(AI$49:AI$70)</f>
        <v>477477.10524750524</v>
      </c>
      <c r="H134" s="110">
        <f>SUM(AK$49:AK$70)+SUM(AM$49:AM$70)+SUM(AO$49:AO$70)+SUM(AQ$49:AQ$70)</f>
        <v>499533.85409361572</v>
      </c>
      <c r="I134" s="110">
        <f>SUM(AS$49:AS$70)+SUM(AU$49:AU$70)+SUM(AW$49:AW$70)+SUM(AY$49:AY$70)</f>
        <v>581416.05121654295</v>
      </c>
      <c r="J134" s="110">
        <f>SUM(BA$49:BA$70)+SUM(BC$49:BC$70)+SUM(BE$49:BE$70)+SUM(BG$49:BG$70)</f>
        <v>249170.61670361029</v>
      </c>
      <c r="K134" s="110">
        <f>SUM(BI$49:BI$70)+SUM(BK$49:BK$70)+SUM(BM$49:BM$70)+SUM(BO$49:BO$70)</f>
        <v>229128.0065815085</v>
      </c>
      <c r="L134" s="110">
        <f>SUM(BQ$49:BQ$70)+SUM(BS$49:BS$70)+SUM(BU$49:BU$70)+SUM(BW$49:BW$70)</f>
        <v>214295.77977840096</v>
      </c>
      <c r="M134" s="110">
        <f>SUM(BY$49:BY$70)+SUM(CA$49:CA$70)+SUM(CC$49:CC$70)+SUM(CE$49:CE$70)</f>
        <v>205835.97180311568</v>
      </c>
      <c r="N134" s="110">
        <f>SUM(CG$49:CG$70)+SUM(CI$49:CI$70)+SUM(CK$49:CK$70)+SUM(CM$49:CM$70)</f>
        <v>242835.29648499002</v>
      </c>
      <c r="O134" s="110">
        <f>SUM(CO$49:CO$70)+SUM(CQ$49:CQ$70)+SUM(CS$49:CS$70)+SUM(CU$49:CU$70)</f>
        <v>230018.2149679109</v>
      </c>
    </row>
    <row r="135" spans="2:15" x14ac:dyDescent="0.2">
      <c r="C135" s="109" t="s">
        <v>130</v>
      </c>
      <c r="D135" s="110">
        <f>SUM(E$71:E$86)+SUM(G$71:G$86)+SUM(I$71:I$86)+SUM(K$71:K$86)</f>
        <v>238435.20000000001</v>
      </c>
      <c r="E135" s="110">
        <f>SUM(M$71:M$86)+SUM(O$71:O$86)+SUM(Q$71:Q$86)+SUM(S$71:S$86)</f>
        <v>227167.19999999995</v>
      </c>
      <c r="F135" s="110">
        <f>SUM(U$71:U$86)+SUM(W$71:W$86)+SUM(Y$71:Y$86)+SUM(AA$71:AA$86)</f>
        <v>199605.6</v>
      </c>
      <c r="G135" s="110">
        <f>SUM(AC$71:AC$86)+SUM(AE$71:AE$86)+SUM(AG$71:AG$86)+SUM(AI$71:AI$86)</f>
        <v>256240.80000000002</v>
      </c>
      <c r="H135" s="110">
        <f>SUM(AK$71:AK$86)+SUM(AM$71:AM$86)+SUM(AO$71:AO$86)+SUM(AQ$71:AQ$86)</f>
        <v>248998.80000000002</v>
      </c>
      <c r="I135" s="110">
        <f>SUM(AS$71:AS$86)+SUM(AU$71:AU$86)+SUM(AW$71:AW$86)+SUM(AY$71:AY$86)</f>
        <v>188370</v>
      </c>
      <c r="J135" s="110">
        <f>SUM(BA$71:BA$86)+SUM(BC$71:BC$86)+SUM(BE$71:BE$86)+SUM(BG$71:BG$86)</f>
        <v>236541.59999999998</v>
      </c>
      <c r="K135" s="110">
        <f>SUM(BI$71:BI$86)+SUM(BK$71:BK$86)+SUM(BM$71:BM$86)+SUM(BO$71:BO$86)</f>
        <v>253976.39999999997</v>
      </c>
      <c r="L135" s="110">
        <f>SUM(BQ$71:BQ$86)+SUM(BS$71:BS$86)+SUM(BU$71:BU$86)+SUM(BW$71:BW$86)</f>
        <v>184798.80000000002</v>
      </c>
      <c r="M135" s="110">
        <f>SUM(BY$71:BY$86)+SUM(CA$71:CA$86)+SUM(CC$71:CC$86)+SUM(CE$71:CE$86)</f>
        <v>204429.6</v>
      </c>
      <c r="N135" s="110">
        <f>SUM(CG$71:CG$86)+SUM(CI$71:CI$86)+SUM(CK$71:CK$86)+SUM(CM$71:CM$86)</f>
        <v>241467.6</v>
      </c>
      <c r="O135" s="110">
        <f>SUM(CO$71:CO$86)+SUM(CQ$71:CQ$86)+SUM(CS$71:CS$86)+SUM(CU$71:CU$86)</f>
        <v>232930.8</v>
      </c>
    </row>
    <row r="136" spans="2:15" x14ac:dyDescent="0.2">
      <c r="C136" s="109" t="s">
        <v>131</v>
      </c>
      <c r="D136" s="110">
        <f>SUM(E$87:E$94)+SUM(G$87:G$94)+SUM(I$87:I$94)+SUM(K$87:K$94)</f>
        <v>278823.59999999998</v>
      </c>
      <c r="E136" s="110">
        <f>SUM(M$87:M$94)+SUM(O$87:O$94)+SUM(Q$87:Q$94)+SUM(S$87:S$94)</f>
        <v>291121.19999999995</v>
      </c>
      <c r="F136" s="110">
        <f>SUM(U$87:U$94)+SUM(W$87:W$94)+SUM(Y$87:Y$94)+SUM(AA$87:AA$94)</f>
        <v>255075.59999999998</v>
      </c>
      <c r="G136" s="110">
        <f>SUM(AC$87:AC$94)+SUM(AE$87:AE$94)+SUM(AG$87:AG$94)+SUM(AI$87:AI$94)</f>
        <v>305942.40000000002</v>
      </c>
      <c r="H136" s="110">
        <f>SUM(AK$87:AK$94)+SUM(AM$87:AM$94)+SUM(AO$87:AO$94)+SUM(AQ$87:AQ$94)</f>
        <v>282384</v>
      </c>
      <c r="I136" s="110">
        <f>SUM(AS$87:AS$94)+SUM(AU$87:AU$94)+SUM(AW$87:AW$94)+SUM(AY$87:AY$94)</f>
        <v>323946</v>
      </c>
      <c r="J136" s="110">
        <f>SUM(BA$87:BA$94)+SUM(BC$87:BC$94)+SUM(BE$87:BE$94)+SUM(BG$87:BG$94)</f>
        <v>287767.19999999995</v>
      </c>
      <c r="K136" s="110">
        <f>SUM(BI$87:BI$94)+SUM(BK$87:BK$94)+SUM(BM$87:BM$94)+SUM(BO$87:BO$94)</f>
        <v>269749.2</v>
      </c>
      <c r="L136" s="110">
        <f>SUM(BQ$87:BQ$94)+SUM(BS$87:BS$94)+SUM(BU$87:BU$94)+SUM(BW$87:BW$94)</f>
        <v>289441.19999999995</v>
      </c>
      <c r="M136" s="110">
        <f>SUM(BY$87:BY$94)+SUM(CA$87:CA$94)+SUM(CC$87:CC$94)+SUM(CE$87:CE$94)</f>
        <v>279680.39999999997</v>
      </c>
      <c r="N136" s="110">
        <f>SUM(CG$87:CG$94)+SUM(CI$87:CI$94)+SUM(CK$87:CK$94)+SUM(CM$87:CM$94)</f>
        <v>343348.8</v>
      </c>
      <c r="O136" s="110">
        <f>SUM(CO$87:CO$94)+SUM(CQ$87:CQ$94)+SUM(CS$87:CS$94)+SUM(CU$87:CU$94)</f>
        <v>355835.99999999994</v>
      </c>
    </row>
    <row r="137" spans="2:15" x14ac:dyDescent="0.2">
      <c r="C137" s="109" t="s">
        <v>132</v>
      </c>
      <c r="D137" s="110">
        <f>SUM(E$95:E$105)+SUM(G$95:G$105)+SUM(I$95:I$105)+SUM(K$95:K$105)</f>
        <v>961447.2</v>
      </c>
      <c r="E137" s="110">
        <f>SUM(M$95:M$105)+SUM(O$95:O$105)+SUM(Q$95:Q$105)+SUM(S$95:S$105)</f>
        <v>883903.2</v>
      </c>
      <c r="F137" s="110">
        <f>SUM(U$95:U$105)+SUM(W$95:W$105)+SUM(Y$95:Y$105)+SUM(AA$95:AA$105)</f>
        <v>903008.39999999991</v>
      </c>
      <c r="G137" s="110">
        <f>SUM(AC$95:AC$105)+SUM(AE$95:AE$105)+SUM(AG$95:AG$105)+SUM(AI$95:AI$105)</f>
        <v>844046.39999999991</v>
      </c>
      <c r="H137" s="110">
        <f>SUM(AK$95:AK$105)+SUM(AM$95:AM$105)+SUM(AO$95:AO$105)+SUM(AQ$95:AQ$105)</f>
        <v>926709.6</v>
      </c>
      <c r="I137" s="110">
        <f>SUM(AS$95:AS$105)+SUM(AU$95:AU$105)+SUM(AW$95:AW$105)+SUM(AY$95:AY$105)</f>
        <v>826177.2</v>
      </c>
      <c r="J137" s="110">
        <f>SUM(BA$95:BA$105)+SUM(BC$95:BC$105)+SUM(BE$95:BE$105)+SUM(BG$95:BG$105)</f>
        <v>1112823.6000000001</v>
      </c>
      <c r="K137" s="110">
        <f>SUM(BI$95:BI$105)+SUM(BK$95:BK$105)+SUM(BM$95:BM$105)+SUM(BO$95:BO$105)</f>
        <v>790868.4</v>
      </c>
      <c r="L137" s="110">
        <f>SUM(BQ$95:BQ$105)+SUM(BS$95:BS$105)+SUM(BU$95:BU$105)+SUM(BW$95:BW$105)</f>
        <v>1150045.1999999997</v>
      </c>
      <c r="M137" s="110">
        <f>SUM(BY$95:BY$105)+SUM(CA$95:CA$105)+SUM(CC$95:CC$105)+SUM(CE$95:CE$105)</f>
        <v>1084695.6000000001</v>
      </c>
      <c r="N137" s="110">
        <f>SUM(CG$95:CG$105)+SUM(CI$95:CI$105)+SUM(CK$95:CK$105)+SUM(CM$95:CM$105)</f>
        <v>1020838.8</v>
      </c>
      <c r="O137" s="110">
        <f>SUM(CO$95:CO$105)+SUM(CQ$95:CQ$105)+SUM(CS$95:CS$105)+SUM(CU$95:CU$105)</f>
        <v>1210646.3999999999</v>
      </c>
    </row>
    <row r="138" spans="2:15" x14ac:dyDescent="0.2">
      <c r="C138" s="109" t="s">
        <v>278</v>
      </c>
      <c r="D138">
        <f t="shared" ref="D138:O138" si="2">SUM(D$131:D$137)</f>
        <v>3388326</v>
      </c>
      <c r="E138">
        <f t="shared" si="2"/>
        <v>3381735.1940294867</v>
      </c>
      <c r="F138">
        <f t="shared" si="2"/>
        <v>3379172.402669081</v>
      </c>
      <c r="G138">
        <f t="shared" si="2"/>
        <v>3271650.5786693897</v>
      </c>
      <c r="H138">
        <f t="shared" si="2"/>
        <v>3429414.5815912331</v>
      </c>
      <c r="I138">
        <f t="shared" si="2"/>
        <v>3406707.0648648711</v>
      </c>
      <c r="J138">
        <f t="shared" si="2"/>
        <v>2501158.9425068311</v>
      </c>
      <c r="K138">
        <f t="shared" si="2"/>
        <v>2075321.6325205159</v>
      </c>
      <c r="L138">
        <f t="shared" si="2"/>
        <v>2387736.3095732476</v>
      </c>
      <c r="M138">
        <f t="shared" si="2"/>
        <v>2308300.7921245429</v>
      </c>
      <c r="N138">
        <f t="shared" si="2"/>
        <v>2367477.3667600839</v>
      </c>
      <c r="O138">
        <f t="shared" si="2"/>
        <v>2547914.439641499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06"/>
    </row>
    <row r="2" spans="1:99" x14ac:dyDescent="0.2">
      <c r="B2" s="1" t="s">
        <v>272</v>
      </c>
    </row>
    <row r="3" spans="1:99" x14ac:dyDescent="0.2">
      <c r="B3" s="107" t="s">
        <v>273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9</v>
      </c>
      <c r="E6">
        <v>5205.5999999999995</v>
      </c>
      <c r="F6">
        <v>11</v>
      </c>
      <c r="G6">
        <v>6362.4</v>
      </c>
      <c r="H6">
        <v>11</v>
      </c>
      <c r="I6">
        <v>6362.4</v>
      </c>
      <c r="J6">
        <v>10</v>
      </c>
      <c r="K6">
        <v>5784</v>
      </c>
      <c r="L6">
        <v>9.1376855477103902</v>
      </c>
      <c r="M6">
        <v>5285.2373207956898</v>
      </c>
      <c r="N6">
        <v>14.18967636881251</v>
      </c>
      <c r="O6">
        <v>8207.3088117211555</v>
      </c>
      <c r="P6">
        <v>12</v>
      </c>
      <c r="Q6">
        <v>6940.7999999999993</v>
      </c>
      <c r="R6">
        <v>9.1934746634097237</v>
      </c>
      <c r="S6">
        <v>5317.5057453161844</v>
      </c>
      <c r="T6">
        <v>12</v>
      </c>
      <c r="U6">
        <v>6940.7999999999993</v>
      </c>
      <c r="V6">
        <v>8.2936469648506321</v>
      </c>
      <c r="W6">
        <v>4797.0454044696053</v>
      </c>
      <c r="X6">
        <v>10</v>
      </c>
      <c r="Y6">
        <v>5784</v>
      </c>
      <c r="Z6">
        <v>9.2475526670717549</v>
      </c>
      <c r="AA6">
        <v>5348.7844626343031</v>
      </c>
      <c r="AB6">
        <v>10</v>
      </c>
      <c r="AC6">
        <v>5784</v>
      </c>
      <c r="AD6">
        <v>11.379048462900133</v>
      </c>
      <c r="AE6">
        <v>6581.6416309414371</v>
      </c>
      <c r="AF6">
        <v>8.7269010501091877</v>
      </c>
      <c r="AG6">
        <v>5047.6395673831539</v>
      </c>
      <c r="AH6">
        <v>13.64519805856394</v>
      </c>
      <c r="AI6">
        <v>7892.3825570733825</v>
      </c>
      <c r="AJ6">
        <v>11.453194940215923</v>
      </c>
      <c r="AK6">
        <v>6624.5279534208894</v>
      </c>
      <c r="AL6">
        <v>12.24774014892501</v>
      </c>
      <c r="AM6">
        <v>7084.0929021382253</v>
      </c>
      <c r="AN6">
        <v>9.1925325463540197</v>
      </c>
      <c r="AO6">
        <v>5316.9608248111645</v>
      </c>
      <c r="AP6">
        <v>9.249487705093772</v>
      </c>
      <c r="AQ6">
        <v>5349.9036886262375</v>
      </c>
      <c r="AR6">
        <v>9.6170376776272235</v>
      </c>
      <c r="AS6">
        <v>5562.4945927395856</v>
      </c>
      <c r="AT6">
        <v>12.524103011118706</v>
      </c>
      <c r="AU6">
        <v>7243.9411816310594</v>
      </c>
      <c r="AV6">
        <v>11.697493348453172</v>
      </c>
      <c r="AW6">
        <v>6765.8301527453141</v>
      </c>
      <c r="AX6">
        <v>9.890854909142929</v>
      </c>
      <c r="AY6">
        <v>5720.8704794482701</v>
      </c>
      <c r="AZ6">
        <v>10.182525636503811</v>
      </c>
      <c r="BA6">
        <v>5889.572828153804</v>
      </c>
      <c r="BB6">
        <v>12.682528996530815</v>
      </c>
      <c r="BC6">
        <v>7335.5747715934231</v>
      </c>
      <c r="BD6">
        <v>10.324653205504211</v>
      </c>
      <c r="BE6">
        <v>5971.7794140636352</v>
      </c>
      <c r="BF6">
        <v>12.050061066817927</v>
      </c>
      <c r="BG6">
        <v>6969.7553210474889</v>
      </c>
      <c r="BH6">
        <v>9.1153234010527662</v>
      </c>
      <c r="BI6">
        <v>5272.3030551689199</v>
      </c>
      <c r="BJ6">
        <v>13.09080250877739</v>
      </c>
      <c r="BK6">
        <v>7571.7201710768422</v>
      </c>
      <c r="BL6">
        <v>9.2307559183932781</v>
      </c>
      <c r="BM6">
        <v>5339.0692231986723</v>
      </c>
      <c r="BN6">
        <v>12.158441619206025</v>
      </c>
      <c r="BO6">
        <v>7032.4426325487648</v>
      </c>
      <c r="BP6">
        <v>8.2340781674505994</v>
      </c>
      <c r="BQ6">
        <v>4762.5908120534268</v>
      </c>
      <c r="BR6">
        <v>11.101000295244415</v>
      </c>
      <c r="BS6">
        <v>6420.8185707693692</v>
      </c>
      <c r="BT6">
        <v>11.031069439545796</v>
      </c>
      <c r="BU6">
        <v>6380.3705638332876</v>
      </c>
      <c r="BV6">
        <v>10.209347645690928</v>
      </c>
      <c r="BW6">
        <v>5905.0866782676321</v>
      </c>
      <c r="BX6">
        <v>8</v>
      </c>
      <c r="BY6">
        <v>4627.2</v>
      </c>
      <c r="BZ6">
        <v>11.175999350501687</v>
      </c>
      <c r="CA6">
        <v>6464.1980243301759</v>
      </c>
      <c r="CB6">
        <v>10.043910004368179</v>
      </c>
      <c r="CC6">
        <v>5809.3975465265548</v>
      </c>
      <c r="CD6">
        <v>13.291292400899604</v>
      </c>
      <c r="CE6">
        <v>7687.6835246803303</v>
      </c>
      <c r="CF6">
        <v>9</v>
      </c>
      <c r="CG6">
        <v>5205.5999999999995</v>
      </c>
      <c r="CH6">
        <v>12.849853509990323</v>
      </c>
      <c r="CI6">
        <v>7432.3552701784029</v>
      </c>
      <c r="CJ6">
        <v>10.946978330648095</v>
      </c>
      <c r="CK6">
        <v>6331.7322664468584</v>
      </c>
      <c r="CL6">
        <v>11.14700631799084</v>
      </c>
      <c r="CM6">
        <v>6447.4284543259018</v>
      </c>
      <c r="CN6">
        <v>13.57260948862724</v>
      </c>
      <c r="CO6">
        <v>7850.3973282219949</v>
      </c>
      <c r="CP6">
        <v>9.0984363141398674</v>
      </c>
      <c r="CQ6">
        <v>5262.535564098499</v>
      </c>
      <c r="CR6">
        <v>12.110814193202643</v>
      </c>
      <c r="CS6">
        <v>7004.8949293484084</v>
      </c>
      <c r="CT6">
        <v>13.345765779514865</v>
      </c>
      <c r="CU6">
        <v>7719.190926871398</v>
      </c>
    </row>
    <row r="7" spans="1:99" x14ac:dyDescent="0.2">
      <c r="C7" s="105" t="s">
        <v>173</v>
      </c>
      <c r="D7">
        <v>8</v>
      </c>
      <c r="E7">
        <v>6307.2</v>
      </c>
      <c r="F7">
        <v>11</v>
      </c>
      <c r="G7">
        <v>8672.4</v>
      </c>
      <c r="H7">
        <v>10</v>
      </c>
      <c r="I7">
        <v>7884</v>
      </c>
      <c r="J7">
        <v>9</v>
      </c>
      <c r="K7">
        <v>7095.5999999999995</v>
      </c>
      <c r="L7">
        <v>8.1376855477103902</v>
      </c>
      <c r="M7">
        <v>6415.7512858148712</v>
      </c>
      <c r="N7">
        <v>12.18967636881251</v>
      </c>
      <c r="O7">
        <v>9610.3408491717819</v>
      </c>
      <c r="P7">
        <v>12</v>
      </c>
      <c r="Q7">
        <v>9460.7999999999993</v>
      </c>
      <c r="R7">
        <v>10.193474663409724</v>
      </c>
      <c r="S7">
        <v>8036.5354246322258</v>
      </c>
      <c r="T7">
        <v>11</v>
      </c>
      <c r="U7">
        <v>8672.4</v>
      </c>
      <c r="V7">
        <v>8</v>
      </c>
      <c r="W7">
        <v>6307.2</v>
      </c>
      <c r="X7">
        <v>8</v>
      </c>
      <c r="Y7">
        <v>6307.2</v>
      </c>
      <c r="Z7">
        <v>8.2475526670717549</v>
      </c>
      <c r="AA7">
        <v>6502.3705227193714</v>
      </c>
      <c r="AB7">
        <v>10</v>
      </c>
      <c r="AC7">
        <v>7884</v>
      </c>
      <c r="AD7">
        <v>12.314609915542849</v>
      </c>
      <c r="AE7">
        <v>9708.8384574139818</v>
      </c>
      <c r="AF7">
        <v>7.8739437262026062</v>
      </c>
      <c r="AG7">
        <v>6207.8172337381347</v>
      </c>
      <c r="AH7">
        <v>14.609575359044989</v>
      </c>
      <c r="AI7">
        <v>11518.189213071069</v>
      </c>
      <c r="AJ7">
        <v>11.453194940215923</v>
      </c>
      <c r="AK7">
        <v>9029.6988908662333</v>
      </c>
      <c r="AL7">
        <v>12.198192119140007</v>
      </c>
      <c r="AM7">
        <v>9617.0546667299805</v>
      </c>
      <c r="AN7">
        <v>9.1538971403202698</v>
      </c>
      <c r="AO7">
        <v>7216.9325054285009</v>
      </c>
      <c r="AP7">
        <v>9.2993852461125268</v>
      </c>
      <c r="AQ7">
        <v>7331.6353280351159</v>
      </c>
      <c r="AR7">
        <v>9.6170376776272235</v>
      </c>
      <c r="AS7">
        <v>7582.072505041303</v>
      </c>
      <c r="AT7">
        <v>13.348125565828683</v>
      </c>
      <c r="AU7">
        <v>10523.662196099333</v>
      </c>
      <c r="AV7">
        <v>12.597300529103416</v>
      </c>
      <c r="AW7">
        <v>9931.7117371451332</v>
      </c>
      <c r="AX7">
        <v>9.9312853055827759</v>
      </c>
      <c r="AY7">
        <v>7829.8253349214601</v>
      </c>
      <c r="AZ7">
        <v>11.87961324258778</v>
      </c>
      <c r="BA7">
        <v>9365.8870804562048</v>
      </c>
      <c r="BB7">
        <v>11.806634485044388</v>
      </c>
      <c r="BC7">
        <v>9308.350628008995</v>
      </c>
      <c r="BD7">
        <v>11.26325804236823</v>
      </c>
      <c r="BE7">
        <v>8879.9526406031127</v>
      </c>
      <c r="BF7">
        <v>11.098745852107426</v>
      </c>
      <c r="BG7">
        <v>8750.2512298014935</v>
      </c>
      <c r="BH7">
        <v>9.9439891647848349</v>
      </c>
      <c r="BI7">
        <v>7839.8410575163634</v>
      </c>
      <c r="BJ7">
        <v>11.372462827501549</v>
      </c>
      <c r="BK7">
        <v>8966.0496932022215</v>
      </c>
      <c r="BL7">
        <v>8.1922965986610645</v>
      </c>
      <c r="BM7">
        <v>6458.8066383843834</v>
      </c>
      <c r="BN7">
        <v>11.118831214404519</v>
      </c>
      <c r="BO7">
        <v>8766.0865294365231</v>
      </c>
      <c r="BP7">
        <v>8.2006384292433712</v>
      </c>
      <c r="BQ7">
        <v>6465.3833376154735</v>
      </c>
      <c r="BR7">
        <v>10.26315029938001</v>
      </c>
      <c r="BS7">
        <v>8091.4676960311999</v>
      </c>
      <c r="BT7">
        <v>10.182525636503811</v>
      </c>
      <c r="BU7">
        <v>8027.9032118196046</v>
      </c>
      <c r="BV7">
        <v>8.7864247514484983</v>
      </c>
      <c r="BW7">
        <v>6927.2172740419956</v>
      </c>
      <c r="BX7">
        <v>8</v>
      </c>
      <c r="BY7">
        <v>6307.2</v>
      </c>
      <c r="BZ7">
        <v>10.184887469869011</v>
      </c>
      <c r="CA7">
        <v>8029.7652812447277</v>
      </c>
      <c r="CB7">
        <v>10.080683179505895</v>
      </c>
      <c r="CC7">
        <v>7947.6106187224477</v>
      </c>
      <c r="CD7">
        <v>11.750253553856687</v>
      </c>
      <c r="CE7">
        <v>9263.8999018606119</v>
      </c>
      <c r="CF7">
        <v>9</v>
      </c>
      <c r="CG7">
        <v>7095.5999999999995</v>
      </c>
      <c r="CH7">
        <v>12.101886435310677</v>
      </c>
      <c r="CI7">
        <v>9541.1272655989378</v>
      </c>
      <c r="CJ7">
        <v>9.1515488003743872</v>
      </c>
      <c r="CK7">
        <v>7215.0810742151671</v>
      </c>
      <c r="CL7">
        <v>10.183757897488551</v>
      </c>
      <c r="CM7">
        <v>8028.8747263799733</v>
      </c>
      <c r="CN7">
        <v>12.586084965936584</v>
      </c>
      <c r="CO7">
        <v>9922.8693871444029</v>
      </c>
      <c r="CP7">
        <v>9.935767926701855</v>
      </c>
      <c r="CQ7">
        <v>7833.3594334117424</v>
      </c>
      <c r="CR7">
        <v>12.91820180608282</v>
      </c>
      <c r="CS7">
        <v>10184.710303915695</v>
      </c>
      <c r="CT7">
        <v>12.172275495117045</v>
      </c>
      <c r="CU7">
        <v>9596.6220003502785</v>
      </c>
    </row>
    <row r="8" spans="1:99" x14ac:dyDescent="0.2">
      <c r="C8" s="105" t="s">
        <v>174</v>
      </c>
      <c r="D8">
        <v>9</v>
      </c>
      <c r="E8">
        <v>2786.3999999999996</v>
      </c>
      <c r="F8">
        <v>13</v>
      </c>
      <c r="G8">
        <v>4024.7999999999997</v>
      </c>
      <c r="H8">
        <v>11</v>
      </c>
      <c r="I8">
        <v>3405.5999999999995</v>
      </c>
      <c r="J8">
        <v>9</v>
      </c>
      <c r="K8">
        <v>2786.3999999999996</v>
      </c>
      <c r="L8">
        <v>9.1376855477103902</v>
      </c>
      <c r="M8">
        <v>2829.0274455711365</v>
      </c>
      <c r="N8">
        <v>13.18967636881251</v>
      </c>
      <c r="O8">
        <v>4083.5238037843524</v>
      </c>
      <c r="P8">
        <v>12</v>
      </c>
      <c r="Q8">
        <v>3715.2</v>
      </c>
      <c r="R8">
        <v>10.193474663409724</v>
      </c>
      <c r="S8">
        <v>3155.89975579165</v>
      </c>
      <c r="T8">
        <v>12</v>
      </c>
      <c r="U8">
        <v>3715.2</v>
      </c>
      <c r="V8">
        <v>7.2936469648506321</v>
      </c>
      <c r="W8">
        <v>2258.1131003177557</v>
      </c>
      <c r="X8">
        <v>10</v>
      </c>
      <c r="Y8">
        <v>3095.9999999999995</v>
      </c>
      <c r="Z8">
        <v>9.2475526670717549</v>
      </c>
      <c r="AA8">
        <v>2863.0423057254152</v>
      </c>
      <c r="AB8">
        <v>11</v>
      </c>
      <c r="AC8">
        <v>3405.5999999999995</v>
      </c>
      <c r="AD8">
        <v>12.314609915542849</v>
      </c>
      <c r="AE8">
        <v>3812.6032298520659</v>
      </c>
      <c r="AF8">
        <v>8.7597890186164182</v>
      </c>
      <c r="AG8">
        <v>2712.030680163643</v>
      </c>
      <c r="AH8">
        <v>12.680820758082891</v>
      </c>
      <c r="AI8">
        <v>3925.9821067024627</v>
      </c>
      <c r="AJ8">
        <v>11.453194940215923</v>
      </c>
      <c r="AK8">
        <v>3545.9091534908493</v>
      </c>
      <c r="AL8">
        <v>13.24774014892501</v>
      </c>
      <c r="AM8">
        <v>4101.5003501071824</v>
      </c>
      <c r="AN8">
        <v>10.188168114148633</v>
      </c>
      <c r="AO8">
        <v>3154.2568481404164</v>
      </c>
      <c r="AP8">
        <v>9.2993852461125268</v>
      </c>
      <c r="AQ8">
        <v>2879.0896721964382</v>
      </c>
      <c r="AR8">
        <v>10.491313830138791</v>
      </c>
      <c r="AS8">
        <v>3248.1107618109695</v>
      </c>
      <c r="AT8">
        <v>12.524103011118706</v>
      </c>
      <c r="AU8">
        <v>3877.4622922423509</v>
      </c>
      <c r="AV8">
        <v>12.597300529103416</v>
      </c>
      <c r="AW8">
        <v>3900.1242438104173</v>
      </c>
      <c r="AX8">
        <v>12.363568636428658</v>
      </c>
      <c r="AY8">
        <v>3827.760849838312</v>
      </c>
      <c r="AZ8">
        <v>11.031069439545796</v>
      </c>
      <c r="BA8">
        <v>3415.2190984833778</v>
      </c>
      <c r="BB8">
        <v>13.475534657878042</v>
      </c>
      <c r="BC8">
        <v>4172.0255300790413</v>
      </c>
      <c r="BD8">
        <v>11.26325804236823</v>
      </c>
      <c r="BE8">
        <v>3487.1046899172038</v>
      </c>
      <c r="BF8">
        <v>12.050061066817927</v>
      </c>
      <c r="BG8">
        <v>3730.6989062868297</v>
      </c>
      <c r="BH8">
        <v>10.772654928516905</v>
      </c>
      <c r="BI8">
        <v>3335.2139658688334</v>
      </c>
      <c r="BJ8">
        <v>13.061766094604733</v>
      </c>
      <c r="BK8">
        <v>4043.9227828896251</v>
      </c>
      <c r="BL8">
        <v>8.2307559183932781</v>
      </c>
      <c r="BM8">
        <v>2548.2420323345586</v>
      </c>
      <c r="BN8">
        <v>13.158441619206025</v>
      </c>
      <c r="BO8">
        <v>4073.853525306185</v>
      </c>
      <c r="BP8">
        <v>9.2340781674505994</v>
      </c>
      <c r="BQ8">
        <v>2858.8706006427051</v>
      </c>
      <c r="BR8">
        <v>11.101000295244415</v>
      </c>
      <c r="BS8">
        <v>3436.8696914076704</v>
      </c>
      <c r="BT8">
        <v>11.87961324258778</v>
      </c>
      <c r="BU8">
        <v>3677.9282599051762</v>
      </c>
      <c r="BV8">
        <v>9.4623308577134377</v>
      </c>
      <c r="BW8">
        <v>2929.5376335480801</v>
      </c>
      <c r="BX8">
        <v>9</v>
      </c>
      <c r="BY8">
        <v>2786.3999999999996</v>
      </c>
      <c r="BZ8">
        <v>12.132890148191581</v>
      </c>
      <c r="CA8">
        <v>3756.3427898801133</v>
      </c>
      <c r="CB8">
        <v>10.080683179505895</v>
      </c>
      <c r="CC8">
        <v>3120.9795123750246</v>
      </c>
      <c r="CD8">
        <v>12.520772977378147</v>
      </c>
      <c r="CE8">
        <v>3876.431313796274</v>
      </c>
      <c r="CF8">
        <v>10</v>
      </c>
      <c r="CG8">
        <v>3095.9999999999995</v>
      </c>
      <c r="CH8">
        <v>12.849853509990323</v>
      </c>
      <c r="CI8">
        <v>3978.3146466930039</v>
      </c>
      <c r="CJ8">
        <v>10.049263565511241</v>
      </c>
      <c r="CK8">
        <v>3111.25199988228</v>
      </c>
      <c r="CL8">
        <v>10.183757897488551</v>
      </c>
      <c r="CM8">
        <v>3152.8914450624552</v>
      </c>
      <c r="CN8">
        <v>14.525029178597618</v>
      </c>
      <c r="CO8">
        <v>4496.9490336938225</v>
      </c>
      <c r="CP8">
        <v>9.9784220554383261</v>
      </c>
      <c r="CQ8">
        <v>3089.3194683637053</v>
      </c>
      <c r="CR8">
        <v>11.303426580322467</v>
      </c>
      <c r="CS8">
        <v>3499.5408692678357</v>
      </c>
      <c r="CT8">
        <v>14.215214029166084</v>
      </c>
      <c r="CU8">
        <v>4401.0302634298196</v>
      </c>
    </row>
    <row r="9" spans="1:99" x14ac:dyDescent="0.2">
      <c r="C9" s="105" t="s">
        <v>175</v>
      </c>
      <c r="D9">
        <v>9</v>
      </c>
      <c r="E9">
        <v>6318</v>
      </c>
      <c r="F9">
        <v>11</v>
      </c>
      <c r="G9">
        <v>7722</v>
      </c>
      <c r="H9">
        <v>9</v>
      </c>
      <c r="I9">
        <v>6318</v>
      </c>
      <c r="J9">
        <v>8</v>
      </c>
      <c r="K9">
        <v>5616</v>
      </c>
      <c r="L9">
        <v>9.1376855477103902</v>
      </c>
      <c r="M9">
        <v>6414.6552544926935</v>
      </c>
      <c r="N9">
        <v>13.18967636881251</v>
      </c>
      <c r="O9">
        <v>9259.152810906382</v>
      </c>
      <c r="P9">
        <v>12</v>
      </c>
      <c r="Q9">
        <v>8424</v>
      </c>
      <c r="R9">
        <v>9.1934746634097237</v>
      </c>
      <c r="S9">
        <v>6453.8192137136257</v>
      </c>
      <c r="T9">
        <v>11</v>
      </c>
      <c r="U9">
        <v>7722</v>
      </c>
      <c r="V9">
        <v>8.2936469648506321</v>
      </c>
      <c r="W9">
        <v>5822.1401693251437</v>
      </c>
      <c r="X9">
        <v>9</v>
      </c>
      <c r="Y9">
        <v>6318</v>
      </c>
      <c r="Z9">
        <v>8.2475526670717549</v>
      </c>
      <c r="AA9">
        <v>5789.7819722843724</v>
      </c>
      <c r="AB9">
        <v>10</v>
      </c>
      <c r="AC9">
        <v>7020</v>
      </c>
      <c r="AD9">
        <v>12.314609915542849</v>
      </c>
      <c r="AE9">
        <v>8644.8561607110805</v>
      </c>
      <c r="AF9">
        <v>8.7597890186164182</v>
      </c>
      <c r="AG9">
        <v>6149.3718910687257</v>
      </c>
      <c r="AH9">
        <v>14.609575359044989</v>
      </c>
      <c r="AI9">
        <v>10255.921902049582</v>
      </c>
      <c r="AJ9">
        <v>12.407627851900584</v>
      </c>
      <c r="AK9">
        <v>8710.1547520342101</v>
      </c>
      <c r="AL9">
        <v>12.24774014892501</v>
      </c>
      <c r="AM9">
        <v>8597.9135845453566</v>
      </c>
      <c r="AN9">
        <v>9.1538971403202698</v>
      </c>
      <c r="AO9">
        <v>6426.0357925048293</v>
      </c>
      <c r="AP9">
        <v>8.2993852461125268</v>
      </c>
      <c r="AQ9">
        <v>5826.1684427709943</v>
      </c>
      <c r="AR9">
        <v>9.6170376776272235</v>
      </c>
      <c r="AS9">
        <v>6751.160449694311</v>
      </c>
      <c r="AT9">
        <v>12.483161838501436</v>
      </c>
      <c r="AU9">
        <v>8763.179610628009</v>
      </c>
      <c r="AV9">
        <v>12.597300529103416</v>
      </c>
      <c r="AW9">
        <v>8843.304971430598</v>
      </c>
      <c r="AX9">
        <v>11.512377129706849</v>
      </c>
      <c r="AY9">
        <v>8081.6887450542081</v>
      </c>
      <c r="AZ9">
        <v>11.87961324258778</v>
      </c>
      <c r="BA9">
        <v>8339.4884962966207</v>
      </c>
      <c r="BB9">
        <v>13.475534657878042</v>
      </c>
      <c r="BC9">
        <v>9459.8253298303844</v>
      </c>
      <c r="BD9">
        <v>9.3860483686401928</v>
      </c>
      <c r="BE9">
        <v>6589.0059547854153</v>
      </c>
      <c r="BF9">
        <v>10.238012558659378</v>
      </c>
      <c r="BG9">
        <v>7187.0848161788836</v>
      </c>
      <c r="BH9">
        <v>9.9439891647848349</v>
      </c>
      <c r="BI9">
        <v>6980.6803936789538</v>
      </c>
      <c r="BJ9">
        <v>12.231632668139468</v>
      </c>
      <c r="BK9">
        <v>8586.6061330339071</v>
      </c>
      <c r="BL9">
        <v>8.1922965986610645</v>
      </c>
      <c r="BM9">
        <v>5750.9922122600674</v>
      </c>
      <c r="BN9">
        <v>11.158441619206025</v>
      </c>
      <c r="BO9">
        <v>7833.22601668263</v>
      </c>
      <c r="BP9">
        <v>8.2340781674505994</v>
      </c>
      <c r="BQ9">
        <v>5780.3228735503208</v>
      </c>
      <c r="BR9">
        <v>11.101000295244415</v>
      </c>
      <c r="BS9">
        <v>7792.902207261579</v>
      </c>
      <c r="BT9">
        <v>11.87961324258778</v>
      </c>
      <c r="BU9">
        <v>8339.4884962966207</v>
      </c>
      <c r="BV9">
        <v>9.4978861985697129</v>
      </c>
      <c r="BW9">
        <v>6667.5161113959384</v>
      </c>
      <c r="BX9">
        <v>9</v>
      </c>
      <c r="BY9">
        <v>6318</v>
      </c>
      <c r="BZ9">
        <v>11.141778267558905</v>
      </c>
      <c r="CA9">
        <v>7821.5283438263514</v>
      </c>
      <c r="CB9">
        <v>10.973707811646067</v>
      </c>
      <c r="CC9">
        <v>7703.5428837755389</v>
      </c>
      <c r="CD9">
        <v>11.750253553856687</v>
      </c>
      <c r="CE9">
        <v>8248.6779948073945</v>
      </c>
      <c r="CF9">
        <v>9</v>
      </c>
      <c r="CG9">
        <v>6318</v>
      </c>
      <c r="CH9">
        <v>10.605952285951386</v>
      </c>
      <c r="CI9">
        <v>7445.3785047378724</v>
      </c>
      <c r="CJ9">
        <v>10.049263565511241</v>
      </c>
      <c r="CK9">
        <v>7054.5830229888916</v>
      </c>
      <c r="CL9">
        <v>10.183757897488551</v>
      </c>
      <c r="CM9">
        <v>7148.9980440369627</v>
      </c>
      <c r="CN9">
        <v>12.620189798656861</v>
      </c>
      <c r="CO9">
        <v>8859.3732386571173</v>
      </c>
      <c r="CP9">
        <v>9.935767926701855</v>
      </c>
      <c r="CQ9">
        <v>6974.9090845447026</v>
      </c>
      <c r="CR9">
        <v>10.496038967442292</v>
      </c>
      <c r="CS9">
        <v>7368.2193551444889</v>
      </c>
      <c r="CT9">
        <v>13.345765779514865</v>
      </c>
      <c r="CU9">
        <v>9368.7275772194353</v>
      </c>
    </row>
    <row r="10" spans="1:99" x14ac:dyDescent="0.2">
      <c r="C10" s="105" t="s">
        <v>176</v>
      </c>
      <c r="D10">
        <v>9</v>
      </c>
      <c r="E10">
        <v>4903.2</v>
      </c>
      <c r="F10">
        <v>11</v>
      </c>
      <c r="G10">
        <v>5992.7999999999993</v>
      </c>
      <c r="H10">
        <v>11</v>
      </c>
      <c r="I10">
        <v>5992.7999999999993</v>
      </c>
      <c r="J10">
        <v>9</v>
      </c>
      <c r="K10">
        <v>4903.2</v>
      </c>
      <c r="L10">
        <v>9.1376855477103902</v>
      </c>
      <c r="M10">
        <v>4978.21108639262</v>
      </c>
      <c r="N10">
        <v>13.18967636881251</v>
      </c>
      <c r="O10">
        <v>7185.7356857290551</v>
      </c>
      <c r="P10">
        <v>12</v>
      </c>
      <c r="Q10">
        <v>6537.5999999999995</v>
      </c>
      <c r="R10">
        <v>9.1934746634097237</v>
      </c>
      <c r="S10">
        <v>5008.6049966256169</v>
      </c>
      <c r="T10">
        <v>12</v>
      </c>
      <c r="U10">
        <v>6537.5999999999995</v>
      </c>
      <c r="V10">
        <v>7.2936469648506321</v>
      </c>
      <c r="W10">
        <v>3973.578866450624</v>
      </c>
      <c r="X10">
        <v>9</v>
      </c>
      <c r="Y10">
        <v>4903.2</v>
      </c>
      <c r="Z10">
        <v>9.2475526670717549</v>
      </c>
      <c r="AA10">
        <v>5038.0666930206917</v>
      </c>
      <c r="AB10">
        <v>11</v>
      </c>
      <c r="AC10">
        <v>5992.7999999999993</v>
      </c>
      <c r="AD10">
        <v>11.379048462900133</v>
      </c>
      <c r="AE10">
        <v>6199.3056025879923</v>
      </c>
      <c r="AF10">
        <v>7.9068316947098367</v>
      </c>
      <c r="AG10">
        <v>4307.641907277919</v>
      </c>
      <c r="AH10">
        <v>12.680820758082891</v>
      </c>
      <c r="AI10">
        <v>6908.5111490035588</v>
      </c>
      <c r="AJ10">
        <v>10.498762028531264</v>
      </c>
      <c r="AK10">
        <v>5719.7255531438323</v>
      </c>
      <c r="AL10">
        <v>13.24774014892501</v>
      </c>
      <c r="AM10">
        <v>7217.3688331343446</v>
      </c>
      <c r="AN10">
        <v>9.1538971403202698</v>
      </c>
      <c r="AO10">
        <v>4987.0431620464824</v>
      </c>
      <c r="AP10">
        <v>9.249487705093772</v>
      </c>
      <c r="AQ10">
        <v>5039.1209017350866</v>
      </c>
      <c r="AR10">
        <v>10.491313830138791</v>
      </c>
      <c r="AS10">
        <v>5715.6677746596133</v>
      </c>
      <c r="AT10">
        <v>13.348125565828683</v>
      </c>
      <c r="AU10">
        <v>7272.0588082634658</v>
      </c>
      <c r="AV10">
        <v>11.697493348453172</v>
      </c>
      <c r="AW10">
        <v>6372.7943762372879</v>
      </c>
      <c r="AX10">
        <v>9.9312853055827759</v>
      </c>
      <c r="AY10">
        <v>5410.564234481496</v>
      </c>
      <c r="AZ10">
        <v>11.87961324258778</v>
      </c>
      <c r="BA10">
        <v>6472.0132945618225</v>
      </c>
      <c r="BB10">
        <v>13.516979082947641</v>
      </c>
      <c r="BC10">
        <v>7364.0502043898741</v>
      </c>
      <c r="BD10">
        <v>10.324653205504211</v>
      </c>
      <c r="BE10">
        <v>5624.8710663586935</v>
      </c>
      <c r="BF10">
        <v>12.004770106186697</v>
      </c>
      <c r="BG10">
        <v>6540.1987538505118</v>
      </c>
      <c r="BH10">
        <v>9.1153234010527662</v>
      </c>
      <c r="BI10">
        <v>4966.0281888935469</v>
      </c>
      <c r="BJ10">
        <v>12.202596253966812</v>
      </c>
      <c r="BK10">
        <v>6647.9744391611184</v>
      </c>
      <c r="BL10">
        <v>8.2307559183932781</v>
      </c>
      <c r="BM10">
        <v>4484.1158243406571</v>
      </c>
      <c r="BN10">
        <v>11.158441619206025</v>
      </c>
      <c r="BO10">
        <v>6079.1189941434423</v>
      </c>
      <c r="BP10">
        <v>9.2006384292433712</v>
      </c>
      <c r="BQ10">
        <v>5012.5078162517884</v>
      </c>
      <c r="BR10">
        <v>9.4253003035156038</v>
      </c>
      <c r="BS10">
        <v>5134.9036053553009</v>
      </c>
      <c r="BT10">
        <v>10.182525636503811</v>
      </c>
      <c r="BU10">
        <v>5547.439966767276</v>
      </c>
      <c r="BV10">
        <v>10.209347645690928</v>
      </c>
      <c r="BW10">
        <v>5562.052597372417</v>
      </c>
      <c r="BX10">
        <v>8</v>
      </c>
      <c r="BY10">
        <v>4358.3999999999996</v>
      </c>
      <c r="BZ10">
        <v>11.141778267558905</v>
      </c>
      <c r="CA10">
        <v>6070.0408001660908</v>
      </c>
      <c r="CB10">
        <v>10.080683179505895</v>
      </c>
      <c r="CC10">
        <v>5491.9561961948111</v>
      </c>
      <c r="CD10">
        <v>12.520772977378147</v>
      </c>
      <c r="CE10">
        <v>6821.3171180756144</v>
      </c>
      <c r="CF10">
        <v>10</v>
      </c>
      <c r="CG10">
        <v>5448</v>
      </c>
      <c r="CH10">
        <v>11.327036712543764</v>
      </c>
      <c r="CI10">
        <v>6170.9696009938425</v>
      </c>
      <c r="CJ10">
        <v>10.946978330648095</v>
      </c>
      <c r="CK10">
        <v>5963.9137945370821</v>
      </c>
      <c r="CL10">
        <v>10.14700631799084</v>
      </c>
      <c r="CM10">
        <v>5528.0890420414089</v>
      </c>
      <c r="CN10">
        <v>12.586084965936584</v>
      </c>
      <c r="CO10">
        <v>6856.8990894422504</v>
      </c>
      <c r="CP10">
        <v>9.9784220554383261</v>
      </c>
      <c r="CQ10">
        <v>5436.2443358027995</v>
      </c>
      <c r="CR10">
        <v>12.110814193202643</v>
      </c>
      <c r="CS10">
        <v>6597.9715724567995</v>
      </c>
      <c r="CT10">
        <v>14.215214029166084</v>
      </c>
      <c r="CU10">
        <v>7744.4486030896824</v>
      </c>
    </row>
    <row r="11" spans="1:99" x14ac:dyDescent="0.2">
      <c r="C11" s="105" t="s">
        <v>177</v>
      </c>
      <c r="D11">
        <v>8</v>
      </c>
      <c r="E11">
        <v>4262.3999999999996</v>
      </c>
      <c r="F11">
        <v>11</v>
      </c>
      <c r="G11">
        <v>5860.7999999999993</v>
      </c>
      <c r="H11">
        <v>10</v>
      </c>
      <c r="I11">
        <v>5328</v>
      </c>
      <c r="J11">
        <v>8</v>
      </c>
      <c r="K11">
        <v>4262.3999999999996</v>
      </c>
      <c r="L11">
        <v>10.183580730280521</v>
      </c>
      <c r="M11">
        <v>5425.8118130934618</v>
      </c>
      <c r="N11">
        <v>13.18967636881251</v>
      </c>
      <c r="O11">
        <v>7027.4595693033043</v>
      </c>
      <c r="P11">
        <v>12</v>
      </c>
      <c r="Q11">
        <v>6393.5999999999995</v>
      </c>
      <c r="R11">
        <v>9.1934746634097237</v>
      </c>
      <c r="S11">
        <v>4898.2833006647006</v>
      </c>
      <c r="T11">
        <v>13</v>
      </c>
      <c r="U11">
        <v>6926.4</v>
      </c>
      <c r="V11">
        <v>8.2936469648506321</v>
      </c>
      <c r="W11">
        <v>4418.8551028724169</v>
      </c>
      <c r="X11">
        <v>9</v>
      </c>
      <c r="Y11">
        <v>4795.2</v>
      </c>
      <c r="Z11">
        <v>9.2475526670717549</v>
      </c>
      <c r="AA11">
        <v>4927.0960610158309</v>
      </c>
      <c r="AB11">
        <v>12</v>
      </c>
      <c r="AC11">
        <v>6393.5999999999995</v>
      </c>
      <c r="AD11">
        <v>13.250171368185567</v>
      </c>
      <c r="AE11">
        <v>7059.6913049692694</v>
      </c>
      <c r="AF11">
        <v>8.7597890186164182</v>
      </c>
      <c r="AG11">
        <v>4667.2155891188277</v>
      </c>
      <c r="AH11">
        <v>13.64519805856394</v>
      </c>
      <c r="AI11">
        <v>7270.1615256028663</v>
      </c>
      <c r="AJ11">
        <v>12.407627851900584</v>
      </c>
      <c r="AK11">
        <v>6610.7841194926305</v>
      </c>
      <c r="AL11">
        <v>13.198192119140007</v>
      </c>
      <c r="AM11">
        <v>7031.9967610777949</v>
      </c>
      <c r="AN11">
        <v>9.1925325463540197</v>
      </c>
      <c r="AO11">
        <v>4897.781340697421</v>
      </c>
      <c r="AP11">
        <v>8.2993852461125268</v>
      </c>
      <c r="AQ11">
        <v>4421.9124591287537</v>
      </c>
      <c r="AR11">
        <v>9.6170376776272235</v>
      </c>
      <c r="AS11">
        <v>5123.9576746397843</v>
      </c>
      <c r="AT11">
        <v>11.700080456408733</v>
      </c>
      <c r="AU11">
        <v>6233.8028671745724</v>
      </c>
      <c r="AV11">
        <v>12.597300529103416</v>
      </c>
      <c r="AW11">
        <v>6711.8417219062994</v>
      </c>
      <c r="AX11">
        <v>10.742046415864738</v>
      </c>
      <c r="AY11">
        <v>5723.3623303727318</v>
      </c>
      <c r="AZ11">
        <v>11.031069439545796</v>
      </c>
      <c r="BA11">
        <v>5877.3537973899993</v>
      </c>
      <c r="BB11">
        <v>11.013628823697159</v>
      </c>
      <c r="BC11">
        <v>5868.0614372658456</v>
      </c>
      <c r="BD11">
        <v>9.3860483686401928</v>
      </c>
      <c r="BE11">
        <v>5000.8865708114945</v>
      </c>
      <c r="BF11">
        <v>11.189327773369879</v>
      </c>
      <c r="BG11">
        <v>5961.6738376514713</v>
      </c>
      <c r="BH11">
        <v>9.9439891647848349</v>
      </c>
      <c r="BI11">
        <v>5298.1574269973598</v>
      </c>
      <c r="BJ11">
        <v>12.202596253966812</v>
      </c>
      <c r="BK11">
        <v>6501.5432841135171</v>
      </c>
      <c r="BL11">
        <v>8.2307559183932781</v>
      </c>
      <c r="BM11">
        <v>4385.3467533199382</v>
      </c>
      <c r="BN11">
        <v>11.158441619206025</v>
      </c>
      <c r="BO11">
        <v>5945.2176947129692</v>
      </c>
      <c r="BP11">
        <v>9.2006384292433712</v>
      </c>
      <c r="BQ11">
        <v>4902.1001551008676</v>
      </c>
      <c r="BR11">
        <v>9.4253003035156038</v>
      </c>
      <c r="BS11">
        <v>5021.8000017131135</v>
      </c>
      <c r="BT11">
        <v>11.87961324258778</v>
      </c>
      <c r="BU11">
        <v>6329.4579356507684</v>
      </c>
      <c r="BV11">
        <v>8.7864247514484983</v>
      </c>
      <c r="BW11">
        <v>4681.4071075717593</v>
      </c>
      <c r="BX11">
        <v>9</v>
      </c>
      <c r="BY11">
        <v>4795.2</v>
      </c>
      <c r="BZ11">
        <v>11.141778267558905</v>
      </c>
      <c r="CA11">
        <v>5936.3394609553843</v>
      </c>
      <c r="CB11">
        <v>9.1876585473657215</v>
      </c>
      <c r="CC11">
        <v>4895.1844740364559</v>
      </c>
      <c r="CD11">
        <v>12.520772977378147</v>
      </c>
      <c r="CE11">
        <v>6671.0678423470763</v>
      </c>
      <c r="CF11">
        <v>10</v>
      </c>
      <c r="CG11">
        <v>5328</v>
      </c>
      <c r="CH11">
        <v>11.327036712543764</v>
      </c>
      <c r="CI11">
        <v>6035.0451604433174</v>
      </c>
      <c r="CJ11">
        <v>10.049263565511241</v>
      </c>
      <c r="CK11">
        <v>5354.2476277043888</v>
      </c>
      <c r="CL11">
        <v>11.14700631799084</v>
      </c>
      <c r="CM11">
        <v>5939.1249662255195</v>
      </c>
      <c r="CN11">
        <v>13.57260948862724</v>
      </c>
      <c r="CO11">
        <v>7231.4863355405932</v>
      </c>
      <c r="CP11">
        <v>10.858407796736783</v>
      </c>
      <c r="CQ11">
        <v>5785.3596741013571</v>
      </c>
      <c r="CR11">
        <v>12.91820180608282</v>
      </c>
      <c r="CS11">
        <v>6882.8179222809258</v>
      </c>
      <c r="CT11">
        <v>14.215214029166084</v>
      </c>
      <c r="CU11">
        <v>7573.866034739689</v>
      </c>
    </row>
    <row r="12" spans="1:99" x14ac:dyDescent="0.2">
      <c r="C12" s="105" t="s">
        <v>178</v>
      </c>
      <c r="D12">
        <v>9</v>
      </c>
      <c r="E12">
        <v>5065.2</v>
      </c>
      <c r="F12">
        <v>10</v>
      </c>
      <c r="G12">
        <v>5628</v>
      </c>
      <c r="H12">
        <v>11</v>
      </c>
      <c r="I12">
        <v>6190.7999999999993</v>
      </c>
      <c r="J12">
        <v>8</v>
      </c>
      <c r="K12">
        <v>4502.3999999999996</v>
      </c>
      <c r="L12">
        <v>9.1376855477103902</v>
      </c>
      <c r="M12">
        <v>5142.689426251407</v>
      </c>
      <c r="N12">
        <v>12.142257276609383</v>
      </c>
      <c r="O12">
        <v>6833.66239527576</v>
      </c>
      <c r="P12">
        <v>12</v>
      </c>
      <c r="Q12">
        <v>6753.5999999999995</v>
      </c>
      <c r="R12">
        <v>9.1934746634097237</v>
      </c>
      <c r="S12">
        <v>5174.0875405669922</v>
      </c>
      <c r="T12">
        <v>13</v>
      </c>
      <c r="U12">
        <v>7316.4</v>
      </c>
      <c r="V12">
        <v>8.2936469648506321</v>
      </c>
      <c r="W12">
        <v>4667.6645118179358</v>
      </c>
      <c r="X12">
        <v>9</v>
      </c>
      <c r="Y12">
        <v>5065.2</v>
      </c>
      <c r="Z12">
        <v>9.2475526670717549</v>
      </c>
      <c r="AA12">
        <v>5204.5226410279829</v>
      </c>
      <c r="AB12">
        <v>11</v>
      </c>
      <c r="AC12">
        <v>6190.7999999999993</v>
      </c>
      <c r="AD12">
        <v>12.314609915542849</v>
      </c>
      <c r="AE12">
        <v>6930.6624604675153</v>
      </c>
      <c r="AF12">
        <v>8.7269010501091877</v>
      </c>
      <c r="AG12">
        <v>4911.4999110014505</v>
      </c>
      <c r="AH12">
        <v>13.681177021521254</v>
      </c>
      <c r="AI12">
        <v>7699.7664277121612</v>
      </c>
      <c r="AJ12">
        <v>11.453194940215923</v>
      </c>
      <c r="AK12">
        <v>6445.8581123535205</v>
      </c>
      <c r="AL12">
        <v>13.24774014892501</v>
      </c>
      <c r="AM12">
        <v>7455.8281558149947</v>
      </c>
      <c r="AN12">
        <v>9.1925325463540197</v>
      </c>
      <c r="AO12">
        <v>5173.5573170880416</v>
      </c>
      <c r="AP12">
        <v>8.249487705093772</v>
      </c>
      <c r="AQ12">
        <v>4642.8116804267747</v>
      </c>
      <c r="AR12">
        <v>11.365589982650356</v>
      </c>
      <c r="AS12">
        <v>6396.5540422356198</v>
      </c>
      <c r="AT12">
        <v>11.700080456408733</v>
      </c>
      <c r="AU12">
        <v>6584.8052808668344</v>
      </c>
      <c r="AV12">
        <v>12.597300529103416</v>
      </c>
      <c r="AW12">
        <v>7089.760737779402</v>
      </c>
      <c r="AX12">
        <v>12.363568636428658</v>
      </c>
      <c r="AY12">
        <v>6958.2164285820481</v>
      </c>
      <c r="AZ12">
        <v>11.87961324258778</v>
      </c>
      <c r="BA12">
        <v>6685.8463329284023</v>
      </c>
      <c r="BB12">
        <v>11.013628823697159</v>
      </c>
      <c r="BC12">
        <v>6198.4703019767603</v>
      </c>
      <c r="BD12">
        <v>10.324653205504211</v>
      </c>
      <c r="BE12">
        <v>5810.714824057769</v>
      </c>
      <c r="BF12">
        <v>11.144036812738653</v>
      </c>
      <c r="BG12">
        <v>6271.8639182093139</v>
      </c>
      <c r="BH12">
        <v>9.9439891647848349</v>
      </c>
      <c r="BI12">
        <v>5596.4771019409045</v>
      </c>
      <c r="BJ12">
        <v>11.372462827501549</v>
      </c>
      <c r="BK12">
        <v>6400.4220793178711</v>
      </c>
      <c r="BL12">
        <v>8.2307559183932781</v>
      </c>
      <c r="BM12">
        <v>4632.2694308717364</v>
      </c>
      <c r="BN12">
        <v>11.118831214404519</v>
      </c>
      <c r="BO12">
        <v>6257.6782074668627</v>
      </c>
      <c r="BP12">
        <v>8.2340781674505994</v>
      </c>
      <c r="BQ12">
        <v>4634.139192641197</v>
      </c>
      <c r="BR12">
        <v>10.26315029938001</v>
      </c>
      <c r="BS12">
        <v>5776.1009884910691</v>
      </c>
      <c r="BT12">
        <v>11.031069439545796</v>
      </c>
      <c r="BU12">
        <v>6208.2858805763735</v>
      </c>
      <c r="BV12">
        <v>9.4623308577134377</v>
      </c>
      <c r="BW12">
        <v>5325.3998067211223</v>
      </c>
      <c r="BX12">
        <v>8</v>
      </c>
      <c r="BY12">
        <v>4502.3999999999996</v>
      </c>
      <c r="BZ12">
        <v>12.132890148191581</v>
      </c>
      <c r="CA12">
        <v>6828.3905754022217</v>
      </c>
      <c r="CB12">
        <v>10.973707811646067</v>
      </c>
      <c r="CC12">
        <v>6176.0027563944059</v>
      </c>
      <c r="CD12">
        <v>13.291292400899604</v>
      </c>
      <c r="CE12">
        <v>7480.339363226296</v>
      </c>
      <c r="CF12">
        <v>10</v>
      </c>
      <c r="CG12">
        <v>5628</v>
      </c>
      <c r="CH12">
        <v>12.075003787223409</v>
      </c>
      <c r="CI12">
        <v>6795.8121314493337</v>
      </c>
      <c r="CJ12">
        <v>10.084143795312409</v>
      </c>
      <c r="CK12">
        <v>5675.356128001823</v>
      </c>
      <c r="CL12">
        <v>10.183757897488551</v>
      </c>
      <c r="CM12">
        <v>5731.4189447065564</v>
      </c>
      <c r="CN12">
        <v>12.620189798656861</v>
      </c>
      <c r="CO12">
        <v>7102.6428186840812</v>
      </c>
      <c r="CP12">
        <v>9.9784220554383261</v>
      </c>
      <c r="CQ12">
        <v>5615.8559328006895</v>
      </c>
      <c r="CR12">
        <v>12.91820180608282</v>
      </c>
      <c r="CS12">
        <v>7270.3639764634108</v>
      </c>
      <c r="CT12">
        <v>15.650068493721914</v>
      </c>
      <c r="CU12">
        <v>8807.8585482666931</v>
      </c>
    </row>
    <row r="13" spans="1:99" x14ac:dyDescent="0.2">
      <c r="C13" s="105" t="s">
        <v>179</v>
      </c>
      <c r="D13">
        <v>9</v>
      </c>
      <c r="E13">
        <v>766.80000000000007</v>
      </c>
      <c r="F13">
        <v>12</v>
      </c>
      <c r="G13">
        <v>1022.4000000000001</v>
      </c>
      <c r="H13">
        <v>11</v>
      </c>
      <c r="I13">
        <v>937.2</v>
      </c>
      <c r="J13">
        <v>9</v>
      </c>
      <c r="K13">
        <v>766.80000000000007</v>
      </c>
      <c r="L13">
        <v>10.13768554771039</v>
      </c>
      <c r="M13">
        <v>863.73080866492523</v>
      </c>
      <c r="N13">
        <v>13.18967636881251</v>
      </c>
      <c r="O13">
        <v>1123.7604266228259</v>
      </c>
      <c r="P13">
        <v>12</v>
      </c>
      <c r="Q13">
        <v>1022.4000000000001</v>
      </c>
      <c r="R13">
        <v>9.1934746634097237</v>
      </c>
      <c r="S13">
        <v>783.28404132250853</v>
      </c>
      <c r="T13">
        <v>12</v>
      </c>
      <c r="U13">
        <v>1022.4000000000001</v>
      </c>
      <c r="V13">
        <v>7.2936469648506321</v>
      </c>
      <c r="W13">
        <v>621.41872140527391</v>
      </c>
      <c r="X13">
        <v>9</v>
      </c>
      <c r="Y13">
        <v>766.80000000000007</v>
      </c>
      <c r="Z13">
        <v>9</v>
      </c>
      <c r="AA13">
        <v>766.80000000000007</v>
      </c>
      <c r="AB13">
        <v>13</v>
      </c>
      <c r="AC13">
        <v>1107.6000000000001</v>
      </c>
      <c r="AD13">
        <v>13.250171368185567</v>
      </c>
      <c r="AE13">
        <v>1128.9146005694104</v>
      </c>
      <c r="AF13">
        <v>9.5798583740157692</v>
      </c>
      <c r="AG13">
        <v>816.20393346614355</v>
      </c>
      <c r="AH13">
        <v>13.64519805856394</v>
      </c>
      <c r="AI13">
        <v>1162.5708745896477</v>
      </c>
      <c r="AJ13">
        <v>11.453194940215923</v>
      </c>
      <c r="AK13">
        <v>975.81220890639668</v>
      </c>
      <c r="AL13">
        <v>13.24774014892501</v>
      </c>
      <c r="AM13">
        <v>1128.7074606884109</v>
      </c>
      <c r="AN13">
        <v>10.188168114148633</v>
      </c>
      <c r="AO13">
        <v>868.03192332546359</v>
      </c>
      <c r="AP13">
        <v>8.2993852461125268</v>
      </c>
      <c r="AQ13">
        <v>707.10762296878727</v>
      </c>
      <c r="AR13">
        <v>10.491313830138791</v>
      </c>
      <c r="AS13">
        <v>893.85993832782503</v>
      </c>
      <c r="AT13">
        <v>11.700080456408733</v>
      </c>
      <c r="AU13">
        <v>996.84685488602406</v>
      </c>
      <c r="AV13">
        <v>11.697493348453172</v>
      </c>
      <c r="AW13">
        <v>996.62643328821025</v>
      </c>
      <c r="AX13">
        <v>12.363568636428658</v>
      </c>
      <c r="AY13">
        <v>1053.3760478237218</v>
      </c>
      <c r="AZ13">
        <v>12.728157045629766</v>
      </c>
      <c r="BA13">
        <v>1084.438980287656</v>
      </c>
      <c r="BB13">
        <v>12.682528996530815</v>
      </c>
      <c r="BC13">
        <v>1080.5514705044254</v>
      </c>
      <c r="BD13">
        <v>11.26325804236823</v>
      </c>
      <c r="BE13">
        <v>959.62958520977327</v>
      </c>
      <c r="BF13">
        <v>12.050061066817927</v>
      </c>
      <c r="BG13">
        <v>1026.6652028928875</v>
      </c>
      <c r="BH13">
        <v>11.601320692248974</v>
      </c>
      <c r="BI13">
        <v>988.4325229796126</v>
      </c>
      <c r="BJ13">
        <v>13.920935935242655</v>
      </c>
      <c r="BK13">
        <v>1186.0637416826742</v>
      </c>
      <c r="BL13">
        <v>9.2307559183932781</v>
      </c>
      <c r="BM13">
        <v>786.46040424710736</v>
      </c>
      <c r="BN13">
        <v>13.158441619206025</v>
      </c>
      <c r="BO13">
        <v>1121.0992259563534</v>
      </c>
      <c r="BP13">
        <v>9.2340781674505994</v>
      </c>
      <c r="BQ13">
        <v>786.74345986679111</v>
      </c>
      <c r="BR13">
        <v>11.101000295244415</v>
      </c>
      <c r="BS13">
        <v>945.80522515482414</v>
      </c>
      <c r="BT13">
        <v>11.031069439545796</v>
      </c>
      <c r="BU13">
        <v>939.84711624930185</v>
      </c>
      <c r="BV13">
        <v>9.4978861985697129</v>
      </c>
      <c r="BW13">
        <v>809.21990411813954</v>
      </c>
      <c r="BX13">
        <v>9</v>
      </c>
      <c r="BY13">
        <v>766.80000000000007</v>
      </c>
      <c r="BZ13">
        <v>11.175999350501687</v>
      </c>
      <c r="CA13">
        <v>952.19514466274381</v>
      </c>
      <c r="CB13">
        <v>11.866732443786239</v>
      </c>
      <c r="CC13">
        <v>1011.0456042105876</v>
      </c>
      <c r="CD13">
        <v>11.750253553856687</v>
      </c>
      <c r="CE13">
        <v>1001.1216027885898</v>
      </c>
      <c r="CF13">
        <v>10</v>
      </c>
      <c r="CG13">
        <v>852</v>
      </c>
      <c r="CH13">
        <v>12.101886435310677</v>
      </c>
      <c r="CI13">
        <v>1031.0807242884696</v>
      </c>
      <c r="CJ13">
        <v>10.946978330648095</v>
      </c>
      <c r="CK13">
        <v>932.68255377121773</v>
      </c>
      <c r="CL13">
        <v>11.183757897488551</v>
      </c>
      <c r="CM13">
        <v>952.85617286602462</v>
      </c>
      <c r="CN13">
        <v>14.525029178597618</v>
      </c>
      <c r="CO13">
        <v>1237.5324860165172</v>
      </c>
      <c r="CP13">
        <v>10.858407796736783</v>
      </c>
      <c r="CQ13">
        <v>925.13634428197395</v>
      </c>
      <c r="CR13">
        <v>12.110814193202643</v>
      </c>
      <c r="CS13">
        <v>1031.8413692608651</v>
      </c>
      <c r="CT13">
        <v>15.650068493721914</v>
      </c>
      <c r="CU13">
        <v>1333.3858356651072</v>
      </c>
    </row>
    <row r="14" spans="1:99" x14ac:dyDescent="0.2">
      <c r="C14" s="105" t="s">
        <v>180</v>
      </c>
      <c r="D14">
        <v>8</v>
      </c>
      <c r="E14">
        <v>3907.2</v>
      </c>
      <c r="F14">
        <v>11</v>
      </c>
      <c r="G14">
        <v>5372.4</v>
      </c>
      <c r="H14">
        <v>9</v>
      </c>
      <c r="I14">
        <v>4395.5999999999995</v>
      </c>
      <c r="J14">
        <v>9</v>
      </c>
      <c r="K14">
        <v>4395.5999999999995</v>
      </c>
      <c r="L14">
        <v>9.1376855477103902</v>
      </c>
      <c r="M14">
        <v>4462.8456215017541</v>
      </c>
      <c r="N14">
        <v>13.18967636881251</v>
      </c>
      <c r="O14">
        <v>6441.8379385280296</v>
      </c>
      <c r="P14">
        <v>11</v>
      </c>
      <c r="Q14">
        <v>5372.4</v>
      </c>
      <c r="R14">
        <v>9.1934746634097237</v>
      </c>
      <c r="S14">
        <v>4490.0930256093088</v>
      </c>
      <c r="T14">
        <v>13</v>
      </c>
      <c r="U14">
        <v>6349.2</v>
      </c>
      <c r="V14">
        <v>9.2936469648506321</v>
      </c>
      <c r="W14">
        <v>4539.017177633049</v>
      </c>
      <c r="X14">
        <v>10</v>
      </c>
      <c r="Y14">
        <v>4884</v>
      </c>
      <c r="Z14">
        <v>8</v>
      </c>
      <c r="AA14">
        <v>3907.2</v>
      </c>
      <c r="AB14">
        <v>11</v>
      </c>
      <c r="AC14">
        <v>5372.4</v>
      </c>
      <c r="AD14">
        <v>12.314609915542849</v>
      </c>
      <c r="AE14">
        <v>6014.4554827511274</v>
      </c>
      <c r="AF14">
        <v>7.8739437262026062</v>
      </c>
      <c r="AG14">
        <v>3845.6341158773525</v>
      </c>
      <c r="AH14">
        <v>12.716799721040205</v>
      </c>
      <c r="AI14">
        <v>6210.8849837560356</v>
      </c>
      <c r="AJ14">
        <v>12.407627851900584</v>
      </c>
      <c r="AK14">
        <v>6059.8854428682444</v>
      </c>
      <c r="AL14">
        <v>14.24774014892501</v>
      </c>
      <c r="AM14">
        <v>6958.5962887349742</v>
      </c>
      <c r="AN14">
        <v>8.1968969785594048</v>
      </c>
      <c r="AO14">
        <v>4003.3644843284133</v>
      </c>
      <c r="AP14">
        <v>9.2993852461125268</v>
      </c>
      <c r="AQ14">
        <v>4541.8197542013577</v>
      </c>
      <c r="AR14">
        <v>10.491313830138791</v>
      </c>
      <c r="AS14">
        <v>5123.9576746397852</v>
      </c>
      <c r="AT14">
        <v>13.348125565828683</v>
      </c>
      <c r="AU14">
        <v>6519.2245263507284</v>
      </c>
      <c r="AV14">
        <v>11.697493348453172</v>
      </c>
      <c r="AW14">
        <v>5713.0557513845288</v>
      </c>
      <c r="AX14">
        <v>11.552807526146699</v>
      </c>
      <c r="AY14">
        <v>5642.3911957700475</v>
      </c>
      <c r="AZ14">
        <v>11.87961324258778</v>
      </c>
      <c r="BA14">
        <v>5802.0031076798714</v>
      </c>
      <c r="BB14">
        <v>11.013628823697159</v>
      </c>
      <c r="BC14">
        <v>5379.0563174936924</v>
      </c>
      <c r="BD14">
        <v>11.26325804236823</v>
      </c>
      <c r="BE14">
        <v>5500.9752278926435</v>
      </c>
      <c r="BF14">
        <v>11.144036812738653</v>
      </c>
      <c r="BG14">
        <v>5442.7475793415579</v>
      </c>
      <c r="BH14">
        <v>9.9439891647848349</v>
      </c>
      <c r="BI14">
        <v>4856.6443080809131</v>
      </c>
      <c r="BJ14">
        <v>11.343426413328892</v>
      </c>
      <c r="BK14">
        <v>5540.1294602698308</v>
      </c>
      <c r="BL14">
        <v>8.1922965986610645</v>
      </c>
      <c r="BM14">
        <v>4001.1176587860637</v>
      </c>
      <c r="BN14">
        <v>13.158441619206025</v>
      </c>
      <c r="BO14">
        <v>6426.5828868202225</v>
      </c>
      <c r="BP14">
        <v>9.2006384292433712</v>
      </c>
      <c r="BQ14">
        <v>4493.5918088424623</v>
      </c>
      <c r="BR14">
        <v>10.26315029938001</v>
      </c>
      <c r="BS14">
        <v>5012.5226062171969</v>
      </c>
      <c r="BT14">
        <v>10.182525636503811</v>
      </c>
      <c r="BU14">
        <v>4973.1455208684611</v>
      </c>
      <c r="BV14">
        <v>8.7864247514484983</v>
      </c>
      <c r="BW14">
        <v>4291.2898486074464</v>
      </c>
      <c r="BX14">
        <v>9</v>
      </c>
      <c r="BY14">
        <v>4395.5999999999995</v>
      </c>
      <c r="BZ14">
        <v>11.141778267558905</v>
      </c>
      <c r="CA14">
        <v>5441.644505875769</v>
      </c>
      <c r="CB14">
        <v>10.043910004368179</v>
      </c>
      <c r="CC14">
        <v>4905.4456461334184</v>
      </c>
      <c r="CD14">
        <v>13.291292400899604</v>
      </c>
      <c r="CE14">
        <v>6491.4672085993661</v>
      </c>
      <c r="CF14">
        <v>10</v>
      </c>
      <c r="CG14">
        <v>4884</v>
      </c>
      <c r="CH14">
        <v>11.327036712543764</v>
      </c>
      <c r="CI14">
        <v>5532.1247304063745</v>
      </c>
      <c r="CJ14">
        <v>10.049263565511241</v>
      </c>
      <c r="CK14">
        <v>4908.0603253956897</v>
      </c>
      <c r="CL14">
        <v>11.14700631799084</v>
      </c>
      <c r="CM14">
        <v>5444.1978857067261</v>
      </c>
      <c r="CN14">
        <v>12.620189798656861</v>
      </c>
      <c r="CO14">
        <v>6163.7006976640105</v>
      </c>
      <c r="CP14">
        <v>10.021076184174797</v>
      </c>
      <c r="CQ14">
        <v>4894.2936083509703</v>
      </c>
      <c r="CR14">
        <v>12.110814193202643</v>
      </c>
      <c r="CS14">
        <v>5914.9216519601705</v>
      </c>
      <c r="CT14">
        <v>14.780620244070699</v>
      </c>
      <c r="CU14">
        <v>7218.8549272041291</v>
      </c>
    </row>
    <row r="15" spans="1:99" x14ac:dyDescent="0.2">
      <c r="C15" s="105" t="s">
        <v>181</v>
      </c>
      <c r="D15">
        <v>8</v>
      </c>
      <c r="E15">
        <v>6105.5999999999995</v>
      </c>
      <c r="F15">
        <v>11</v>
      </c>
      <c r="G15">
        <v>8395.1999999999989</v>
      </c>
      <c r="H15">
        <v>11</v>
      </c>
      <c r="I15">
        <v>8395.1999999999989</v>
      </c>
      <c r="J15">
        <v>8</v>
      </c>
      <c r="K15">
        <v>6105.5999999999995</v>
      </c>
      <c r="L15">
        <v>8.1835807302805215</v>
      </c>
      <c r="M15">
        <v>6245.7088133500938</v>
      </c>
      <c r="N15">
        <v>12.18967636881251</v>
      </c>
      <c r="O15">
        <v>9303.1610046777059</v>
      </c>
      <c r="P15">
        <v>12</v>
      </c>
      <c r="Q15">
        <v>9158.4</v>
      </c>
      <c r="R15">
        <v>10.193474663409724</v>
      </c>
      <c r="S15">
        <v>7779.6598631143006</v>
      </c>
      <c r="T15">
        <v>12</v>
      </c>
      <c r="U15">
        <v>9158.4</v>
      </c>
      <c r="V15">
        <v>8.3425881256590699</v>
      </c>
      <c r="W15">
        <v>6367.0632575030013</v>
      </c>
      <c r="X15">
        <v>8</v>
      </c>
      <c r="Y15">
        <v>6105.5999999999995</v>
      </c>
      <c r="Z15">
        <v>9</v>
      </c>
      <c r="AA15">
        <v>6868.7999999999993</v>
      </c>
      <c r="AB15">
        <v>12</v>
      </c>
      <c r="AC15">
        <v>9158.4</v>
      </c>
      <c r="AD15">
        <v>12.314609915542849</v>
      </c>
      <c r="AE15">
        <v>9398.5102875423017</v>
      </c>
      <c r="AF15">
        <v>7.8739437262026062</v>
      </c>
      <c r="AG15">
        <v>6009.3938518378282</v>
      </c>
      <c r="AH15">
        <v>12.680820758082891</v>
      </c>
      <c r="AI15">
        <v>9678.0024025688617</v>
      </c>
      <c r="AJ15">
        <v>10.498762028531264</v>
      </c>
      <c r="AK15">
        <v>8012.6551801750602</v>
      </c>
      <c r="AL15">
        <v>13.24774014892501</v>
      </c>
      <c r="AM15">
        <v>10110.675281659567</v>
      </c>
      <c r="AN15">
        <v>9.1925325463540197</v>
      </c>
      <c r="AO15">
        <v>7015.7408393773876</v>
      </c>
      <c r="AP15">
        <v>8.2993852461125268</v>
      </c>
      <c r="AQ15">
        <v>6334.0908198330799</v>
      </c>
      <c r="AR15">
        <v>8.7427615251156574</v>
      </c>
      <c r="AS15">
        <v>6672.4755959682689</v>
      </c>
      <c r="AT15">
        <v>13.307184393211411</v>
      </c>
      <c r="AU15">
        <v>10156.043128898948</v>
      </c>
      <c r="AV15">
        <v>10.797686167802928</v>
      </c>
      <c r="AW15">
        <v>8240.7940832671939</v>
      </c>
      <c r="AX15">
        <v>11.552807526146699</v>
      </c>
      <c r="AY15">
        <v>8817.1027039551609</v>
      </c>
      <c r="AZ15">
        <v>11.87961324258778</v>
      </c>
      <c r="BA15">
        <v>9066.5208267429934</v>
      </c>
      <c r="BB15">
        <v>10.97218439862756</v>
      </c>
      <c r="BC15">
        <v>8373.9711330325536</v>
      </c>
      <c r="BD15">
        <v>11.26325804236823</v>
      </c>
      <c r="BE15">
        <v>8596.118537935432</v>
      </c>
      <c r="BF15">
        <v>11.144036812738653</v>
      </c>
      <c r="BG15">
        <v>8505.1288954821393</v>
      </c>
      <c r="BH15">
        <v>10.772654928516905</v>
      </c>
      <c r="BI15">
        <v>8221.690241444101</v>
      </c>
      <c r="BJ15">
        <v>13.09080250877739</v>
      </c>
      <c r="BK15">
        <v>9990.9004746989031</v>
      </c>
      <c r="BL15">
        <v>7.2307559183932781</v>
      </c>
      <c r="BM15">
        <v>5518.512916917749</v>
      </c>
      <c r="BN15">
        <v>11.158441619206025</v>
      </c>
      <c r="BO15">
        <v>8516.1226437780369</v>
      </c>
      <c r="BP15">
        <v>9.2340781674505994</v>
      </c>
      <c r="BQ15">
        <v>7047.4484573982973</v>
      </c>
      <c r="BR15">
        <v>10.26315029938001</v>
      </c>
      <c r="BS15">
        <v>7832.8363084868233</v>
      </c>
      <c r="BT15">
        <v>10.182525636503811</v>
      </c>
      <c r="BU15">
        <v>7771.3035657797082</v>
      </c>
      <c r="BV15">
        <v>9.4978861985697129</v>
      </c>
      <c r="BW15">
        <v>7248.7867467484039</v>
      </c>
      <c r="BX15">
        <v>9</v>
      </c>
      <c r="BY15">
        <v>6868.7999999999993</v>
      </c>
      <c r="BZ15">
        <v>11.141778267558905</v>
      </c>
      <c r="CA15">
        <v>8503.4051738009548</v>
      </c>
      <c r="CB15">
        <v>9.1876585473657215</v>
      </c>
      <c r="CC15">
        <v>7012.0210033495177</v>
      </c>
      <c r="CD15">
        <v>13.252799960692641</v>
      </c>
      <c r="CE15">
        <v>10114.536930000622</v>
      </c>
      <c r="CF15">
        <v>9</v>
      </c>
      <c r="CG15">
        <v>6868.7999999999993</v>
      </c>
      <c r="CH15">
        <v>12.849853509990323</v>
      </c>
      <c r="CI15">
        <v>9807.0081988246147</v>
      </c>
      <c r="CJ15">
        <v>10.049263565511241</v>
      </c>
      <c r="CK15">
        <v>7669.5979531981784</v>
      </c>
      <c r="CL15">
        <v>11.183757897488551</v>
      </c>
      <c r="CM15">
        <v>8535.4440273632608</v>
      </c>
      <c r="CN15">
        <v>12.620189798656861</v>
      </c>
      <c r="CO15">
        <v>9631.728854334915</v>
      </c>
      <c r="CP15">
        <v>9.9784220554383261</v>
      </c>
      <c r="CQ15">
        <v>7615.53171271053</v>
      </c>
      <c r="CR15">
        <v>10.496038967442292</v>
      </c>
      <c r="CS15">
        <v>8010.5769399519568</v>
      </c>
      <c r="CT15">
        <v>14.215214029166084</v>
      </c>
      <c r="CU15">
        <v>10849.051347059554</v>
      </c>
    </row>
    <row r="16" spans="1:99" x14ac:dyDescent="0.2">
      <c r="C16" s="105" t="s">
        <v>182</v>
      </c>
      <c r="D16">
        <v>9</v>
      </c>
      <c r="E16">
        <v>3067.2000000000003</v>
      </c>
      <c r="F16">
        <v>12</v>
      </c>
      <c r="G16">
        <v>4089.6000000000004</v>
      </c>
      <c r="H16">
        <v>11</v>
      </c>
      <c r="I16">
        <v>3748.8</v>
      </c>
      <c r="J16">
        <v>10</v>
      </c>
      <c r="K16">
        <v>3408</v>
      </c>
      <c r="L16">
        <v>10.183580730280521</v>
      </c>
      <c r="M16">
        <v>3470.5643128796019</v>
      </c>
      <c r="N16">
        <v>14.18967636881251</v>
      </c>
      <c r="O16">
        <v>4835.8417064913037</v>
      </c>
      <c r="P16">
        <v>11</v>
      </c>
      <c r="Q16">
        <v>3748.8</v>
      </c>
      <c r="R16">
        <v>9.1934746634097237</v>
      </c>
      <c r="S16">
        <v>3133.1361652900341</v>
      </c>
      <c r="T16">
        <v>12</v>
      </c>
      <c r="U16">
        <v>4089.6000000000004</v>
      </c>
      <c r="V16">
        <v>8</v>
      </c>
      <c r="W16">
        <v>2726.4</v>
      </c>
      <c r="X16">
        <v>9</v>
      </c>
      <c r="Y16">
        <v>3067.2000000000003</v>
      </c>
      <c r="Z16">
        <v>8</v>
      </c>
      <c r="AA16">
        <v>2726.4</v>
      </c>
      <c r="AB16">
        <v>12</v>
      </c>
      <c r="AC16">
        <v>4089.6000000000004</v>
      </c>
      <c r="AD16">
        <v>12.314609915542849</v>
      </c>
      <c r="AE16">
        <v>4196.8190592170031</v>
      </c>
      <c r="AF16">
        <v>8.7269010501091877</v>
      </c>
      <c r="AG16">
        <v>2974.1278778772112</v>
      </c>
      <c r="AH16">
        <v>14.645554322002303</v>
      </c>
      <c r="AI16">
        <v>4991.204912938385</v>
      </c>
      <c r="AJ16">
        <v>12.407627851900584</v>
      </c>
      <c r="AK16">
        <v>4228.519571927719</v>
      </c>
      <c r="AL16">
        <v>13.24774014892501</v>
      </c>
      <c r="AM16">
        <v>4514.8298427536438</v>
      </c>
      <c r="AN16">
        <v>9.1538971403202698</v>
      </c>
      <c r="AO16">
        <v>3119.648145421148</v>
      </c>
      <c r="AP16">
        <v>8.2993852461125268</v>
      </c>
      <c r="AQ16">
        <v>2828.4304918751491</v>
      </c>
      <c r="AR16">
        <v>9.6170376776272235</v>
      </c>
      <c r="AS16">
        <v>3277.4864405353578</v>
      </c>
      <c r="AT16">
        <v>13.348125565828683</v>
      </c>
      <c r="AU16">
        <v>4549.0411928344156</v>
      </c>
      <c r="AV16">
        <v>12.597300529103416</v>
      </c>
      <c r="AW16">
        <v>4293.1600203184444</v>
      </c>
      <c r="AX16">
        <v>9.9312853055827759</v>
      </c>
      <c r="AY16">
        <v>3384.5820321426099</v>
      </c>
      <c r="AZ16">
        <v>11.031069439545796</v>
      </c>
      <c r="BA16">
        <v>3759.3884649972074</v>
      </c>
      <c r="BB16">
        <v>13.516979082947641</v>
      </c>
      <c r="BC16">
        <v>4606.5864714685558</v>
      </c>
      <c r="BD16">
        <v>9.3860483686401928</v>
      </c>
      <c r="BE16">
        <v>3198.7652840325777</v>
      </c>
      <c r="BF16">
        <v>11.144036812738653</v>
      </c>
      <c r="BG16">
        <v>3797.8877457813333</v>
      </c>
      <c r="BH16">
        <v>9.9439891647848349</v>
      </c>
      <c r="BI16">
        <v>3388.9115073586718</v>
      </c>
      <c r="BJ16">
        <v>13.061766094604733</v>
      </c>
      <c r="BK16">
        <v>4451.4498850412929</v>
      </c>
      <c r="BL16">
        <v>9.2307559183932781</v>
      </c>
      <c r="BM16">
        <v>3145.8416169884295</v>
      </c>
      <c r="BN16">
        <v>12.158441619206025</v>
      </c>
      <c r="BO16">
        <v>4143.5969038254134</v>
      </c>
      <c r="BP16">
        <v>9.2006384292433712</v>
      </c>
      <c r="BQ16">
        <v>3135.5775766861411</v>
      </c>
      <c r="BR16">
        <v>10.26315029938001</v>
      </c>
      <c r="BS16">
        <v>3497.6816220287074</v>
      </c>
      <c r="BT16">
        <v>11.031069439545796</v>
      </c>
      <c r="BU16">
        <v>3759.3884649972074</v>
      </c>
      <c r="BV16">
        <v>9.4623308577134377</v>
      </c>
      <c r="BW16">
        <v>3224.7623563087395</v>
      </c>
      <c r="BX16">
        <v>8</v>
      </c>
      <c r="BY16">
        <v>2726.4</v>
      </c>
      <c r="BZ16">
        <v>11.141778267558905</v>
      </c>
      <c r="CA16">
        <v>3797.118033584075</v>
      </c>
      <c r="CB16">
        <v>10.080683179505895</v>
      </c>
      <c r="CC16">
        <v>3435.4968275756091</v>
      </c>
      <c r="CD16">
        <v>13.291292400899604</v>
      </c>
      <c r="CE16">
        <v>4529.6724502265852</v>
      </c>
      <c r="CF16">
        <v>10</v>
      </c>
      <c r="CG16">
        <v>3408</v>
      </c>
      <c r="CH16">
        <v>13.570937936582702</v>
      </c>
      <c r="CI16">
        <v>4624.9756487873847</v>
      </c>
      <c r="CJ16">
        <v>10.084143795312409</v>
      </c>
      <c r="CK16">
        <v>3436.6762054424689</v>
      </c>
      <c r="CL16">
        <v>11.14700631799084</v>
      </c>
      <c r="CM16">
        <v>3798.8997531712785</v>
      </c>
      <c r="CN16">
        <v>14.525029178597618</v>
      </c>
      <c r="CO16">
        <v>4950.1299440660687</v>
      </c>
      <c r="CP16">
        <v>9.9784220554383261</v>
      </c>
      <c r="CQ16">
        <v>3400.6462364933818</v>
      </c>
      <c r="CR16">
        <v>11.303426580322467</v>
      </c>
      <c r="CS16">
        <v>3852.207778573897</v>
      </c>
      <c r="CT16">
        <v>13.91117199441948</v>
      </c>
      <c r="CU16">
        <v>4740.9274156981592</v>
      </c>
    </row>
    <row r="17" spans="2:99" x14ac:dyDescent="0.2">
      <c r="C17" s="105" t="s">
        <v>183</v>
      </c>
      <c r="D17">
        <v>8</v>
      </c>
      <c r="E17">
        <v>3379.2</v>
      </c>
      <c r="F17">
        <v>11</v>
      </c>
      <c r="G17">
        <v>4646.3999999999996</v>
      </c>
      <c r="H17">
        <v>10</v>
      </c>
      <c r="I17">
        <v>4224</v>
      </c>
      <c r="J17">
        <v>8</v>
      </c>
      <c r="K17">
        <v>3379.2</v>
      </c>
      <c r="L17">
        <v>10.183580730280521</v>
      </c>
      <c r="M17">
        <v>4301.5445004704916</v>
      </c>
      <c r="N17">
        <v>13.18967636881251</v>
      </c>
      <c r="O17">
        <v>5571.319298186404</v>
      </c>
      <c r="P17">
        <v>13</v>
      </c>
      <c r="Q17">
        <v>5491.2</v>
      </c>
      <c r="R17">
        <v>9.1934746634097237</v>
      </c>
      <c r="S17">
        <v>3883.3236978242671</v>
      </c>
      <c r="T17">
        <v>14</v>
      </c>
      <c r="U17">
        <v>5913.5999999999995</v>
      </c>
      <c r="V17">
        <v>8.2936469648506321</v>
      </c>
      <c r="W17">
        <v>3503.2364779529066</v>
      </c>
      <c r="X17">
        <v>10</v>
      </c>
      <c r="Y17">
        <v>4224</v>
      </c>
      <c r="Z17">
        <v>8</v>
      </c>
      <c r="AA17">
        <v>3379.2</v>
      </c>
      <c r="AB17">
        <v>11</v>
      </c>
      <c r="AC17">
        <v>4646.3999999999996</v>
      </c>
      <c r="AD17">
        <v>13.250171368185567</v>
      </c>
      <c r="AE17">
        <v>5596.8723859215834</v>
      </c>
      <c r="AF17">
        <v>8.7269010501091877</v>
      </c>
      <c r="AG17">
        <v>3686.2430035661205</v>
      </c>
      <c r="AH17">
        <v>14.645554322002303</v>
      </c>
      <c r="AI17">
        <v>6186.2821456137726</v>
      </c>
      <c r="AJ17">
        <v>12.407627851900584</v>
      </c>
      <c r="AK17">
        <v>5240.9820046428058</v>
      </c>
      <c r="AL17">
        <v>14.24774014892501</v>
      </c>
      <c r="AM17">
        <v>6018.2454389059239</v>
      </c>
      <c r="AN17">
        <v>9.1538971403202698</v>
      </c>
      <c r="AO17">
        <v>3866.6061520712819</v>
      </c>
      <c r="AP17">
        <v>8.249487705093772</v>
      </c>
      <c r="AQ17">
        <v>3484.5836066316092</v>
      </c>
      <c r="AR17">
        <v>10.491313830138791</v>
      </c>
      <c r="AS17">
        <v>4431.5309618506253</v>
      </c>
      <c r="AT17">
        <v>13.307184393211411</v>
      </c>
      <c r="AU17">
        <v>5620.9546876924996</v>
      </c>
      <c r="AV17">
        <v>12.597300529103416</v>
      </c>
      <c r="AW17">
        <v>5321.0997434932824</v>
      </c>
      <c r="AX17">
        <v>10.742046415864738</v>
      </c>
      <c r="AY17">
        <v>4537.4404060612651</v>
      </c>
      <c r="AZ17">
        <v>12.728157045629766</v>
      </c>
      <c r="BA17">
        <v>5376.3735360740129</v>
      </c>
      <c r="BB17">
        <v>12.682528996530815</v>
      </c>
      <c r="BC17">
        <v>5357.1002481346159</v>
      </c>
      <c r="BD17">
        <v>9.3860483686401928</v>
      </c>
      <c r="BE17">
        <v>3964.6668309136171</v>
      </c>
      <c r="BF17">
        <v>11.144036812738653</v>
      </c>
      <c r="BG17">
        <v>4707.241149700807</v>
      </c>
      <c r="BH17">
        <v>9.9439891647848349</v>
      </c>
      <c r="BI17">
        <v>4200.3410232051137</v>
      </c>
      <c r="BJ17">
        <v>12.202596253966812</v>
      </c>
      <c r="BK17">
        <v>5154.3766576755806</v>
      </c>
      <c r="BL17">
        <v>8.1922965986610645</v>
      </c>
      <c r="BM17">
        <v>3460.4260832744335</v>
      </c>
      <c r="BN17">
        <v>11.158441619206025</v>
      </c>
      <c r="BO17">
        <v>4713.3257399526246</v>
      </c>
      <c r="BP17">
        <v>9.2340781674505994</v>
      </c>
      <c r="BQ17">
        <v>3900.4746179311328</v>
      </c>
      <c r="BR17">
        <v>11.101000295244415</v>
      </c>
      <c r="BS17">
        <v>4689.0625247112403</v>
      </c>
      <c r="BT17">
        <v>11.87961324258778</v>
      </c>
      <c r="BU17">
        <v>5017.9486336690779</v>
      </c>
      <c r="BV17">
        <v>9.4978861985697129</v>
      </c>
      <c r="BW17">
        <v>4011.9071302758466</v>
      </c>
      <c r="BX17">
        <v>9</v>
      </c>
      <c r="BY17">
        <v>3801.6</v>
      </c>
      <c r="BZ17">
        <v>10.150666386926229</v>
      </c>
      <c r="CA17">
        <v>4287.6414818376388</v>
      </c>
      <c r="CB17">
        <v>10.080683179505895</v>
      </c>
      <c r="CC17">
        <v>4258.0805750232903</v>
      </c>
      <c r="CD17">
        <v>13.291292400899604</v>
      </c>
      <c r="CE17">
        <v>5614.2419101399919</v>
      </c>
      <c r="CF17">
        <v>10</v>
      </c>
      <c r="CG17">
        <v>4224</v>
      </c>
      <c r="CH17">
        <v>12.075003787223409</v>
      </c>
      <c r="CI17">
        <v>5100.4815997231672</v>
      </c>
      <c r="CJ17">
        <v>9.1515488003743872</v>
      </c>
      <c r="CK17">
        <v>3865.6142132781411</v>
      </c>
      <c r="CL17">
        <v>10.183757897488551</v>
      </c>
      <c r="CM17">
        <v>4301.6193358991641</v>
      </c>
      <c r="CN17">
        <v>13.538504655906962</v>
      </c>
      <c r="CO17">
        <v>5718.6643666551008</v>
      </c>
      <c r="CP17">
        <v>10.858407796736783</v>
      </c>
      <c r="CQ17">
        <v>4586.5914533416171</v>
      </c>
      <c r="CR17">
        <v>12.91820180608282</v>
      </c>
      <c r="CS17">
        <v>5456.6484428893827</v>
      </c>
      <c r="CT17">
        <v>13.041723744768262</v>
      </c>
      <c r="CU17">
        <v>5508.8241097901137</v>
      </c>
    </row>
    <row r="18" spans="2:99" x14ac:dyDescent="0.2">
      <c r="C18" s="105" t="s">
        <v>184</v>
      </c>
      <c r="D18">
        <v>9</v>
      </c>
      <c r="E18">
        <v>5875.2</v>
      </c>
      <c r="F18">
        <v>11</v>
      </c>
      <c r="G18">
        <v>7180.7999999999993</v>
      </c>
      <c r="H18">
        <v>11</v>
      </c>
      <c r="I18">
        <v>7180.7999999999993</v>
      </c>
      <c r="J18">
        <v>9</v>
      </c>
      <c r="K18">
        <v>5875.2</v>
      </c>
      <c r="L18">
        <v>10.13768554771039</v>
      </c>
      <c r="M18">
        <v>6617.881125545342</v>
      </c>
      <c r="N18">
        <v>12.142257276609383</v>
      </c>
      <c r="O18">
        <v>7926.4655501706047</v>
      </c>
      <c r="P18">
        <v>11</v>
      </c>
      <c r="Q18">
        <v>7180.7999999999993</v>
      </c>
      <c r="R18">
        <v>10.193474663409724</v>
      </c>
      <c r="S18">
        <v>6654.300260273867</v>
      </c>
      <c r="T18">
        <v>12</v>
      </c>
      <c r="U18">
        <v>7833.5999999999995</v>
      </c>
      <c r="V18">
        <v>7.2936469648506321</v>
      </c>
      <c r="W18">
        <v>4761.2927386544925</v>
      </c>
      <c r="X18">
        <v>9</v>
      </c>
      <c r="Y18">
        <v>5875.2</v>
      </c>
      <c r="Z18">
        <v>8</v>
      </c>
      <c r="AA18">
        <v>5222.3999999999996</v>
      </c>
      <c r="AB18">
        <v>10</v>
      </c>
      <c r="AC18">
        <v>6528</v>
      </c>
      <c r="AD18">
        <v>13.250171368185567</v>
      </c>
      <c r="AE18">
        <v>8649.711869151537</v>
      </c>
      <c r="AF18">
        <v>7.9068316947098367</v>
      </c>
      <c r="AG18">
        <v>5161.579730306581</v>
      </c>
      <c r="AH18">
        <v>12.680820758082891</v>
      </c>
      <c r="AI18">
        <v>8278.0397908765117</v>
      </c>
      <c r="AJ18">
        <v>11.453194940215923</v>
      </c>
      <c r="AK18">
        <v>7476.6456569729535</v>
      </c>
      <c r="AL18">
        <v>12.24774014892501</v>
      </c>
      <c r="AM18">
        <v>7995.3247692182458</v>
      </c>
      <c r="AN18">
        <v>9.1925325463540197</v>
      </c>
      <c r="AO18">
        <v>6000.8852462599034</v>
      </c>
      <c r="AP18">
        <v>8.2993852461125268</v>
      </c>
      <c r="AQ18">
        <v>5417.8386886622575</v>
      </c>
      <c r="AR18">
        <v>10.491313830138791</v>
      </c>
      <c r="AS18">
        <v>6848.7296683146023</v>
      </c>
      <c r="AT18">
        <v>11.659139283791461</v>
      </c>
      <c r="AU18">
        <v>7611.0861244590651</v>
      </c>
      <c r="AV18">
        <v>11.697493348453172</v>
      </c>
      <c r="AW18">
        <v>7636.1236578702301</v>
      </c>
      <c r="AX18">
        <v>10.742046415864738</v>
      </c>
      <c r="AY18">
        <v>7012.4079002765011</v>
      </c>
      <c r="AZ18">
        <v>11.031069439545796</v>
      </c>
      <c r="BA18">
        <v>7201.0821301354954</v>
      </c>
      <c r="BB18">
        <v>11.013628823697159</v>
      </c>
      <c r="BC18">
        <v>7189.6968961095054</v>
      </c>
      <c r="BD18">
        <v>11.26325804236823</v>
      </c>
      <c r="BE18">
        <v>7352.6548500579802</v>
      </c>
      <c r="BF18">
        <v>10.238012558659378</v>
      </c>
      <c r="BG18">
        <v>6683.3745982928413</v>
      </c>
      <c r="BH18">
        <v>9.1153234010527662</v>
      </c>
      <c r="BI18">
        <v>5950.4831162072451</v>
      </c>
      <c r="BJ18">
        <v>13.09080250877739</v>
      </c>
      <c r="BK18">
        <v>8545.6758777298801</v>
      </c>
      <c r="BL18">
        <v>7.2307559183932781</v>
      </c>
      <c r="BM18">
        <v>4720.2374635271317</v>
      </c>
      <c r="BN18">
        <v>11.158441619206025</v>
      </c>
      <c r="BO18">
        <v>7284.2306890176924</v>
      </c>
      <c r="BP18">
        <v>9.2340781674505994</v>
      </c>
      <c r="BQ18">
        <v>6028.0062277117513</v>
      </c>
      <c r="BR18">
        <v>9.4253003035156038</v>
      </c>
      <c r="BS18">
        <v>6152.8360381349858</v>
      </c>
      <c r="BT18">
        <v>9.333981833461829</v>
      </c>
      <c r="BU18">
        <v>6093.223340883882</v>
      </c>
      <c r="BV18">
        <v>8.7508694105922231</v>
      </c>
      <c r="BW18">
        <v>5712.5675512346024</v>
      </c>
      <c r="BX18">
        <v>8</v>
      </c>
      <c r="BY18">
        <v>5222.3999999999996</v>
      </c>
      <c r="BZ18">
        <v>10.150666386926229</v>
      </c>
      <c r="CA18">
        <v>6626.3550173854419</v>
      </c>
      <c r="CB18">
        <v>10.936934636508353</v>
      </c>
      <c r="CC18">
        <v>7139.6309307126521</v>
      </c>
      <c r="CD18">
        <v>13.291292400899604</v>
      </c>
      <c r="CE18">
        <v>8676.555679307261</v>
      </c>
      <c r="CF18">
        <v>11</v>
      </c>
      <c r="CG18">
        <v>7180.7999999999993</v>
      </c>
      <c r="CH18">
        <v>12.101886435310677</v>
      </c>
      <c r="CI18">
        <v>7900.1114649708088</v>
      </c>
      <c r="CJ18">
        <v>10.981858560449263</v>
      </c>
      <c r="CK18">
        <v>7168.9572682612779</v>
      </c>
      <c r="CL18">
        <v>10.183757897488551</v>
      </c>
      <c r="CM18">
        <v>6647.9571554805252</v>
      </c>
      <c r="CN18">
        <v>13.538504655906962</v>
      </c>
      <c r="CO18">
        <v>8837.9358393760649</v>
      </c>
      <c r="CP18">
        <v>10.858407796736783</v>
      </c>
      <c r="CQ18">
        <v>7088.3686097097716</v>
      </c>
      <c r="CR18">
        <v>12.110814193202643</v>
      </c>
      <c r="CS18">
        <v>7905.9395053226845</v>
      </c>
      <c r="CT18">
        <v>12.476317529863648</v>
      </c>
      <c r="CU18">
        <v>8144.5400834949887</v>
      </c>
    </row>
    <row r="19" spans="2:99" x14ac:dyDescent="0.2">
      <c r="C19" s="105" t="s">
        <v>185</v>
      </c>
      <c r="D19">
        <v>9</v>
      </c>
      <c r="E19">
        <v>2970</v>
      </c>
      <c r="F19">
        <v>12</v>
      </c>
      <c r="G19">
        <v>3960</v>
      </c>
      <c r="H19">
        <v>11</v>
      </c>
      <c r="I19">
        <v>3630</v>
      </c>
      <c r="J19">
        <v>9</v>
      </c>
      <c r="K19">
        <v>2970</v>
      </c>
      <c r="L19">
        <v>10.183580730280521</v>
      </c>
      <c r="M19">
        <v>3360.5816409925719</v>
      </c>
      <c r="N19">
        <v>13.18967636881251</v>
      </c>
      <c r="O19">
        <v>4352.5932017081286</v>
      </c>
      <c r="P19">
        <v>13</v>
      </c>
      <c r="Q19">
        <v>4290</v>
      </c>
      <c r="R19">
        <v>10.193474663409724</v>
      </c>
      <c r="S19">
        <v>3363.8466389252089</v>
      </c>
      <c r="T19">
        <v>13</v>
      </c>
      <c r="U19">
        <v>4290</v>
      </c>
      <c r="V19">
        <v>8</v>
      </c>
      <c r="W19">
        <v>2640</v>
      </c>
      <c r="X19">
        <v>8</v>
      </c>
      <c r="Y19">
        <v>2640</v>
      </c>
      <c r="Z19">
        <v>8.2475526670717549</v>
      </c>
      <c r="AA19">
        <v>2721.6923801336793</v>
      </c>
      <c r="AB19">
        <v>12</v>
      </c>
      <c r="AC19">
        <v>3960</v>
      </c>
      <c r="AD19">
        <v>12.314609915542849</v>
      </c>
      <c r="AE19">
        <v>4063.8212721291402</v>
      </c>
      <c r="AF19">
        <v>8.7269010501091877</v>
      </c>
      <c r="AG19">
        <v>2879.8773465360318</v>
      </c>
      <c r="AH19">
        <v>13.64519805856394</v>
      </c>
      <c r="AI19">
        <v>4502.9153593260999</v>
      </c>
      <c r="AJ19">
        <v>12.407627851900584</v>
      </c>
      <c r="AK19">
        <v>4094.5171911271927</v>
      </c>
      <c r="AL19">
        <v>12.24774014892501</v>
      </c>
      <c r="AM19">
        <v>4041.7542491452532</v>
      </c>
      <c r="AN19">
        <v>9.1925325463540197</v>
      </c>
      <c r="AO19">
        <v>3033.5357402968266</v>
      </c>
      <c r="AP19">
        <v>8.2993852461125268</v>
      </c>
      <c r="AQ19">
        <v>2738.7971312171339</v>
      </c>
      <c r="AR19">
        <v>9.6170376776272235</v>
      </c>
      <c r="AS19">
        <v>3173.6224336169839</v>
      </c>
      <c r="AT19">
        <v>13.348125565828683</v>
      </c>
      <c r="AU19">
        <v>4404.8814367234654</v>
      </c>
      <c r="AV19">
        <v>11.697493348453172</v>
      </c>
      <c r="AW19">
        <v>3860.1728049895469</v>
      </c>
      <c r="AX19">
        <v>10.742046415864738</v>
      </c>
      <c r="AY19">
        <v>3544.8753172353636</v>
      </c>
      <c r="AZ19">
        <v>11.87961324258778</v>
      </c>
      <c r="BA19">
        <v>3920.2723700539673</v>
      </c>
      <c r="BB19">
        <v>11.848078910113987</v>
      </c>
      <c r="BC19">
        <v>3909.8660403376157</v>
      </c>
      <c r="BD19">
        <v>10.324653205504211</v>
      </c>
      <c r="BE19">
        <v>3407.1355578163893</v>
      </c>
      <c r="BF19">
        <v>10.238012558659378</v>
      </c>
      <c r="BG19">
        <v>3378.5441443575946</v>
      </c>
      <c r="BH19">
        <v>10.772654928516905</v>
      </c>
      <c r="BI19">
        <v>3554.9761264105787</v>
      </c>
      <c r="BJ19">
        <v>13.920935935242655</v>
      </c>
      <c r="BK19">
        <v>4593.9088586300759</v>
      </c>
      <c r="BL19">
        <v>9.1922965986610645</v>
      </c>
      <c r="BM19">
        <v>3033.4578775581513</v>
      </c>
      <c r="BN19">
        <v>12.158441619206025</v>
      </c>
      <c r="BO19">
        <v>4012.2857343379883</v>
      </c>
      <c r="BP19">
        <v>9.2006384292433712</v>
      </c>
      <c r="BQ19">
        <v>3036.2106816503124</v>
      </c>
      <c r="BR19">
        <v>10.26315029938001</v>
      </c>
      <c r="BS19">
        <v>3386.8395987954032</v>
      </c>
      <c r="BT19">
        <v>11.031069439545796</v>
      </c>
      <c r="BU19">
        <v>3640.2529150501127</v>
      </c>
      <c r="BV19">
        <v>9.4978861985697129</v>
      </c>
      <c r="BW19">
        <v>3134.3024455280051</v>
      </c>
      <c r="BX19">
        <v>8</v>
      </c>
      <c r="BY19">
        <v>2640</v>
      </c>
      <c r="BZ19">
        <v>10.184887469869011</v>
      </c>
      <c r="CA19">
        <v>3361.0128650567735</v>
      </c>
      <c r="CB19">
        <v>10.080683179505895</v>
      </c>
      <c r="CC19">
        <v>3326.6254492369453</v>
      </c>
      <c r="CD19">
        <v>13.291292400899604</v>
      </c>
      <c r="CE19">
        <v>4386.1264922968694</v>
      </c>
      <c r="CF19">
        <v>11</v>
      </c>
      <c r="CG19">
        <v>3630</v>
      </c>
      <c r="CH19">
        <v>12.849853509990323</v>
      </c>
      <c r="CI19">
        <v>4240.4516582968063</v>
      </c>
      <c r="CJ19">
        <v>10.049263565511241</v>
      </c>
      <c r="CK19">
        <v>3316.2569766187098</v>
      </c>
      <c r="CL19">
        <v>10.14700631799084</v>
      </c>
      <c r="CM19">
        <v>3348.5120849369773</v>
      </c>
      <c r="CN19">
        <v>12.620189798656861</v>
      </c>
      <c r="CO19">
        <v>4164.6626335567644</v>
      </c>
      <c r="CP19">
        <v>10.901061925473254</v>
      </c>
      <c r="CQ19">
        <v>3597.3504354061738</v>
      </c>
      <c r="CR19">
        <v>11.303426580322467</v>
      </c>
      <c r="CS19">
        <v>3730.130771506414</v>
      </c>
      <c r="CT19">
        <v>15.0846622788173</v>
      </c>
      <c r="CU19">
        <v>4977.9385520097085</v>
      </c>
    </row>
    <row r="20" spans="2:99" x14ac:dyDescent="0.2">
      <c r="B20" s="105" t="s">
        <v>127</v>
      </c>
      <c r="C20" s="105" t="s">
        <v>186</v>
      </c>
      <c r="D20">
        <v>6</v>
      </c>
      <c r="E20">
        <v>1720.8000000000002</v>
      </c>
      <c r="F20">
        <v>5</v>
      </c>
      <c r="G20">
        <v>1434</v>
      </c>
      <c r="H20">
        <v>8</v>
      </c>
      <c r="I20">
        <v>2294.4</v>
      </c>
      <c r="J20">
        <v>5</v>
      </c>
      <c r="K20">
        <v>1434</v>
      </c>
      <c r="L20">
        <v>9.3671614605610429</v>
      </c>
      <c r="M20">
        <v>2686.5019068889073</v>
      </c>
      <c r="N20">
        <v>8.3793527376250214</v>
      </c>
      <c r="O20">
        <v>2403.1983651508563</v>
      </c>
      <c r="P20">
        <v>7</v>
      </c>
      <c r="Q20">
        <v>2007.6000000000001</v>
      </c>
      <c r="R20">
        <v>10.338580660967017</v>
      </c>
      <c r="S20">
        <v>2965.1049335653406</v>
      </c>
      <c r="T20">
        <v>6</v>
      </c>
      <c r="U20">
        <v>1720.8000000000002</v>
      </c>
      <c r="V20">
        <v>9.6362350905097021</v>
      </c>
      <c r="W20">
        <v>2763.6722239581827</v>
      </c>
      <c r="X20">
        <v>7</v>
      </c>
      <c r="Y20">
        <v>2007.6000000000001</v>
      </c>
      <c r="Z20">
        <v>9</v>
      </c>
      <c r="AA20">
        <v>2581.2000000000003</v>
      </c>
      <c r="AB20">
        <v>8</v>
      </c>
      <c r="AC20">
        <v>2294.4</v>
      </c>
      <c r="AD20">
        <v>7.7891136835167947</v>
      </c>
      <c r="AE20">
        <v>2233.9178044326168</v>
      </c>
      <c r="AF20">
        <v>8.8913408926453368</v>
      </c>
      <c r="AG20">
        <v>2550.0365680106829</v>
      </c>
      <c r="AH20">
        <v>8.1467659593361716</v>
      </c>
      <c r="AI20">
        <v>2336.4924771376141</v>
      </c>
      <c r="AJ20">
        <v>8.5898962051619421</v>
      </c>
      <c r="AK20">
        <v>2463.5822316404451</v>
      </c>
      <c r="AL20">
        <v>5.346836208495013</v>
      </c>
      <c r="AM20">
        <v>1533.4726245963698</v>
      </c>
      <c r="AN20">
        <v>10.265438926216133</v>
      </c>
      <c r="AO20">
        <v>2944.1278840387868</v>
      </c>
      <c r="AP20">
        <v>6.3991803281500355</v>
      </c>
      <c r="AQ20">
        <v>1835.2849181134302</v>
      </c>
      <c r="AR20">
        <v>7.8684853726040922</v>
      </c>
      <c r="AS20">
        <v>2256.6816048628539</v>
      </c>
      <c r="AT20">
        <v>6.91970981861797</v>
      </c>
      <c r="AU20">
        <v>1984.5727759796339</v>
      </c>
      <c r="AV20">
        <v>7.198457445201953</v>
      </c>
      <c r="AW20">
        <v>2064.5175952839204</v>
      </c>
      <c r="AX20">
        <v>5.1880098332105531</v>
      </c>
      <c r="AY20">
        <v>1487.9212201647867</v>
      </c>
      <c r="AZ20">
        <v>9.333981833461829</v>
      </c>
      <c r="BA20">
        <v>2676.9859898368527</v>
      </c>
      <c r="BB20">
        <v>7.0071560918914146</v>
      </c>
      <c r="BC20">
        <v>2009.6523671544578</v>
      </c>
      <c r="BD20">
        <v>6.5702338580481339</v>
      </c>
      <c r="BE20">
        <v>1884.3430704882048</v>
      </c>
      <c r="BF20">
        <v>7.7463945995776911</v>
      </c>
      <c r="BG20">
        <v>2221.6659711588818</v>
      </c>
      <c r="BH20">
        <v>6.6293261098565575</v>
      </c>
      <c r="BI20">
        <v>1901.2907283068607</v>
      </c>
      <c r="BJ20">
        <v>6.3916622687099638</v>
      </c>
      <c r="BK20">
        <v>1833.1287386660176</v>
      </c>
      <c r="BL20">
        <v>9.3461338775899172</v>
      </c>
      <c r="BM20">
        <v>2680.4711960927884</v>
      </c>
      <c r="BN20">
        <v>7.5149352624195824</v>
      </c>
      <c r="BO20">
        <v>2155.2834332619364</v>
      </c>
      <c r="BP20">
        <v>11.468156334901201</v>
      </c>
      <c r="BQ20">
        <v>3289.0672368496644</v>
      </c>
      <c r="BR20">
        <v>7.0371205253266735</v>
      </c>
      <c r="BS20">
        <v>2018.24616666369</v>
      </c>
      <c r="BT20">
        <v>9.333981833461829</v>
      </c>
      <c r="BU20">
        <v>2676.9859898368527</v>
      </c>
      <c r="BV20">
        <v>8.857535433161047</v>
      </c>
      <c r="BW20">
        <v>2540.3411622305885</v>
      </c>
      <c r="BX20">
        <v>6</v>
      </c>
      <c r="BY20">
        <v>1720.8000000000002</v>
      </c>
      <c r="BZ20">
        <v>10.287550718697359</v>
      </c>
      <c r="CA20">
        <v>2950.4695461224028</v>
      </c>
      <c r="CB20">
        <v>9.2612048976411483</v>
      </c>
      <c r="CC20">
        <v>2656.1135646434814</v>
      </c>
      <c r="CD20">
        <v>7.4735689745906173</v>
      </c>
      <c r="CE20">
        <v>2143.4195819125889</v>
      </c>
      <c r="CF20">
        <v>8</v>
      </c>
      <c r="CG20">
        <v>2294.4</v>
      </c>
      <c r="CH20">
        <v>8.6308775427851216</v>
      </c>
      <c r="CI20">
        <v>2475.3356792707732</v>
      </c>
      <c r="CJ20">
        <v>8.4282351842433751</v>
      </c>
      <c r="CK20">
        <v>2417.2178508410002</v>
      </c>
      <c r="CL20">
        <v>7.4410189539725211</v>
      </c>
      <c r="CM20">
        <v>2134.0842359993189</v>
      </c>
      <c r="CN20">
        <v>9.0492448678173023</v>
      </c>
      <c r="CO20">
        <v>2595.3234280900024</v>
      </c>
      <c r="CP20">
        <v>6.799712120136264</v>
      </c>
      <c r="CQ20">
        <v>1950.1574360550806</v>
      </c>
      <c r="CR20">
        <v>8.0738761288017624</v>
      </c>
      <c r="CS20">
        <v>2315.5876737403455</v>
      </c>
      <c r="CT20">
        <v>8.2593800107846747</v>
      </c>
      <c r="CU20">
        <v>2368.790187093045</v>
      </c>
    </row>
    <row r="21" spans="2:99" x14ac:dyDescent="0.2">
      <c r="C21" s="105" t="s">
        <v>187</v>
      </c>
      <c r="D21">
        <v>7</v>
      </c>
      <c r="E21">
        <v>436.8</v>
      </c>
      <c r="F21">
        <v>5</v>
      </c>
      <c r="G21">
        <v>312</v>
      </c>
      <c r="H21">
        <v>7</v>
      </c>
      <c r="I21">
        <v>436.8</v>
      </c>
      <c r="J21">
        <v>5</v>
      </c>
      <c r="K21">
        <v>312</v>
      </c>
      <c r="L21">
        <v>9.3212662779909117</v>
      </c>
      <c r="M21">
        <v>581.64701574663286</v>
      </c>
      <c r="N21">
        <v>8.3793527376250214</v>
      </c>
      <c r="O21">
        <v>522.87161082780131</v>
      </c>
      <c r="P21">
        <v>8</v>
      </c>
      <c r="Q21">
        <v>499.2</v>
      </c>
      <c r="R21">
        <v>11.338580660967017</v>
      </c>
      <c r="S21">
        <v>707.52743324434186</v>
      </c>
      <c r="T21">
        <v>5</v>
      </c>
      <c r="U21">
        <v>312</v>
      </c>
      <c r="V21">
        <v>9.5872939297012643</v>
      </c>
      <c r="W21">
        <v>598.24714121335887</v>
      </c>
      <c r="X21">
        <v>7</v>
      </c>
      <c r="Y21">
        <v>436.8</v>
      </c>
      <c r="Z21">
        <v>8.6436369343865618</v>
      </c>
      <c r="AA21">
        <v>539.36294470572147</v>
      </c>
      <c r="AB21">
        <v>8</v>
      </c>
      <c r="AC21">
        <v>499.2</v>
      </c>
      <c r="AD21">
        <v>7.7891136835167947</v>
      </c>
      <c r="AE21">
        <v>486.040693851448</v>
      </c>
      <c r="AF21">
        <v>9.711410248044686</v>
      </c>
      <c r="AG21">
        <v>605.99199947798843</v>
      </c>
      <c r="AH21">
        <v>8.1467659593361716</v>
      </c>
      <c r="AI21">
        <v>508.35819586257708</v>
      </c>
      <c r="AJ21">
        <v>9.5443291168466029</v>
      </c>
      <c r="AK21">
        <v>595.56613689122798</v>
      </c>
      <c r="AL21">
        <v>6.3963842382800147</v>
      </c>
      <c r="AM21">
        <v>399.13437646867288</v>
      </c>
      <c r="AN21">
        <v>10.265438926216133</v>
      </c>
      <c r="AO21">
        <v>640.56338899588661</v>
      </c>
      <c r="AP21">
        <v>6.3991803281500355</v>
      </c>
      <c r="AQ21">
        <v>399.30885247656221</v>
      </c>
      <c r="AR21">
        <v>8.7427615251156574</v>
      </c>
      <c r="AS21">
        <v>545.54831916721696</v>
      </c>
      <c r="AT21">
        <v>7.784673545945215</v>
      </c>
      <c r="AU21">
        <v>485.76362926698141</v>
      </c>
      <c r="AV21">
        <v>6.298650264551708</v>
      </c>
      <c r="AW21">
        <v>393.03577650802657</v>
      </c>
      <c r="AX21">
        <v>5.9987709434925147</v>
      </c>
      <c r="AY21">
        <v>374.32330687393289</v>
      </c>
      <c r="AZ21">
        <v>8.4854380304198429</v>
      </c>
      <c r="BA21">
        <v>529.4913330981982</v>
      </c>
      <c r="BB21">
        <v>7.0071560918914146</v>
      </c>
      <c r="BC21">
        <v>437.24654013402426</v>
      </c>
      <c r="BD21">
        <v>7.5088386949121535</v>
      </c>
      <c r="BE21">
        <v>468.55153456251838</v>
      </c>
      <c r="BF21">
        <v>7.7916855602089186</v>
      </c>
      <c r="BG21">
        <v>486.20117895703652</v>
      </c>
      <c r="BH21">
        <v>5.800660346124487</v>
      </c>
      <c r="BI21">
        <v>361.96120559816796</v>
      </c>
      <c r="BJ21">
        <v>6.3626258545373089</v>
      </c>
      <c r="BK21">
        <v>397.02785332312806</v>
      </c>
      <c r="BL21">
        <v>8.384593197322129</v>
      </c>
      <c r="BM21">
        <v>523.1986155129008</v>
      </c>
      <c r="BN21">
        <v>8.5149352624195824</v>
      </c>
      <c r="BO21">
        <v>531.33196037498192</v>
      </c>
      <c r="BP21">
        <v>10.468156334901201</v>
      </c>
      <c r="BQ21">
        <v>653.21295529783492</v>
      </c>
      <c r="BR21">
        <v>7.0371205253266735</v>
      </c>
      <c r="BS21">
        <v>439.1163207803844</v>
      </c>
      <c r="BT21">
        <v>9.333981833461829</v>
      </c>
      <c r="BU21">
        <v>582.4404664080181</v>
      </c>
      <c r="BV21">
        <v>8.857535433161047</v>
      </c>
      <c r="BW21">
        <v>552.71021102924931</v>
      </c>
      <c r="BX21">
        <v>6</v>
      </c>
      <c r="BY21">
        <v>374.4</v>
      </c>
      <c r="BZ21">
        <v>11.312883682272814</v>
      </c>
      <c r="CA21">
        <v>705.92394177382357</v>
      </c>
      <c r="CB21">
        <v>8.3681802655009747</v>
      </c>
      <c r="CC21">
        <v>522.17444856726081</v>
      </c>
      <c r="CD21">
        <v>7.5120614147975813</v>
      </c>
      <c r="CE21">
        <v>468.75263228336905</v>
      </c>
      <c r="CF21">
        <v>9</v>
      </c>
      <c r="CG21">
        <v>561.6</v>
      </c>
      <c r="CH21">
        <v>7.8829104681054742</v>
      </c>
      <c r="CI21">
        <v>491.89361320978156</v>
      </c>
      <c r="CJ21">
        <v>8.3933549544422075</v>
      </c>
      <c r="CK21">
        <v>523.74534915719369</v>
      </c>
      <c r="CL21">
        <v>7.4042673744748111</v>
      </c>
      <c r="CM21">
        <v>462.0262841672282</v>
      </c>
      <c r="CN21">
        <v>9.0833497005375801</v>
      </c>
      <c r="CO21">
        <v>566.80102131354499</v>
      </c>
      <c r="CP21">
        <v>7.6796978614347209</v>
      </c>
      <c r="CQ21">
        <v>479.2131465535266</v>
      </c>
      <c r="CR21">
        <v>8.0738761288017624</v>
      </c>
      <c r="CS21">
        <v>503.80987043722996</v>
      </c>
      <c r="CT21">
        <v>8.2159454343923031</v>
      </c>
      <c r="CU21">
        <v>512.67499510607968</v>
      </c>
    </row>
    <row r="22" spans="2:99" x14ac:dyDescent="0.2">
      <c r="C22" s="105" t="s">
        <v>188</v>
      </c>
      <c r="D22">
        <v>6</v>
      </c>
      <c r="E22">
        <v>1123.1999999999998</v>
      </c>
      <c r="F22">
        <v>5</v>
      </c>
      <c r="G22">
        <v>936</v>
      </c>
      <c r="H22">
        <v>8</v>
      </c>
      <c r="I22">
        <v>1497.6</v>
      </c>
      <c r="J22">
        <v>5</v>
      </c>
      <c r="K22">
        <v>936</v>
      </c>
      <c r="L22">
        <v>9.3212662779909117</v>
      </c>
      <c r="M22">
        <v>1744.9410472398986</v>
      </c>
      <c r="N22">
        <v>8.3793527376250214</v>
      </c>
      <c r="O22">
        <v>1568.6148324834039</v>
      </c>
      <c r="P22">
        <v>7</v>
      </c>
      <c r="Q22">
        <v>1310.3999999999999</v>
      </c>
      <c r="R22">
        <v>11.338580660967017</v>
      </c>
      <c r="S22">
        <v>2122.5822997330256</v>
      </c>
      <c r="T22">
        <v>6</v>
      </c>
      <c r="U22">
        <v>1123.1999999999998</v>
      </c>
      <c r="V22">
        <v>9.6362350905097021</v>
      </c>
      <c r="W22">
        <v>1803.9032089434161</v>
      </c>
      <c r="X22">
        <v>7</v>
      </c>
      <c r="Y22">
        <v>1310.3999999999999</v>
      </c>
      <c r="Z22">
        <v>9</v>
      </c>
      <c r="AA22">
        <v>1684.8</v>
      </c>
      <c r="AB22">
        <v>7</v>
      </c>
      <c r="AC22">
        <v>1310.3999999999999</v>
      </c>
      <c r="AD22">
        <v>6.8535522308740777</v>
      </c>
      <c r="AE22">
        <v>1282.9849776196272</v>
      </c>
      <c r="AF22">
        <v>8.0383835687387553</v>
      </c>
      <c r="AG22">
        <v>1504.7854040678949</v>
      </c>
      <c r="AH22">
        <v>8.1107869963788541</v>
      </c>
      <c r="AI22">
        <v>1518.3393257221214</v>
      </c>
      <c r="AJ22">
        <v>8.5898962051619421</v>
      </c>
      <c r="AK22">
        <v>1608.0285696063154</v>
      </c>
      <c r="AL22">
        <v>6.3963842382800147</v>
      </c>
      <c r="AM22">
        <v>1197.4031294060187</v>
      </c>
      <c r="AN22">
        <v>9.2698033584215196</v>
      </c>
      <c r="AO22">
        <v>1735.3071886965083</v>
      </c>
      <c r="AP22">
        <v>6.4490778691687902</v>
      </c>
      <c r="AQ22">
        <v>1207.2673771083976</v>
      </c>
      <c r="AR22">
        <v>8.7427615251156574</v>
      </c>
      <c r="AS22">
        <v>1636.6449575016509</v>
      </c>
      <c r="AT22">
        <v>7.7437323733279451</v>
      </c>
      <c r="AU22">
        <v>1449.6267002869913</v>
      </c>
      <c r="AV22">
        <v>6.298650264551708</v>
      </c>
      <c r="AW22">
        <v>1179.1073295240797</v>
      </c>
      <c r="AX22">
        <v>5.958340547052666</v>
      </c>
      <c r="AY22">
        <v>1115.4013504082591</v>
      </c>
      <c r="AZ22">
        <v>9.333981833461829</v>
      </c>
      <c r="BA22">
        <v>1747.3213992240542</v>
      </c>
      <c r="BB22">
        <v>7.8416061783082434</v>
      </c>
      <c r="BC22">
        <v>1467.9486765793031</v>
      </c>
      <c r="BD22">
        <v>6.5702338580481339</v>
      </c>
      <c r="BE22">
        <v>1229.9477782266106</v>
      </c>
      <c r="BF22">
        <v>8.6524188536569664</v>
      </c>
      <c r="BG22">
        <v>1619.732809404584</v>
      </c>
      <c r="BH22">
        <v>5.800660346124487</v>
      </c>
      <c r="BI22">
        <v>1085.883616794504</v>
      </c>
      <c r="BJ22">
        <v>6.3626258545373089</v>
      </c>
      <c r="BK22">
        <v>1191.0835599693842</v>
      </c>
      <c r="BL22">
        <v>7.3461338775899163</v>
      </c>
      <c r="BM22">
        <v>1375.1962618848322</v>
      </c>
      <c r="BN22">
        <v>7.5149352624195824</v>
      </c>
      <c r="BO22">
        <v>1406.7958811249457</v>
      </c>
      <c r="BP22">
        <v>11.468156334901201</v>
      </c>
      <c r="BQ22">
        <v>2146.8388658935046</v>
      </c>
      <c r="BR22">
        <v>7.8749705211910799</v>
      </c>
      <c r="BS22">
        <v>1474.1944815669701</v>
      </c>
      <c r="BT22">
        <v>8.4854380304198429</v>
      </c>
      <c r="BU22">
        <v>1588.4739992945945</v>
      </c>
      <c r="BV22">
        <v>7.4701678797748929</v>
      </c>
      <c r="BW22">
        <v>1398.4154270938598</v>
      </c>
      <c r="BX22">
        <v>6</v>
      </c>
      <c r="BY22">
        <v>1123.1999999999998</v>
      </c>
      <c r="BZ22">
        <v>11.347104765215597</v>
      </c>
      <c r="CA22">
        <v>2124.1780120483595</v>
      </c>
      <c r="CB22">
        <v>8.3681802655009747</v>
      </c>
      <c r="CC22">
        <v>1566.5233457017823</v>
      </c>
      <c r="CD22">
        <v>8.2055959579051105</v>
      </c>
      <c r="CE22">
        <v>1536.0875633198366</v>
      </c>
      <c r="CF22">
        <v>7</v>
      </c>
      <c r="CG22">
        <v>1310.3999999999999</v>
      </c>
      <c r="CH22">
        <v>7.0811780972512919</v>
      </c>
      <c r="CI22">
        <v>1325.5965398054418</v>
      </c>
      <c r="CJ22">
        <v>8.4282351842433751</v>
      </c>
      <c r="CK22">
        <v>1577.7656264903596</v>
      </c>
      <c r="CL22">
        <v>7.4410189539725211</v>
      </c>
      <c r="CM22">
        <v>1392.9587481836559</v>
      </c>
      <c r="CN22">
        <v>9.0833497005375801</v>
      </c>
      <c r="CO22">
        <v>1700.4030639406349</v>
      </c>
      <c r="CP22">
        <v>6.7570579913997939</v>
      </c>
      <c r="CQ22">
        <v>1264.9212559900413</v>
      </c>
      <c r="CR22">
        <v>8.0738761288017624</v>
      </c>
      <c r="CS22">
        <v>1511.4296113116898</v>
      </c>
      <c r="CT22">
        <v>9.0853936840435203</v>
      </c>
      <c r="CU22">
        <v>1700.785697652947</v>
      </c>
    </row>
    <row r="23" spans="2:99" x14ac:dyDescent="0.2">
      <c r="C23" s="105" t="s">
        <v>189</v>
      </c>
      <c r="D23">
        <v>6</v>
      </c>
      <c r="E23">
        <v>1764</v>
      </c>
      <c r="F23">
        <v>5</v>
      </c>
      <c r="G23">
        <v>1470</v>
      </c>
      <c r="H23">
        <v>7</v>
      </c>
      <c r="I23">
        <v>2058</v>
      </c>
      <c r="J23">
        <v>6</v>
      </c>
      <c r="K23">
        <v>1764</v>
      </c>
      <c r="L23">
        <v>9.3212662779909117</v>
      </c>
      <c r="M23">
        <v>2740.4522857293282</v>
      </c>
      <c r="N23">
        <v>8.3793527376250214</v>
      </c>
      <c r="O23">
        <v>2463.5297048617563</v>
      </c>
      <c r="P23">
        <v>8</v>
      </c>
      <c r="Q23">
        <v>2352</v>
      </c>
      <c r="R23">
        <v>10.290211995114586</v>
      </c>
      <c r="S23">
        <v>3025.322326563688</v>
      </c>
      <c r="T23">
        <v>6</v>
      </c>
      <c r="U23">
        <v>1764</v>
      </c>
      <c r="V23">
        <v>10.587293929701264</v>
      </c>
      <c r="W23">
        <v>3112.6644153321718</v>
      </c>
      <c r="X23">
        <v>6</v>
      </c>
      <c r="Y23">
        <v>1764</v>
      </c>
      <c r="Z23">
        <v>9.5941264009722111</v>
      </c>
      <c r="AA23">
        <v>2820.6731618858303</v>
      </c>
      <c r="AB23">
        <v>7</v>
      </c>
      <c r="AC23">
        <v>2058</v>
      </c>
      <c r="AD23">
        <v>7.8271914413136781</v>
      </c>
      <c r="AE23">
        <v>2301.1942837462216</v>
      </c>
      <c r="AF23">
        <v>8.8584529241381063</v>
      </c>
      <c r="AG23">
        <v>2604.3851596966033</v>
      </c>
      <c r="AH23">
        <v>8.1467659593361716</v>
      </c>
      <c r="AI23">
        <v>2395.1491920448343</v>
      </c>
      <c r="AJ23">
        <v>8.5898962051619421</v>
      </c>
      <c r="AK23">
        <v>2525.4294843176108</v>
      </c>
      <c r="AL23">
        <v>5.346836208495013</v>
      </c>
      <c r="AM23">
        <v>1571.9698452975338</v>
      </c>
      <c r="AN23">
        <v>9.2698033584215196</v>
      </c>
      <c r="AO23">
        <v>2725.3221873759267</v>
      </c>
      <c r="AP23">
        <v>6.3991803281500355</v>
      </c>
      <c r="AQ23">
        <v>1881.3590164761104</v>
      </c>
      <c r="AR23">
        <v>7.8684853726040922</v>
      </c>
      <c r="AS23">
        <v>2313.3346995456031</v>
      </c>
      <c r="AT23">
        <v>7.7437323733279451</v>
      </c>
      <c r="AU23">
        <v>2276.657317758416</v>
      </c>
      <c r="AV23">
        <v>6.298650264551708</v>
      </c>
      <c r="AW23">
        <v>1851.8031777782021</v>
      </c>
      <c r="AX23">
        <v>5.9987709434925147</v>
      </c>
      <c r="AY23">
        <v>1763.6386573867994</v>
      </c>
      <c r="AZ23">
        <v>9.333981833461829</v>
      </c>
      <c r="BA23">
        <v>2744.1906590377776</v>
      </c>
      <c r="BB23">
        <v>7.8830506033778418</v>
      </c>
      <c r="BC23">
        <v>2317.6168773930854</v>
      </c>
      <c r="BD23">
        <v>8.4474435317761714</v>
      </c>
      <c r="BE23">
        <v>2483.5483983421946</v>
      </c>
      <c r="BF23">
        <v>7.7463945995776911</v>
      </c>
      <c r="BG23">
        <v>2277.4400122758411</v>
      </c>
      <c r="BH23">
        <v>5.800660346124487</v>
      </c>
      <c r="BI23">
        <v>1705.3941417605993</v>
      </c>
      <c r="BJ23">
        <v>7.2217956951752278</v>
      </c>
      <c r="BK23">
        <v>2123.2079343815171</v>
      </c>
      <c r="BL23">
        <v>9.3461338775899172</v>
      </c>
      <c r="BM23">
        <v>2747.7633600114355</v>
      </c>
      <c r="BN23">
        <v>8.5149352624195824</v>
      </c>
      <c r="BO23">
        <v>2503.390967151357</v>
      </c>
      <c r="BP23">
        <v>12.434716596693972</v>
      </c>
      <c r="BQ23">
        <v>3655.806679428028</v>
      </c>
      <c r="BR23">
        <v>7.8749705211910799</v>
      </c>
      <c r="BS23">
        <v>2315.2413332301776</v>
      </c>
      <c r="BT23">
        <v>9.333981833461829</v>
      </c>
      <c r="BU23">
        <v>2744.1906590377776</v>
      </c>
      <c r="BV23">
        <v>7.4346125389186168</v>
      </c>
      <c r="BW23">
        <v>2185.7760864420734</v>
      </c>
      <c r="BX23">
        <v>6</v>
      </c>
      <c r="BY23">
        <v>1764</v>
      </c>
      <c r="BZ23">
        <v>10.321771801640139</v>
      </c>
      <c r="CA23">
        <v>3034.6009096822008</v>
      </c>
      <c r="CB23">
        <v>10.117456354643608</v>
      </c>
      <c r="CC23">
        <v>2974.5321682652207</v>
      </c>
      <c r="CD23">
        <v>6.7030495510691583</v>
      </c>
      <c r="CE23">
        <v>1970.6965680143326</v>
      </c>
      <c r="CF23">
        <v>8</v>
      </c>
      <c r="CG23">
        <v>2352</v>
      </c>
      <c r="CH23">
        <v>8.6039948946978519</v>
      </c>
      <c r="CI23">
        <v>2529.5744990411686</v>
      </c>
      <c r="CJ23">
        <v>8.4282351842433751</v>
      </c>
      <c r="CK23">
        <v>2477.9011441675525</v>
      </c>
      <c r="CL23">
        <v>8.4777705334702311</v>
      </c>
      <c r="CM23">
        <v>2492.464536840248</v>
      </c>
      <c r="CN23">
        <v>8.0968251778469238</v>
      </c>
      <c r="CO23">
        <v>2380.4666022869956</v>
      </c>
      <c r="CP23">
        <v>6.799712120136264</v>
      </c>
      <c r="CQ23">
        <v>1999.1153633200615</v>
      </c>
      <c r="CR23">
        <v>7.2664885159215862</v>
      </c>
      <c r="CS23">
        <v>2136.3476236809465</v>
      </c>
      <c r="CT23">
        <v>9.0853936840435203</v>
      </c>
      <c r="CU23">
        <v>2671.1057431087952</v>
      </c>
    </row>
    <row r="24" spans="2:99" x14ac:dyDescent="0.2">
      <c r="C24" s="105" t="s">
        <v>190</v>
      </c>
      <c r="D24">
        <v>7</v>
      </c>
      <c r="E24">
        <v>2570.4</v>
      </c>
      <c r="F24">
        <v>5</v>
      </c>
      <c r="G24">
        <v>1836</v>
      </c>
      <c r="H24">
        <v>7</v>
      </c>
      <c r="I24">
        <v>2570.4</v>
      </c>
      <c r="J24">
        <v>5</v>
      </c>
      <c r="K24">
        <v>1836</v>
      </c>
      <c r="L24">
        <v>9.3671614605610429</v>
      </c>
      <c r="M24">
        <v>3439.621688318015</v>
      </c>
      <c r="N24">
        <v>8.3319336454218931</v>
      </c>
      <c r="O24">
        <v>3059.4860345989191</v>
      </c>
      <c r="P24">
        <v>7</v>
      </c>
      <c r="Q24">
        <v>2570.4</v>
      </c>
      <c r="R24">
        <v>10.386949326819447</v>
      </c>
      <c r="S24">
        <v>3814.0877928081009</v>
      </c>
      <c r="T24">
        <v>5</v>
      </c>
      <c r="U24">
        <v>1836</v>
      </c>
      <c r="V24">
        <v>9.6362350905097021</v>
      </c>
      <c r="W24">
        <v>3538.4255252351627</v>
      </c>
      <c r="X24">
        <v>7</v>
      </c>
      <c r="Y24">
        <v>2570.4</v>
      </c>
      <c r="Z24">
        <v>8</v>
      </c>
      <c r="AA24">
        <v>2937.6</v>
      </c>
      <c r="AB24">
        <v>7</v>
      </c>
      <c r="AC24">
        <v>2570.4</v>
      </c>
      <c r="AD24">
        <v>6.8535522308740777</v>
      </c>
      <c r="AE24">
        <v>2516.6243791769612</v>
      </c>
      <c r="AF24">
        <v>8.8584529241381063</v>
      </c>
      <c r="AG24">
        <v>3252.8239137435125</v>
      </c>
      <c r="AH24">
        <v>9.0751642968599029</v>
      </c>
      <c r="AI24">
        <v>3332.4003298069561</v>
      </c>
      <c r="AJ24">
        <v>7.6354632934772821</v>
      </c>
      <c r="AK24">
        <v>2803.7421213648581</v>
      </c>
      <c r="AL24">
        <v>6.346836208495013</v>
      </c>
      <c r="AM24">
        <v>2330.5582557593689</v>
      </c>
      <c r="AN24">
        <v>8.3128031966606564</v>
      </c>
      <c r="AO24">
        <v>3052.4613338137929</v>
      </c>
      <c r="AP24">
        <v>5.3991803281500355</v>
      </c>
      <c r="AQ24">
        <v>1982.5790164966929</v>
      </c>
      <c r="AR24">
        <v>7.8684853726040922</v>
      </c>
      <c r="AS24">
        <v>2889.3078288202228</v>
      </c>
      <c r="AT24">
        <v>7.784673545945215</v>
      </c>
      <c r="AU24">
        <v>2858.532126071083</v>
      </c>
      <c r="AV24">
        <v>5.3988430839014638</v>
      </c>
      <c r="AW24">
        <v>1982.4551804086175</v>
      </c>
      <c r="AX24">
        <v>6.8095320537744746</v>
      </c>
      <c r="AY24">
        <v>2500.4601701459869</v>
      </c>
      <c r="AZ24">
        <v>8.4854380304198429</v>
      </c>
      <c r="BA24">
        <v>3115.852844770166</v>
      </c>
      <c r="BB24">
        <v>7.0071560918914146</v>
      </c>
      <c r="BC24">
        <v>2573.0277169425271</v>
      </c>
      <c r="BD24">
        <v>7.5088386949121535</v>
      </c>
      <c r="BE24">
        <v>2757.2455687717425</v>
      </c>
      <c r="BF24">
        <v>7.7463945995776911</v>
      </c>
      <c r="BG24">
        <v>2844.4760969649283</v>
      </c>
      <c r="BH24">
        <v>5.800660346124487</v>
      </c>
      <c r="BI24">
        <v>2130.0024790969114</v>
      </c>
      <c r="BJ24">
        <v>5.5324924280720449</v>
      </c>
      <c r="BK24">
        <v>2031.5312195880549</v>
      </c>
      <c r="BL24">
        <v>8.3076745578577036</v>
      </c>
      <c r="BM24">
        <v>3050.5780976453489</v>
      </c>
      <c r="BN24">
        <v>7.4753248576180766</v>
      </c>
      <c r="BO24">
        <v>2744.9392877173577</v>
      </c>
      <c r="BP24">
        <v>11.434716596693972</v>
      </c>
      <c r="BQ24">
        <v>4198.8279343060267</v>
      </c>
      <c r="BR24">
        <v>7.0371205253266735</v>
      </c>
      <c r="BS24">
        <v>2584.0306568999545</v>
      </c>
      <c r="BT24">
        <v>7.6368942273778595</v>
      </c>
      <c r="BU24">
        <v>2804.2675602931499</v>
      </c>
      <c r="BV24">
        <v>8.1460739860398323</v>
      </c>
      <c r="BW24">
        <v>2991.2383676738264</v>
      </c>
      <c r="BX24">
        <v>6</v>
      </c>
      <c r="BY24">
        <v>2203.1999999999998</v>
      </c>
      <c r="BZ24">
        <v>10.321771801640139</v>
      </c>
      <c r="CA24">
        <v>3790.1546055622589</v>
      </c>
      <c r="CB24">
        <v>9.224431722503434</v>
      </c>
      <c r="CC24">
        <v>3387.211328503261</v>
      </c>
      <c r="CD24">
        <v>7.4735689745906173</v>
      </c>
      <c r="CE24">
        <v>2744.2945274696744</v>
      </c>
      <c r="CF24">
        <v>8</v>
      </c>
      <c r="CG24">
        <v>2937.6</v>
      </c>
      <c r="CH24">
        <v>7.8560278200182063</v>
      </c>
      <c r="CI24">
        <v>2884.7334155106851</v>
      </c>
      <c r="CJ24">
        <v>8.4282351842433751</v>
      </c>
      <c r="CK24">
        <v>3094.8479596541674</v>
      </c>
      <c r="CL24">
        <v>8.4777705334702311</v>
      </c>
      <c r="CM24">
        <v>3113.0373398902689</v>
      </c>
      <c r="CN24">
        <v>9.0492448678173023</v>
      </c>
      <c r="CO24">
        <v>3322.8827154625133</v>
      </c>
      <c r="CP24">
        <v>6.7570579913997939</v>
      </c>
      <c r="CQ24">
        <v>2481.1916944420041</v>
      </c>
      <c r="CR24">
        <v>8.0738761288017624</v>
      </c>
      <c r="CS24">
        <v>2964.7273144960072</v>
      </c>
      <c r="CT24">
        <v>8.2159454343923031</v>
      </c>
      <c r="CU24">
        <v>3016.8951635088538</v>
      </c>
    </row>
    <row r="25" spans="2:99" x14ac:dyDescent="0.2">
      <c r="C25" s="105" t="s">
        <v>191</v>
      </c>
      <c r="D25">
        <v>6</v>
      </c>
      <c r="E25">
        <v>3182.3999999999996</v>
      </c>
      <c r="F25">
        <v>5</v>
      </c>
      <c r="G25">
        <v>2652</v>
      </c>
      <c r="H25">
        <v>8</v>
      </c>
      <c r="I25">
        <v>4243.2</v>
      </c>
      <c r="J25">
        <v>5</v>
      </c>
      <c r="K25">
        <v>2652</v>
      </c>
      <c r="L25">
        <v>10.275371095420782</v>
      </c>
      <c r="M25">
        <v>5450.0568290111823</v>
      </c>
      <c r="N25">
        <v>7.3793527376250205</v>
      </c>
      <c r="O25">
        <v>3914.0086920363105</v>
      </c>
      <c r="P25">
        <v>7</v>
      </c>
      <c r="Q25">
        <v>3712.7999999999997</v>
      </c>
      <c r="R25">
        <v>9.3385806609670166</v>
      </c>
      <c r="S25">
        <v>4953.183182576905</v>
      </c>
      <c r="T25">
        <v>5</v>
      </c>
      <c r="U25">
        <v>2652</v>
      </c>
      <c r="V25">
        <v>9.5383527688928247</v>
      </c>
      <c r="W25">
        <v>5059.1423086207542</v>
      </c>
      <c r="X25">
        <v>6</v>
      </c>
      <c r="Y25">
        <v>3182.3999999999996</v>
      </c>
      <c r="Z25">
        <v>9</v>
      </c>
      <c r="AA25">
        <v>4773.5999999999995</v>
      </c>
      <c r="AB25">
        <v>7</v>
      </c>
      <c r="AC25">
        <v>3712.7999999999997</v>
      </c>
      <c r="AD25">
        <v>7.7891136835167947</v>
      </c>
      <c r="AE25">
        <v>4131.3458977373075</v>
      </c>
      <c r="AF25">
        <v>8.8913408926453368</v>
      </c>
      <c r="AG25">
        <v>4715.967209459086</v>
      </c>
      <c r="AH25">
        <v>8.1467659593361716</v>
      </c>
      <c r="AI25">
        <v>4321.0446648319048</v>
      </c>
      <c r="AJ25">
        <v>8.5898962051619421</v>
      </c>
      <c r="AK25">
        <v>4556.0809472178935</v>
      </c>
      <c r="AL25">
        <v>5.2972881787100103</v>
      </c>
      <c r="AM25">
        <v>2809.6816499877896</v>
      </c>
      <c r="AN25">
        <v>8.2741677906269047</v>
      </c>
      <c r="AO25">
        <v>4388.6185961485098</v>
      </c>
      <c r="AP25">
        <v>6.3991803281500355</v>
      </c>
      <c r="AQ25">
        <v>3394.1252460507785</v>
      </c>
      <c r="AR25">
        <v>8.7427615251156574</v>
      </c>
      <c r="AS25">
        <v>4637.1607129213444</v>
      </c>
      <c r="AT25">
        <v>7.7437323733279451</v>
      </c>
      <c r="AU25">
        <v>4107.2756508131415</v>
      </c>
      <c r="AV25">
        <v>6.298650264551708</v>
      </c>
      <c r="AW25">
        <v>3340.8041003182257</v>
      </c>
      <c r="AX25">
        <v>5.9987709434925147</v>
      </c>
      <c r="AY25">
        <v>3181.7481084284295</v>
      </c>
      <c r="AZ25">
        <v>7.6368942273778595</v>
      </c>
      <c r="BA25">
        <v>4050.6086982012166</v>
      </c>
      <c r="BB25">
        <v>7.8416061783082434</v>
      </c>
      <c r="BC25">
        <v>4159.1879169746917</v>
      </c>
      <c r="BD25">
        <v>6.5702338580481339</v>
      </c>
      <c r="BE25">
        <v>3484.8520383087302</v>
      </c>
      <c r="BF25">
        <v>6.8403703454984166</v>
      </c>
      <c r="BG25">
        <v>3628.1324312523602</v>
      </c>
      <c r="BH25">
        <v>5.800660346124487</v>
      </c>
      <c r="BI25">
        <v>3076.6702475844277</v>
      </c>
      <c r="BJ25">
        <v>6.3626258545373089</v>
      </c>
      <c r="BK25">
        <v>3374.7367532465887</v>
      </c>
      <c r="BL25">
        <v>8.3461338775899172</v>
      </c>
      <c r="BM25">
        <v>4426.7894086736915</v>
      </c>
      <c r="BN25">
        <v>7.4753248576180766</v>
      </c>
      <c r="BO25">
        <v>3964.9123044806279</v>
      </c>
      <c r="BP25">
        <v>10.401276858486742</v>
      </c>
      <c r="BQ25">
        <v>5516.837245741368</v>
      </c>
      <c r="BR25">
        <v>7.0789105951281019</v>
      </c>
      <c r="BS25">
        <v>3754.654179655945</v>
      </c>
      <c r="BT25">
        <v>9.333981833461829</v>
      </c>
      <c r="BU25">
        <v>4950.7439644681535</v>
      </c>
      <c r="BV25">
        <v>8.8930907740173204</v>
      </c>
      <c r="BW25">
        <v>4716.8953465387867</v>
      </c>
      <c r="BX25">
        <v>6</v>
      </c>
      <c r="BY25">
        <v>3182.3999999999996</v>
      </c>
      <c r="BZ25">
        <v>9.330659921007463</v>
      </c>
      <c r="CA25">
        <v>4948.9820221023583</v>
      </c>
      <c r="CB25">
        <v>9.2612048976411483</v>
      </c>
      <c r="CC25">
        <v>4912.1430777088644</v>
      </c>
      <c r="CD25">
        <v>7.4350765343836525</v>
      </c>
      <c r="CE25">
        <v>3943.564593837089</v>
      </c>
      <c r="CF25">
        <v>7</v>
      </c>
      <c r="CG25">
        <v>3712.7999999999997</v>
      </c>
      <c r="CH25">
        <v>7.8291451719309384</v>
      </c>
      <c r="CI25">
        <v>4152.5785991921693</v>
      </c>
      <c r="CJ25">
        <v>8.4282351842433751</v>
      </c>
      <c r="CK25">
        <v>4470.3359417226857</v>
      </c>
      <c r="CL25">
        <v>6.4042673744748111</v>
      </c>
      <c r="CM25">
        <v>3396.8234154214397</v>
      </c>
      <c r="CN25">
        <v>9.0492448678173023</v>
      </c>
      <c r="CO25">
        <v>4799.7194778902967</v>
      </c>
      <c r="CP25">
        <v>6.7144038626633229</v>
      </c>
      <c r="CQ25">
        <v>3561.3198087566261</v>
      </c>
      <c r="CR25">
        <v>8.0738761288017624</v>
      </c>
      <c r="CS25">
        <v>4282.3838987164545</v>
      </c>
      <c r="CT25">
        <v>8.2159454343923031</v>
      </c>
      <c r="CU25">
        <v>4357.737458401677</v>
      </c>
    </row>
    <row r="26" spans="2:99" x14ac:dyDescent="0.2">
      <c r="C26" s="105" t="s">
        <v>192</v>
      </c>
      <c r="D26">
        <v>7</v>
      </c>
      <c r="E26">
        <v>3402</v>
      </c>
      <c r="F26">
        <v>5</v>
      </c>
      <c r="G26">
        <v>2430</v>
      </c>
      <c r="H26">
        <v>7</v>
      </c>
      <c r="I26">
        <v>3402</v>
      </c>
      <c r="J26">
        <v>5</v>
      </c>
      <c r="K26">
        <v>2430</v>
      </c>
      <c r="L26">
        <v>9.3212662779909117</v>
      </c>
      <c r="M26">
        <v>4530.1354111035835</v>
      </c>
      <c r="N26">
        <v>8.3793527376250214</v>
      </c>
      <c r="O26">
        <v>4072.3654304857605</v>
      </c>
      <c r="P26">
        <v>8</v>
      </c>
      <c r="Q26">
        <v>3888</v>
      </c>
      <c r="R26">
        <v>10.338580660967017</v>
      </c>
      <c r="S26">
        <v>5024.5502012299703</v>
      </c>
      <c r="T26">
        <v>6</v>
      </c>
      <c r="U26">
        <v>2916</v>
      </c>
      <c r="V26">
        <v>10.685176251318142</v>
      </c>
      <c r="W26">
        <v>5192.9956581406168</v>
      </c>
      <c r="X26">
        <v>7</v>
      </c>
      <c r="Y26">
        <v>3402</v>
      </c>
      <c r="Z26">
        <v>8.5446158675578605</v>
      </c>
      <c r="AA26">
        <v>4152.68331163312</v>
      </c>
      <c r="AB26">
        <v>7</v>
      </c>
      <c r="AC26">
        <v>3402</v>
      </c>
      <c r="AD26">
        <v>7.7891136835167947</v>
      </c>
      <c r="AE26">
        <v>3785.5092501891622</v>
      </c>
      <c r="AF26">
        <v>8.8584529241381063</v>
      </c>
      <c r="AG26">
        <v>4305.2081211311197</v>
      </c>
      <c r="AH26">
        <v>7.1823886588551229</v>
      </c>
      <c r="AI26">
        <v>3490.6408882035898</v>
      </c>
      <c r="AJ26">
        <v>7.6354632934772821</v>
      </c>
      <c r="AK26">
        <v>3710.8351606299593</v>
      </c>
      <c r="AL26">
        <v>6.346836208495013</v>
      </c>
      <c r="AM26">
        <v>3084.5623973285765</v>
      </c>
      <c r="AN26">
        <v>10.304074332249883</v>
      </c>
      <c r="AO26">
        <v>5007.7801254734431</v>
      </c>
      <c r="AP26">
        <v>6.3991803281500355</v>
      </c>
      <c r="AQ26">
        <v>3110.0016394809172</v>
      </c>
      <c r="AR26">
        <v>8.7427615251156574</v>
      </c>
      <c r="AS26">
        <v>4248.9821012062093</v>
      </c>
      <c r="AT26">
        <v>6.91970981861797</v>
      </c>
      <c r="AU26">
        <v>3362.9789718483335</v>
      </c>
      <c r="AV26">
        <v>5.3988430839014638</v>
      </c>
      <c r="AW26">
        <v>2623.8377387761116</v>
      </c>
      <c r="AX26">
        <v>5.958340547052666</v>
      </c>
      <c r="AY26">
        <v>2895.7535058675958</v>
      </c>
      <c r="AZ26">
        <v>7.6368942273778595</v>
      </c>
      <c r="BA26">
        <v>3711.5305945056398</v>
      </c>
      <c r="BB26">
        <v>7.0071560918914146</v>
      </c>
      <c r="BC26">
        <v>3405.4778606592276</v>
      </c>
      <c r="BD26">
        <v>7.5088386949121535</v>
      </c>
      <c r="BE26">
        <v>3649.2956057273068</v>
      </c>
      <c r="BF26">
        <v>6.8856613061296441</v>
      </c>
      <c r="BG26">
        <v>3346.431394779007</v>
      </c>
      <c r="BH26">
        <v>5.800660346124487</v>
      </c>
      <c r="BI26">
        <v>2819.1209282165005</v>
      </c>
      <c r="BJ26">
        <v>6.3626258545373089</v>
      </c>
      <c r="BK26">
        <v>3092.2361653051321</v>
      </c>
      <c r="BL26">
        <v>8.3461338775899172</v>
      </c>
      <c r="BM26">
        <v>4056.2210645086998</v>
      </c>
      <c r="BN26">
        <v>7.4753248576180766</v>
      </c>
      <c r="BO26">
        <v>3633.0078808023854</v>
      </c>
      <c r="BP26">
        <v>10.434716596693972</v>
      </c>
      <c r="BQ26">
        <v>5071.2722659932706</v>
      </c>
      <c r="BR26">
        <v>7.0789105951281019</v>
      </c>
      <c r="BS26">
        <v>3440.3505492322574</v>
      </c>
      <c r="BT26">
        <v>7.6368942273778595</v>
      </c>
      <c r="BU26">
        <v>3711.5305945056398</v>
      </c>
      <c r="BV26">
        <v>7.4701678797748929</v>
      </c>
      <c r="BW26">
        <v>3630.5015895705978</v>
      </c>
      <c r="BX26">
        <v>6</v>
      </c>
      <c r="BY26">
        <v>2916</v>
      </c>
      <c r="BZ26">
        <v>10.287550718697359</v>
      </c>
      <c r="CA26">
        <v>4999.7496492869168</v>
      </c>
      <c r="CB26">
        <v>9.224431722503434</v>
      </c>
      <c r="CC26">
        <v>4483.0738171366693</v>
      </c>
      <c r="CD26">
        <v>7.4735689745906173</v>
      </c>
      <c r="CE26">
        <v>3632.1545216510399</v>
      </c>
      <c r="CF26">
        <v>8</v>
      </c>
      <c r="CG26">
        <v>3888</v>
      </c>
      <c r="CH26">
        <v>7.0811780972512919</v>
      </c>
      <c r="CI26">
        <v>3441.452555264128</v>
      </c>
      <c r="CJ26">
        <v>8.4282351842433751</v>
      </c>
      <c r="CK26">
        <v>4096.1222995422804</v>
      </c>
      <c r="CL26">
        <v>6.4777705334702311</v>
      </c>
      <c r="CM26">
        <v>3148.1964792665322</v>
      </c>
      <c r="CN26">
        <v>8.1309300105672015</v>
      </c>
      <c r="CO26">
        <v>3951.6319851356598</v>
      </c>
      <c r="CP26">
        <v>6.799712120136264</v>
      </c>
      <c r="CQ26">
        <v>3304.6600903862245</v>
      </c>
      <c r="CR26">
        <v>8.0738761288017624</v>
      </c>
      <c r="CS26">
        <v>3923.9037985976565</v>
      </c>
      <c r="CT26">
        <v>7.3464971847410858</v>
      </c>
      <c r="CU26">
        <v>3570.3976317841675</v>
      </c>
    </row>
    <row r="27" spans="2:99" x14ac:dyDescent="0.2">
      <c r="C27" s="105" t="s">
        <v>193</v>
      </c>
      <c r="D27">
        <v>6</v>
      </c>
      <c r="E27">
        <v>2563.1999999999998</v>
      </c>
      <c r="F27">
        <v>5</v>
      </c>
      <c r="G27">
        <v>2136</v>
      </c>
      <c r="H27">
        <v>7</v>
      </c>
      <c r="I27">
        <v>2990.4</v>
      </c>
      <c r="J27">
        <v>5</v>
      </c>
      <c r="K27">
        <v>2136</v>
      </c>
      <c r="L27">
        <v>9.3212662779909117</v>
      </c>
      <c r="M27">
        <v>3982.0449539577176</v>
      </c>
      <c r="N27">
        <v>8.3319336454218931</v>
      </c>
      <c r="O27">
        <v>3559.4020533242328</v>
      </c>
      <c r="P27">
        <v>8</v>
      </c>
      <c r="Q27">
        <v>3417.6</v>
      </c>
      <c r="R27">
        <v>10.338580660967017</v>
      </c>
      <c r="S27">
        <v>4416.6416583651089</v>
      </c>
      <c r="T27">
        <v>6</v>
      </c>
      <c r="U27">
        <v>2563.1999999999998</v>
      </c>
      <c r="V27">
        <v>9.5383527688928247</v>
      </c>
      <c r="W27">
        <v>4074.7843028710145</v>
      </c>
      <c r="X27">
        <v>6</v>
      </c>
      <c r="Y27">
        <v>2563.1999999999998</v>
      </c>
      <c r="Z27">
        <v>8</v>
      </c>
      <c r="AA27">
        <v>3417.6</v>
      </c>
      <c r="AB27">
        <v>7</v>
      </c>
      <c r="AC27">
        <v>2990.4</v>
      </c>
      <c r="AD27">
        <v>7.7510359257199122</v>
      </c>
      <c r="AE27">
        <v>3311.2425474675465</v>
      </c>
      <c r="AF27">
        <v>8.0383835687387553</v>
      </c>
      <c r="AG27">
        <v>3433.997460565196</v>
      </c>
      <c r="AH27">
        <v>9.1471222227745344</v>
      </c>
      <c r="AI27">
        <v>3907.6506135692812</v>
      </c>
      <c r="AJ27">
        <v>7.6354632934772821</v>
      </c>
      <c r="AK27">
        <v>3261.8699189734948</v>
      </c>
      <c r="AL27">
        <v>6.346836208495013</v>
      </c>
      <c r="AM27">
        <v>2711.3684282690697</v>
      </c>
      <c r="AN27">
        <v>8.3128031966606564</v>
      </c>
      <c r="AO27">
        <v>3551.2295256134321</v>
      </c>
      <c r="AP27">
        <v>6.3991803281500355</v>
      </c>
      <c r="AQ27">
        <v>2733.7298361856951</v>
      </c>
      <c r="AR27">
        <v>8.7427615251156574</v>
      </c>
      <c r="AS27">
        <v>3734.9077235294089</v>
      </c>
      <c r="AT27">
        <v>6.9606509912352408</v>
      </c>
      <c r="AU27">
        <v>2973.5901034556946</v>
      </c>
      <c r="AV27">
        <v>6.298650264551708</v>
      </c>
      <c r="AW27">
        <v>2690.7833930164898</v>
      </c>
      <c r="AX27">
        <v>5.9987709434925147</v>
      </c>
      <c r="AY27">
        <v>2562.6749470600021</v>
      </c>
      <c r="AZ27">
        <v>9.333981833461829</v>
      </c>
      <c r="BA27">
        <v>3987.477039254893</v>
      </c>
      <c r="BB27">
        <v>7.8416061783082434</v>
      </c>
      <c r="BC27">
        <v>3349.9341593732815</v>
      </c>
      <c r="BD27">
        <v>7.5088386949121535</v>
      </c>
      <c r="BE27">
        <v>3207.775890466472</v>
      </c>
      <c r="BF27">
        <v>7.7011036389464644</v>
      </c>
      <c r="BG27">
        <v>3289.9114745579295</v>
      </c>
      <c r="BH27">
        <v>5.800660346124487</v>
      </c>
      <c r="BI27">
        <v>2478.0420998643808</v>
      </c>
      <c r="BJ27">
        <v>6.3626258545373089</v>
      </c>
      <c r="BK27">
        <v>2718.1137650583382</v>
      </c>
      <c r="BL27">
        <v>8.3461338775899172</v>
      </c>
      <c r="BM27">
        <v>3565.4683925064123</v>
      </c>
      <c r="BN27">
        <v>7.5149352624195824</v>
      </c>
      <c r="BO27">
        <v>3210.3803441056457</v>
      </c>
      <c r="BP27">
        <v>11.434716596693972</v>
      </c>
      <c r="BQ27">
        <v>4884.9109301076651</v>
      </c>
      <c r="BR27">
        <v>7.0371205253266735</v>
      </c>
      <c r="BS27">
        <v>3006.257888419555</v>
      </c>
      <c r="BT27">
        <v>7.6368942273778595</v>
      </c>
      <c r="BU27">
        <v>3262.4812139358214</v>
      </c>
      <c r="BV27">
        <v>8.1460739860398323</v>
      </c>
      <c r="BW27">
        <v>3480.0028068362162</v>
      </c>
      <c r="BX27">
        <v>7</v>
      </c>
      <c r="BY27">
        <v>2990.4</v>
      </c>
      <c r="BZ27">
        <v>11.312883682272814</v>
      </c>
      <c r="CA27">
        <v>4832.8639090669458</v>
      </c>
      <c r="CB27">
        <v>9.224431722503434</v>
      </c>
      <c r="CC27">
        <v>3940.6772318534668</v>
      </c>
      <c r="CD27">
        <v>6.7030495510691583</v>
      </c>
      <c r="CE27">
        <v>2863.5427682167442</v>
      </c>
      <c r="CF27">
        <v>8</v>
      </c>
      <c r="CG27">
        <v>3417.6</v>
      </c>
      <c r="CH27">
        <v>7.8291451719309384</v>
      </c>
      <c r="CI27">
        <v>3344.6108174488968</v>
      </c>
      <c r="CJ27">
        <v>7.530520419106522</v>
      </c>
      <c r="CK27">
        <v>3217.0383230423063</v>
      </c>
      <c r="CL27">
        <v>7.4777705334702311</v>
      </c>
      <c r="CM27">
        <v>3194.5035718984827</v>
      </c>
      <c r="CN27">
        <v>9.0492448678173023</v>
      </c>
      <c r="CO27">
        <v>3865.8374075315514</v>
      </c>
      <c r="CP27">
        <v>6.799712120136264</v>
      </c>
      <c r="CQ27">
        <v>2904.8370177222118</v>
      </c>
      <c r="CR27">
        <v>8.0738761288017624</v>
      </c>
      <c r="CS27">
        <v>3449.1598822241126</v>
      </c>
      <c r="CT27">
        <v>8.2593800107846747</v>
      </c>
      <c r="CU27">
        <v>3528.407140607213</v>
      </c>
    </row>
    <row r="28" spans="2:99" x14ac:dyDescent="0.2">
      <c r="C28" s="105" t="s">
        <v>194</v>
      </c>
      <c r="D28">
        <v>6</v>
      </c>
      <c r="E28">
        <v>4428</v>
      </c>
      <c r="F28">
        <v>5</v>
      </c>
      <c r="G28">
        <v>3690</v>
      </c>
      <c r="H28">
        <v>7</v>
      </c>
      <c r="I28">
        <v>5166</v>
      </c>
      <c r="J28">
        <v>5</v>
      </c>
      <c r="K28">
        <v>3690</v>
      </c>
      <c r="L28">
        <v>9.3212662779909117</v>
      </c>
      <c r="M28">
        <v>6879.0945131572926</v>
      </c>
      <c r="N28">
        <v>7.3319336454218931</v>
      </c>
      <c r="O28">
        <v>5410.967030321357</v>
      </c>
      <c r="P28">
        <v>7</v>
      </c>
      <c r="Q28">
        <v>5166</v>
      </c>
      <c r="R28">
        <v>10.290211995114586</v>
      </c>
      <c r="S28">
        <v>7594.176452394564</v>
      </c>
      <c r="T28">
        <v>6</v>
      </c>
      <c r="U28">
        <v>4428</v>
      </c>
      <c r="V28">
        <v>9.5872939297012643</v>
      </c>
      <c r="W28">
        <v>7075.422920119533</v>
      </c>
      <c r="X28">
        <v>6</v>
      </c>
      <c r="Y28">
        <v>4428</v>
      </c>
      <c r="Z28">
        <v>9</v>
      </c>
      <c r="AA28">
        <v>6642</v>
      </c>
      <c r="AB28">
        <v>7</v>
      </c>
      <c r="AC28">
        <v>5166</v>
      </c>
      <c r="AD28">
        <v>7.7510359257199122</v>
      </c>
      <c r="AE28">
        <v>5720.2645131812951</v>
      </c>
      <c r="AF28">
        <v>8.0383835687387553</v>
      </c>
      <c r="AG28">
        <v>5932.3270737292014</v>
      </c>
      <c r="AH28">
        <v>8.1107869963788541</v>
      </c>
      <c r="AI28">
        <v>5985.7608033275947</v>
      </c>
      <c r="AJ28">
        <v>7.6354632934772821</v>
      </c>
      <c r="AK28">
        <v>5634.9719105862341</v>
      </c>
      <c r="AL28">
        <v>6.346836208495013</v>
      </c>
      <c r="AM28">
        <v>4683.9651218693198</v>
      </c>
      <c r="AN28">
        <v>9.3084387644552713</v>
      </c>
      <c r="AO28">
        <v>6869.6278081679902</v>
      </c>
      <c r="AP28">
        <v>5.4490778691687902</v>
      </c>
      <c r="AQ28">
        <v>4021.4194674465671</v>
      </c>
      <c r="AR28">
        <v>6.994209220092527</v>
      </c>
      <c r="AS28">
        <v>5161.7264044282847</v>
      </c>
      <c r="AT28">
        <v>7.7437323733279451</v>
      </c>
      <c r="AU28">
        <v>5714.8744915160232</v>
      </c>
      <c r="AV28">
        <v>6.298650264551708</v>
      </c>
      <c r="AW28">
        <v>4648.4038952391602</v>
      </c>
      <c r="AX28">
        <v>5.958340547052666</v>
      </c>
      <c r="AY28">
        <v>4397.2553237248676</v>
      </c>
      <c r="AZ28">
        <v>9.333981833461829</v>
      </c>
      <c r="BA28">
        <v>6888.4785930948301</v>
      </c>
      <c r="BB28">
        <v>7.8416061783082434</v>
      </c>
      <c r="BC28">
        <v>5787.1053595914836</v>
      </c>
      <c r="BD28">
        <v>6.5702338580481339</v>
      </c>
      <c r="BE28">
        <v>4848.8325872395226</v>
      </c>
      <c r="BF28">
        <v>7.7011036389464644</v>
      </c>
      <c r="BG28">
        <v>5683.4144855424911</v>
      </c>
      <c r="BH28">
        <v>4.9719945823924174</v>
      </c>
      <c r="BI28">
        <v>3669.3320018056042</v>
      </c>
      <c r="BJ28">
        <v>5.5324924280720449</v>
      </c>
      <c r="BK28">
        <v>4082.9794119171693</v>
      </c>
      <c r="BL28">
        <v>8.3461338775899172</v>
      </c>
      <c r="BM28">
        <v>6159.4468016613591</v>
      </c>
      <c r="BN28">
        <v>7.43571445281657</v>
      </c>
      <c r="BO28">
        <v>5487.5572661786282</v>
      </c>
      <c r="BP28">
        <v>10.434716596693972</v>
      </c>
      <c r="BQ28">
        <v>7700.820848360152</v>
      </c>
      <c r="BR28">
        <v>7.0789105951281019</v>
      </c>
      <c r="BS28">
        <v>5224.2360192045389</v>
      </c>
      <c r="BT28">
        <v>8.4854380304198429</v>
      </c>
      <c r="BU28">
        <v>6262.253266449844</v>
      </c>
      <c r="BV28">
        <v>6.7231510917974022</v>
      </c>
      <c r="BW28">
        <v>4961.6855057464827</v>
      </c>
      <c r="BX28">
        <v>6</v>
      </c>
      <c r="BY28">
        <v>4428</v>
      </c>
      <c r="BZ28">
        <v>9.2964388380646827</v>
      </c>
      <c r="CA28">
        <v>6860.7718624917361</v>
      </c>
      <c r="CB28">
        <v>8.2946339152255479</v>
      </c>
      <c r="CC28">
        <v>6121.4398294364546</v>
      </c>
      <c r="CD28">
        <v>7.4350765343836525</v>
      </c>
      <c r="CE28">
        <v>5487.0864823751353</v>
      </c>
      <c r="CF28">
        <v>8</v>
      </c>
      <c r="CG28">
        <v>5904</v>
      </c>
      <c r="CH28">
        <v>7.1080607453385607</v>
      </c>
      <c r="CI28">
        <v>5245.7488300598579</v>
      </c>
      <c r="CJ28">
        <v>7.530520419106522</v>
      </c>
      <c r="CK28">
        <v>5557.5240693006135</v>
      </c>
      <c r="CL28">
        <v>7.4042673744748111</v>
      </c>
      <c r="CM28">
        <v>5464.3493223624109</v>
      </c>
      <c r="CN28">
        <v>8.1309300105672015</v>
      </c>
      <c r="CO28">
        <v>6000.6263477985949</v>
      </c>
      <c r="CP28">
        <v>6.7144038626633229</v>
      </c>
      <c r="CQ28">
        <v>4955.2300506455322</v>
      </c>
      <c r="CR28">
        <v>7.2664885159215862</v>
      </c>
      <c r="CS28">
        <v>5362.6685247501309</v>
      </c>
      <c r="CT28">
        <v>8.2593800107846747</v>
      </c>
      <c r="CU28">
        <v>6095.4224479590903</v>
      </c>
    </row>
    <row r="29" spans="2:99" x14ac:dyDescent="0.2">
      <c r="C29" s="105" t="s">
        <v>195</v>
      </c>
      <c r="D29">
        <v>6</v>
      </c>
      <c r="E29">
        <v>2030.3999999999999</v>
      </c>
      <c r="F29">
        <v>5</v>
      </c>
      <c r="G29">
        <v>1692</v>
      </c>
      <c r="H29">
        <v>7</v>
      </c>
      <c r="I29">
        <v>2368.7999999999997</v>
      </c>
      <c r="J29">
        <v>5</v>
      </c>
      <c r="K29">
        <v>1692</v>
      </c>
      <c r="L29">
        <v>9.3671614605610429</v>
      </c>
      <c r="M29">
        <v>3169.8474382538566</v>
      </c>
      <c r="N29">
        <v>7.3793527376250205</v>
      </c>
      <c r="O29">
        <v>2497.1729664123068</v>
      </c>
      <c r="P29">
        <v>7</v>
      </c>
      <c r="Q29">
        <v>2368.7999999999997</v>
      </c>
      <c r="R29">
        <v>10.290211995114586</v>
      </c>
      <c r="S29">
        <v>3482.2077391467756</v>
      </c>
      <c r="T29">
        <v>6</v>
      </c>
      <c r="U29">
        <v>2030.3999999999999</v>
      </c>
      <c r="V29">
        <v>10.636235090509702</v>
      </c>
      <c r="W29">
        <v>3599.3019546284831</v>
      </c>
      <c r="X29">
        <v>7</v>
      </c>
      <c r="Y29">
        <v>2368.7999999999997</v>
      </c>
      <c r="Z29">
        <v>9.5941264009722111</v>
      </c>
      <c r="AA29">
        <v>3246.6523740889961</v>
      </c>
      <c r="AB29">
        <v>7</v>
      </c>
      <c r="AC29">
        <v>2368.7999999999997</v>
      </c>
      <c r="AD29">
        <v>7.7510359257199122</v>
      </c>
      <c r="AE29">
        <v>2622.9505572636181</v>
      </c>
      <c r="AF29">
        <v>8.0054956002315247</v>
      </c>
      <c r="AG29">
        <v>2709.0597111183479</v>
      </c>
      <c r="AH29">
        <v>8.1107869963788541</v>
      </c>
      <c r="AI29">
        <v>2744.690319574604</v>
      </c>
      <c r="AJ29">
        <v>7.6354632934772821</v>
      </c>
      <c r="AK29">
        <v>2583.8407785127119</v>
      </c>
      <c r="AL29">
        <v>6.346836208495013</v>
      </c>
      <c r="AM29">
        <v>2147.7693729547123</v>
      </c>
      <c r="AN29">
        <v>10.342709738283633</v>
      </c>
      <c r="AO29">
        <v>3499.9729754351811</v>
      </c>
      <c r="AP29">
        <v>5.3991803281500355</v>
      </c>
      <c r="AQ29">
        <v>1827.0826230459718</v>
      </c>
      <c r="AR29">
        <v>8.7427615251156574</v>
      </c>
      <c r="AS29">
        <v>2958.5505000991384</v>
      </c>
      <c r="AT29">
        <v>7.784673545945215</v>
      </c>
      <c r="AU29">
        <v>2634.3335279478606</v>
      </c>
      <c r="AV29">
        <v>6.298650264551708</v>
      </c>
      <c r="AW29">
        <v>2131.4632495242977</v>
      </c>
      <c r="AX29">
        <v>5.9987709434925147</v>
      </c>
      <c r="AY29">
        <v>2029.9840872778668</v>
      </c>
      <c r="AZ29">
        <v>8.4854380304198429</v>
      </c>
      <c r="BA29">
        <v>2871.4722294940748</v>
      </c>
      <c r="BB29">
        <v>7.8416061783082434</v>
      </c>
      <c r="BC29">
        <v>2653.5995307395092</v>
      </c>
      <c r="BD29">
        <v>6.5702338580481339</v>
      </c>
      <c r="BE29">
        <v>2223.3671375634885</v>
      </c>
      <c r="BF29">
        <v>7.7916855602089186</v>
      </c>
      <c r="BG29">
        <v>2636.7063935746978</v>
      </c>
      <c r="BH29">
        <v>5.800660346124487</v>
      </c>
      <c r="BI29">
        <v>1962.9434611285262</v>
      </c>
      <c r="BJ29">
        <v>6.3335894403646531</v>
      </c>
      <c r="BK29">
        <v>2143.2866666193986</v>
      </c>
      <c r="BL29">
        <v>8.3076745578577036</v>
      </c>
      <c r="BM29">
        <v>2811.3170703790465</v>
      </c>
      <c r="BN29">
        <v>7.4753248576180766</v>
      </c>
      <c r="BO29">
        <v>2529.6499318179572</v>
      </c>
      <c r="BP29">
        <v>11.434716596693972</v>
      </c>
      <c r="BQ29">
        <v>3869.5080963212399</v>
      </c>
      <c r="BR29">
        <v>7.8749705211910799</v>
      </c>
      <c r="BS29">
        <v>2664.8900243710614</v>
      </c>
      <c r="BT29">
        <v>8.4854380304198429</v>
      </c>
      <c r="BU29">
        <v>2871.4722294940748</v>
      </c>
      <c r="BV29">
        <v>8.1460739860398323</v>
      </c>
      <c r="BW29">
        <v>2756.631436875879</v>
      </c>
      <c r="BX29">
        <v>7</v>
      </c>
      <c r="BY29">
        <v>2368.7999999999997</v>
      </c>
      <c r="BZ29">
        <v>11.312883682272814</v>
      </c>
      <c r="CA29">
        <v>3828.27983808112</v>
      </c>
      <c r="CB29">
        <v>8.3681802655009747</v>
      </c>
      <c r="CC29">
        <v>2831.7922018455297</v>
      </c>
      <c r="CD29">
        <v>7.4735689745906173</v>
      </c>
      <c r="CE29">
        <v>2529.0557410014649</v>
      </c>
      <c r="CF29">
        <v>8</v>
      </c>
      <c r="CG29">
        <v>2707.2</v>
      </c>
      <c r="CH29">
        <v>7.8829104681054742</v>
      </c>
      <c r="CI29">
        <v>2667.5769024068923</v>
      </c>
      <c r="CJ29">
        <v>9.2910697195790615</v>
      </c>
      <c r="CK29">
        <v>3144.097993105554</v>
      </c>
      <c r="CL29">
        <v>7.4777705334702311</v>
      </c>
      <c r="CM29">
        <v>2530.4775485263262</v>
      </c>
      <c r="CN29">
        <v>9.0833497005375801</v>
      </c>
      <c r="CO29">
        <v>3073.8055386619167</v>
      </c>
      <c r="CP29">
        <v>6.7570579913997939</v>
      </c>
      <c r="CQ29">
        <v>2286.58842428969</v>
      </c>
      <c r="CR29">
        <v>7.2664885159215862</v>
      </c>
      <c r="CS29">
        <v>2458.9797137878645</v>
      </c>
      <c r="CT29">
        <v>9.1288282604358919</v>
      </c>
      <c r="CU29">
        <v>3089.1954833315058</v>
      </c>
    </row>
    <row r="30" spans="2:99" x14ac:dyDescent="0.2">
      <c r="C30" s="105" t="s">
        <v>196</v>
      </c>
      <c r="D30">
        <v>7</v>
      </c>
      <c r="E30">
        <v>974.39999999999986</v>
      </c>
      <c r="F30">
        <v>5</v>
      </c>
      <c r="G30">
        <v>696</v>
      </c>
      <c r="H30">
        <v>8</v>
      </c>
      <c r="I30">
        <v>1113.5999999999999</v>
      </c>
      <c r="J30">
        <v>6</v>
      </c>
      <c r="K30">
        <v>835.19999999999993</v>
      </c>
      <c r="L30">
        <v>11.321266277990912</v>
      </c>
      <c r="M30">
        <v>1575.9202658963347</v>
      </c>
      <c r="N30">
        <v>8.3793527376250214</v>
      </c>
      <c r="O30">
        <v>1166.4059010774029</v>
      </c>
      <c r="P30">
        <v>7</v>
      </c>
      <c r="Q30">
        <v>974.39999999999986</v>
      </c>
      <c r="R30">
        <v>10.338580660967017</v>
      </c>
      <c r="S30">
        <v>1439.1304280066086</v>
      </c>
      <c r="T30">
        <v>6</v>
      </c>
      <c r="U30">
        <v>835.19999999999993</v>
      </c>
      <c r="V30">
        <v>9.6851762513181416</v>
      </c>
      <c r="W30">
        <v>1348.1765341834853</v>
      </c>
      <c r="X30">
        <v>7</v>
      </c>
      <c r="Y30">
        <v>974.39999999999986</v>
      </c>
      <c r="Z30">
        <v>8.6436369343865618</v>
      </c>
      <c r="AA30">
        <v>1203.1942612666094</v>
      </c>
      <c r="AB30">
        <v>8</v>
      </c>
      <c r="AC30">
        <v>1113.5999999999999</v>
      </c>
      <c r="AD30">
        <v>7.7891136835167947</v>
      </c>
      <c r="AE30">
        <v>1084.2446247455377</v>
      </c>
      <c r="AF30">
        <v>8.8913408926453368</v>
      </c>
      <c r="AG30">
        <v>1237.6746522562307</v>
      </c>
      <c r="AH30">
        <v>9.0751642968599029</v>
      </c>
      <c r="AI30">
        <v>1263.2628701228984</v>
      </c>
      <c r="AJ30">
        <v>8.5898962051619421</v>
      </c>
      <c r="AK30">
        <v>1195.7135517585423</v>
      </c>
      <c r="AL30">
        <v>6.2972881787100103</v>
      </c>
      <c r="AM30">
        <v>876.5825144764334</v>
      </c>
      <c r="AN30">
        <v>9.3470741704890195</v>
      </c>
      <c r="AO30">
        <v>1301.1127245320713</v>
      </c>
      <c r="AP30">
        <v>6.4490778691687902</v>
      </c>
      <c r="AQ30">
        <v>897.71163938829557</v>
      </c>
      <c r="AR30">
        <v>8.7427615251156574</v>
      </c>
      <c r="AS30">
        <v>1216.9924042960995</v>
      </c>
      <c r="AT30">
        <v>6.91970981861797</v>
      </c>
      <c r="AU30">
        <v>963.22360675162133</v>
      </c>
      <c r="AV30">
        <v>7.198457445201953</v>
      </c>
      <c r="AW30">
        <v>1002.0252763721118</v>
      </c>
      <c r="AX30">
        <v>5.958340547052666</v>
      </c>
      <c r="AY30">
        <v>829.40100414973108</v>
      </c>
      <c r="AZ30">
        <v>8.4854380304198429</v>
      </c>
      <c r="BA30">
        <v>1181.172973834442</v>
      </c>
      <c r="BB30">
        <v>7.0071560918914146</v>
      </c>
      <c r="BC30">
        <v>975.39612799128486</v>
      </c>
      <c r="BD30">
        <v>7.5088386949121535</v>
      </c>
      <c r="BE30">
        <v>1045.2303463317717</v>
      </c>
      <c r="BF30">
        <v>8.6524188536569664</v>
      </c>
      <c r="BG30">
        <v>1204.4167044290496</v>
      </c>
      <c r="BH30">
        <v>6.6293261098565575</v>
      </c>
      <c r="BI30">
        <v>922.80219449203275</v>
      </c>
      <c r="BJ30">
        <v>6.3916622687099638</v>
      </c>
      <c r="BK30">
        <v>889.7193878044269</v>
      </c>
      <c r="BL30">
        <v>8.3461338775899172</v>
      </c>
      <c r="BM30">
        <v>1161.7818357605163</v>
      </c>
      <c r="BN30">
        <v>7.4753248576180766</v>
      </c>
      <c r="BO30">
        <v>1040.5652201804362</v>
      </c>
      <c r="BP30">
        <v>12.468156334901201</v>
      </c>
      <c r="BQ30">
        <v>1735.567361818247</v>
      </c>
      <c r="BR30">
        <v>7.0789105951281019</v>
      </c>
      <c r="BS30">
        <v>985.38435484183174</v>
      </c>
      <c r="BT30">
        <v>8.4854380304198429</v>
      </c>
      <c r="BU30">
        <v>1181.172973834442</v>
      </c>
      <c r="BV30">
        <v>7.5057232206311655</v>
      </c>
      <c r="BW30">
        <v>1044.7966723118582</v>
      </c>
      <c r="BX30">
        <v>6</v>
      </c>
      <c r="BY30">
        <v>835.19999999999993</v>
      </c>
      <c r="BZ30">
        <v>10.355992884582919</v>
      </c>
      <c r="CA30">
        <v>1441.5542095339422</v>
      </c>
      <c r="CB30">
        <v>9.2612048976411483</v>
      </c>
      <c r="CC30">
        <v>1289.1597217516478</v>
      </c>
      <c r="CD30">
        <v>7.5120614147975813</v>
      </c>
      <c r="CE30">
        <v>1045.6789489398232</v>
      </c>
      <c r="CF30">
        <v>8</v>
      </c>
      <c r="CG30">
        <v>1113.5999999999999</v>
      </c>
      <c r="CH30">
        <v>7.8829104681054742</v>
      </c>
      <c r="CI30">
        <v>1097.301137160282</v>
      </c>
      <c r="CJ30">
        <v>8.4631154140445446</v>
      </c>
      <c r="CK30">
        <v>1178.0656656350004</v>
      </c>
      <c r="CL30">
        <v>7.4410189539725211</v>
      </c>
      <c r="CM30">
        <v>1035.7898383929748</v>
      </c>
      <c r="CN30">
        <v>9.0492448678173023</v>
      </c>
      <c r="CO30">
        <v>1259.6548856001684</v>
      </c>
      <c r="CP30">
        <v>6.799712120136264</v>
      </c>
      <c r="CQ30">
        <v>946.51992712296783</v>
      </c>
      <c r="CR30">
        <v>8.0738761288017624</v>
      </c>
      <c r="CS30">
        <v>1123.8835571292052</v>
      </c>
      <c r="CT30">
        <v>8.2593800107846747</v>
      </c>
      <c r="CU30">
        <v>1149.7056975012267</v>
      </c>
    </row>
    <row r="31" spans="2:99" x14ac:dyDescent="0.2">
      <c r="C31" s="105" t="s">
        <v>197</v>
      </c>
      <c r="D31">
        <v>7</v>
      </c>
      <c r="E31">
        <v>2385.6</v>
      </c>
      <c r="F31">
        <v>5</v>
      </c>
      <c r="G31">
        <v>1704</v>
      </c>
      <c r="H31">
        <v>7</v>
      </c>
      <c r="I31">
        <v>2385.6</v>
      </c>
      <c r="J31">
        <v>5</v>
      </c>
      <c r="K31">
        <v>1704</v>
      </c>
      <c r="L31">
        <v>10.367161460561043</v>
      </c>
      <c r="M31">
        <v>3533.1286257592037</v>
      </c>
      <c r="N31">
        <v>8.3319336454218931</v>
      </c>
      <c r="O31">
        <v>2839.522986359781</v>
      </c>
      <c r="P31">
        <v>8</v>
      </c>
      <c r="Q31">
        <v>2726.4</v>
      </c>
      <c r="R31">
        <v>10.338580660967017</v>
      </c>
      <c r="S31">
        <v>3523.3882892575593</v>
      </c>
      <c r="T31">
        <v>6</v>
      </c>
      <c r="U31">
        <v>2044.8000000000002</v>
      </c>
      <c r="V31">
        <v>10.636235090509702</v>
      </c>
      <c r="W31">
        <v>3624.8289188457065</v>
      </c>
      <c r="X31">
        <v>7</v>
      </c>
      <c r="Y31">
        <v>2385.6</v>
      </c>
      <c r="Z31">
        <v>8.5446158675578605</v>
      </c>
      <c r="AA31">
        <v>2912.0050876637188</v>
      </c>
      <c r="AB31">
        <v>7</v>
      </c>
      <c r="AC31">
        <v>2385.6</v>
      </c>
      <c r="AD31">
        <v>7.7891136835167947</v>
      </c>
      <c r="AE31">
        <v>2654.5299433425239</v>
      </c>
      <c r="AF31">
        <v>9.7442982165519165</v>
      </c>
      <c r="AG31">
        <v>3320.8568322008932</v>
      </c>
      <c r="AH31">
        <v>8.1107869963788541</v>
      </c>
      <c r="AI31">
        <v>2764.1562083659137</v>
      </c>
      <c r="AJ31">
        <v>7.6354632934772821</v>
      </c>
      <c r="AK31">
        <v>2602.1658904170577</v>
      </c>
      <c r="AL31">
        <v>5.3963842382800147</v>
      </c>
      <c r="AM31">
        <v>1839.087748405829</v>
      </c>
      <c r="AN31">
        <v>9.3084387644552713</v>
      </c>
      <c r="AO31">
        <v>3172.3159309263565</v>
      </c>
      <c r="AP31">
        <v>5.4490778691687902</v>
      </c>
      <c r="AQ31">
        <v>1857.0457378127237</v>
      </c>
      <c r="AR31">
        <v>7.8684853726040922</v>
      </c>
      <c r="AS31">
        <v>2681.5798149834745</v>
      </c>
      <c r="AT31">
        <v>6.9606509912352408</v>
      </c>
      <c r="AU31">
        <v>2372.1898578129703</v>
      </c>
      <c r="AV31">
        <v>7.198457445201953</v>
      </c>
      <c r="AW31">
        <v>2453.2342973248255</v>
      </c>
      <c r="AX31">
        <v>5.958340547052666</v>
      </c>
      <c r="AY31">
        <v>2030.6024584355487</v>
      </c>
      <c r="AZ31">
        <v>8.4854380304198429</v>
      </c>
      <c r="BA31">
        <v>2891.8372807670826</v>
      </c>
      <c r="BB31">
        <v>7.048600516961014</v>
      </c>
      <c r="BC31">
        <v>2402.1630561803136</v>
      </c>
      <c r="BD31">
        <v>7.5088386949121535</v>
      </c>
      <c r="BE31">
        <v>2559.0122272260619</v>
      </c>
      <c r="BF31">
        <v>6.8856613061296441</v>
      </c>
      <c r="BG31">
        <v>2346.6333731289828</v>
      </c>
      <c r="BH31">
        <v>5.800660346124487</v>
      </c>
      <c r="BI31">
        <v>1976.8650459592252</v>
      </c>
      <c r="BJ31">
        <v>6.3916622687099638</v>
      </c>
      <c r="BK31">
        <v>2178.2785011763558</v>
      </c>
      <c r="BL31">
        <v>8.3461338775899172</v>
      </c>
      <c r="BM31">
        <v>2844.3624254826441</v>
      </c>
      <c r="BN31">
        <v>6.4753248576180766</v>
      </c>
      <c r="BO31">
        <v>2206.7907114762406</v>
      </c>
      <c r="BP31">
        <v>11.468156334901201</v>
      </c>
      <c r="BQ31">
        <v>3908.3476789343295</v>
      </c>
      <c r="BR31">
        <v>6.1992705294622681</v>
      </c>
      <c r="BS31">
        <v>2112.7113964407408</v>
      </c>
      <c r="BT31">
        <v>9.333981833461829</v>
      </c>
      <c r="BU31">
        <v>3181.0210088437916</v>
      </c>
      <c r="BV31">
        <v>8.217184667752381</v>
      </c>
      <c r="BW31">
        <v>2800.4165347700114</v>
      </c>
      <c r="BX31">
        <v>6</v>
      </c>
      <c r="BY31">
        <v>2044.8000000000002</v>
      </c>
      <c r="BZ31">
        <v>10.355992884582919</v>
      </c>
      <c r="CA31">
        <v>3529.322375065859</v>
      </c>
      <c r="CB31">
        <v>9.2612048976411483</v>
      </c>
      <c r="CC31">
        <v>3156.2186291161033</v>
      </c>
      <c r="CD31">
        <v>6.6645571108621953</v>
      </c>
      <c r="CE31">
        <v>2271.2810633818362</v>
      </c>
      <c r="CF31">
        <v>8</v>
      </c>
      <c r="CG31">
        <v>2726.4</v>
      </c>
      <c r="CH31">
        <v>8.577112246610584</v>
      </c>
      <c r="CI31">
        <v>2923.079853644887</v>
      </c>
      <c r="CJ31">
        <v>8.4282351842433751</v>
      </c>
      <c r="CK31">
        <v>2872.3425507901425</v>
      </c>
      <c r="CL31">
        <v>7.4410189539725211</v>
      </c>
      <c r="CM31">
        <v>2535.8992595138352</v>
      </c>
      <c r="CN31">
        <v>9.0492448678173023</v>
      </c>
      <c r="CO31">
        <v>3083.9826509521367</v>
      </c>
      <c r="CP31">
        <v>6.7144038626633229</v>
      </c>
      <c r="CQ31">
        <v>2288.2688363956604</v>
      </c>
      <c r="CR31">
        <v>8.0738761288017624</v>
      </c>
      <c r="CS31">
        <v>2751.5769846956409</v>
      </c>
      <c r="CT31">
        <v>7.3464971847410858</v>
      </c>
      <c r="CU31">
        <v>2503.6862405597622</v>
      </c>
    </row>
    <row r="32" spans="2:99" x14ac:dyDescent="0.2">
      <c r="C32" s="105" t="s">
        <v>198</v>
      </c>
      <c r="D32">
        <v>6</v>
      </c>
      <c r="E32">
        <v>5040</v>
      </c>
      <c r="F32">
        <v>5</v>
      </c>
      <c r="G32">
        <v>4200</v>
      </c>
      <c r="H32">
        <v>7</v>
      </c>
      <c r="I32">
        <v>5880</v>
      </c>
      <c r="J32">
        <v>5</v>
      </c>
      <c r="K32">
        <v>4200</v>
      </c>
      <c r="L32">
        <v>10.321266277990912</v>
      </c>
      <c r="M32">
        <v>8669.8636735123655</v>
      </c>
      <c r="N32">
        <v>7.3793527376250205</v>
      </c>
      <c r="O32">
        <v>6198.656299605017</v>
      </c>
      <c r="P32">
        <v>7</v>
      </c>
      <c r="Q32">
        <v>5880</v>
      </c>
      <c r="R32">
        <v>10.338580660967017</v>
      </c>
      <c r="S32">
        <v>8684.4077552122944</v>
      </c>
      <c r="T32">
        <v>6</v>
      </c>
      <c r="U32">
        <v>5040</v>
      </c>
      <c r="V32">
        <v>10.636235090509702</v>
      </c>
      <c r="W32">
        <v>8934.4374760281498</v>
      </c>
      <c r="X32">
        <v>7</v>
      </c>
      <c r="Y32">
        <v>5880</v>
      </c>
      <c r="Z32">
        <v>7.5941264009722111</v>
      </c>
      <c r="AA32">
        <v>6379.0661768166574</v>
      </c>
      <c r="AB32">
        <v>6</v>
      </c>
      <c r="AC32">
        <v>5040</v>
      </c>
      <c r="AD32">
        <v>7.7510359257199122</v>
      </c>
      <c r="AE32">
        <v>6510.8701776047265</v>
      </c>
      <c r="AF32">
        <v>8.8913408926453368</v>
      </c>
      <c r="AG32">
        <v>7468.7263498220827</v>
      </c>
      <c r="AH32">
        <v>7.1464096958978072</v>
      </c>
      <c r="AI32">
        <v>6002.9841445541579</v>
      </c>
      <c r="AJ32">
        <v>7.6354632934772821</v>
      </c>
      <c r="AK32">
        <v>6413.7891665209172</v>
      </c>
      <c r="AL32">
        <v>5.346836208495013</v>
      </c>
      <c r="AM32">
        <v>4491.3424151358113</v>
      </c>
      <c r="AN32">
        <v>8.2741677906269047</v>
      </c>
      <c r="AO32">
        <v>6950.3009441266004</v>
      </c>
      <c r="AP32">
        <v>5.3991803281500355</v>
      </c>
      <c r="AQ32">
        <v>4535.31147564603</v>
      </c>
      <c r="AR32">
        <v>7.8684853726040922</v>
      </c>
      <c r="AS32">
        <v>6609.5277129874376</v>
      </c>
      <c r="AT32">
        <v>6.095687263907994</v>
      </c>
      <c r="AU32">
        <v>5120.3773016827154</v>
      </c>
      <c r="AV32">
        <v>6.298650264551708</v>
      </c>
      <c r="AW32">
        <v>5290.8662222234343</v>
      </c>
      <c r="AX32">
        <v>5.1880098332105531</v>
      </c>
      <c r="AY32">
        <v>4357.9282598968648</v>
      </c>
      <c r="AZ32">
        <v>7.6368942273778595</v>
      </c>
      <c r="BA32">
        <v>6414.9911509974017</v>
      </c>
      <c r="BB32">
        <v>7.8416061783082434</v>
      </c>
      <c r="BC32">
        <v>6586.9491897789248</v>
      </c>
      <c r="BD32">
        <v>6.5702338580481339</v>
      </c>
      <c r="BE32">
        <v>5518.9964407604321</v>
      </c>
      <c r="BF32">
        <v>7.7463945995776911</v>
      </c>
      <c r="BG32">
        <v>6506.9714636452609</v>
      </c>
      <c r="BH32">
        <v>5.800660346124487</v>
      </c>
      <c r="BI32">
        <v>4872.5546907445687</v>
      </c>
      <c r="BJ32">
        <v>6.3626258545373089</v>
      </c>
      <c r="BK32">
        <v>5344.6057178113397</v>
      </c>
      <c r="BL32">
        <v>7.3076745578577036</v>
      </c>
      <c r="BM32">
        <v>6138.4466286004708</v>
      </c>
      <c r="BN32">
        <v>6.5149352624195824</v>
      </c>
      <c r="BO32">
        <v>5472.5456204324491</v>
      </c>
      <c r="BP32">
        <v>11.434716596693972</v>
      </c>
      <c r="BQ32">
        <v>9605.1619412229375</v>
      </c>
      <c r="BR32">
        <v>6.1992705294622681</v>
      </c>
      <c r="BS32">
        <v>5207.3872447483054</v>
      </c>
      <c r="BT32">
        <v>7.6368942273778595</v>
      </c>
      <c r="BU32">
        <v>6414.9911509974017</v>
      </c>
      <c r="BV32">
        <v>7.4346125389186168</v>
      </c>
      <c r="BW32">
        <v>6245.0745326916385</v>
      </c>
      <c r="BX32">
        <v>5</v>
      </c>
      <c r="BY32">
        <v>4200</v>
      </c>
      <c r="BZ32">
        <v>10.321771801640139</v>
      </c>
      <c r="CA32">
        <v>8670.2883133777177</v>
      </c>
      <c r="CB32">
        <v>9.224431722503434</v>
      </c>
      <c r="CC32">
        <v>7748.5226469028848</v>
      </c>
      <c r="CD32">
        <v>7.4350765343836525</v>
      </c>
      <c r="CE32">
        <v>6245.4642888822682</v>
      </c>
      <c r="CF32">
        <v>7</v>
      </c>
      <c r="CG32">
        <v>5880</v>
      </c>
      <c r="CH32">
        <v>7.8829104681054742</v>
      </c>
      <c r="CI32">
        <v>6621.6447932085985</v>
      </c>
      <c r="CJ32">
        <v>8.4282351842433751</v>
      </c>
      <c r="CK32">
        <v>7079.7175547644347</v>
      </c>
      <c r="CL32">
        <v>7.4777705334702311</v>
      </c>
      <c r="CM32">
        <v>6281.3272481149943</v>
      </c>
      <c r="CN32">
        <v>8.1309300105672015</v>
      </c>
      <c r="CO32">
        <v>6829.9812088764493</v>
      </c>
      <c r="CP32">
        <v>6.799712120136264</v>
      </c>
      <c r="CQ32">
        <v>5711.7581809144622</v>
      </c>
      <c r="CR32">
        <v>8.0738761288017624</v>
      </c>
      <c r="CS32">
        <v>6782.0559481934806</v>
      </c>
      <c r="CT32">
        <v>7.3899317611334574</v>
      </c>
      <c r="CU32">
        <v>6207.5426793521046</v>
      </c>
    </row>
    <row r="33" spans="2:99" x14ac:dyDescent="0.2">
      <c r="C33" s="105" t="s">
        <v>199</v>
      </c>
      <c r="D33">
        <v>6</v>
      </c>
      <c r="E33">
        <v>2844</v>
      </c>
      <c r="F33">
        <v>5</v>
      </c>
      <c r="G33">
        <v>2370</v>
      </c>
      <c r="H33">
        <v>8</v>
      </c>
      <c r="I33">
        <v>3792</v>
      </c>
      <c r="J33">
        <v>5</v>
      </c>
      <c r="K33">
        <v>2370</v>
      </c>
      <c r="L33">
        <v>10.321266277990912</v>
      </c>
      <c r="M33">
        <v>4892.2802157676924</v>
      </c>
      <c r="N33">
        <v>7.3793527376250205</v>
      </c>
      <c r="O33">
        <v>3497.8131976342597</v>
      </c>
      <c r="P33">
        <v>7</v>
      </c>
      <c r="Q33">
        <v>3318</v>
      </c>
      <c r="R33">
        <v>10.338580660967017</v>
      </c>
      <c r="S33">
        <v>4900.4872332983659</v>
      </c>
      <c r="T33">
        <v>6</v>
      </c>
      <c r="U33">
        <v>2844</v>
      </c>
      <c r="V33">
        <v>10.587293929701264</v>
      </c>
      <c r="W33">
        <v>5018.3773226783997</v>
      </c>
      <c r="X33">
        <v>7</v>
      </c>
      <c r="Y33">
        <v>3318</v>
      </c>
      <c r="Z33">
        <v>8</v>
      </c>
      <c r="AA33">
        <v>3792</v>
      </c>
      <c r="AB33">
        <v>6</v>
      </c>
      <c r="AC33">
        <v>2844</v>
      </c>
      <c r="AD33">
        <v>7.7891136835167947</v>
      </c>
      <c r="AE33">
        <v>3692.0398859869606</v>
      </c>
      <c r="AF33">
        <v>8.8913408926453368</v>
      </c>
      <c r="AG33">
        <v>4214.4955831138896</v>
      </c>
      <c r="AH33">
        <v>9.1471222227745344</v>
      </c>
      <c r="AI33">
        <v>4335.7359335951296</v>
      </c>
      <c r="AJ33">
        <v>8.5898962051619421</v>
      </c>
      <c r="AK33">
        <v>4071.6108012467607</v>
      </c>
      <c r="AL33">
        <v>6.2972881787100103</v>
      </c>
      <c r="AM33">
        <v>2984.9145967085451</v>
      </c>
      <c r="AN33">
        <v>10.265438926216133</v>
      </c>
      <c r="AO33">
        <v>4865.8180510264465</v>
      </c>
      <c r="AP33">
        <v>6.4490778691687902</v>
      </c>
      <c r="AQ33">
        <v>3056.8629099860063</v>
      </c>
      <c r="AR33">
        <v>7.8684853726040922</v>
      </c>
      <c r="AS33">
        <v>3729.6620666143399</v>
      </c>
      <c r="AT33">
        <v>6.91970981861797</v>
      </c>
      <c r="AU33">
        <v>3279.9424540249179</v>
      </c>
      <c r="AV33">
        <v>6.298650264551708</v>
      </c>
      <c r="AW33">
        <v>2985.5602253975094</v>
      </c>
      <c r="AX33">
        <v>5.9987709434925147</v>
      </c>
      <c r="AY33">
        <v>2843.4174272154519</v>
      </c>
      <c r="AZ33">
        <v>8.4854380304198429</v>
      </c>
      <c r="BA33">
        <v>4022.0976264190053</v>
      </c>
      <c r="BB33">
        <v>7.8830506033778418</v>
      </c>
      <c r="BC33">
        <v>3736.5659860010969</v>
      </c>
      <c r="BD33">
        <v>6.5702338580481339</v>
      </c>
      <c r="BE33">
        <v>3114.2908487148156</v>
      </c>
      <c r="BF33">
        <v>6.8403703454984166</v>
      </c>
      <c r="BG33">
        <v>3242.3355437662494</v>
      </c>
      <c r="BH33">
        <v>5.800660346124487</v>
      </c>
      <c r="BI33">
        <v>2749.513004063007</v>
      </c>
      <c r="BJ33">
        <v>6.3335894403646531</v>
      </c>
      <c r="BK33">
        <v>3002.1213947328456</v>
      </c>
      <c r="BL33">
        <v>8.3461338775899172</v>
      </c>
      <c r="BM33">
        <v>3956.067457977621</v>
      </c>
      <c r="BN33">
        <v>8.4357144528165708</v>
      </c>
      <c r="BO33">
        <v>3998.5286506350544</v>
      </c>
      <c r="BP33">
        <v>11.401276858486742</v>
      </c>
      <c r="BQ33">
        <v>5404.2052309227156</v>
      </c>
      <c r="BR33">
        <v>7.0789105951281019</v>
      </c>
      <c r="BS33">
        <v>3355.4036220907205</v>
      </c>
      <c r="BT33">
        <v>9.333981833461829</v>
      </c>
      <c r="BU33">
        <v>4424.3073890609066</v>
      </c>
      <c r="BV33">
        <v>7.4701678797748929</v>
      </c>
      <c r="BW33">
        <v>3540.859575013299</v>
      </c>
      <c r="BX33">
        <v>6</v>
      </c>
      <c r="BY33">
        <v>2844</v>
      </c>
      <c r="BZ33">
        <v>11.312883682272814</v>
      </c>
      <c r="CA33">
        <v>5362.3068653973132</v>
      </c>
      <c r="CB33">
        <v>8.3681802655009747</v>
      </c>
      <c r="CC33">
        <v>3966.5174458474621</v>
      </c>
      <c r="CD33">
        <v>6.7030495510691583</v>
      </c>
      <c r="CE33">
        <v>3177.245487206781</v>
      </c>
      <c r="CF33">
        <v>8</v>
      </c>
      <c r="CG33">
        <v>3792</v>
      </c>
      <c r="CH33">
        <v>8.6308775427851216</v>
      </c>
      <c r="CI33">
        <v>4091.0359552801478</v>
      </c>
      <c r="CJ33">
        <v>8.3933549544422075</v>
      </c>
      <c r="CK33">
        <v>3978.4502484056065</v>
      </c>
      <c r="CL33">
        <v>6.4777705334702311</v>
      </c>
      <c r="CM33">
        <v>3070.4632328648895</v>
      </c>
      <c r="CN33">
        <v>9.0833497005375801</v>
      </c>
      <c r="CO33">
        <v>4305.5077580548132</v>
      </c>
      <c r="CP33">
        <v>6.799712120136264</v>
      </c>
      <c r="CQ33">
        <v>3223.063544944589</v>
      </c>
      <c r="CR33">
        <v>8.0738761288017624</v>
      </c>
      <c r="CS33">
        <v>3827.0172850520353</v>
      </c>
      <c r="CT33">
        <v>8.2159454343923031</v>
      </c>
      <c r="CU33">
        <v>3894.3581359019518</v>
      </c>
    </row>
    <row r="34" spans="2:99" x14ac:dyDescent="0.2">
      <c r="C34" s="105" t="s">
        <v>200</v>
      </c>
      <c r="D34">
        <v>7</v>
      </c>
      <c r="E34">
        <v>3838.7999999999997</v>
      </c>
      <c r="F34">
        <v>5</v>
      </c>
      <c r="G34">
        <v>2742</v>
      </c>
      <c r="H34">
        <v>7</v>
      </c>
      <c r="I34">
        <v>3838.7999999999997</v>
      </c>
      <c r="J34">
        <v>6</v>
      </c>
      <c r="K34">
        <v>3290.3999999999996</v>
      </c>
      <c r="L34">
        <v>9.3212662779909117</v>
      </c>
      <c r="M34">
        <v>5111.7824268502154</v>
      </c>
      <c r="N34">
        <v>8.426771829828148</v>
      </c>
      <c r="O34">
        <v>4621.2416714777564</v>
      </c>
      <c r="P34">
        <v>7</v>
      </c>
      <c r="Q34">
        <v>3838.7999999999997</v>
      </c>
      <c r="R34">
        <v>9.2902119951145856</v>
      </c>
      <c r="S34">
        <v>5094.7522581208386</v>
      </c>
      <c r="T34">
        <v>6</v>
      </c>
      <c r="U34">
        <v>3290.3999999999996</v>
      </c>
      <c r="V34">
        <v>9.6362350905097021</v>
      </c>
      <c r="W34">
        <v>5284.5113236355201</v>
      </c>
      <c r="X34">
        <v>6</v>
      </c>
      <c r="Y34">
        <v>3290.3999999999996</v>
      </c>
      <c r="Z34">
        <v>8.6436369343865618</v>
      </c>
      <c r="AA34">
        <v>4740.1704948175902</v>
      </c>
      <c r="AB34">
        <v>7</v>
      </c>
      <c r="AC34">
        <v>3838.7999999999997</v>
      </c>
      <c r="AD34">
        <v>6.8535522308740777</v>
      </c>
      <c r="AE34">
        <v>3758.4880434113443</v>
      </c>
      <c r="AF34">
        <v>8.8584529241381063</v>
      </c>
      <c r="AG34">
        <v>4857.9755835973374</v>
      </c>
      <c r="AH34">
        <v>8.1467659593361716</v>
      </c>
      <c r="AI34">
        <v>4467.6864520999561</v>
      </c>
      <c r="AJ34">
        <v>7.6354632934772821</v>
      </c>
      <c r="AK34">
        <v>4187.2880701429413</v>
      </c>
      <c r="AL34">
        <v>5.346836208495013</v>
      </c>
      <c r="AM34">
        <v>2932.2049767386652</v>
      </c>
      <c r="AN34">
        <v>8.2741677906269047</v>
      </c>
      <c r="AO34">
        <v>4537.5536163797942</v>
      </c>
      <c r="AP34">
        <v>6.4490778691687902</v>
      </c>
      <c r="AQ34">
        <v>3536.6743034521646</v>
      </c>
      <c r="AR34">
        <v>8.7427615251156574</v>
      </c>
      <c r="AS34">
        <v>4794.5304203734268</v>
      </c>
      <c r="AT34">
        <v>7.784673545945215</v>
      </c>
      <c r="AU34">
        <v>4269.114972596356</v>
      </c>
      <c r="AV34">
        <v>6.298650264551708</v>
      </c>
      <c r="AW34">
        <v>3454.1798050801567</v>
      </c>
      <c r="AX34">
        <v>5.1475794367707044</v>
      </c>
      <c r="AY34">
        <v>2822.932563125054</v>
      </c>
      <c r="AZ34">
        <v>8.4854380304198429</v>
      </c>
      <c r="BA34">
        <v>4653.4142158822415</v>
      </c>
      <c r="BB34">
        <v>7.0071560918914146</v>
      </c>
      <c r="BC34">
        <v>3842.7244007932518</v>
      </c>
      <c r="BD34">
        <v>6.5702338580481339</v>
      </c>
      <c r="BE34">
        <v>3603.1162477535963</v>
      </c>
      <c r="BF34">
        <v>7.7916855602089186</v>
      </c>
      <c r="BG34">
        <v>4272.9603612185711</v>
      </c>
      <c r="BH34">
        <v>4.9719945823924174</v>
      </c>
      <c r="BI34">
        <v>2726.6418289840017</v>
      </c>
      <c r="BJ34">
        <v>6.3916622687099638</v>
      </c>
      <c r="BK34">
        <v>3505.1875881605438</v>
      </c>
      <c r="BL34">
        <v>7.3461338775899163</v>
      </c>
      <c r="BM34">
        <v>4028.6198184703098</v>
      </c>
      <c r="BN34">
        <v>7.5149352624195824</v>
      </c>
      <c r="BO34">
        <v>4121.1904979108986</v>
      </c>
      <c r="BP34">
        <v>10.468156334901201</v>
      </c>
      <c r="BQ34">
        <v>5740.7369340598179</v>
      </c>
      <c r="BR34">
        <v>7.0789105951281019</v>
      </c>
      <c r="BS34">
        <v>3882.074570368251</v>
      </c>
      <c r="BT34">
        <v>8.4854380304198429</v>
      </c>
      <c r="BU34">
        <v>4653.4142158822415</v>
      </c>
      <c r="BV34">
        <v>8.1816293268961076</v>
      </c>
      <c r="BW34">
        <v>4486.8055228698249</v>
      </c>
      <c r="BX34">
        <v>6</v>
      </c>
      <c r="BY34">
        <v>3290.3999999999996</v>
      </c>
      <c r="BZ34">
        <v>9.2964388380646827</v>
      </c>
      <c r="CA34">
        <v>5098.1670587946719</v>
      </c>
      <c r="CB34">
        <v>10.154229529781322</v>
      </c>
      <c r="CC34">
        <v>5568.5794741320769</v>
      </c>
      <c r="CD34">
        <v>7.4350765343836525</v>
      </c>
      <c r="CE34">
        <v>4077.3959714559946</v>
      </c>
      <c r="CF34">
        <v>8</v>
      </c>
      <c r="CG34">
        <v>4387.2</v>
      </c>
      <c r="CH34">
        <v>7.8829104681054742</v>
      </c>
      <c r="CI34">
        <v>4322.9881007090416</v>
      </c>
      <c r="CJ34">
        <v>8.3933549544422075</v>
      </c>
      <c r="CK34">
        <v>4602.9158570161062</v>
      </c>
      <c r="CL34">
        <v>8.4042673744748111</v>
      </c>
      <c r="CM34">
        <v>4608.900228161986</v>
      </c>
      <c r="CN34">
        <v>9.0833497005375801</v>
      </c>
      <c r="CO34">
        <v>4981.3089757748085</v>
      </c>
      <c r="CP34">
        <v>6.7570579913997939</v>
      </c>
      <c r="CQ34">
        <v>3705.5706024836468</v>
      </c>
      <c r="CR34">
        <v>7.2664885159215862</v>
      </c>
      <c r="CS34">
        <v>3984.9423021313978</v>
      </c>
      <c r="CT34">
        <v>8.2593800107846747</v>
      </c>
      <c r="CU34">
        <v>4529.4439979143153</v>
      </c>
    </row>
    <row r="35" spans="2:99" x14ac:dyDescent="0.2">
      <c r="C35" s="105" t="s">
        <v>201</v>
      </c>
      <c r="D35">
        <v>7</v>
      </c>
      <c r="E35">
        <v>3519.5999999999995</v>
      </c>
      <c r="F35">
        <v>4</v>
      </c>
      <c r="G35">
        <v>2011.1999999999996</v>
      </c>
      <c r="H35">
        <v>7</v>
      </c>
      <c r="I35">
        <v>3519.5999999999995</v>
      </c>
      <c r="J35">
        <v>5</v>
      </c>
      <c r="K35">
        <v>2513.9999999999995</v>
      </c>
      <c r="L35">
        <v>9.3671614605610429</v>
      </c>
      <c r="M35">
        <v>4709.8087823700916</v>
      </c>
      <c r="N35">
        <v>8.3793527376250214</v>
      </c>
      <c r="O35">
        <v>4213.1385564778602</v>
      </c>
      <c r="P35">
        <v>7</v>
      </c>
      <c r="Q35">
        <v>3519.5999999999995</v>
      </c>
      <c r="R35">
        <v>9.3385806609670166</v>
      </c>
      <c r="S35">
        <v>4695.4383563342153</v>
      </c>
      <c r="T35">
        <v>6</v>
      </c>
      <c r="U35">
        <v>3016.7999999999993</v>
      </c>
      <c r="V35">
        <v>10.636235090509702</v>
      </c>
      <c r="W35">
        <v>5347.899003508277</v>
      </c>
      <c r="X35">
        <v>7</v>
      </c>
      <c r="Y35">
        <v>3519.5999999999995</v>
      </c>
      <c r="Z35">
        <v>9.5446158675578605</v>
      </c>
      <c r="AA35">
        <v>4799.0328582080911</v>
      </c>
      <c r="AB35">
        <v>7</v>
      </c>
      <c r="AC35">
        <v>3519.5999999999995</v>
      </c>
      <c r="AD35">
        <v>6.8535522308740777</v>
      </c>
      <c r="AE35">
        <v>3445.9660616834853</v>
      </c>
      <c r="AF35">
        <v>8.0054956002315247</v>
      </c>
      <c r="AG35">
        <v>4025.1631877964096</v>
      </c>
      <c r="AH35">
        <v>8.0748080334215402</v>
      </c>
      <c r="AI35">
        <v>4060.0134792043496</v>
      </c>
      <c r="AJ35">
        <v>7.6354632934772821</v>
      </c>
      <c r="AK35">
        <v>3839.1109439603765</v>
      </c>
      <c r="AL35">
        <v>6.346836208495013</v>
      </c>
      <c r="AM35">
        <v>3191.1892456312917</v>
      </c>
      <c r="AN35">
        <v>8.2741677906269047</v>
      </c>
      <c r="AO35">
        <v>4160.251565127207</v>
      </c>
      <c r="AP35">
        <v>6.3991803281500355</v>
      </c>
      <c r="AQ35">
        <v>3217.5078689938373</v>
      </c>
      <c r="AR35">
        <v>6.994209220092527</v>
      </c>
      <c r="AS35">
        <v>3516.6883958625217</v>
      </c>
      <c r="AT35">
        <v>6.91970981861797</v>
      </c>
      <c r="AU35">
        <v>3479.2300968011145</v>
      </c>
      <c r="AV35">
        <v>5.3988430839014638</v>
      </c>
      <c r="AW35">
        <v>2714.5383025856554</v>
      </c>
      <c r="AX35">
        <v>5.9987709434925147</v>
      </c>
      <c r="AY35">
        <v>3016.1820303880359</v>
      </c>
      <c r="AZ35">
        <v>9.333981833461829</v>
      </c>
      <c r="BA35">
        <v>4693.126065864607</v>
      </c>
      <c r="BB35">
        <v>7.8416061783082434</v>
      </c>
      <c r="BC35">
        <v>3942.7595864533841</v>
      </c>
      <c r="BD35">
        <v>7.5088386949121535</v>
      </c>
      <c r="BE35">
        <v>3775.4440958018299</v>
      </c>
      <c r="BF35">
        <v>8.6524188536569664</v>
      </c>
      <c r="BG35">
        <v>4350.4361996187217</v>
      </c>
      <c r="BH35">
        <v>4.9719945823924174</v>
      </c>
      <c r="BI35">
        <v>2499.9188760269071</v>
      </c>
      <c r="BJ35">
        <v>6.3335894403646531</v>
      </c>
      <c r="BK35">
        <v>3184.5287706153467</v>
      </c>
      <c r="BL35">
        <v>8.3461338775899172</v>
      </c>
      <c r="BM35">
        <v>4196.4361136522093</v>
      </c>
      <c r="BN35">
        <v>7.4753248576180766</v>
      </c>
      <c r="BO35">
        <v>3758.5933384103682</v>
      </c>
      <c r="BP35">
        <v>10.434716596693972</v>
      </c>
      <c r="BQ35">
        <v>5246.575504817728</v>
      </c>
      <c r="BR35">
        <v>7.0371205253266735</v>
      </c>
      <c r="BS35">
        <v>3538.2642001342506</v>
      </c>
      <c r="BT35">
        <v>7.6368942273778595</v>
      </c>
      <c r="BU35">
        <v>3839.8304175255871</v>
      </c>
      <c r="BV35">
        <v>8.1816293268961076</v>
      </c>
      <c r="BW35">
        <v>4113.7232255633617</v>
      </c>
      <c r="BX35">
        <v>6</v>
      </c>
      <c r="BY35">
        <v>3016.7999999999993</v>
      </c>
      <c r="BZ35">
        <v>10.287550718697359</v>
      </c>
      <c r="CA35">
        <v>5172.5805013610307</v>
      </c>
      <c r="CB35">
        <v>10.117456354643608</v>
      </c>
      <c r="CC35">
        <v>5087.0570551148048</v>
      </c>
      <c r="CD35">
        <v>6.7030495510691583</v>
      </c>
      <c r="CE35">
        <v>3370.2933142775723</v>
      </c>
      <c r="CF35">
        <v>7</v>
      </c>
      <c r="CG35">
        <v>3519.5999999999995</v>
      </c>
      <c r="CH35">
        <v>8.577112246610584</v>
      </c>
      <c r="CI35">
        <v>4312.5720375958008</v>
      </c>
      <c r="CJ35">
        <v>8.4282351842433751</v>
      </c>
      <c r="CK35">
        <v>4237.7166506375679</v>
      </c>
      <c r="CL35">
        <v>6.4777705334702311</v>
      </c>
      <c r="CM35">
        <v>3257.0230242288317</v>
      </c>
      <c r="CN35">
        <v>8.0968251778469238</v>
      </c>
      <c r="CO35">
        <v>4071.0836994214324</v>
      </c>
      <c r="CP35">
        <v>7.6796978614347209</v>
      </c>
      <c r="CQ35">
        <v>3861.3520847293767</v>
      </c>
      <c r="CR35">
        <v>8.0738761288017624</v>
      </c>
      <c r="CS35">
        <v>4059.5449175615254</v>
      </c>
      <c r="CT35">
        <v>8.2593800107846747</v>
      </c>
      <c r="CU35">
        <v>4152.8162694225339</v>
      </c>
    </row>
    <row r="36" spans="2:99" x14ac:dyDescent="0.2">
      <c r="C36" s="105" t="s">
        <v>202</v>
      </c>
      <c r="D36">
        <v>7</v>
      </c>
      <c r="E36">
        <v>5325.5999999999995</v>
      </c>
      <c r="F36">
        <v>5</v>
      </c>
      <c r="G36">
        <v>3804</v>
      </c>
      <c r="H36">
        <v>7</v>
      </c>
      <c r="I36">
        <v>5325.5999999999995</v>
      </c>
      <c r="J36">
        <v>5</v>
      </c>
      <c r="K36">
        <v>3804</v>
      </c>
      <c r="L36">
        <v>9.3212662779909117</v>
      </c>
      <c r="M36">
        <v>7091.6193842954854</v>
      </c>
      <c r="N36">
        <v>7.3793527376250205</v>
      </c>
      <c r="O36">
        <v>5614.2115627851153</v>
      </c>
      <c r="P36">
        <v>6</v>
      </c>
      <c r="Q36">
        <v>4564.7999999999993</v>
      </c>
      <c r="R36">
        <v>9.3385806609670166</v>
      </c>
      <c r="S36">
        <v>7104.7921668637055</v>
      </c>
      <c r="T36">
        <v>6</v>
      </c>
      <c r="U36">
        <v>4564.7999999999993</v>
      </c>
      <c r="V36">
        <v>9.5383527688928247</v>
      </c>
      <c r="W36">
        <v>7256.7787865736609</v>
      </c>
      <c r="X36">
        <v>6</v>
      </c>
      <c r="Y36">
        <v>4564.7999999999993</v>
      </c>
      <c r="Z36">
        <v>9</v>
      </c>
      <c r="AA36">
        <v>6847.2</v>
      </c>
      <c r="AB36">
        <v>7</v>
      </c>
      <c r="AC36">
        <v>5325.5999999999995</v>
      </c>
      <c r="AD36">
        <v>6.8154744730771961</v>
      </c>
      <c r="AE36">
        <v>5185.2129791171301</v>
      </c>
      <c r="AF36">
        <v>8.0054956002315247</v>
      </c>
      <c r="AG36">
        <v>6090.5810526561436</v>
      </c>
      <c r="AH36">
        <v>8.0748080334215402</v>
      </c>
      <c r="AI36">
        <v>6143.3139518271073</v>
      </c>
      <c r="AJ36">
        <v>8.5898962051619421</v>
      </c>
      <c r="AK36">
        <v>6535.1930328872049</v>
      </c>
      <c r="AL36">
        <v>5.346836208495013</v>
      </c>
      <c r="AM36">
        <v>4067.8729874230057</v>
      </c>
      <c r="AN36">
        <v>9.3084387644552713</v>
      </c>
      <c r="AO36">
        <v>7081.8602119975703</v>
      </c>
      <c r="AP36">
        <v>6.4490778691687902</v>
      </c>
      <c r="AQ36">
        <v>4906.4584428636153</v>
      </c>
      <c r="AR36">
        <v>7.8684853726040922</v>
      </c>
      <c r="AS36">
        <v>5986.3436714771933</v>
      </c>
      <c r="AT36">
        <v>6.9606509912352408</v>
      </c>
      <c r="AU36">
        <v>5295.6632741317708</v>
      </c>
      <c r="AV36">
        <v>6.298650264551708</v>
      </c>
      <c r="AW36">
        <v>4792.0131212709393</v>
      </c>
      <c r="AX36">
        <v>5.958340547052666</v>
      </c>
      <c r="AY36">
        <v>4533.1054881976679</v>
      </c>
      <c r="AZ36">
        <v>8.4854380304198429</v>
      </c>
      <c r="BA36">
        <v>6455.7212535434164</v>
      </c>
      <c r="BB36">
        <v>7.0071560918914146</v>
      </c>
      <c r="BC36">
        <v>5331.044354710988</v>
      </c>
      <c r="BD36">
        <v>7.5088386949121535</v>
      </c>
      <c r="BE36">
        <v>5712.7244790891664</v>
      </c>
      <c r="BF36">
        <v>7.7916855602089186</v>
      </c>
      <c r="BG36">
        <v>5927.9143742069446</v>
      </c>
      <c r="BH36">
        <v>5.800660346124487</v>
      </c>
      <c r="BI36">
        <v>4413.1423913315093</v>
      </c>
      <c r="BJ36">
        <v>5.5034560138993882</v>
      </c>
      <c r="BK36">
        <v>4187.0293353746547</v>
      </c>
      <c r="BL36">
        <v>8.3076745578577036</v>
      </c>
      <c r="BM36">
        <v>6320.4788036181408</v>
      </c>
      <c r="BN36">
        <v>6.4753248576180766</v>
      </c>
      <c r="BO36">
        <v>4926.4271516758326</v>
      </c>
      <c r="BP36">
        <v>11.434716596693972</v>
      </c>
      <c r="BQ36">
        <v>8699.532386764773</v>
      </c>
      <c r="BR36">
        <v>6.1992705294622681</v>
      </c>
      <c r="BS36">
        <v>4716.4050188148931</v>
      </c>
      <c r="BT36">
        <v>8.4854380304198429</v>
      </c>
      <c r="BU36">
        <v>6455.7212535434164</v>
      </c>
      <c r="BV36">
        <v>8.1816293268961076</v>
      </c>
      <c r="BW36">
        <v>6224.5835919025585</v>
      </c>
      <c r="BX36">
        <v>6</v>
      </c>
      <c r="BY36">
        <v>4564.7999999999993</v>
      </c>
      <c r="BZ36">
        <v>9.330659921007463</v>
      </c>
      <c r="CA36">
        <v>7098.7660679024775</v>
      </c>
      <c r="CB36">
        <v>8.3681802655009747</v>
      </c>
      <c r="CC36">
        <v>6366.5115459931412</v>
      </c>
      <c r="CD36">
        <v>7.4350765343836525</v>
      </c>
      <c r="CE36">
        <v>5656.6062273590824</v>
      </c>
      <c r="CF36">
        <v>7</v>
      </c>
      <c r="CG36">
        <v>5325.5999999999995</v>
      </c>
      <c r="CH36">
        <v>7.8829104681054742</v>
      </c>
      <c r="CI36">
        <v>5997.3182841346443</v>
      </c>
      <c r="CJ36">
        <v>8.4282351842433751</v>
      </c>
      <c r="CK36">
        <v>6412.2013281723594</v>
      </c>
      <c r="CL36">
        <v>7.4410189539725211</v>
      </c>
      <c r="CM36">
        <v>5661.127220182294</v>
      </c>
      <c r="CN36">
        <v>9.0151400350970228</v>
      </c>
      <c r="CO36">
        <v>6858.7185387018144</v>
      </c>
      <c r="CP36">
        <v>5.8344181213648652</v>
      </c>
      <c r="CQ36">
        <v>4438.8253067343894</v>
      </c>
      <c r="CR36">
        <v>8.0738761288017624</v>
      </c>
      <c r="CS36">
        <v>6142.6049587923808</v>
      </c>
      <c r="CT36">
        <v>8.2593800107846747</v>
      </c>
      <c r="CU36">
        <v>6283.7363122049801</v>
      </c>
    </row>
    <row r="37" spans="2:99" x14ac:dyDescent="0.2">
      <c r="B37" s="105" t="s">
        <v>128</v>
      </c>
      <c r="C37" s="105" t="s">
        <v>203</v>
      </c>
      <c r="D37">
        <v>15</v>
      </c>
      <c r="E37">
        <v>12906</v>
      </c>
      <c r="F37">
        <v>15</v>
      </c>
      <c r="G37">
        <v>12906</v>
      </c>
      <c r="H37">
        <v>10</v>
      </c>
      <c r="I37">
        <v>8604</v>
      </c>
      <c r="J37">
        <v>15</v>
      </c>
      <c r="K37">
        <v>12906</v>
      </c>
      <c r="L37">
        <v>17.504847008271433</v>
      </c>
      <c r="M37">
        <v>15061.170365916742</v>
      </c>
      <c r="N37">
        <v>19.37935273762502</v>
      </c>
      <c r="O37">
        <v>16673.995095452567</v>
      </c>
      <c r="P37">
        <v>16</v>
      </c>
      <c r="Q37">
        <v>13766.4</v>
      </c>
      <c r="R37">
        <v>15.435317992671878</v>
      </c>
      <c r="S37">
        <v>13280.547600894884</v>
      </c>
      <c r="T37">
        <v>12</v>
      </c>
      <c r="U37">
        <v>10324.799999999999</v>
      </c>
      <c r="V37">
        <v>12.538352768892825</v>
      </c>
      <c r="W37">
        <v>10787.998722355385</v>
      </c>
      <c r="X37">
        <v>13</v>
      </c>
      <c r="Y37">
        <v>11185.199999999999</v>
      </c>
      <c r="Z37">
        <v>13.49510533414351</v>
      </c>
      <c r="AA37">
        <v>11611.188629497075</v>
      </c>
      <c r="AB37">
        <v>12</v>
      </c>
      <c r="AC37">
        <v>10324.799999999999</v>
      </c>
      <c r="AD37">
        <v>17.335116998928374</v>
      </c>
      <c r="AE37">
        <v>14915.134665877973</v>
      </c>
      <c r="AF37">
        <v>13.057463606656551</v>
      </c>
      <c r="AG37">
        <v>11234.641687167295</v>
      </c>
      <c r="AH37">
        <v>9.0751642968599029</v>
      </c>
      <c r="AI37">
        <v>7808.27136101826</v>
      </c>
      <c r="AJ37">
        <v>12.407627851900584</v>
      </c>
      <c r="AK37">
        <v>10675.523003775263</v>
      </c>
      <c r="AL37">
        <v>12.594576357420021</v>
      </c>
      <c r="AM37">
        <v>10836.373497924185</v>
      </c>
      <c r="AN37">
        <v>10.419980550351132</v>
      </c>
      <c r="AO37">
        <v>8965.3512655221148</v>
      </c>
      <c r="AP37">
        <v>18</v>
      </c>
      <c r="AQ37">
        <v>15487.199999999999</v>
      </c>
      <c r="AR37">
        <v>18.359799202742881</v>
      </c>
      <c r="AS37">
        <v>15796.771234039974</v>
      </c>
      <c r="AT37">
        <v>9.5146010005997077</v>
      </c>
      <c r="AU37">
        <v>8186.3627009159882</v>
      </c>
      <c r="AV37">
        <v>10.797686167802928</v>
      </c>
      <c r="AW37">
        <v>9290.3291787776379</v>
      </c>
      <c r="AX37">
        <v>14.593699985075302</v>
      </c>
      <c r="AY37">
        <v>12556.41946715879</v>
      </c>
      <c r="AZ37">
        <v>14.425244651713733</v>
      </c>
      <c r="BA37">
        <v>12411.480498334495</v>
      </c>
      <c r="BB37">
        <v>14.457574441109927</v>
      </c>
      <c r="BC37">
        <v>12439.297049130981</v>
      </c>
      <c r="BD37">
        <v>15.017677389824307</v>
      </c>
      <c r="BE37">
        <v>12921.209626204833</v>
      </c>
      <c r="BF37">
        <v>11.936267123420215</v>
      </c>
      <c r="BG37">
        <v>10269.964232990753</v>
      </c>
      <c r="BH37">
        <v>14.915983747177254</v>
      </c>
      <c r="BI37">
        <v>12833.712416071308</v>
      </c>
      <c r="BJ37">
        <v>15.012397089261817</v>
      </c>
      <c r="BK37">
        <v>12916.666455600867</v>
      </c>
      <c r="BL37">
        <v>12.423052517054343</v>
      </c>
      <c r="BM37">
        <v>10688.794385673556</v>
      </c>
      <c r="BN37">
        <v>11.356493643213557</v>
      </c>
      <c r="BO37">
        <v>9771.1271306209437</v>
      </c>
      <c r="BP37">
        <v>12.367837120279514</v>
      </c>
      <c r="BQ37">
        <v>10641.287058288493</v>
      </c>
      <c r="BR37">
        <v>15.324196348852844</v>
      </c>
      <c r="BS37">
        <v>13184.938538552986</v>
      </c>
      <c r="BT37">
        <v>16.970876060839686</v>
      </c>
      <c r="BU37">
        <v>14601.741762746466</v>
      </c>
      <c r="BV37">
        <v>16.2944982505451</v>
      </c>
      <c r="BW37">
        <v>14019.786294769005</v>
      </c>
      <c r="BX37">
        <v>16</v>
      </c>
      <c r="BY37">
        <v>13766.4</v>
      </c>
      <c r="BZ37">
        <v>11.244441516387251</v>
      </c>
      <c r="CA37">
        <v>9674.7174806995899</v>
      </c>
      <c r="CB37">
        <v>10.117456354643608</v>
      </c>
      <c r="CC37">
        <v>8705.0594475353591</v>
      </c>
      <c r="CD37">
        <v>13.987486377831543</v>
      </c>
      <c r="CE37">
        <v>12034.833279486258</v>
      </c>
      <c r="CF37">
        <v>10</v>
      </c>
      <c r="CG37">
        <v>8604</v>
      </c>
      <c r="CH37">
        <v>15.228167974465601</v>
      </c>
      <c r="CI37">
        <v>13102.315725230203</v>
      </c>
      <c r="CJ37">
        <v>11.226020169057444</v>
      </c>
      <c r="CK37">
        <v>9658.8677534570252</v>
      </c>
      <c r="CL37">
        <v>13.547925252144998</v>
      </c>
      <c r="CM37">
        <v>11656.634886945556</v>
      </c>
      <c r="CN37">
        <v>10.749455251436384</v>
      </c>
      <c r="CO37">
        <v>9248.8312983358646</v>
      </c>
      <c r="CP37">
        <v>14.727013456056417</v>
      </c>
      <c r="CQ37">
        <v>12671.12237759094</v>
      </c>
      <c r="CR37">
        <v>10.496038967442292</v>
      </c>
      <c r="CS37">
        <v>9030.7919275873483</v>
      </c>
      <c r="CT37">
        <v>9.7252181391915364</v>
      </c>
      <c r="CU37">
        <v>8367.5776869603978</v>
      </c>
    </row>
    <row r="38" spans="2:99" x14ac:dyDescent="0.2">
      <c r="C38" s="105" t="s">
        <v>204</v>
      </c>
      <c r="D38">
        <v>13</v>
      </c>
      <c r="E38">
        <v>16146</v>
      </c>
      <c r="F38">
        <v>13</v>
      </c>
      <c r="G38">
        <v>16146</v>
      </c>
      <c r="H38">
        <v>10</v>
      </c>
      <c r="I38">
        <v>12420</v>
      </c>
      <c r="J38">
        <v>12</v>
      </c>
      <c r="K38">
        <v>14904</v>
      </c>
      <c r="L38">
        <v>16.458951825701305</v>
      </c>
      <c r="M38">
        <v>20442.018167521022</v>
      </c>
      <c r="N38">
        <v>18.37935273762502</v>
      </c>
      <c r="O38">
        <v>22827.156100130276</v>
      </c>
      <c r="P38">
        <v>14</v>
      </c>
      <c r="Q38">
        <v>17388</v>
      </c>
      <c r="R38">
        <v>15.386949326819447</v>
      </c>
      <c r="S38">
        <v>19110.591063909753</v>
      </c>
      <c r="T38">
        <v>12</v>
      </c>
      <c r="U38">
        <v>14904</v>
      </c>
      <c r="V38">
        <v>12.587293929701264</v>
      </c>
      <c r="W38">
        <v>15633.41906068897</v>
      </c>
      <c r="X38">
        <v>13</v>
      </c>
      <c r="Y38">
        <v>16146</v>
      </c>
      <c r="Z38">
        <v>13.445594800729157</v>
      </c>
      <c r="AA38">
        <v>16699.428742505614</v>
      </c>
      <c r="AB38">
        <v>12</v>
      </c>
      <c r="AC38">
        <v>14904</v>
      </c>
      <c r="AD38">
        <v>16.361477788488774</v>
      </c>
      <c r="AE38">
        <v>20320.955413303058</v>
      </c>
      <c r="AF38">
        <v>13.877532962055902</v>
      </c>
      <c r="AG38">
        <v>17235.895938873429</v>
      </c>
      <c r="AH38">
        <v>10.003562634383638</v>
      </c>
      <c r="AI38">
        <v>12424.424791904477</v>
      </c>
      <c r="AJ38">
        <v>12.407627851900584</v>
      </c>
      <c r="AK38">
        <v>15410.273792060525</v>
      </c>
      <c r="AL38">
        <v>11.594576357420021</v>
      </c>
      <c r="AM38">
        <v>14400.463835915665</v>
      </c>
      <c r="AN38">
        <v>11.376980712111997</v>
      </c>
      <c r="AO38">
        <v>14130.210044443102</v>
      </c>
      <c r="AP38">
        <v>18.698565574262563</v>
      </c>
      <c r="AQ38">
        <v>23223.618443234103</v>
      </c>
      <c r="AR38">
        <v>17.485523050231315</v>
      </c>
      <c r="AS38">
        <v>21717.019628387294</v>
      </c>
      <c r="AT38">
        <v>11.121704937402386</v>
      </c>
      <c r="AU38">
        <v>13813.157532253763</v>
      </c>
      <c r="AV38">
        <v>10.797686167802928</v>
      </c>
      <c r="AW38">
        <v>13410.726220411236</v>
      </c>
      <c r="AX38">
        <v>14.308534028511369</v>
      </c>
      <c r="AY38">
        <v>17771.199263411119</v>
      </c>
      <c r="AZ38">
        <v>13.576700848671749</v>
      </c>
      <c r="BA38">
        <v>16862.262454050313</v>
      </c>
      <c r="BB38">
        <v>13.724201208295636</v>
      </c>
      <c r="BC38">
        <v>17045.457900703179</v>
      </c>
      <c r="BD38">
        <v>15.017677389824307</v>
      </c>
      <c r="BE38">
        <v>18651.955318161788</v>
      </c>
      <c r="BF38">
        <v>11.936267123420215</v>
      </c>
      <c r="BG38">
        <v>14824.843767287908</v>
      </c>
      <c r="BH38">
        <v>14.915983747177254</v>
      </c>
      <c r="BI38">
        <v>18525.651813994151</v>
      </c>
      <c r="BJ38">
        <v>14.983360675089163</v>
      </c>
      <c r="BK38">
        <v>18609.333958460738</v>
      </c>
      <c r="BL38">
        <v>12.423052517054343</v>
      </c>
      <c r="BM38">
        <v>15429.431226181494</v>
      </c>
      <c r="BN38">
        <v>10.356493643213557</v>
      </c>
      <c r="BO38">
        <v>12862.765104871238</v>
      </c>
      <c r="BP38">
        <v>11.334397382072286</v>
      </c>
      <c r="BQ38">
        <v>14077.321548533779</v>
      </c>
      <c r="BR38">
        <v>14.4935348842258</v>
      </c>
      <c r="BS38">
        <v>18000.970326208444</v>
      </c>
      <c r="BT38">
        <v>14.425244651713733</v>
      </c>
      <c r="BU38">
        <v>17916.153857428457</v>
      </c>
      <c r="BV38">
        <v>13.332938937665716</v>
      </c>
      <c r="BW38">
        <v>16559.51016058082</v>
      </c>
      <c r="BX38">
        <v>16</v>
      </c>
      <c r="BY38">
        <v>19872</v>
      </c>
      <c r="BZ38">
        <v>11.175999350501687</v>
      </c>
      <c r="CA38">
        <v>13880.591193323096</v>
      </c>
      <c r="CB38">
        <v>10.080683179505895</v>
      </c>
      <c r="CC38">
        <v>12520.208508946322</v>
      </c>
      <c r="CD38">
        <v>13.211047392581191</v>
      </c>
      <c r="CE38">
        <v>16408.120861585841</v>
      </c>
      <c r="CF38">
        <v>11</v>
      </c>
      <c r="CG38">
        <v>13662</v>
      </c>
      <c r="CH38">
        <v>14.480200899785956</v>
      </c>
      <c r="CI38">
        <v>17984.409517534157</v>
      </c>
      <c r="CJ38">
        <v>10.32830540392059</v>
      </c>
      <c r="CK38">
        <v>12827.755311669373</v>
      </c>
      <c r="CL38">
        <v>15.27991580256289</v>
      </c>
      <c r="CM38">
        <v>18977.655426783109</v>
      </c>
      <c r="CN38">
        <v>10.783560084156663</v>
      </c>
      <c r="CO38">
        <v>13393.181624522576</v>
      </c>
      <c r="CP38">
        <v>13.081660352338497</v>
      </c>
      <c r="CQ38">
        <v>16247.422157604413</v>
      </c>
      <c r="CR38">
        <v>10.496038967442292</v>
      </c>
      <c r="CS38">
        <v>13036.080397563326</v>
      </c>
      <c r="CT38">
        <v>10.594666388842755</v>
      </c>
      <c r="CU38">
        <v>13158.575654942702</v>
      </c>
    </row>
    <row r="39" spans="2:99" x14ac:dyDescent="0.2">
      <c r="C39" s="105" t="s">
        <v>205</v>
      </c>
      <c r="D39">
        <v>13</v>
      </c>
      <c r="E39">
        <v>18501.600000000002</v>
      </c>
      <c r="F39">
        <v>14</v>
      </c>
      <c r="G39">
        <v>19924.8</v>
      </c>
      <c r="H39">
        <v>9</v>
      </c>
      <c r="I39">
        <v>12808.800000000001</v>
      </c>
      <c r="J39">
        <v>13</v>
      </c>
      <c r="K39">
        <v>18501.600000000002</v>
      </c>
      <c r="L39">
        <v>17.413056643131174</v>
      </c>
      <c r="M39">
        <v>24782.262214504288</v>
      </c>
      <c r="N39">
        <v>16.37935273762502</v>
      </c>
      <c r="O39">
        <v>23311.094816187928</v>
      </c>
      <c r="P39">
        <v>14</v>
      </c>
      <c r="Q39">
        <v>19924.8</v>
      </c>
      <c r="R39">
        <v>13.386949326819447</v>
      </c>
      <c r="S39">
        <v>19052.306281929439</v>
      </c>
      <c r="T39">
        <v>12</v>
      </c>
      <c r="U39">
        <v>17078.400000000001</v>
      </c>
      <c r="V39">
        <v>11.489411608084387</v>
      </c>
      <c r="W39">
        <v>16351.7306006257</v>
      </c>
      <c r="X39">
        <v>13</v>
      </c>
      <c r="Y39">
        <v>18501.600000000002</v>
      </c>
      <c r="Z39">
        <v>12.445594800729157</v>
      </c>
      <c r="AA39">
        <v>17712.570520397738</v>
      </c>
      <c r="AB39">
        <v>12</v>
      </c>
      <c r="AC39">
        <v>17078.400000000001</v>
      </c>
      <c r="AD39">
        <v>15.38783857804918</v>
      </c>
      <c r="AE39">
        <v>21899.971864279596</v>
      </c>
      <c r="AF39">
        <v>13.057463606656551</v>
      </c>
      <c r="AG39">
        <v>18583.382204993602</v>
      </c>
      <c r="AH39">
        <v>9.0751642968599029</v>
      </c>
      <c r="AI39">
        <v>12915.773827291014</v>
      </c>
      <c r="AJ39">
        <v>12.407627851900584</v>
      </c>
      <c r="AK39">
        <v>17658.535958824912</v>
      </c>
      <c r="AL39">
        <v>11</v>
      </c>
      <c r="AM39">
        <v>15655.2</v>
      </c>
      <c r="AN39">
        <v>10.419980550351132</v>
      </c>
      <c r="AO39">
        <v>14829.716319259733</v>
      </c>
      <c r="AP39">
        <v>18.748463115281318</v>
      </c>
      <c r="AQ39">
        <v>26682.812705668373</v>
      </c>
      <c r="AR39">
        <v>17.485523050231315</v>
      </c>
      <c r="AS39">
        <v>24885.396405089206</v>
      </c>
      <c r="AT39">
        <v>9.4736598279824378</v>
      </c>
      <c r="AU39">
        <v>13482.912667184606</v>
      </c>
      <c r="AV39">
        <v>12.597300529103416</v>
      </c>
      <c r="AW39">
        <v>17928.478113019981</v>
      </c>
      <c r="AX39">
        <v>15.159725535233177</v>
      </c>
      <c r="AY39">
        <v>21575.321381743859</v>
      </c>
      <c r="AZ39">
        <v>13.576700848671749</v>
      </c>
      <c r="BA39">
        <v>19322.360647829631</v>
      </c>
      <c r="BB39">
        <v>13.724201208295636</v>
      </c>
      <c r="BC39">
        <v>19532.283159646351</v>
      </c>
      <c r="BD39">
        <v>15.017677389824307</v>
      </c>
      <c r="BE39">
        <v>21373.158461197956</v>
      </c>
      <c r="BF39">
        <v>10.866076175295259</v>
      </c>
      <c r="BG39">
        <v>15464.599612680213</v>
      </c>
      <c r="BH39">
        <v>16.573315274641391</v>
      </c>
      <c r="BI39">
        <v>23587.142298869629</v>
      </c>
      <c r="BJ39">
        <v>15.871566929899739</v>
      </c>
      <c r="BK39">
        <v>22588.414054633311</v>
      </c>
      <c r="BL39">
        <v>11.423052517054343</v>
      </c>
      <c r="BM39">
        <v>16257.28834227174</v>
      </c>
      <c r="BN39">
        <v>10.356493643213557</v>
      </c>
      <c r="BO39">
        <v>14739.361753021536</v>
      </c>
      <c r="BP39">
        <v>10.334397382072286</v>
      </c>
      <c r="BQ39">
        <v>14707.914354165277</v>
      </c>
      <c r="BR39">
        <v>13.504373341869128</v>
      </c>
      <c r="BS39">
        <v>19219.424140148145</v>
      </c>
      <c r="BT39">
        <v>14.425244651713733</v>
      </c>
      <c r="BU39">
        <v>20530.008188318985</v>
      </c>
      <c r="BV39">
        <v>14.634365515180777</v>
      </c>
      <c r="BW39">
        <v>20827.629001205281</v>
      </c>
      <c r="BX39">
        <v>15</v>
      </c>
      <c r="BY39">
        <v>21348</v>
      </c>
      <c r="BZ39">
        <v>11.210220433444469</v>
      </c>
      <c r="CA39">
        <v>15954.385720878168</v>
      </c>
      <c r="CB39">
        <v>10.117456354643608</v>
      </c>
      <c r="CC39">
        <v>14399.163883928783</v>
      </c>
      <c r="CD39">
        <v>13.205127830852296</v>
      </c>
      <c r="CE39">
        <v>18793.537928868987</v>
      </c>
      <c r="CF39">
        <v>11</v>
      </c>
      <c r="CG39">
        <v>15655.2</v>
      </c>
      <c r="CH39">
        <v>13.732233825106308</v>
      </c>
      <c r="CI39">
        <v>19543.715179891296</v>
      </c>
      <c r="CJ39">
        <v>11.156259709455107</v>
      </c>
      <c r="CK39">
        <v>15877.588818496508</v>
      </c>
      <c r="CL39">
        <v>15.40407075676149</v>
      </c>
      <c r="CM39">
        <v>21923.073501022955</v>
      </c>
      <c r="CN39">
        <v>9.7970355614660072</v>
      </c>
      <c r="CO39">
        <v>13943.141011078422</v>
      </c>
      <c r="CP39">
        <v>13.955807370943431</v>
      </c>
      <c r="CQ39">
        <v>19861.905050326692</v>
      </c>
      <c r="CR39">
        <v>11.303426580322467</v>
      </c>
      <c r="CS39">
        <v>16087.036709114936</v>
      </c>
      <c r="CT39">
        <v>9.7252181391915364</v>
      </c>
      <c r="CU39">
        <v>13840.930455697395</v>
      </c>
    </row>
    <row r="40" spans="2:99" x14ac:dyDescent="0.2">
      <c r="C40" s="105" t="s">
        <v>206</v>
      </c>
      <c r="D40">
        <v>15</v>
      </c>
      <c r="E40">
        <v>10872</v>
      </c>
      <c r="F40">
        <v>15</v>
      </c>
      <c r="G40">
        <v>10872</v>
      </c>
      <c r="H40">
        <v>10</v>
      </c>
      <c r="I40">
        <v>7248</v>
      </c>
      <c r="J40">
        <v>15</v>
      </c>
      <c r="K40">
        <v>10872</v>
      </c>
      <c r="L40">
        <v>16.550742190841564</v>
      </c>
      <c r="M40">
        <v>11995.977939921966</v>
      </c>
      <c r="N40">
        <v>17.474190922031276</v>
      </c>
      <c r="O40">
        <v>12665.293580288268</v>
      </c>
      <c r="P40">
        <v>14</v>
      </c>
      <c r="Q40">
        <v>10147.199999999999</v>
      </c>
      <c r="R40">
        <v>15.386949326819447</v>
      </c>
      <c r="S40">
        <v>11152.460872078735</v>
      </c>
      <c r="T40">
        <v>14</v>
      </c>
      <c r="U40">
        <v>10147.199999999999</v>
      </c>
      <c r="V40">
        <v>12.538352768892825</v>
      </c>
      <c r="W40">
        <v>9087.7980868935192</v>
      </c>
      <c r="X40">
        <v>14</v>
      </c>
      <c r="Y40">
        <v>10147.199999999999</v>
      </c>
      <c r="Z40">
        <v>12.49510533414351</v>
      </c>
      <c r="AA40">
        <v>9056.4523461872159</v>
      </c>
      <c r="AB40">
        <v>14</v>
      </c>
      <c r="AC40">
        <v>10147.199999999999</v>
      </c>
      <c r="AD40">
        <v>17.335116998928374</v>
      </c>
      <c r="AE40">
        <v>12564.492800823286</v>
      </c>
      <c r="AF40">
        <v>13.09035157516378</v>
      </c>
      <c r="AG40">
        <v>9487.8868216787068</v>
      </c>
      <c r="AH40">
        <v>10.075520560298269</v>
      </c>
      <c r="AI40">
        <v>7302.7373021041849</v>
      </c>
      <c r="AJ40">
        <v>12.407627851900584</v>
      </c>
      <c r="AK40">
        <v>8993.0486670575428</v>
      </c>
      <c r="AL40">
        <v>11</v>
      </c>
      <c r="AM40">
        <v>7972.7999999999993</v>
      </c>
      <c r="AN40">
        <v>11.376980712111997</v>
      </c>
      <c r="AO40">
        <v>8246.0356201387749</v>
      </c>
      <c r="AP40">
        <v>17.748463115281318</v>
      </c>
      <c r="AQ40">
        <v>12864.086065955898</v>
      </c>
      <c r="AR40">
        <v>18.359799202742881</v>
      </c>
      <c r="AS40">
        <v>13307.182462148039</v>
      </c>
      <c r="AT40">
        <v>9.5146010005997077</v>
      </c>
      <c r="AU40">
        <v>6896.1828052346673</v>
      </c>
      <c r="AV40">
        <v>13.497107709753662</v>
      </c>
      <c r="AW40">
        <v>9782.7036680294532</v>
      </c>
      <c r="AX40">
        <v>14.348964424951216</v>
      </c>
      <c r="AY40">
        <v>10400.129415204641</v>
      </c>
      <c r="AZ40">
        <v>13.576700848671749</v>
      </c>
      <c r="BA40">
        <v>9840.3927751172832</v>
      </c>
      <c r="BB40">
        <v>12.88975112187881</v>
      </c>
      <c r="BC40">
        <v>9342.4916131377613</v>
      </c>
      <c r="BD40">
        <v>14.079072552960287</v>
      </c>
      <c r="BE40">
        <v>10204.511786385616</v>
      </c>
      <c r="BF40">
        <v>11.936267123420215</v>
      </c>
      <c r="BG40">
        <v>8651.4064110549716</v>
      </c>
      <c r="BH40">
        <v>17.401981038373464</v>
      </c>
      <c r="BI40">
        <v>12612.955856613085</v>
      </c>
      <c r="BJ40">
        <v>15.900603344072392</v>
      </c>
      <c r="BK40">
        <v>11524.757303783668</v>
      </c>
      <c r="BL40">
        <v>13.384593197322129</v>
      </c>
      <c r="BM40">
        <v>9701.1531494190785</v>
      </c>
      <c r="BN40">
        <v>11.356493643213557</v>
      </c>
      <c r="BO40">
        <v>8231.1865926011851</v>
      </c>
      <c r="BP40">
        <v>11.334397382072286</v>
      </c>
      <c r="BQ40">
        <v>8215.1712225259926</v>
      </c>
      <c r="BR40">
        <v>14.500723415463163</v>
      </c>
      <c r="BS40">
        <v>10510.124331527701</v>
      </c>
      <c r="BT40">
        <v>16.970876060839686</v>
      </c>
      <c r="BU40">
        <v>12300.490968896604</v>
      </c>
      <c r="BV40">
        <v>14.171679493847146</v>
      </c>
      <c r="BW40">
        <v>10271.63329714041</v>
      </c>
      <c r="BX40">
        <v>15</v>
      </c>
      <c r="BY40">
        <v>10872</v>
      </c>
      <c r="BZ40">
        <v>12.235553397019928</v>
      </c>
      <c r="CA40">
        <v>8868.3291021600435</v>
      </c>
      <c r="CB40">
        <v>11.047254161921492</v>
      </c>
      <c r="CC40">
        <v>8007.0498165606969</v>
      </c>
      <c r="CD40">
        <v>13.987486377831543</v>
      </c>
      <c r="CE40">
        <v>10138.130126652301</v>
      </c>
      <c r="CF40">
        <v>10</v>
      </c>
      <c r="CG40">
        <v>7248</v>
      </c>
      <c r="CH40">
        <v>13.732233825106308</v>
      </c>
      <c r="CI40">
        <v>9953.1230764370503</v>
      </c>
      <c r="CJ40">
        <v>9.3608301791813986</v>
      </c>
      <c r="CK40">
        <v>6784.7297138706772</v>
      </c>
      <c r="CL40">
        <v>14.547925252144998</v>
      </c>
      <c r="CM40">
        <v>10544.336222754693</v>
      </c>
      <c r="CN40">
        <v>10.749455251436384</v>
      </c>
      <c r="CO40">
        <v>7791.2051662410904</v>
      </c>
      <c r="CP40">
        <v>14.835793112241888</v>
      </c>
      <c r="CQ40">
        <v>10752.982847752919</v>
      </c>
      <c r="CR40">
        <v>12.110814193202643</v>
      </c>
      <c r="CS40">
        <v>8777.9181272332753</v>
      </c>
      <c r="CT40">
        <v>9.71835215050627</v>
      </c>
      <c r="CU40">
        <v>7043.8616386869444</v>
      </c>
    </row>
    <row r="41" spans="2:99" x14ac:dyDescent="0.2">
      <c r="C41" s="105" t="s">
        <v>207</v>
      </c>
      <c r="D41">
        <v>16</v>
      </c>
      <c r="E41">
        <v>10560</v>
      </c>
      <c r="F41">
        <v>14</v>
      </c>
      <c r="G41">
        <v>9240</v>
      </c>
      <c r="H41">
        <v>11</v>
      </c>
      <c r="I41">
        <v>7260</v>
      </c>
      <c r="J41">
        <v>15</v>
      </c>
      <c r="K41">
        <v>9900</v>
      </c>
      <c r="L41">
        <v>16.504847008271433</v>
      </c>
      <c r="M41">
        <v>10893.199025459146</v>
      </c>
      <c r="N41">
        <v>17.37935273762502</v>
      </c>
      <c r="O41">
        <v>11470.372806832513</v>
      </c>
      <c r="P41">
        <v>16</v>
      </c>
      <c r="Q41">
        <v>10560</v>
      </c>
      <c r="R41">
        <v>17.435317992671877</v>
      </c>
      <c r="S41">
        <v>11507.309875163439</v>
      </c>
      <c r="T41">
        <v>14</v>
      </c>
      <c r="U41">
        <v>9240</v>
      </c>
      <c r="V41">
        <v>12.587293929701264</v>
      </c>
      <c r="W41">
        <v>8307.6139936028339</v>
      </c>
      <c r="X41">
        <v>14</v>
      </c>
      <c r="Y41">
        <v>9240</v>
      </c>
      <c r="Z41">
        <v>12.445594800729157</v>
      </c>
      <c r="AA41">
        <v>8214.0925684812446</v>
      </c>
      <c r="AB41">
        <v>14</v>
      </c>
      <c r="AC41">
        <v>9240</v>
      </c>
      <c r="AD41">
        <v>18.27067845157109</v>
      </c>
      <c r="AE41">
        <v>12058.647778036919</v>
      </c>
      <c r="AF41">
        <v>12.237394251257198</v>
      </c>
      <c r="AG41">
        <v>8076.6802058297508</v>
      </c>
      <c r="AH41">
        <v>11.039897860779318</v>
      </c>
      <c r="AI41">
        <v>7286.3325881143501</v>
      </c>
      <c r="AJ41">
        <v>13.362060763585243</v>
      </c>
      <c r="AK41">
        <v>8818.9601039662593</v>
      </c>
      <c r="AL41">
        <v>12</v>
      </c>
      <c r="AM41">
        <v>7920</v>
      </c>
      <c r="AN41">
        <v>12.411251685940359</v>
      </c>
      <c r="AO41">
        <v>8191.4261127206364</v>
      </c>
      <c r="AP41">
        <v>20.748463115281318</v>
      </c>
      <c r="AQ41">
        <v>13693.98565608567</v>
      </c>
      <c r="AR41">
        <v>15.736970745208184</v>
      </c>
      <c r="AS41">
        <v>10386.400691837402</v>
      </c>
      <c r="AT41">
        <v>10.338623555309683</v>
      </c>
      <c r="AU41">
        <v>6823.4915465043905</v>
      </c>
      <c r="AV41">
        <v>11.697493348453172</v>
      </c>
      <c r="AW41">
        <v>7720.3456099790938</v>
      </c>
      <c r="AX41">
        <v>14.389394821391063</v>
      </c>
      <c r="AY41">
        <v>9497.0005821181021</v>
      </c>
      <c r="AZ41">
        <v>15.273788454755719</v>
      </c>
      <c r="BA41">
        <v>10080.700380138775</v>
      </c>
      <c r="BB41">
        <v>14.558651294712464</v>
      </c>
      <c r="BC41">
        <v>9608.7098545102253</v>
      </c>
      <c r="BD41">
        <v>14.079072552960287</v>
      </c>
      <c r="BE41">
        <v>9292.1878849537898</v>
      </c>
      <c r="BF41">
        <v>12.108249594152751</v>
      </c>
      <c r="BG41">
        <v>7991.4447321408152</v>
      </c>
      <c r="BH41">
        <v>15.744649510909323</v>
      </c>
      <c r="BI41">
        <v>10391.468677200153</v>
      </c>
      <c r="BJ41">
        <v>17.560870197002924</v>
      </c>
      <c r="BK41">
        <v>11590.17433002193</v>
      </c>
      <c r="BL41">
        <v>11.384593197322129</v>
      </c>
      <c r="BM41">
        <v>7513.8315102326051</v>
      </c>
      <c r="BN41">
        <v>12.356493643213557</v>
      </c>
      <c r="BO41">
        <v>8155.2858045209477</v>
      </c>
      <c r="BP41">
        <v>10.367837120279514</v>
      </c>
      <c r="BQ41">
        <v>6842.7724993844795</v>
      </c>
      <c r="BR41">
        <v>15.324196348852844</v>
      </c>
      <c r="BS41">
        <v>10113.969590242878</v>
      </c>
      <c r="BT41">
        <v>17.81941986388167</v>
      </c>
      <c r="BU41">
        <v>11760.817110161903</v>
      </c>
      <c r="BV41">
        <v>15.594602388089575</v>
      </c>
      <c r="BW41">
        <v>10292.43757613912</v>
      </c>
      <c r="BX41">
        <v>16</v>
      </c>
      <c r="BY41">
        <v>10560</v>
      </c>
      <c r="BZ41">
        <v>12.201332314077144</v>
      </c>
      <c r="CA41">
        <v>8052.8793272909152</v>
      </c>
      <c r="CB41">
        <v>10.117456354643608</v>
      </c>
      <c r="CC41">
        <v>6677.5211940647814</v>
      </c>
      <c r="CD41">
        <v>13.981566816102649</v>
      </c>
      <c r="CE41">
        <v>9227.834098627749</v>
      </c>
      <c r="CF41">
        <v>11</v>
      </c>
      <c r="CG41">
        <v>7260</v>
      </c>
      <c r="CH41">
        <v>14.453318251698688</v>
      </c>
      <c r="CI41">
        <v>9539.1900461211335</v>
      </c>
      <c r="CJ41">
        <v>10.32830540392059</v>
      </c>
      <c r="CK41">
        <v>6816.6815665875893</v>
      </c>
      <c r="CL41">
        <v>14.413920527353945</v>
      </c>
      <c r="CM41">
        <v>9513.1875480536037</v>
      </c>
      <c r="CN41">
        <v>9.8311403941862867</v>
      </c>
      <c r="CO41">
        <v>6488.552660162949</v>
      </c>
      <c r="CP41">
        <v>14.727013456056417</v>
      </c>
      <c r="CQ41">
        <v>9719.8288809972346</v>
      </c>
      <c r="CR41">
        <v>12.110814193202643</v>
      </c>
      <c r="CS41">
        <v>7993.1373675137438</v>
      </c>
      <c r="CT41">
        <v>11.457248649808706</v>
      </c>
      <c r="CU41">
        <v>7561.7841088737459</v>
      </c>
    </row>
    <row r="42" spans="2:99" x14ac:dyDescent="0.2">
      <c r="C42" s="105" t="s">
        <v>208</v>
      </c>
      <c r="D42">
        <v>14</v>
      </c>
      <c r="E42">
        <v>11844</v>
      </c>
      <c r="F42">
        <v>13</v>
      </c>
      <c r="G42">
        <v>10998</v>
      </c>
      <c r="H42">
        <v>11</v>
      </c>
      <c r="I42">
        <v>9306</v>
      </c>
      <c r="J42">
        <v>15</v>
      </c>
      <c r="K42">
        <v>12690</v>
      </c>
      <c r="L42">
        <v>16.504847008271433</v>
      </c>
      <c r="M42">
        <v>13963.100568997632</v>
      </c>
      <c r="N42">
        <v>17.37935273762502</v>
      </c>
      <c r="O42">
        <v>14702.932416030766</v>
      </c>
      <c r="P42">
        <v>14</v>
      </c>
      <c r="Q42">
        <v>11844</v>
      </c>
      <c r="R42">
        <v>14.386949326819447</v>
      </c>
      <c r="S42">
        <v>12171.359130489252</v>
      </c>
      <c r="T42">
        <v>14</v>
      </c>
      <c r="U42">
        <v>11844</v>
      </c>
      <c r="V42">
        <v>11.587293929701264</v>
      </c>
      <c r="W42">
        <v>9802.8506645272701</v>
      </c>
      <c r="X42">
        <v>13</v>
      </c>
      <c r="Y42">
        <v>10998</v>
      </c>
      <c r="Z42">
        <v>12.445594800729157</v>
      </c>
      <c r="AA42">
        <v>10528.973201416868</v>
      </c>
      <c r="AB42">
        <v>14</v>
      </c>
      <c r="AC42">
        <v>11844</v>
      </c>
      <c r="AD42">
        <v>18.194522935977329</v>
      </c>
      <c r="AE42">
        <v>15392.56640383682</v>
      </c>
      <c r="AF42">
        <v>13.024575638149322</v>
      </c>
      <c r="AG42">
        <v>11018.790989874327</v>
      </c>
      <c r="AH42">
        <v>11.003918897822</v>
      </c>
      <c r="AI42">
        <v>9309.3153875574117</v>
      </c>
      <c r="AJ42">
        <v>12.407627851900584</v>
      </c>
      <c r="AK42">
        <v>10496.853162707894</v>
      </c>
      <c r="AL42">
        <v>11</v>
      </c>
      <c r="AM42">
        <v>9306</v>
      </c>
      <c r="AN42">
        <v>12.411251685940359</v>
      </c>
      <c r="AO42">
        <v>10499.918926305543</v>
      </c>
      <c r="AP42">
        <v>17.748463115281318</v>
      </c>
      <c r="AQ42">
        <v>15015.199795527995</v>
      </c>
      <c r="AR42">
        <v>15.736970745208184</v>
      </c>
      <c r="AS42">
        <v>13313.477250446123</v>
      </c>
      <c r="AT42">
        <v>11.20358728263693</v>
      </c>
      <c r="AU42">
        <v>9478.2348411108433</v>
      </c>
      <c r="AV42">
        <v>12.597300529103416</v>
      </c>
      <c r="AW42">
        <v>10657.316247621489</v>
      </c>
      <c r="AX42">
        <v>16.051347438394835</v>
      </c>
      <c r="AY42">
        <v>13579.439932882031</v>
      </c>
      <c r="AZ42">
        <v>14.425244651713733</v>
      </c>
      <c r="BA42">
        <v>12203.756975349817</v>
      </c>
      <c r="BB42">
        <v>13.724201208295636</v>
      </c>
      <c r="BC42">
        <v>11610.674222218107</v>
      </c>
      <c r="BD42">
        <v>14.079072552960287</v>
      </c>
      <c r="BE42">
        <v>11910.895379804404</v>
      </c>
      <c r="BF42">
        <v>11.944082900107068</v>
      </c>
      <c r="BG42">
        <v>10104.694133490579</v>
      </c>
      <c r="BH42">
        <v>14.915983747177254</v>
      </c>
      <c r="BI42">
        <v>12618.922250111957</v>
      </c>
      <c r="BJ42">
        <v>15.842530515727084</v>
      </c>
      <c r="BK42">
        <v>13402.780816305114</v>
      </c>
      <c r="BL42">
        <v>11.423052517054343</v>
      </c>
      <c r="BM42">
        <v>9663.9024294279734</v>
      </c>
      <c r="BN42">
        <v>12.396104048015063</v>
      </c>
      <c r="BO42">
        <v>10487.104024620743</v>
      </c>
      <c r="BP42">
        <v>10.334397382072286</v>
      </c>
      <c r="BQ42">
        <v>8742.900185233153</v>
      </c>
      <c r="BR42">
        <v>13.648496357124033</v>
      </c>
      <c r="BS42">
        <v>11546.627918126933</v>
      </c>
      <c r="BT42">
        <v>17.81941986388167</v>
      </c>
      <c r="BU42">
        <v>15075.229204843892</v>
      </c>
      <c r="BV42">
        <v>14.160113909181455</v>
      </c>
      <c r="BW42">
        <v>11979.456367167511</v>
      </c>
      <c r="BX42">
        <v>14</v>
      </c>
      <c r="BY42">
        <v>11844</v>
      </c>
      <c r="BZ42">
        <v>12.235553397019928</v>
      </c>
      <c r="CA42">
        <v>10351.278173878858</v>
      </c>
      <c r="CB42">
        <v>10.154229529781322</v>
      </c>
      <c r="CC42">
        <v>8590.4781821949982</v>
      </c>
      <c r="CD42">
        <v>14.752086239624106</v>
      </c>
      <c r="CE42">
        <v>12480.264958721993</v>
      </c>
      <c r="CF42">
        <v>11</v>
      </c>
      <c r="CG42">
        <v>9306</v>
      </c>
      <c r="CH42">
        <v>13.732233825106308</v>
      </c>
      <c r="CI42">
        <v>11617.469816039937</v>
      </c>
      <c r="CJ42">
        <v>11.226020169057444</v>
      </c>
      <c r="CK42">
        <v>9497.2130630225965</v>
      </c>
      <c r="CL42">
        <v>14.413920527353945</v>
      </c>
      <c r="CM42">
        <v>12194.176766141438</v>
      </c>
      <c r="CN42">
        <v>10.783560084156663</v>
      </c>
      <c r="CO42">
        <v>9122.8918311965372</v>
      </c>
      <c r="CP42">
        <v>13.841188992064435</v>
      </c>
      <c r="CQ42">
        <v>11709.645887286511</v>
      </c>
      <c r="CR42">
        <v>12.110814193202643</v>
      </c>
      <c r="CS42">
        <v>10245.748807449436</v>
      </c>
      <c r="CT42">
        <v>10.587800400157489</v>
      </c>
      <c r="CU42">
        <v>8957.2791385332366</v>
      </c>
    </row>
    <row r="43" spans="2:99" x14ac:dyDescent="0.2">
      <c r="C43" s="105" t="s">
        <v>209</v>
      </c>
      <c r="D43">
        <v>14</v>
      </c>
      <c r="E43">
        <v>14313.6</v>
      </c>
      <c r="F43">
        <v>14</v>
      </c>
      <c r="G43">
        <v>14313.6</v>
      </c>
      <c r="H43">
        <v>11</v>
      </c>
      <c r="I43">
        <v>11246.4</v>
      </c>
      <c r="J43">
        <v>13</v>
      </c>
      <c r="K43">
        <v>13291.199999999999</v>
      </c>
      <c r="L43">
        <v>17.504847008271433</v>
      </c>
      <c r="M43">
        <v>17896.955581256712</v>
      </c>
      <c r="N43">
        <v>17.426771829828148</v>
      </c>
      <c r="O43">
        <v>17817.131518816299</v>
      </c>
      <c r="P43">
        <v>14</v>
      </c>
      <c r="Q43">
        <v>14313.6</v>
      </c>
      <c r="R43">
        <v>16.386949326819447</v>
      </c>
      <c r="S43">
        <v>16754.016991740202</v>
      </c>
      <c r="T43">
        <v>12</v>
      </c>
      <c r="U43">
        <v>12268.8</v>
      </c>
      <c r="V43">
        <v>11.538352768892825</v>
      </c>
      <c r="W43">
        <v>11796.811870916024</v>
      </c>
      <c r="X43">
        <v>14</v>
      </c>
      <c r="Y43">
        <v>14313.6</v>
      </c>
      <c r="Z43">
        <v>13.544615867557861</v>
      </c>
      <c r="AA43">
        <v>13848.015262991155</v>
      </c>
      <c r="AB43">
        <v>13</v>
      </c>
      <c r="AC43">
        <v>13291.199999999999</v>
      </c>
      <c r="AD43">
        <v>16.323400030691896</v>
      </c>
      <c r="AE43">
        <v>16689.044191379395</v>
      </c>
      <c r="AF43">
        <v>13.057463606656551</v>
      </c>
      <c r="AG43">
        <v>13349.950791445657</v>
      </c>
      <c r="AH43">
        <v>10.039541597340952</v>
      </c>
      <c r="AI43">
        <v>10264.427329121389</v>
      </c>
      <c r="AJ43">
        <v>12.407627851900584</v>
      </c>
      <c r="AK43">
        <v>12685.558715783156</v>
      </c>
      <c r="AL43">
        <v>10.644124387205023</v>
      </c>
      <c r="AM43">
        <v>10882.552773478415</v>
      </c>
      <c r="AN43">
        <v>10.381345144317384</v>
      </c>
      <c r="AO43">
        <v>10613.887275550094</v>
      </c>
      <c r="AP43">
        <v>17.748463115281318</v>
      </c>
      <c r="AQ43">
        <v>18146.02868906362</v>
      </c>
      <c r="AR43">
        <v>17.485523050231315</v>
      </c>
      <c r="AS43">
        <v>17877.198766556496</v>
      </c>
      <c r="AT43">
        <v>10.338623555309683</v>
      </c>
      <c r="AU43">
        <v>10570.208722948619</v>
      </c>
      <c r="AV43">
        <v>12.597300529103416</v>
      </c>
      <c r="AW43">
        <v>12879.480060955331</v>
      </c>
      <c r="AX43">
        <v>14.389394821391063</v>
      </c>
      <c r="AY43">
        <v>14711.717265390222</v>
      </c>
      <c r="AZ43">
        <v>15.273788454755719</v>
      </c>
      <c r="BA43">
        <v>15615.921316142247</v>
      </c>
      <c r="BB43">
        <v>13.682756783226036</v>
      </c>
      <c r="BC43">
        <v>13989.250535170298</v>
      </c>
      <c r="BD43">
        <v>14.079072552960287</v>
      </c>
      <c r="BE43">
        <v>14394.443778146597</v>
      </c>
      <c r="BF43">
        <v>11.998828720536826</v>
      </c>
      <c r="BG43">
        <v>12267.602483876852</v>
      </c>
      <c r="BH43">
        <v>14.915983747177254</v>
      </c>
      <c r="BI43">
        <v>15250.101783114023</v>
      </c>
      <c r="BJ43">
        <v>15.842530515727084</v>
      </c>
      <c r="BK43">
        <v>16197.40319927937</v>
      </c>
      <c r="BL43">
        <v>11.461511836786556</v>
      </c>
      <c r="BM43">
        <v>11718.249701930576</v>
      </c>
      <c r="BN43">
        <v>12.396104048015063</v>
      </c>
      <c r="BO43">
        <v>12673.776778690601</v>
      </c>
      <c r="BP43">
        <v>10.334397382072286</v>
      </c>
      <c r="BQ43">
        <v>10565.887883430705</v>
      </c>
      <c r="BR43">
        <v>13.648496357124033</v>
      </c>
      <c r="BS43">
        <v>13954.222675523612</v>
      </c>
      <c r="BT43">
        <v>16.122332257797702</v>
      </c>
      <c r="BU43">
        <v>16483.472500372369</v>
      </c>
      <c r="BV43">
        <v>14.171679493847146</v>
      </c>
      <c r="BW43">
        <v>14489.125114509321</v>
      </c>
      <c r="BX43">
        <v>13</v>
      </c>
      <c r="BY43">
        <v>13291.199999999999</v>
      </c>
      <c r="BZ43">
        <v>12.201332314077144</v>
      </c>
      <c r="CA43">
        <v>12474.642157912471</v>
      </c>
      <c r="CB43">
        <v>11.010480986783781</v>
      </c>
      <c r="CC43">
        <v>11257.115760887738</v>
      </c>
      <c r="CD43">
        <v>13.981566816102649</v>
      </c>
      <c r="CE43">
        <v>14294.753912783348</v>
      </c>
      <c r="CF43">
        <v>10</v>
      </c>
      <c r="CG43">
        <v>10224</v>
      </c>
      <c r="CH43">
        <v>13.70535117701904</v>
      </c>
      <c r="CI43">
        <v>14012.351043384266</v>
      </c>
      <c r="CJ43">
        <v>10.293425174119422</v>
      </c>
      <c r="CK43">
        <v>10523.997898019697</v>
      </c>
      <c r="CL43">
        <v>12.477770533470231</v>
      </c>
      <c r="CM43">
        <v>12757.272593419964</v>
      </c>
      <c r="CN43">
        <v>11.701874941406761</v>
      </c>
      <c r="CO43">
        <v>11963.996940094272</v>
      </c>
      <c r="CP43">
        <v>15.480703373088833</v>
      </c>
      <c r="CQ43">
        <v>15827.471128646022</v>
      </c>
      <c r="CR43">
        <v>12.110814193202643</v>
      </c>
      <c r="CS43">
        <v>12382.096431130381</v>
      </c>
      <c r="CT43">
        <v>9.71835215050627</v>
      </c>
      <c r="CU43">
        <v>9936.0432386776101</v>
      </c>
    </row>
    <row r="44" spans="2:99" x14ac:dyDescent="0.2">
      <c r="C44" s="105" t="s">
        <v>210</v>
      </c>
      <c r="D44">
        <v>15</v>
      </c>
      <c r="E44">
        <v>15336</v>
      </c>
      <c r="F44">
        <v>15</v>
      </c>
      <c r="G44">
        <v>15336</v>
      </c>
      <c r="H44">
        <v>11</v>
      </c>
      <c r="I44">
        <v>11246.4</v>
      </c>
      <c r="J44">
        <v>14</v>
      </c>
      <c r="K44">
        <v>14313.6</v>
      </c>
      <c r="L44">
        <v>16.504847008271433</v>
      </c>
      <c r="M44">
        <v>16874.555581256715</v>
      </c>
      <c r="N44">
        <v>20.426771829828148</v>
      </c>
      <c r="O44">
        <v>20884.3315188163</v>
      </c>
      <c r="P44">
        <v>16</v>
      </c>
      <c r="Q44">
        <v>16358.4</v>
      </c>
      <c r="R44">
        <v>14.338580660967017</v>
      </c>
      <c r="S44">
        <v>14659.764867772677</v>
      </c>
      <c r="T44">
        <v>13</v>
      </c>
      <c r="U44">
        <v>13291.199999999999</v>
      </c>
      <c r="V44">
        <v>12.587293929701264</v>
      </c>
      <c r="W44">
        <v>12869.249313726572</v>
      </c>
      <c r="X44">
        <v>15</v>
      </c>
      <c r="Y44">
        <v>15336</v>
      </c>
      <c r="Z44">
        <v>11.49510533414351</v>
      </c>
      <c r="AA44">
        <v>11752.595693628324</v>
      </c>
      <c r="AB44">
        <v>13</v>
      </c>
      <c r="AC44">
        <v>13291.199999999999</v>
      </c>
      <c r="AD44">
        <v>16.361477788488774</v>
      </c>
      <c r="AE44">
        <v>16727.974890950922</v>
      </c>
      <c r="AF44">
        <v>13.024575638149322</v>
      </c>
      <c r="AG44">
        <v>13316.326132443866</v>
      </c>
      <c r="AH44">
        <v>11.003918897822</v>
      </c>
      <c r="AI44">
        <v>11250.406681133212</v>
      </c>
      <c r="AJ44">
        <v>12.407627851900584</v>
      </c>
      <c r="AK44">
        <v>12685.558715783156</v>
      </c>
      <c r="AL44">
        <v>11</v>
      </c>
      <c r="AM44">
        <v>11246.4</v>
      </c>
      <c r="AN44">
        <v>10.381345144317384</v>
      </c>
      <c r="AO44">
        <v>10613.887275550094</v>
      </c>
      <c r="AP44">
        <v>19.648668033243808</v>
      </c>
      <c r="AQ44">
        <v>20088.798197188469</v>
      </c>
      <c r="AR44">
        <v>17.485523050231315</v>
      </c>
      <c r="AS44">
        <v>17877.198766556496</v>
      </c>
      <c r="AT44">
        <v>11.162646110019658</v>
      </c>
      <c r="AU44">
        <v>11412.689382884098</v>
      </c>
      <c r="AV44">
        <v>12.597300529103416</v>
      </c>
      <c r="AW44">
        <v>12879.480060955331</v>
      </c>
      <c r="AX44">
        <v>14.389394821391063</v>
      </c>
      <c r="AY44">
        <v>14711.717265390222</v>
      </c>
      <c r="AZ44">
        <v>15.273788454755719</v>
      </c>
      <c r="BA44">
        <v>15615.921316142247</v>
      </c>
      <c r="BB44">
        <v>13.682756783226036</v>
      </c>
      <c r="BC44">
        <v>13989.250535170298</v>
      </c>
      <c r="BD44">
        <v>15.017677389824307</v>
      </c>
      <c r="BE44">
        <v>15354.07336335637</v>
      </c>
      <c r="BF44">
        <v>12.904852974616102</v>
      </c>
      <c r="BG44">
        <v>13193.921681247502</v>
      </c>
      <c r="BH44">
        <v>14.087317983445184</v>
      </c>
      <c r="BI44">
        <v>14402.873906274355</v>
      </c>
      <c r="BJ44">
        <v>14.983360675089163</v>
      </c>
      <c r="BK44">
        <v>15318.987954211159</v>
      </c>
      <c r="BL44">
        <v>12.384593197322129</v>
      </c>
      <c r="BM44">
        <v>12662.008084942145</v>
      </c>
      <c r="BN44">
        <v>10.396104048015063</v>
      </c>
      <c r="BO44">
        <v>10628.976778690601</v>
      </c>
      <c r="BP44">
        <v>10.367837120279514</v>
      </c>
      <c r="BQ44">
        <v>10600.076671773775</v>
      </c>
      <c r="BR44">
        <v>16.306169359972156</v>
      </c>
      <c r="BS44">
        <v>16671.427553635531</v>
      </c>
      <c r="BT44">
        <v>15.273788454755719</v>
      </c>
      <c r="BU44">
        <v>15615.921316142247</v>
      </c>
      <c r="BV44">
        <v>14.64593109984647</v>
      </c>
      <c r="BW44">
        <v>14973.99995648303</v>
      </c>
      <c r="BX44">
        <v>15</v>
      </c>
      <c r="BY44">
        <v>15336</v>
      </c>
      <c r="BZ44">
        <v>10.253329635754575</v>
      </c>
      <c r="CA44">
        <v>10483.004219595477</v>
      </c>
      <c r="CB44">
        <v>11.010480986783781</v>
      </c>
      <c r="CC44">
        <v>11257.115760887738</v>
      </c>
      <c r="CD44">
        <v>14.752086239624106</v>
      </c>
      <c r="CE44">
        <v>15082.532971391685</v>
      </c>
      <c r="CF44">
        <v>11</v>
      </c>
      <c r="CG44">
        <v>11246.4</v>
      </c>
      <c r="CH44">
        <v>15.201285326378333</v>
      </c>
      <c r="CI44">
        <v>15541.794117689207</v>
      </c>
      <c r="CJ44">
        <v>10.32830540392059</v>
      </c>
      <c r="CK44">
        <v>10559.659444968411</v>
      </c>
      <c r="CL44">
        <v>13.270066031970435</v>
      </c>
      <c r="CM44">
        <v>13567.315511086572</v>
      </c>
      <c r="CN44">
        <v>10.749455251436384</v>
      </c>
      <c r="CO44">
        <v>10990.243049068558</v>
      </c>
      <c r="CP44">
        <v>13.841188992064435</v>
      </c>
      <c r="CQ44">
        <v>14151.231625486678</v>
      </c>
      <c r="CR44">
        <v>11.303426580322467</v>
      </c>
      <c r="CS44">
        <v>11556.62333572169</v>
      </c>
      <c r="CT44">
        <v>10.457226995153226</v>
      </c>
      <c r="CU44">
        <v>10691.468879844659</v>
      </c>
    </row>
    <row r="45" spans="2:99" x14ac:dyDescent="0.2">
      <c r="C45" s="105" t="s">
        <v>211</v>
      </c>
      <c r="D45">
        <v>14</v>
      </c>
      <c r="E45">
        <v>17488.8</v>
      </c>
      <c r="F45">
        <v>13</v>
      </c>
      <c r="G45">
        <v>16239.6</v>
      </c>
      <c r="H45">
        <v>9</v>
      </c>
      <c r="I45">
        <v>11242.800000000001</v>
      </c>
      <c r="J45">
        <v>13</v>
      </c>
      <c r="K45">
        <v>16239.6</v>
      </c>
      <c r="L45">
        <v>15.504847008271433</v>
      </c>
      <c r="M45">
        <v>19368.654882732673</v>
      </c>
      <c r="N45">
        <v>19.426771829828148</v>
      </c>
      <c r="O45">
        <v>24267.923369821325</v>
      </c>
      <c r="P45">
        <v>14</v>
      </c>
      <c r="Q45">
        <v>17488.8</v>
      </c>
      <c r="R45">
        <v>14.386949326819447</v>
      </c>
      <c r="S45">
        <v>17972.177099062854</v>
      </c>
      <c r="T45">
        <v>13</v>
      </c>
      <c r="U45">
        <v>16239.6</v>
      </c>
      <c r="V45">
        <v>10.538352768892825</v>
      </c>
      <c r="W45">
        <v>13164.510278900918</v>
      </c>
      <c r="X45">
        <v>14</v>
      </c>
      <c r="Y45">
        <v>17488.8</v>
      </c>
      <c r="Z45">
        <v>13.544615867557861</v>
      </c>
      <c r="AA45">
        <v>16919.934141753281</v>
      </c>
      <c r="AB45">
        <v>13</v>
      </c>
      <c r="AC45">
        <v>16239.6</v>
      </c>
      <c r="AD45">
        <v>18.232600693774209</v>
      </c>
      <c r="AE45">
        <v>22776.164786662743</v>
      </c>
      <c r="AF45">
        <v>13.057463606656551</v>
      </c>
      <c r="AG45">
        <v>16311.383537435364</v>
      </c>
      <c r="AH45">
        <v>9.0391853339025889</v>
      </c>
      <c r="AI45">
        <v>11291.750319111114</v>
      </c>
      <c r="AJ45">
        <v>12.407627851900584</v>
      </c>
      <c r="AK45">
        <v>15499.60871259421</v>
      </c>
      <c r="AL45">
        <v>10.594576357420021</v>
      </c>
      <c r="AM45">
        <v>13234.74478568909</v>
      </c>
      <c r="AN45">
        <v>10.419980550351132</v>
      </c>
      <c r="AO45">
        <v>13016.639703498635</v>
      </c>
      <c r="AP45">
        <v>18.748463115281318</v>
      </c>
      <c r="AQ45">
        <v>23420.580123609423</v>
      </c>
      <c r="AR45">
        <v>16.611246897719749</v>
      </c>
      <c r="AS45">
        <v>20750.76962463151</v>
      </c>
      <c r="AT45">
        <v>11.162646110019658</v>
      </c>
      <c r="AU45">
        <v>13944.377520636557</v>
      </c>
      <c r="AV45">
        <v>12.597300529103416</v>
      </c>
      <c r="AW45">
        <v>15736.547820955988</v>
      </c>
      <c r="AX45">
        <v>15.404461095357263</v>
      </c>
      <c r="AY45">
        <v>19243.252800320293</v>
      </c>
      <c r="AZ45">
        <v>15.273788454755719</v>
      </c>
      <c r="BA45">
        <v>19080.016537680844</v>
      </c>
      <c r="BB45">
        <v>12.84830669680921</v>
      </c>
      <c r="BC45">
        <v>16050.104725654066</v>
      </c>
      <c r="BD45">
        <v>14.079072552960287</v>
      </c>
      <c r="BE45">
        <v>17587.577433157992</v>
      </c>
      <c r="BF45">
        <v>9.55844310773624</v>
      </c>
      <c r="BG45">
        <v>11940.407130184112</v>
      </c>
      <c r="BH45">
        <v>16.573315274641391</v>
      </c>
      <c r="BI45">
        <v>20703.385441082028</v>
      </c>
      <c r="BJ45">
        <v>15.842530515727084</v>
      </c>
      <c r="BK45">
        <v>19790.489120246275</v>
      </c>
      <c r="BL45">
        <v>10.423052517054343</v>
      </c>
      <c r="BM45">
        <v>13020.477204304285</v>
      </c>
      <c r="BN45">
        <v>11.396104048015063</v>
      </c>
      <c r="BO45">
        <v>14236.013176780418</v>
      </c>
      <c r="BP45">
        <v>11.334397382072286</v>
      </c>
      <c r="BQ45">
        <v>14158.9292096847</v>
      </c>
      <c r="BR45">
        <v>14.479157821751077</v>
      </c>
      <c r="BS45">
        <v>18087.363950931445</v>
      </c>
      <c r="BT45">
        <v>16.970876060839686</v>
      </c>
      <c r="BU45">
        <v>21200.018375200936</v>
      </c>
      <c r="BV45">
        <v>14.154331116848606</v>
      </c>
      <c r="BW45">
        <v>17681.590431167278</v>
      </c>
      <c r="BX45">
        <v>13</v>
      </c>
      <c r="BY45">
        <v>16239.6</v>
      </c>
      <c r="BZ45">
        <v>11.210220433444469</v>
      </c>
      <c r="CA45">
        <v>14003.807365458832</v>
      </c>
      <c r="CB45">
        <v>10.973707811646067</v>
      </c>
      <c r="CC45">
        <v>13708.355798308266</v>
      </c>
      <c r="CD45">
        <v>12.440527969059733</v>
      </c>
      <c r="CE45">
        <v>15540.707538949418</v>
      </c>
      <c r="CF45">
        <v>11</v>
      </c>
      <c r="CG45">
        <v>13741.2</v>
      </c>
      <c r="CH45">
        <v>14.480200899785956</v>
      </c>
      <c r="CI45">
        <v>18088.666964012617</v>
      </c>
      <c r="CJ45">
        <v>10.258544944318253</v>
      </c>
      <c r="CK45">
        <v>12814.974344442362</v>
      </c>
      <c r="CL45">
        <v>13.27991580256289</v>
      </c>
      <c r="CM45">
        <v>16589.270820561564</v>
      </c>
      <c r="CN45">
        <v>9.8311403941862867</v>
      </c>
      <c r="CO45">
        <v>12281.06058041751</v>
      </c>
      <c r="CP45">
        <v>14.715336010669372</v>
      </c>
      <c r="CQ45">
        <v>18382.397744528182</v>
      </c>
      <c r="CR45">
        <v>10.496038967442292</v>
      </c>
      <c r="CS45">
        <v>13111.651878128912</v>
      </c>
      <c r="CT45">
        <v>10.580934411472223</v>
      </c>
      <c r="CU45">
        <v>13217.703266811101</v>
      </c>
    </row>
    <row r="46" spans="2:99" x14ac:dyDescent="0.2">
      <c r="C46" s="105" t="s">
        <v>212</v>
      </c>
      <c r="D46">
        <v>14</v>
      </c>
      <c r="E46">
        <v>16968</v>
      </c>
      <c r="F46">
        <v>14</v>
      </c>
      <c r="G46">
        <v>16968</v>
      </c>
      <c r="H46">
        <v>10</v>
      </c>
      <c r="I46">
        <v>12120</v>
      </c>
      <c r="J46">
        <v>14</v>
      </c>
      <c r="K46">
        <v>16968</v>
      </c>
      <c r="L46">
        <v>16.413056643131174</v>
      </c>
      <c r="M46">
        <v>19892.624651474984</v>
      </c>
      <c r="N46">
        <v>17.37935273762502</v>
      </c>
      <c r="O46">
        <v>21063.775518001523</v>
      </c>
      <c r="P46">
        <v>16</v>
      </c>
      <c r="Q46">
        <v>19392</v>
      </c>
      <c r="R46">
        <v>14.386949326819447</v>
      </c>
      <c r="S46">
        <v>17436.982584105172</v>
      </c>
      <c r="T46">
        <v>11</v>
      </c>
      <c r="U46">
        <v>13332</v>
      </c>
      <c r="V46">
        <v>10.489411608084387</v>
      </c>
      <c r="W46">
        <v>12713.166868998276</v>
      </c>
      <c r="X46">
        <v>13</v>
      </c>
      <c r="Y46">
        <v>15756</v>
      </c>
      <c r="Z46">
        <v>13.49510533414351</v>
      </c>
      <c r="AA46">
        <v>16356.067664981934</v>
      </c>
      <c r="AB46">
        <v>13</v>
      </c>
      <c r="AC46">
        <v>15756</v>
      </c>
      <c r="AD46">
        <v>17.335116998928374</v>
      </c>
      <c r="AE46">
        <v>21010.16180270119</v>
      </c>
      <c r="AF46">
        <v>12.20450628274997</v>
      </c>
      <c r="AG46">
        <v>14791.861614692963</v>
      </c>
      <c r="AH46">
        <v>10.003562634383638</v>
      </c>
      <c r="AI46">
        <v>12124.317912872968</v>
      </c>
      <c r="AJ46">
        <v>13.362060763585243</v>
      </c>
      <c r="AK46">
        <v>16194.817645465315</v>
      </c>
      <c r="AL46">
        <v>11</v>
      </c>
      <c r="AM46">
        <v>13332</v>
      </c>
      <c r="AN46">
        <v>10.342709738283633</v>
      </c>
      <c r="AO46">
        <v>12535.364202799763</v>
      </c>
      <c r="AP46">
        <v>17.648668033243808</v>
      </c>
      <c r="AQ46">
        <v>21390.185656291495</v>
      </c>
      <c r="AR46">
        <v>17.485523050231315</v>
      </c>
      <c r="AS46">
        <v>21192.453936880353</v>
      </c>
      <c r="AT46">
        <v>11.162646110019658</v>
      </c>
      <c r="AU46">
        <v>13529.127085343825</v>
      </c>
      <c r="AV46">
        <v>12.597300529103416</v>
      </c>
      <c r="AW46">
        <v>15267.928241273341</v>
      </c>
      <c r="AX46">
        <v>16.010917041954986</v>
      </c>
      <c r="AY46">
        <v>19405.231454849443</v>
      </c>
      <c r="AZ46">
        <v>15.273788454755719</v>
      </c>
      <c r="BA46">
        <v>18511.831607163931</v>
      </c>
      <c r="BB46">
        <v>12.055301035461982</v>
      </c>
      <c r="BC46">
        <v>14611.024854979922</v>
      </c>
      <c r="BD46">
        <v>14.079072552960287</v>
      </c>
      <c r="BE46">
        <v>17063.835934187868</v>
      </c>
      <c r="BF46">
        <v>12.998642294858321</v>
      </c>
      <c r="BG46">
        <v>15754.354461368284</v>
      </c>
      <c r="BH46">
        <v>15.744649510909323</v>
      </c>
      <c r="BI46">
        <v>19082.515207222099</v>
      </c>
      <c r="BJ46">
        <v>16.672663942192347</v>
      </c>
      <c r="BK46">
        <v>20207.268697937125</v>
      </c>
      <c r="BL46">
        <v>10.423052517054343</v>
      </c>
      <c r="BM46">
        <v>12632.739650669864</v>
      </c>
      <c r="BN46">
        <v>11.396104048015063</v>
      </c>
      <c r="BO46">
        <v>13812.078106194256</v>
      </c>
      <c r="BP46">
        <v>9.3343973820722859</v>
      </c>
      <c r="BQ46">
        <v>11313.28962707161</v>
      </c>
      <c r="BR46">
        <v>13.655684888361396</v>
      </c>
      <c r="BS46">
        <v>16550.690084694012</v>
      </c>
      <c r="BT46">
        <v>16.122332257797702</v>
      </c>
      <c r="BU46">
        <v>19540.266696450813</v>
      </c>
      <c r="BV46">
        <v>15.46732327902936</v>
      </c>
      <c r="BW46">
        <v>18746.395814183583</v>
      </c>
      <c r="BX46">
        <v>16</v>
      </c>
      <c r="BY46">
        <v>19392</v>
      </c>
      <c r="BZ46">
        <v>12.201332314077144</v>
      </c>
      <c r="CA46">
        <v>14788.014764661499</v>
      </c>
      <c r="CB46">
        <v>10.117456354643608</v>
      </c>
      <c r="CC46">
        <v>12262.357101828053</v>
      </c>
      <c r="CD46">
        <v>13.863072450291533</v>
      </c>
      <c r="CE46">
        <v>16802.043809753337</v>
      </c>
      <c r="CF46">
        <v>9</v>
      </c>
      <c r="CG46">
        <v>10908</v>
      </c>
      <c r="CH46">
        <v>14.453318251698688</v>
      </c>
      <c r="CI46">
        <v>17517.42172105881</v>
      </c>
      <c r="CJ46">
        <v>9.3608301791813986</v>
      </c>
      <c r="CK46">
        <v>11345.326177167855</v>
      </c>
      <c r="CL46">
        <v>15.274990917266663</v>
      </c>
      <c r="CM46">
        <v>18513.288991727197</v>
      </c>
      <c r="CN46">
        <v>10.749455251436384</v>
      </c>
      <c r="CO46">
        <v>13028.339764740896</v>
      </c>
      <c r="CP46">
        <v>13.075821629644976</v>
      </c>
      <c r="CQ46">
        <v>15847.89581512971</v>
      </c>
      <c r="CR46">
        <v>11.303426580322467</v>
      </c>
      <c r="CS46">
        <v>13699.753015350831</v>
      </c>
      <c r="CT46">
        <v>10.587800400157489</v>
      </c>
      <c r="CU46">
        <v>12832.414084990876</v>
      </c>
    </row>
    <row r="47" spans="2:99" x14ac:dyDescent="0.2">
      <c r="C47" s="105" t="s">
        <v>213</v>
      </c>
      <c r="D47">
        <v>13</v>
      </c>
      <c r="E47">
        <v>19858.8</v>
      </c>
      <c r="F47">
        <v>13</v>
      </c>
      <c r="G47">
        <v>19858.8</v>
      </c>
      <c r="H47">
        <v>10</v>
      </c>
      <c r="I47">
        <v>15276</v>
      </c>
      <c r="J47">
        <v>13</v>
      </c>
      <c r="K47">
        <v>19858.8</v>
      </c>
      <c r="L47">
        <v>15.504847008271433</v>
      </c>
      <c r="M47">
        <v>23685.204289835441</v>
      </c>
      <c r="N47">
        <v>17.37935273762502</v>
      </c>
      <c r="O47">
        <v>26548.699241995979</v>
      </c>
      <c r="P47">
        <v>14</v>
      </c>
      <c r="Q47">
        <v>21386.399999999998</v>
      </c>
      <c r="R47">
        <v>13.386949326819447</v>
      </c>
      <c r="S47">
        <v>20449.903791649387</v>
      </c>
      <c r="T47">
        <v>11</v>
      </c>
      <c r="U47">
        <v>16803.599999999999</v>
      </c>
      <c r="V47">
        <v>11.538352768892825</v>
      </c>
      <c r="W47">
        <v>17625.987689760677</v>
      </c>
      <c r="X47">
        <v>13</v>
      </c>
      <c r="Y47">
        <v>19858.8</v>
      </c>
      <c r="Z47">
        <v>13.445594800729157</v>
      </c>
      <c r="AA47">
        <v>20539.490617593859</v>
      </c>
      <c r="AB47">
        <v>12</v>
      </c>
      <c r="AC47">
        <v>18331.199999999997</v>
      </c>
      <c r="AD47">
        <v>17.258961483334613</v>
      </c>
      <c r="AE47">
        <v>26364.789561941954</v>
      </c>
      <c r="AF47">
        <v>11.318660990336159</v>
      </c>
      <c r="AG47">
        <v>17290.386528837516</v>
      </c>
      <c r="AH47">
        <v>10.039541597340952</v>
      </c>
      <c r="AI47">
        <v>15336.403744098037</v>
      </c>
      <c r="AJ47">
        <v>11.453194940215923</v>
      </c>
      <c r="AK47">
        <v>17495.900590673842</v>
      </c>
      <c r="AL47">
        <v>10</v>
      </c>
      <c r="AM47">
        <v>15276</v>
      </c>
      <c r="AN47">
        <v>9.3857095765227712</v>
      </c>
      <c r="AO47">
        <v>14337.609949096184</v>
      </c>
      <c r="AP47">
        <v>17.748463115281318</v>
      </c>
      <c r="AQ47">
        <v>27112.552254903741</v>
      </c>
      <c r="AR47">
        <v>15.736970745208184</v>
      </c>
      <c r="AS47">
        <v>24039.79651038002</v>
      </c>
      <c r="AT47">
        <v>10.338623555309683</v>
      </c>
      <c r="AU47">
        <v>15793.28134309107</v>
      </c>
      <c r="AV47">
        <v>11.697493348453172</v>
      </c>
      <c r="AW47">
        <v>17869.090839097065</v>
      </c>
      <c r="AX47">
        <v>15.159725535233177</v>
      </c>
      <c r="AY47">
        <v>23157.996727622198</v>
      </c>
      <c r="AZ47">
        <v>12.728157045629766</v>
      </c>
      <c r="BA47">
        <v>19443.532702904031</v>
      </c>
      <c r="BB47">
        <v>12.055301035461982</v>
      </c>
      <c r="BC47">
        <v>18415.677861771721</v>
      </c>
      <c r="BD47">
        <v>14.079072552960287</v>
      </c>
      <c r="BE47">
        <v>21507.191231902132</v>
      </c>
      <c r="BF47">
        <v>9.55844310773624</v>
      </c>
      <c r="BG47">
        <v>14601.477691377879</v>
      </c>
      <c r="BH47">
        <v>16.573315274641391</v>
      </c>
      <c r="BI47">
        <v>25317.396413542188</v>
      </c>
      <c r="BJ47">
        <v>14.124190834451243</v>
      </c>
      <c r="BK47">
        <v>21576.113918707717</v>
      </c>
      <c r="BL47">
        <v>10.384593197322129</v>
      </c>
      <c r="BM47">
        <v>15863.504568229284</v>
      </c>
      <c r="BN47">
        <v>10.356493643213557</v>
      </c>
      <c r="BO47">
        <v>15820.579689373029</v>
      </c>
      <c r="BP47">
        <v>10.300957643865058</v>
      </c>
      <c r="BQ47">
        <v>15735.742896768261</v>
      </c>
      <c r="BR47">
        <v>12.810646361259629</v>
      </c>
      <c r="BS47">
        <v>19569.543381460207</v>
      </c>
      <c r="BT47">
        <v>16.970876060839686</v>
      </c>
      <c r="BU47">
        <v>25924.710270538704</v>
      </c>
      <c r="BV47">
        <v>14.050183177119779</v>
      </c>
      <c r="BW47">
        <v>21463.059821368173</v>
      </c>
      <c r="BX47">
        <v>13</v>
      </c>
      <c r="BY47">
        <v>19858.8</v>
      </c>
      <c r="BZ47">
        <v>11.175999350501687</v>
      </c>
      <c r="CA47">
        <v>17072.456607826378</v>
      </c>
      <c r="CB47">
        <v>10.117456354643608</v>
      </c>
      <c r="CC47">
        <v>15455.426327353574</v>
      </c>
      <c r="CD47">
        <v>13.868992012020424</v>
      </c>
      <c r="CE47">
        <v>21186.272197562397</v>
      </c>
      <c r="CF47">
        <v>9</v>
      </c>
      <c r="CG47">
        <v>13748.4</v>
      </c>
      <c r="CH47">
        <v>14.480200899785956</v>
      </c>
      <c r="CI47">
        <v>22119.954894513026</v>
      </c>
      <c r="CJ47">
        <v>9.395710408982568</v>
      </c>
      <c r="CK47">
        <v>14352.88722076177</v>
      </c>
      <c r="CL47">
        <v>13.270066031970435</v>
      </c>
      <c r="CM47">
        <v>20271.352870438037</v>
      </c>
      <c r="CN47">
        <v>8.8105110387753509</v>
      </c>
      <c r="CO47">
        <v>13458.936662833225</v>
      </c>
      <c r="CP47">
        <v>14.841631834935413</v>
      </c>
      <c r="CQ47">
        <v>22672.076791047337</v>
      </c>
      <c r="CR47">
        <v>11.303426580322467</v>
      </c>
      <c r="CS47">
        <v>17267.1144441006</v>
      </c>
      <c r="CT47">
        <v>9.7114861618210053</v>
      </c>
      <c r="CU47">
        <v>14835.266260797767</v>
      </c>
    </row>
    <row r="48" spans="2:99" x14ac:dyDescent="0.2">
      <c r="C48" s="105" t="s">
        <v>214</v>
      </c>
      <c r="D48">
        <v>16</v>
      </c>
      <c r="E48">
        <v>13881.6</v>
      </c>
      <c r="F48">
        <v>14</v>
      </c>
      <c r="G48">
        <v>12146.4</v>
      </c>
      <c r="H48">
        <v>10</v>
      </c>
      <c r="I48">
        <v>8676</v>
      </c>
      <c r="J48">
        <v>13</v>
      </c>
      <c r="K48">
        <v>11278.800000000001</v>
      </c>
      <c r="L48">
        <v>17.458951825701305</v>
      </c>
      <c r="M48">
        <v>15147.386603978453</v>
      </c>
      <c r="N48">
        <v>20.474190922031276</v>
      </c>
      <c r="O48">
        <v>17763.408043954336</v>
      </c>
      <c r="P48">
        <v>14</v>
      </c>
      <c r="Q48">
        <v>12146.4</v>
      </c>
      <c r="R48">
        <v>15.386949326819447</v>
      </c>
      <c r="S48">
        <v>13349.717235948552</v>
      </c>
      <c r="T48">
        <v>14</v>
      </c>
      <c r="U48">
        <v>12146.4</v>
      </c>
      <c r="V48">
        <v>10.538352768892825</v>
      </c>
      <c r="W48">
        <v>9143.0748622914143</v>
      </c>
      <c r="X48">
        <v>14</v>
      </c>
      <c r="Y48">
        <v>12146.4</v>
      </c>
      <c r="Z48">
        <v>12.49510533414351</v>
      </c>
      <c r="AA48">
        <v>10840.753387902909</v>
      </c>
      <c r="AB48">
        <v>12</v>
      </c>
      <c r="AC48">
        <v>10411.200000000001</v>
      </c>
      <c r="AD48">
        <v>19.168162146416925</v>
      </c>
      <c r="AE48">
        <v>16630.297478231325</v>
      </c>
      <c r="AF48">
        <v>13.057463606656551</v>
      </c>
      <c r="AG48">
        <v>11328.655425135225</v>
      </c>
      <c r="AH48">
        <v>9.0751642968599029</v>
      </c>
      <c r="AI48">
        <v>7873.6125439556517</v>
      </c>
      <c r="AJ48">
        <v>13.362060763585243</v>
      </c>
      <c r="AK48">
        <v>11592.923918486556</v>
      </c>
      <c r="AL48">
        <v>11</v>
      </c>
      <c r="AM48">
        <v>9543.6</v>
      </c>
      <c r="AN48">
        <v>10.381345144317384</v>
      </c>
      <c r="AO48">
        <v>9006.8550472097631</v>
      </c>
      <c r="AP48">
        <v>18.648668033243808</v>
      </c>
      <c r="AQ48">
        <v>16179.584385642329</v>
      </c>
      <c r="AR48">
        <v>15.736970745208184</v>
      </c>
      <c r="AS48">
        <v>13653.395818542622</v>
      </c>
      <c r="AT48">
        <v>10.338623555309683</v>
      </c>
      <c r="AU48">
        <v>8969.7897965866814</v>
      </c>
      <c r="AV48">
        <v>10.797686167802928</v>
      </c>
      <c r="AW48">
        <v>9368.0725191858201</v>
      </c>
      <c r="AX48">
        <v>14.308534028511369</v>
      </c>
      <c r="AY48">
        <v>12414.084123136465</v>
      </c>
      <c r="AZ48">
        <v>15.273788454755719</v>
      </c>
      <c r="BA48">
        <v>13251.538863346062</v>
      </c>
      <c r="BB48">
        <v>12.013856610392383</v>
      </c>
      <c r="BC48">
        <v>10423.221995176431</v>
      </c>
      <c r="BD48">
        <v>13.140467716096268</v>
      </c>
      <c r="BE48">
        <v>11400.669790485123</v>
      </c>
      <c r="BF48">
        <v>11.186593786699772</v>
      </c>
      <c r="BG48">
        <v>9705.4887693407218</v>
      </c>
      <c r="BH48">
        <v>15.744649510909323</v>
      </c>
      <c r="BI48">
        <v>13660.057915664929</v>
      </c>
      <c r="BJ48">
        <v>15.842530515727084</v>
      </c>
      <c r="BK48">
        <v>13744.979475444819</v>
      </c>
      <c r="BL48">
        <v>12.384593197322129</v>
      </c>
      <c r="BM48">
        <v>10744.87305799668</v>
      </c>
      <c r="BN48">
        <v>12.396104048015063</v>
      </c>
      <c r="BO48">
        <v>10754.859872057868</v>
      </c>
      <c r="BP48">
        <v>10.367837120279514</v>
      </c>
      <c r="BQ48">
        <v>8995.1354855545069</v>
      </c>
      <c r="BR48">
        <v>15.331384880090207</v>
      </c>
      <c r="BS48">
        <v>13301.509521966263</v>
      </c>
      <c r="BT48">
        <v>15.273788454755719</v>
      </c>
      <c r="BU48">
        <v>13251.538863346062</v>
      </c>
      <c r="BV48">
        <v>13.338721729998563</v>
      </c>
      <c r="BW48">
        <v>11572.674972946754</v>
      </c>
      <c r="BX48">
        <v>14</v>
      </c>
      <c r="BY48">
        <v>12146.4</v>
      </c>
      <c r="BZ48">
        <v>11.210220433444469</v>
      </c>
      <c r="CA48">
        <v>9725.9872480564227</v>
      </c>
      <c r="CB48">
        <v>11.866732443786239</v>
      </c>
      <c r="CC48">
        <v>10295.57706822894</v>
      </c>
      <c r="CD48">
        <v>14.758005801353001</v>
      </c>
      <c r="CE48">
        <v>12804.045833253864</v>
      </c>
      <c r="CF48">
        <v>10</v>
      </c>
      <c r="CG48">
        <v>8676</v>
      </c>
      <c r="CH48">
        <v>15.201285326378333</v>
      </c>
      <c r="CI48">
        <v>13188.635149165842</v>
      </c>
      <c r="CJ48">
        <v>10.258544944318253</v>
      </c>
      <c r="CK48">
        <v>8900.3135936905164</v>
      </c>
      <c r="CL48">
        <v>15.40407075676149</v>
      </c>
      <c r="CM48">
        <v>13364.571788566269</v>
      </c>
      <c r="CN48">
        <v>9.8311403941862867</v>
      </c>
      <c r="CO48">
        <v>8529.4974059960223</v>
      </c>
      <c r="CP48">
        <v>15.486542095782353</v>
      </c>
      <c r="CQ48">
        <v>13436.123922300769</v>
      </c>
      <c r="CR48">
        <v>11.303426580322467</v>
      </c>
      <c r="CS48">
        <v>9806.8529010877737</v>
      </c>
      <c r="CT48">
        <v>10.587800400157489</v>
      </c>
      <c r="CU48">
        <v>9185.9756271766382</v>
      </c>
    </row>
    <row r="49" spans="2:99" x14ac:dyDescent="0.2">
      <c r="B49" s="105" t="s">
        <v>129</v>
      </c>
      <c r="C49" s="105" t="s">
        <v>215</v>
      </c>
      <c r="D49">
        <v>7</v>
      </c>
      <c r="E49">
        <v>6896.4</v>
      </c>
      <c r="F49">
        <v>7</v>
      </c>
      <c r="G49">
        <v>6896.4</v>
      </c>
      <c r="H49">
        <v>7</v>
      </c>
      <c r="I49">
        <v>6896.4</v>
      </c>
      <c r="J49">
        <v>5</v>
      </c>
      <c r="K49">
        <v>4926</v>
      </c>
      <c r="L49">
        <v>5</v>
      </c>
      <c r="M49">
        <v>4926</v>
      </c>
      <c r="N49">
        <v>6</v>
      </c>
      <c r="O49">
        <v>5911.2</v>
      </c>
      <c r="P49">
        <v>8</v>
      </c>
      <c r="Q49">
        <v>7881.5999999999995</v>
      </c>
      <c r="R49">
        <v>8</v>
      </c>
      <c r="S49">
        <v>7881.5999999999995</v>
      </c>
      <c r="T49">
        <v>8</v>
      </c>
      <c r="U49">
        <v>7881.5999999999995</v>
      </c>
      <c r="V49">
        <v>5</v>
      </c>
      <c r="W49">
        <v>4926</v>
      </c>
      <c r="X49">
        <v>6</v>
      </c>
      <c r="Y49">
        <v>5911.2</v>
      </c>
      <c r="Z49">
        <v>5</v>
      </c>
      <c r="AA49">
        <v>4926</v>
      </c>
      <c r="AB49">
        <v>8</v>
      </c>
      <c r="AC49">
        <v>7881.5999999999995</v>
      </c>
      <c r="AD49">
        <v>6</v>
      </c>
      <c r="AE49">
        <v>5911.2</v>
      </c>
      <c r="AF49">
        <v>8</v>
      </c>
      <c r="AG49">
        <v>7881.5999999999995</v>
      </c>
      <c r="AH49">
        <v>6</v>
      </c>
      <c r="AI49">
        <v>5911.2</v>
      </c>
      <c r="AJ49">
        <v>6</v>
      </c>
      <c r="AK49">
        <v>5911.2</v>
      </c>
      <c r="AL49">
        <v>6</v>
      </c>
      <c r="AM49">
        <v>5911.2</v>
      </c>
      <c r="AN49">
        <v>9</v>
      </c>
      <c r="AO49">
        <v>8866.7999999999993</v>
      </c>
      <c r="AP49">
        <v>6</v>
      </c>
      <c r="AQ49">
        <v>5911.2</v>
      </c>
      <c r="AR49">
        <v>5</v>
      </c>
      <c r="AS49">
        <v>4926</v>
      </c>
      <c r="AT49">
        <v>8</v>
      </c>
      <c r="AU49">
        <v>7881.5999999999995</v>
      </c>
      <c r="AV49">
        <v>8</v>
      </c>
      <c r="AW49">
        <v>7881.5999999999995</v>
      </c>
      <c r="AX49">
        <v>8</v>
      </c>
      <c r="AY49">
        <v>7881.5999999999995</v>
      </c>
      <c r="AZ49">
        <v>5</v>
      </c>
      <c r="BA49">
        <v>4926</v>
      </c>
      <c r="BB49">
        <v>5</v>
      </c>
      <c r="BC49">
        <v>4926</v>
      </c>
      <c r="BD49">
        <v>7</v>
      </c>
      <c r="BE49">
        <v>6896.4</v>
      </c>
      <c r="BF49">
        <v>6</v>
      </c>
      <c r="BG49">
        <v>5911.2</v>
      </c>
      <c r="BH49">
        <v>8</v>
      </c>
      <c r="BI49">
        <v>7881.5999999999995</v>
      </c>
      <c r="BJ49">
        <v>6</v>
      </c>
      <c r="BK49">
        <v>5911.2</v>
      </c>
      <c r="BL49">
        <v>6</v>
      </c>
      <c r="BM49">
        <v>5911.2</v>
      </c>
      <c r="BN49">
        <v>7</v>
      </c>
      <c r="BO49">
        <v>6896.4</v>
      </c>
      <c r="BP49">
        <v>8</v>
      </c>
      <c r="BQ49">
        <v>7881.5999999999995</v>
      </c>
      <c r="BR49">
        <v>6</v>
      </c>
      <c r="BS49">
        <v>5911.2</v>
      </c>
      <c r="BT49">
        <v>4</v>
      </c>
      <c r="BU49">
        <v>3940.7999999999997</v>
      </c>
      <c r="BV49">
        <v>8</v>
      </c>
      <c r="BW49">
        <v>7881.5999999999995</v>
      </c>
      <c r="BX49">
        <v>8</v>
      </c>
      <c r="BY49">
        <v>7881.5999999999995</v>
      </c>
      <c r="BZ49">
        <v>5</v>
      </c>
      <c r="CA49">
        <v>4926</v>
      </c>
      <c r="CB49">
        <v>8</v>
      </c>
      <c r="CC49">
        <v>7881.5999999999995</v>
      </c>
      <c r="CD49">
        <v>5</v>
      </c>
      <c r="CE49">
        <v>4926</v>
      </c>
      <c r="CF49">
        <v>5</v>
      </c>
      <c r="CG49">
        <v>4926</v>
      </c>
      <c r="CH49">
        <v>9</v>
      </c>
      <c r="CI49">
        <v>8866.7999999999993</v>
      </c>
      <c r="CJ49">
        <v>9</v>
      </c>
      <c r="CK49">
        <v>8866.7999999999993</v>
      </c>
      <c r="CL49">
        <v>6</v>
      </c>
      <c r="CM49">
        <v>5911.2</v>
      </c>
      <c r="CN49">
        <v>5</v>
      </c>
      <c r="CO49">
        <v>4926</v>
      </c>
      <c r="CP49">
        <v>7</v>
      </c>
      <c r="CQ49">
        <v>6896.4</v>
      </c>
      <c r="CR49">
        <v>9</v>
      </c>
      <c r="CS49">
        <v>8866.7999999999993</v>
      </c>
      <c r="CT49">
        <v>4</v>
      </c>
      <c r="CU49">
        <v>3940.7999999999997</v>
      </c>
    </row>
    <row r="50" spans="2:99" x14ac:dyDescent="0.2">
      <c r="C50" s="105" t="s">
        <v>216</v>
      </c>
      <c r="D50">
        <v>8</v>
      </c>
      <c r="E50">
        <v>2256</v>
      </c>
      <c r="F50">
        <v>6</v>
      </c>
      <c r="G50">
        <v>1692</v>
      </c>
      <c r="H50">
        <v>7</v>
      </c>
      <c r="I50">
        <v>1974</v>
      </c>
      <c r="J50">
        <v>6</v>
      </c>
      <c r="K50">
        <v>1692</v>
      </c>
      <c r="L50">
        <v>5.3671614605610429</v>
      </c>
      <c r="M50">
        <v>1513.5395318782141</v>
      </c>
      <c r="N50">
        <v>7.3319336454218931</v>
      </c>
      <c r="O50">
        <v>2067.6052880089737</v>
      </c>
      <c r="P50">
        <v>8</v>
      </c>
      <c r="Q50">
        <v>2256</v>
      </c>
      <c r="R50">
        <v>8.4836866585243094</v>
      </c>
      <c r="S50">
        <v>2392.3996377038552</v>
      </c>
      <c r="T50">
        <v>8</v>
      </c>
      <c r="U50">
        <v>2256</v>
      </c>
      <c r="V50">
        <v>6.4404704472759482</v>
      </c>
      <c r="W50">
        <v>1816.2126661318173</v>
      </c>
      <c r="X50">
        <v>7</v>
      </c>
      <c r="Y50">
        <v>1974</v>
      </c>
      <c r="Z50">
        <v>6.495105334143509</v>
      </c>
      <c r="AA50">
        <v>1831.6197042284696</v>
      </c>
      <c r="AB50">
        <v>7</v>
      </c>
      <c r="AC50">
        <v>1974</v>
      </c>
      <c r="AD50">
        <v>4.9824293255886438</v>
      </c>
      <c r="AE50">
        <v>1405.0450698159975</v>
      </c>
      <c r="AF50">
        <v>8.7926769871236452</v>
      </c>
      <c r="AG50">
        <v>2479.5349103688682</v>
      </c>
      <c r="AH50">
        <v>6.074095506544813</v>
      </c>
      <c r="AI50">
        <v>1712.8949328456372</v>
      </c>
      <c r="AJ50">
        <v>5.7265974701079614</v>
      </c>
      <c r="AK50">
        <v>1614.9004865704451</v>
      </c>
      <c r="AL50">
        <v>6.346836208495013</v>
      </c>
      <c r="AM50">
        <v>1789.8078107955937</v>
      </c>
      <c r="AN50">
        <v>9.2311679523877697</v>
      </c>
      <c r="AO50">
        <v>2603.189362573351</v>
      </c>
      <c r="AP50">
        <v>6.4490778691687902</v>
      </c>
      <c r="AQ50">
        <v>1818.6399591055988</v>
      </c>
      <c r="AR50">
        <v>4.3713807625578287</v>
      </c>
      <c r="AS50">
        <v>1232.7293750413078</v>
      </c>
      <c r="AT50">
        <v>7.7437323733279451</v>
      </c>
      <c r="AU50">
        <v>2183.7325292784803</v>
      </c>
      <c r="AV50">
        <v>8.0982646258521971</v>
      </c>
      <c r="AW50">
        <v>2283.7106244903198</v>
      </c>
      <c r="AX50">
        <v>6.7286712608947781</v>
      </c>
      <c r="AY50">
        <v>1897.4852955723275</v>
      </c>
      <c r="AZ50">
        <v>5.0912628182519057</v>
      </c>
      <c r="BA50">
        <v>1435.7361147470374</v>
      </c>
      <c r="BB50">
        <v>5.4503197865533073</v>
      </c>
      <c r="BC50">
        <v>1536.9901798080327</v>
      </c>
      <c r="BD50">
        <v>6.5702338580481339</v>
      </c>
      <c r="BE50">
        <v>1852.8059479695737</v>
      </c>
      <c r="BF50">
        <v>6.6139155423422817</v>
      </c>
      <c r="BG50">
        <v>1865.1241829405235</v>
      </c>
      <c r="BH50">
        <v>7.457991873588627</v>
      </c>
      <c r="BI50">
        <v>2103.1537083519929</v>
      </c>
      <c r="BJ50">
        <v>5.4163467713814208</v>
      </c>
      <c r="BK50">
        <v>1527.4097895295606</v>
      </c>
      <c r="BL50">
        <v>6.3461338775899163</v>
      </c>
      <c r="BM50">
        <v>1789.6097534803564</v>
      </c>
      <c r="BN50">
        <v>6.2376624288090383</v>
      </c>
      <c r="BO50">
        <v>1759.0208049241487</v>
      </c>
      <c r="BP50">
        <v>8.3343973820722859</v>
      </c>
      <c r="BQ50">
        <v>2350.3000617443845</v>
      </c>
      <c r="BR50">
        <v>6.9385078589714277</v>
      </c>
      <c r="BS50">
        <v>1956.6592162299426</v>
      </c>
      <c r="BT50">
        <v>4.2427190152099215</v>
      </c>
      <c r="BU50">
        <v>1196.4467622891977</v>
      </c>
      <c r="BV50">
        <v>6.5363830017284492</v>
      </c>
      <c r="BW50">
        <v>1843.2600064874227</v>
      </c>
      <c r="BX50">
        <v>8</v>
      </c>
      <c r="BY50">
        <v>2256</v>
      </c>
      <c r="BZ50">
        <v>5.2635491496484148</v>
      </c>
      <c r="CA50">
        <v>1484.3208602008531</v>
      </c>
      <c r="CB50">
        <v>7.3648361079476619</v>
      </c>
      <c r="CC50">
        <v>2076.8837824412408</v>
      </c>
      <c r="CD50">
        <v>4.7294141721162619</v>
      </c>
      <c r="CE50">
        <v>1333.6947965367858</v>
      </c>
      <c r="CF50">
        <v>6</v>
      </c>
      <c r="CG50">
        <v>1692</v>
      </c>
      <c r="CH50">
        <v>7.6947319314946032</v>
      </c>
      <c r="CI50">
        <v>2169.9144046814781</v>
      </c>
      <c r="CJ50">
        <v>8.2887142650387009</v>
      </c>
      <c r="CK50">
        <v>2337.4174227409135</v>
      </c>
      <c r="CL50">
        <v>6.220509476986261</v>
      </c>
      <c r="CM50">
        <v>1754.1836725101257</v>
      </c>
      <c r="CN50">
        <v>6.9056716588345957</v>
      </c>
      <c r="CO50">
        <v>1947.399407791356</v>
      </c>
      <c r="CP50">
        <v>6.2902810419190835</v>
      </c>
      <c r="CQ50">
        <v>1773.8592538211815</v>
      </c>
      <c r="CR50">
        <v>7.2664885159215862</v>
      </c>
      <c r="CS50">
        <v>2049.1497614898872</v>
      </c>
      <c r="CT50">
        <v>5.3711109022501837</v>
      </c>
      <c r="CU50">
        <v>1514.6532744345518</v>
      </c>
    </row>
    <row r="51" spans="2:99" x14ac:dyDescent="0.2">
      <c r="C51" s="105" t="s">
        <v>217</v>
      </c>
      <c r="D51">
        <v>8</v>
      </c>
      <c r="E51">
        <v>6835.2</v>
      </c>
      <c r="F51">
        <v>6</v>
      </c>
      <c r="G51">
        <v>5126.3999999999996</v>
      </c>
      <c r="H51">
        <v>7</v>
      </c>
      <c r="I51">
        <v>5980.8</v>
      </c>
      <c r="J51">
        <v>6</v>
      </c>
      <c r="K51">
        <v>5126.3999999999996</v>
      </c>
      <c r="L51">
        <v>5.4130566431311733</v>
      </c>
      <c r="M51">
        <v>4624.9155958912743</v>
      </c>
      <c r="N51">
        <v>6.3319336454218931</v>
      </c>
      <c r="O51">
        <v>5410.0041066484655</v>
      </c>
      <c r="P51">
        <v>8</v>
      </c>
      <c r="Q51">
        <v>6835.2</v>
      </c>
      <c r="R51">
        <v>9.4836866585243094</v>
      </c>
      <c r="S51">
        <v>8102.8618810431699</v>
      </c>
      <c r="T51">
        <v>8</v>
      </c>
      <c r="U51">
        <v>6835.2</v>
      </c>
      <c r="V51">
        <v>5.4404704472759482</v>
      </c>
      <c r="W51">
        <v>4648.3379501525696</v>
      </c>
      <c r="X51">
        <v>6</v>
      </c>
      <c r="Y51">
        <v>5126.3999999999996</v>
      </c>
      <c r="Z51">
        <v>6.495105334143509</v>
      </c>
      <c r="AA51">
        <v>5549.4179974922135</v>
      </c>
      <c r="AB51">
        <v>8</v>
      </c>
      <c r="AC51">
        <v>6835.2</v>
      </c>
      <c r="AD51">
        <v>4.9443515677917622</v>
      </c>
      <c r="AE51">
        <v>4224.4539795212813</v>
      </c>
      <c r="AF51">
        <v>7.9068316947098367</v>
      </c>
      <c r="AG51">
        <v>6755.5969999600848</v>
      </c>
      <c r="AH51">
        <v>6.074095506544813</v>
      </c>
      <c r="AI51">
        <v>5189.7072007918878</v>
      </c>
      <c r="AJ51">
        <v>5.7265974701079614</v>
      </c>
      <c r="AK51">
        <v>4892.8048784602424</v>
      </c>
      <c r="AL51">
        <v>6.346836208495013</v>
      </c>
      <c r="AM51">
        <v>5422.7368565381394</v>
      </c>
      <c r="AN51">
        <v>10.226803520182383</v>
      </c>
      <c r="AO51">
        <v>8737.7809276438275</v>
      </c>
      <c r="AP51">
        <v>6.4490778691687902</v>
      </c>
      <c r="AQ51">
        <v>5510.092131417814</v>
      </c>
      <c r="AR51">
        <v>4.3713807625578287</v>
      </c>
      <c r="AS51">
        <v>3734.9077235294089</v>
      </c>
      <c r="AT51">
        <v>6.9606509912352408</v>
      </c>
      <c r="AU51">
        <v>5947.1802069113892</v>
      </c>
      <c r="AV51">
        <v>7.198457445201953</v>
      </c>
      <c r="AW51">
        <v>6150.3620411805487</v>
      </c>
      <c r="AX51">
        <v>7.6202931640564362</v>
      </c>
      <c r="AY51">
        <v>6510.7784793698193</v>
      </c>
      <c r="AZ51">
        <v>4.2427190152099215</v>
      </c>
      <c r="BA51">
        <v>3624.9791265953568</v>
      </c>
      <c r="BB51">
        <v>5.43702095346422</v>
      </c>
      <c r="BC51">
        <v>4645.3907026398292</v>
      </c>
      <c r="BD51">
        <v>6.5702338580481339</v>
      </c>
      <c r="BE51">
        <v>5613.6078083163256</v>
      </c>
      <c r="BF51">
        <v>6.6139155423422817</v>
      </c>
      <c r="BG51">
        <v>5650.9294393772452</v>
      </c>
      <c r="BH51">
        <v>6.6293261098565575</v>
      </c>
      <c r="BI51">
        <v>5664.0962282614428</v>
      </c>
      <c r="BJ51">
        <v>5.3873103572087659</v>
      </c>
      <c r="BK51">
        <v>4602.9179691991694</v>
      </c>
      <c r="BL51">
        <v>6.3076745578577036</v>
      </c>
      <c r="BM51">
        <v>5389.2771422336218</v>
      </c>
      <c r="BN51">
        <v>7.2376624288090383</v>
      </c>
      <c r="BO51">
        <v>6183.8587791744421</v>
      </c>
      <c r="BP51">
        <v>7.3009576438650576</v>
      </c>
      <c r="BQ51">
        <v>6237.9382109183052</v>
      </c>
      <c r="BR51">
        <v>6.0934693318696596</v>
      </c>
      <c r="BS51">
        <v>5206.2601971494369</v>
      </c>
      <c r="BT51">
        <v>3.3941752121679372</v>
      </c>
      <c r="BU51">
        <v>2899.9833012762856</v>
      </c>
      <c r="BV51">
        <v>6.5363830017284492</v>
      </c>
      <c r="BW51">
        <v>5584.685636676787</v>
      </c>
      <c r="BX51">
        <v>9</v>
      </c>
      <c r="BY51">
        <v>7689.5999999999995</v>
      </c>
      <c r="BZ51">
        <v>5.2977702325911968</v>
      </c>
      <c r="CA51">
        <v>4526.4148867259182</v>
      </c>
      <c r="CB51">
        <v>7.3648361079476619</v>
      </c>
      <c r="CC51">
        <v>6292.5159706304821</v>
      </c>
      <c r="CD51">
        <v>4.7175750486584747</v>
      </c>
      <c r="CE51">
        <v>4030.6961215738006</v>
      </c>
      <c r="CF51">
        <v>6</v>
      </c>
      <c r="CG51">
        <v>5126.3999999999996</v>
      </c>
      <c r="CH51">
        <v>6.9467648568149567</v>
      </c>
      <c r="CI51">
        <v>5935.3158936626987</v>
      </c>
      <c r="CJ51">
        <v>7.4258797297030146</v>
      </c>
      <c r="CK51">
        <v>6344.6716410582558</v>
      </c>
      <c r="CL51">
        <v>5.220509476986261</v>
      </c>
      <c r="CM51">
        <v>4460.4032971370616</v>
      </c>
      <c r="CN51">
        <v>5.9532519688642171</v>
      </c>
      <c r="CO51">
        <v>5086.4584821975868</v>
      </c>
      <c r="CP51">
        <v>7.1702667832175422</v>
      </c>
      <c r="CQ51">
        <v>6126.2759395810681</v>
      </c>
      <c r="CR51">
        <v>6.4591009030414099</v>
      </c>
      <c r="CS51">
        <v>5518.6558115585804</v>
      </c>
      <c r="CT51">
        <v>5.2405374972459207</v>
      </c>
      <c r="CU51">
        <v>4477.5152376469141</v>
      </c>
    </row>
    <row r="52" spans="2:99" x14ac:dyDescent="0.2">
      <c r="C52" s="105" t="s">
        <v>218</v>
      </c>
      <c r="D52">
        <v>7</v>
      </c>
      <c r="E52">
        <v>3780</v>
      </c>
      <c r="F52">
        <v>7</v>
      </c>
      <c r="G52">
        <v>3780</v>
      </c>
      <c r="H52">
        <v>8</v>
      </c>
      <c r="I52">
        <v>4320</v>
      </c>
      <c r="J52">
        <v>5</v>
      </c>
      <c r="K52">
        <v>2700</v>
      </c>
      <c r="L52">
        <v>5.4130566431311733</v>
      </c>
      <c r="M52">
        <v>2923.0505872908334</v>
      </c>
      <c r="N52">
        <v>6.3793527376250205</v>
      </c>
      <c r="O52">
        <v>3444.8504783175113</v>
      </c>
      <c r="P52">
        <v>8</v>
      </c>
      <c r="Q52">
        <v>4320</v>
      </c>
      <c r="R52">
        <v>9.4836866585243094</v>
      </c>
      <c r="S52">
        <v>5121.1907956031273</v>
      </c>
      <c r="T52">
        <v>8</v>
      </c>
      <c r="U52">
        <v>4320</v>
      </c>
      <c r="V52">
        <v>5.4894116080843869</v>
      </c>
      <c r="W52">
        <v>2964.2822683655691</v>
      </c>
      <c r="X52">
        <v>6</v>
      </c>
      <c r="Y52">
        <v>3240</v>
      </c>
      <c r="Z52">
        <v>5.495105334143509</v>
      </c>
      <c r="AA52">
        <v>2967.356880437495</v>
      </c>
      <c r="AB52">
        <v>7</v>
      </c>
      <c r="AC52">
        <v>3780</v>
      </c>
      <c r="AD52">
        <v>4.9443515677917622</v>
      </c>
      <c r="AE52">
        <v>2669.9498466075515</v>
      </c>
      <c r="AF52">
        <v>7.9397196632170655</v>
      </c>
      <c r="AG52">
        <v>4287.4486181372149</v>
      </c>
      <c r="AH52">
        <v>7.002493844068546</v>
      </c>
      <c r="AI52">
        <v>3781.346675797015</v>
      </c>
      <c r="AJ52">
        <v>6.6810303817926213</v>
      </c>
      <c r="AK52">
        <v>3607.7564061680155</v>
      </c>
      <c r="AL52">
        <v>6.346836208495013</v>
      </c>
      <c r="AM52">
        <v>3427.2915525873068</v>
      </c>
      <c r="AN52">
        <v>10.226803520182383</v>
      </c>
      <c r="AO52">
        <v>5522.473900898487</v>
      </c>
      <c r="AP52">
        <v>6.3991803281500355</v>
      </c>
      <c r="AQ52">
        <v>3455.5573772010193</v>
      </c>
      <c r="AR52">
        <v>4.3713807625578287</v>
      </c>
      <c r="AS52">
        <v>2360.5456117812273</v>
      </c>
      <c r="AT52">
        <v>7.8256147185624867</v>
      </c>
      <c r="AU52">
        <v>4225.8319480237424</v>
      </c>
      <c r="AV52">
        <v>8.0982646258521971</v>
      </c>
      <c r="AW52">
        <v>4373.0628979601861</v>
      </c>
      <c r="AX52">
        <v>7.5798627676165884</v>
      </c>
      <c r="AY52">
        <v>4093.1258945129575</v>
      </c>
      <c r="AZ52">
        <v>5.0912628182519057</v>
      </c>
      <c r="BA52">
        <v>2749.2819218560289</v>
      </c>
      <c r="BB52">
        <v>5.5842004279398845</v>
      </c>
      <c r="BC52">
        <v>3015.4682310875378</v>
      </c>
      <c r="BD52">
        <v>6.5702338580481339</v>
      </c>
      <c r="BE52">
        <v>3547.9262833459925</v>
      </c>
      <c r="BF52">
        <v>6.6139155423422817</v>
      </c>
      <c r="BG52">
        <v>3571.5143928648322</v>
      </c>
      <c r="BH52">
        <v>8.2866576373206957</v>
      </c>
      <c r="BI52">
        <v>4474.7951241531755</v>
      </c>
      <c r="BJ52">
        <v>4.5571769307435011</v>
      </c>
      <c r="BK52">
        <v>2460.8755426014905</v>
      </c>
      <c r="BL52">
        <v>6.3461338775899163</v>
      </c>
      <c r="BM52">
        <v>3426.9122938985547</v>
      </c>
      <c r="BN52">
        <v>7.2376624288090383</v>
      </c>
      <c r="BO52">
        <v>3908.3377115568805</v>
      </c>
      <c r="BP52">
        <v>7.8558087502352496</v>
      </c>
      <c r="BQ52">
        <v>4242.1367251270349</v>
      </c>
      <c r="BR52">
        <v>6.1006578631070214</v>
      </c>
      <c r="BS52">
        <v>3294.3552460777914</v>
      </c>
      <c r="BT52">
        <v>3.3941752121679372</v>
      </c>
      <c r="BU52">
        <v>1832.854614570686</v>
      </c>
      <c r="BV52">
        <v>5.19356217498615</v>
      </c>
      <c r="BW52">
        <v>2804.5235744925212</v>
      </c>
      <c r="BX52">
        <v>8</v>
      </c>
      <c r="BY52">
        <v>4320</v>
      </c>
      <c r="BZ52">
        <v>5.2977702325911968</v>
      </c>
      <c r="CA52">
        <v>2860.7959255992464</v>
      </c>
      <c r="CB52">
        <v>8.2578607400878337</v>
      </c>
      <c r="CC52">
        <v>4459.2447996474302</v>
      </c>
      <c r="CD52">
        <v>4.7234946103873678</v>
      </c>
      <c r="CE52">
        <v>2550.6870896091787</v>
      </c>
      <c r="CF52">
        <v>6</v>
      </c>
      <c r="CG52">
        <v>3240</v>
      </c>
      <c r="CH52">
        <v>7.6678492834073344</v>
      </c>
      <c r="CI52">
        <v>4140.6386130399605</v>
      </c>
      <c r="CJ52">
        <v>8.2887142650387009</v>
      </c>
      <c r="CK52">
        <v>4475.9057031208986</v>
      </c>
      <c r="CL52">
        <v>5.220509476986261</v>
      </c>
      <c r="CM52">
        <v>2819.0751175725809</v>
      </c>
      <c r="CN52">
        <v>5.9191471361439385</v>
      </c>
      <c r="CO52">
        <v>3196.3394535177267</v>
      </c>
      <c r="CP52">
        <v>6.284442319225561</v>
      </c>
      <c r="CQ52">
        <v>3393.5988523818028</v>
      </c>
      <c r="CR52">
        <v>7.2664885159215862</v>
      </c>
      <c r="CS52">
        <v>3923.9037985976565</v>
      </c>
      <c r="CT52">
        <v>5.2336715085606542</v>
      </c>
      <c r="CU52">
        <v>2826.1826146227531</v>
      </c>
    </row>
    <row r="53" spans="2:99" x14ac:dyDescent="0.2">
      <c r="C53" s="105" t="s">
        <v>219</v>
      </c>
      <c r="D53">
        <v>8</v>
      </c>
      <c r="E53">
        <v>3254.4</v>
      </c>
      <c r="F53">
        <v>6</v>
      </c>
      <c r="G53">
        <v>2440.8000000000002</v>
      </c>
      <c r="H53">
        <v>8</v>
      </c>
      <c r="I53">
        <v>3254.4</v>
      </c>
      <c r="J53">
        <v>5</v>
      </c>
      <c r="K53">
        <v>2034</v>
      </c>
      <c r="L53">
        <v>5.3671614605610429</v>
      </c>
      <c r="M53">
        <v>2183.3612821562324</v>
      </c>
      <c r="N53">
        <v>6.3793527376250205</v>
      </c>
      <c r="O53">
        <v>2595.1206936658582</v>
      </c>
      <c r="P53">
        <v>9</v>
      </c>
      <c r="Q53">
        <v>3661.2000000000003</v>
      </c>
      <c r="R53">
        <v>9.4353179926718784</v>
      </c>
      <c r="S53">
        <v>3838.2873594189205</v>
      </c>
      <c r="T53">
        <v>9</v>
      </c>
      <c r="U53">
        <v>3661.2000000000003</v>
      </c>
      <c r="V53">
        <v>5.4404704472759482</v>
      </c>
      <c r="W53">
        <v>2213.1833779518556</v>
      </c>
      <c r="X53">
        <v>6</v>
      </c>
      <c r="Y53">
        <v>2440.8000000000002</v>
      </c>
      <c r="Z53">
        <v>6.495105334143509</v>
      </c>
      <c r="AA53">
        <v>2642.2088499295796</v>
      </c>
      <c r="AB53">
        <v>7</v>
      </c>
      <c r="AC53">
        <v>2847.6</v>
      </c>
      <c r="AD53">
        <v>4.9443515677917622</v>
      </c>
      <c r="AE53">
        <v>2011.362217777689</v>
      </c>
      <c r="AF53">
        <v>7.9397196632170655</v>
      </c>
      <c r="AG53">
        <v>3229.8779589967025</v>
      </c>
      <c r="AH53">
        <v>6.074095506544813</v>
      </c>
      <c r="AI53">
        <v>2470.9420520624299</v>
      </c>
      <c r="AJ53">
        <v>6.6810303817926213</v>
      </c>
      <c r="AK53">
        <v>2717.8431593132386</v>
      </c>
      <c r="AL53">
        <v>6.3963842382800147</v>
      </c>
      <c r="AM53">
        <v>2602.0491081323103</v>
      </c>
      <c r="AN53">
        <v>10.265438926216133</v>
      </c>
      <c r="AO53">
        <v>4175.980555184723</v>
      </c>
      <c r="AP53">
        <v>6.4490778691687902</v>
      </c>
      <c r="AQ53">
        <v>2623.4848771778638</v>
      </c>
      <c r="AR53">
        <v>4.3713807625578287</v>
      </c>
      <c r="AS53">
        <v>1778.2776942085247</v>
      </c>
      <c r="AT53">
        <v>7.7437323733279451</v>
      </c>
      <c r="AU53">
        <v>3150.1503294698082</v>
      </c>
      <c r="AV53">
        <v>7.198457445201953</v>
      </c>
      <c r="AW53">
        <v>2928.3324887081544</v>
      </c>
      <c r="AX53">
        <v>7.5798627676165884</v>
      </c>
      <c r="AY53">
        <v>3083.488173866428</v>
      </c>
      <c r="AZ53">
        <v>4.2427190152099215</v>
      </c>
      <c r="BA53">
        <v>1725.9380953873961</v>
      </c>
      <c r="BB53">
        <v>5.5842004279398845</v>
      </c>
      <c r="BC53">
        <v>2271.6527340859452</v>
      </c>
      <c r="BD53">
        <v>7.5088386949121535</v>
      </c>
      <c r="BE53">
        <v>3054.5955810902642</v>
      </c>
      <c r="BF53">
        <v>8.2331941969082933</v>
      </c>
      <c r="BG53">
        <v>3349.2633993022937</v>
      </c>
      <c r="BH53">
        <v>7.457991873588627</v>
      </c>
      <c r="BI53">
        <v>3033.9110941758536</v>
      </c>
      <c r="BJ53">
        <v>5.4163467713814208</v>
      </c>
      <c r="BK53">
        <v>2203.3698665979618</v>
      </c>
      <c r="BL53">
        <v>5.3076745578577036</v>
      </c>
      <c r="BM53">
        <v>2159.1620101365138</v>
      </c>
      <c r="BN53">
        <v>6.2376624288090383</v>
      </c>
      <c r="BO53">
        <v>2537.4810760395167</v>
      </c>
      <c r="BP53">
        <v>8.8558087502352496</v>
      </c>
      <c r="BQ53">
        <v>3602.5429995956997</v>
      </c>
      <c r="BR53">
        <v>5.9637233790894788</v>
      </c>
      <c r="BS53">
        <v>2426.0426706136</v>
      </c>
      <c r="BT53">
        <v>4.2427190152099215</v>
      </c>
      <c r="BU53">
        <v>1725.9380953873961</v>
      </c>
      <c r="BV53">
        <v>6.5363830017284492</v>
      </c>
      <c r="BW53">
        <v>2659.0006051031332</v>
      </c>
      <c r="BX53">
        <v>8</v>
      </c>
      <c r="BY53">
        <v>3254.4</v>
      </c>
      <c r="BZ53">
        <v>5.2977702325911968</v>
      </c>
      <c r="CA53">
        <v>2155.1329306180987</v>
      </c>
      <c r="CB53">
        <v>7.4016092830853752</v>
      </c>
      <c r="CC53">
        <v>3010.9746563591307</v>
      </c>
      <c r="CD53">
        <v>4.7294141721162619</v>
      </c>
      <c r="CE53">
        <v>1923.9256852168953</v>
      </c>
      <c r="CF53">
        <v>6</v>
      </c>
      <c r="CG53">
        <v>2440.8000000000002</v>
      </c>
      <c r="CH53">
        <v>7.6947319314946032</v>
      </c>
      <c r="CI53">
        <v>3130.2169497320047</v>
      </c>
      <c r="CJ53">
        <v>8.2887142650387009</v>
      </c>
      <c r="CK53">
        <v>3371.8489630177437</v>
      </c>
      <c r="CL53">
        <v>5.220509476986261</v>
      </c>
      <c r="CM53">
        <v>2123.703255238011</v>
      </c>
      <c r="CN53">
        <v>6.871566826114317</v>
      </c>
      <c r="CO53">
        <v>2795.3533848633042</v>
      </c>
      <c r="CP53">
        <v>6.2961197646126079</v>
      </c>
      <c r="CQ53">
        <v>2561.261520244409</v>
      </c>
      <c r="CR53">
        <v>6.4591009030414099</v>
      </c>
      <c r="CS53">
        <v>2627.5622473572457</v>
      </c>
      <c r="CT53">
        <v>5.3711109022501837</v>
      </c>
      <c r="CU53">
        <v>2184.967915035375</v>
      </c>
    </row>
    <row r="54" spans="2:99" x14ac:dyDescent="0.2">
      <c r="C54" s="105" t="s">
        <v>220</v>
      </c>
      <c r="D54">
        <v>7</v>
      </c>
      <c r="E54">
        <v>2343.6</v>
      </c>
      <c r="F54">
        <v>7</v>
      </c>
      <c r="G54">
        <v>2343.6</v>
      </c>
      <c r="H54">
        <v>7</v>
      </c>
      <c r="I54">
        <v>2343.6</v>
      </c>
      <c r="J54">
        <v>5</v>
      </c>
      <c r="K54">
        <v>1674</v>
      </c>
      <c r="L54">
        <v>5.4130566431311733</v>
      </c>
      <c r="M54">
        <v>1812.291364120317</v>
      </c>
      <c r="N54">
        <v>6.3319336454218931</v>
      </c>
      <c r="O54">
        <v>2119.9313844872499</v>
      </c>
      <c r="P54">
        <v>9</v>
      </c>
      <c r="Q54">
        <v>3013.2000000000003</v>
      </c>
      <c r="R54">
        <v>9.4353179926718784</v>
      </c>
      <c r="S54">
        <v>3158.9444639465451</v>
      </c>
      <c r="T54">
        <v>8</v>
      </c>
      <c r="U54">
        <v>2678.4</v>
      </c>
      <c r="V54">
        <v>6.5383527688928256</v>
      </c>
      <c r="W54">
        <v>2189.0405070253182</v>
      </c>
      <c r="X54">
        <v>6</v>
      </c>
      <c r="Y54">
        <v>2008.8000000000002</v>
      </c>
      <c r="Z54">
        <v>5.5446158675578605</v>
      </c>
      <c r="AA54">
        <v>1856.3373924583718</v>
      </c>
      <c r="AB54">
        <v>8</v>
      </c>
      <c r="AC54">
        <v>2678.4</v>
      </c>
      <c r="AD54">
        <v>5.8418352626375958</v>
      </c>
      <c r="AE54">
        <v>1955.8464459310671</v>
      </c>
      <c r="AF54">
        <v>8.7597890186164182</v>
      </c>
      <c r="AG54">
        <v>2932.7773634327768</v>
      </c>
      <c r="AH54">
        <v>6.074095506544813</v>
      </c>
      <c r="AI54">
        <v>2033.6071755912035</v>
      </c>
      <c r="AJ54">
        <v>5.7265974701079614</v>
      </c>
      <c r="AK54">
        <v>1917.2648329921456</v>
      </c>
      <c r="AL54">
        <v>6.346836208495013</v>
      </c>
      <c r="AM54">
        <v>2124.9207626041302</v>
      </c>
      <c r="AN54">
        <v>8.2741677906269047</v>
      </c>
      <c r="AO54">
        <v>2770.1913763018879</v>
      </c>
      <c r="AP54">
        <v>6.4490778691687902</v>
      </c>
      <c r="AQ54">
        <v>2159.1512705977111</v>
      </c>
      <c r="AR54">
        <v>4.3713807625578287</v>
      </c>
      <c r="AS54">
        <v>1463.5382793043611</v>
      </c>
      <c r="AT54">
        <v>6.91970981861797</v>
      </c>
      <c r="AU54">
        <v>2316.7188472732964</v>
      </c>
      <c r="AV54">
        <v>7.198457445201953</v>
      </c>
      <c r="AW54">
        <v>2410.0435526536139</v>
      </c>
      <c r="AX54">
        <v>7.5798627676165884</v>
      </c>
      <c r="AY54">
        <v>2537.7380545980341</v>
      </c>
      <c r="AZ54">
        <v>4.2427190152099215</v>
      </c>
      <c r="BA54">
        <v>1420.4623262922817</v>
      </c>
      <c r="BB54">
        <v>5.4503197865533073</v>
      </c>
      <c r="BC54">
        <v>1824.7670645380474</v>
      </c>
      <c r="BD54">
        <v>6.5702338580481339</v>
      </c>
      <c r="BE54">
        <v>2199.7142956745151</v>
      </c>
      <c r="BF54">
        <v>7.3349857195158723</v>
      </c>
      <c r="BG54">
        <v>2455.753218893914</v>
      </c>
      <c r="BH54">
        <v>7.457991873588627</v>
      </c>
      <c r="BI54">
        <v>2496.9356792774724</v>
      </c>
      <c r="BJ54">
        <v>5.3873103572087659</v>
      </c>
      <c r="BK54">
        <v>1803.6715075934949</v>
      </c>
      <c r="BL54">
        <v>5.3076745578577036</v>
      </c>
      <c r="BM54">
        <v>1777.0094419707593</v>
      </c>
      <c r="BN54">
        <v>7.2376624288090383</v>
      </c>
      <c r="BO54">
        <v>2423.1693811652663</v>
      </c>
      <c r="BP54">
        <v>7.3678371202795141</v>
      </c>
      <c r="BQ54">
        <v>2466.7518678695815</v>
      </c>
      <c r="BR54">
        <v>6.9456963902087896</v>
      </c>
      <c r="BS54">
        <v>2325.4191514419026</v>
      </c>
      <c r="BT54">
        <v>4.2427190152099215</v>
      </c>
      <c r="BU54">
        <v>1420.4623262922817</v>
      </c>
      <c r="BV54">
        <v>6.5363830017284492</v>
      </c>
      <c r="BW54">
        <v>2188.3810289786848</v>
      </c>
      <c r="BX54">
        <v>9</v>
      </c>
      <c r="BY54">
        <v>3013.2000000000003</v>
      </c>
      <c r="BZ54">
        <v>5.2635491496484148</v>
      </c>
      <c r="CA54">
        <v>1762.2362553022892</v>
      </c>
      <c r="CB54">
        <v>7.3648361079476619</v>
      </c>
      <c r="CC54">
        <v>2465.7471289408772</v>
      </c>
      <c r="CD54">
        <v>4.7234946103873678</v>
      </c>
      <c r="CE54">
        <v>1581.4259955576908</v>
      </c>
      <c r="CF54">
        <v>6</v>
      </c>
      <c r="CG54">
        <v>2008.8000000000002</v>
      </c>
      <c r="CH54">
        <v>6.9467648568149567</v>
      </c>
      <c r="CI54">
        <v>2325.7768740616475</v>
      </c>
      <c r="CJ54">
        <v>9.1864290301755549</v>
      </c>
      <c r="CK54">
        <v>3075.6164393027757</v>
      </c>
      <c r="CL54">
        <v>6.220509476986261</v>
      </c>
      <c r="CM54">
        <v>2082.6265728950002</v>
      </c>
      <c r="CN54">
        <v>5.9532519688642171</v>
      </c>
      <c r="CO54">
        <v>1993.14875917574</v>
      </c>
      <c r="CP54">
        <v>6.284442319225561</v>
      </c>
      <c r="CQ54">
        <v>2104.0312884767177</v>
      </c>
      <c r="CR54">
        <v>6.4591009030414099</v>
      </c>
      <c r="CS54">
        <v>2162.5069823382642</v>
      </c>
      <c r="CT54">
        <v>4.364223258909437</v>
      </c>
      <c r="CU54">
        <v>1461.1419470828796</v>
      </c>
    </row>
    <row r="55" spans="2:99" x14ac:dyDescent="0.2">
      <c r="C55" s="105" t="s">
        <v>221</v>
      </c>
      <c r="D55">
        <v>8</v>
      </c>
      <c r="E55">
        <v>5308.8</v>
      </c>
      <c r="F55">
        <v>7</v>
      </c>
      <c r="G55">
        <v>4645.2</v>
      </c>
      <c r="H55">
        <v>7</v>
      </c>
      <c r="I55">
        <v>4645.2</v>
      </c>
      <c r="J55">
        <v>5</v>
      </c>
      <c r="K55">
        <v>3318</v>
      </c>
      <c r="L55">
        <v>5.4130566431311733</v>
      </c>
      <c r="M55">
        <v>3592.1043883818465</v>
      </c>
      <c r="N55">
        <v>6.3319336454218931</v>
      </c>
      <c r="O55">
        <v>4201.8711671019682</v>
      </c>
      <c r="P55">
        <v>8</v>
      </c>
      <c r="Q55">
        <v>5308.8</v>
      </c>
      <c r="R55">
        <v>10.483686658524309</v>
      </c>
      <c r="S55">
        <v>6956.9744665967319</v>
      </c>
      <c r="T55">
        <v>8</v>
      </c>
      <c r="U55">
        <v>5308.8</v>
      </c>
      <c r="V55">
        <v>5.4894116080843869</v>
      </c>
      <c r="W55">
        <v>3642.7735431247993</v>
      </c>
      <c r="X55">
        <v>6</v>
      </c>
      <c r="Y55">
        <v>3981.6000000000004</v>
      </c>
      <c r="Z55">
        <v>5.495105334143509</v>
      </c>
      <c r="AA55">
        <v>3646.5518997376325</v>
      </c>
      <c r="AB55">
        <v>7</v>
      </c>
      <c r="AC55">
        <v>4645.2</v>
      </c>
      <c r="AD55">
        <v>4.9443515677917622</v>
      </c>
      <c r="AE55">
        <v>3281.0717003866134</v>
      </c>
      <c r="AF55">
        <v>7.0538743708032561</v>
      </c>
      <c r="AG55">
        <v>4680.951032465041</v>
      </c>
      <c r="AH55">
        <v>6.074095506544813</v>
      </c>
      <c r="AI55">
        <v>4030.769778143138</v>
      </c>
      <c r="AJ55">
        <v>5.7265974701079614</v>
      </c>
      <c r="AK55">
        <v>3800.1700811636433</v>
      </c>
      <c r="AL55">
        <v>6.346836208495013</v>
      </c>
      <c r="AM55">
        <v>4211.7605079572904</v>
      </c>
      <c r="AN55">
        <v>8.2741677906269047</v>
      </c>
      <c r="AO55">
        <v>5490.737745860014</v>
      </c>
      <c r="AP55">
        <v>6.3991803281500355</v>
      </c>
      <c r="AQ55">
        <v>4246.4960657603633</v>
      </c>
      <c r="AR55">
        <v>4.3713807625578287</v>
      </c>
      <c r="AS55">
        <v>2900.8482740333752</v>
      </c>
      <c r="AT55">
        <v>7.7437323733279451</v>
      </c>
      <c r="AU55">
        <v>5138.7408029404241</v>
      </c>
      <c r="AV55">
        <v>8.0982646258521971</v>
      </c>
      <c r="AW55">
        <v>5374.0084057155182</v>
      </c>
      <c r="AX55">
        <v>6.7691016573346277</v>
      </c>
      <c r="AY55">
        <v>4491.9758598072594</v>
      </c>
      <c r="AZ55">
        <v>4.2427190152099215</v>
      </c>
      <c r="BA55">
        <v>2815.4683384933041</v>
      </c>
      <c r="BB55">
        <v>5.4436703700087641</v>
      </c>
      <c r="BC55">
        <v>3612.419657537816</v>
      </c>
      <c r="BD55">
        <v>7.5088386949121535</v>
      </c>
      <c r="BE55">
        <v>4982.865357943705</v>
      </c>
      <c r="BF55">
        <v>6.6139155423422817</v>
      </c>
      <c r="BG55">
        <v>4388.994353898338</v>
      </c>
      <c r="BH55">
        <v>7.457991873588627</v>
      </c>
      <c r="BI55">
        <v>4949.1234073134128</v>
      </c>
      <c r="BJ55">
        <v>4.5571769307435011</v>
      </c>
      <c r="BK55">
        <v>3024.1426112413874</v>
      </c>
      <c r="BL55">
        <v>6.3076745578577036</v>
      </c>
      <c r="BM55">
        <v>4185.7728365943722</v>
      </c>
      <c r="BN55">
        <v>7.2376624288090383</v>
      </c>
      <c r="BO55">
        <v>4802.9127877576784</v>
      </c>
      <c r="BP55">
        <v>8.8504773625790918</v>
      </c>
      <c r="BQ55">
        <v>5873.1767778074855</v>
      </c>
      <c r="BR55">
        <v>5.9493463166147551</v>
      </c>
      <c r="BS55">
        <v>3947.9862157055518</v>
      </c>
      <c r="BT55">
        <v>4.2427190152099215</v>
      </c>
      <c r="BU55">
        <v>2815.4683384933041</v>
      </c>
      <c r="BV55">
        <v>6.5363830017284492</v>
      </c>
      <c r="BW55">
        <v>4337.5437599469988</v>
      </c>
      <c r="BX55">
        <v>9</v>
      </c>
      <c r="BY55">
        <v>5972.4000000000005</v>
      </c>
      <c r="BZ55">
        <v>5.2977702325911968</v>
      </c>
      <c r="CA55">
        <v>3515.6003263475181</v>
      </c>
      <c r="CB55">
        <v>7.3648361079476619</v>
      </c>
      <c r="CC55">
        <v>4887.3052412340685</v>
      </c>
      <c r="CD55">
        <v>4.7175750486584747</v>
      </c>
      <c r="CE55">
        <v>3130.582802289764</v>
      </c>
      <c r="CF55">
        <v>5</v>
      </c>
      <c r="CG55">
        <v>3318</v>
      </c>
      <c r="CH55">
        <v>7.6947319314946032</v>
      </c>
      <c r="CI55">
        <v>5106.2241097398191</v>
      </c>
      <c r="CJ55">
        <v>9.2213092599767243</v>
      </c>
      <c r="CK55">
        <v>6119.2608249205541</v>
      </c>
      <c r="CL55">
        <v>5.220509476986261</v>
      </c>
      <c r="CM55">
        <v>3464.3300889280831</v>
      </c>
      <c r="CN55">
        <v>6.9056716588345957</v>
      </c>
      <c r="CO55">
        <v>4582.6037128026383</v>
      </c>
      <c r="CP55">
        <v>6.284442319225561</v>
      </c>
      <c r="CQ55">
        <v>4170.3559230380824</v>
      </c>
      <c r="CR55">
        <v>6.4591009030414099</v>
      </c>
      <c r="CS55">
        <v>4286.2593592582798</v>
      </c>
      <c r="CT55">
        <v>4.4947966639137</v>
      </c>
      <c r="CU55">
        <v>2982.7470661731313</v>
      </c>
    </row>
    <row r="56" spans="2:99" x14ac:dyDescent="0.2">
      <c r="C56" s="105" t="s">
        <v>222</v>
      </c>
      <c r="D56">
        <v>7</v>
      </c>
      <c r="E56">
        <v>8055.5999999999995</v>
      </c>
      <c r="F56">
        <v>7</v>
      </c>
      <c r="G56">
        <v>8055.5999999999995</v>
      </c>
      <c r="H56">
        <v>8</v>
      </c>
      <c r="I56">
        <v>9206.4</v>
      </c>
      <c r="J56">
        <v>5</v>
      </c>
      <c r="K56">
        <v>5754</v>
      </c>
      <c r="L56">
        <v>4</v>
      </c>
      <c r="M56">
        <v>4603.2</v>
      </c>
      <c r="N56">
        <v>6</v>
      </c>
      <c r="O56">
        <v>6904.7999999999993</v>
      </c>
      <c r="P56">
        <v>9</v>
      </c>
      <c r="Q56">
        <v>10357.199999999999</v>
      </c>
      <c r="R56">
        <v>8</v>
      </c>
      <c r="S56">
        <v>9206.4</v>
      </c>
      <c r="T56">
        <v>8</v>
      </c>
      <c r="U56">
        <v>9206.4</v>
      </c>
      <c r="V56">
        <v>5</v>
      </c>
      <c r="W56">
        <v>5754</v>
      </c>
      <c r="X56">
        <v>6</v>
      </c>
      <c r="Y56">
        <v>6904.7999999999993</v>
      </c>
      <c r="Z56">
        <v>5</v>
      </c>
      <c r="AA56">
        <v>5754</v>
      </c>
      <c r="AB56">
        <v>6</v>
      </c>
      <c r="AC56">
        <v>6904.7999999999993</v>
      </c>
      <c r="AD56">
        <v>5</v>
      </c>
      <c r="AE56">
        <v>5754</v>
      </c>
      <c r="AF56">
        <v>8</v>
      </c>
      <c r="AG56">
        <v>9206.4</v>
      </c>
      <c r="AH56">
        <v>6</v>
      </c>
      <c r="AI56">
        <v>6904.7999999999993</v>
      </c>
      <c r="AJ56">
        <v>6</v>
      </c>
      <c r="AK56">
        <v>6904.7999999999993</v>
      </c>
      <c r="AL56">
        <v>6</v>
      </c>
      <c r="AM56">
        <v>6904.7999999999993</v>
      </c>
      <c r="AN56">
        <v>9</v>
      </c>
      <c r="AO56">
        <v>10357.199999999999</v>
      </c>
      <c r="AP56">
        <v>5</v>
      </c>
      <c r="AQ56">
        <v>5754</v>
      </c>
      <c r="AR56">
        <v>5</v>
      </c>
      <c r="AS56">
        <v>5754</v>
      </c>
      <c r="AT56">
        <v>9</v>
      </c>
      <c r="AU56">
        <v>10357.199999999999</v>
      </c>
      <c r="AV56">
        <v>8</v>
      </c>
      <c r="AW56">
        <v>9206.4</v>
      </c>
      <c r="AX56">
        <v>9</v>
      </c>
      <c r="AY56">
        <v>10357.199999999999</v>
      </c>
      <c r="AZ56">
        <v>5</v>
      </c>
      <c r="BA56">
        <v>5754</v>
      </c>
      <c r="BB56">
        <v>5</v>
      </c>
      <c r="BC56">
        <v>5754</v>
      </c>
      <c r="BD56">
        <v>7</v>
      </c>
      <c r="BE56">
        <v>8055.5999999999995</v>
      </c>
      <c r="BF56">
        <v>7</v>
      </c>
      <c r="BG56">
        <v>8055.5999999999995</v>
      </c>
      <c r="BH56">
        <v>8</v>
      </c>
      <c r="BI56">
        <v>9206.4</v>
      </c>
      <c r="BJ56">
        <v>6</v>
      </c>
      <c r="BK56">
        <v>6904.7999999999993</v>
      </c>
      <c r="BL56">
        <v>5</v>
      </c>
      <c r="BM56">
        <v>5754</v>
      </c>
      <c r="BN56">
        <v>6</v>
      </c>
      <c r="BO56">
        <v>6904.7999999999993</v>
      </c>
      <c r="BP56">
        <v>7</v>
      </c>
      <c r="BQ56">
        <v>8055.5999999999995</v>
      </c>
      <c r="BR56">
        <v>6</v>
      </c>
      <c r="BS56">
        <v>6904.7999999999993</v>
      </c>
      <c r="BT56">
        <v>5</v>
      </c>
      <c r="BU56">
        <v>5754</v>
      </c>
      <c r="BV56">
        <v>7</v>
      </c>
      <c r="BW56">
        <v>8055.5999999999995</v>
      </c>
      <c r="BX56">
        <v>8</v>
      </c>
      <c r="BY56">
        <v>9206.4</v>
      </c>
      <c r="BZ56">
        <v>5</v>
      </c>
      <c r="CA56">
        <v>5754</v>
      </c>
      <c r="CB56">
        <v>7</v>
      </c>
      <c r="CC56">
        <v>8055.5999999999995</v>
      </c>
      <c r="CD56">
        <v>5</v>
      </c>
      <c r="CE56">
        <v>5754</v>
      </c>
      <c r="CF56">
        <v>5</v>
      </c>
      <c r="CG56">
        <v>5754</v>
      </c>
      <c r="CH56">
        <v>9</v>
      </c>
      <c r="CI56">
        <v>10357.199999999999</v>
      </c>
      <c r="CJ56">
        <v>9</v>
      </c>
      <c r="CK56">
        <v>10357.199999999999</v>
      </c>
      <c r="CL56">
        <v>5</v>
      </c>
      <c r="CM56">
        <v>5754</v>
      </c>
      <c r="CN56">
        <v>6</v>
      </c>
      <c r="CO56">
        <v>6904.7999999999993</v>
      </c>
      <c r="CP56">
        <v>6</v>
      </c>
      <c r="CQ56">
        <v>6904.7999999999993</v>
      </c>
      <c r="CR56">
        <v>8</v>
      </c>
      <c r="CS56">
        <v>9206.4</v>
      </c>
      <c r="CT56">
        <v>4</v>
      </c>
      <c r="CU56">
        <v>4603.2</v>
      </c>
    </row>
    <row r="57" spans="2:99" x14ac:dyDescent="0.2">
      <c r="C57" s="105" t="s">
        <v>223</v>
      </c>
      <c r="D57">
        <v>7</v>
      </c>
      <c r="E57">
        <v>9878.4</v>
      </c>
      <c r="F57">
        <v>6</v>
      </c>
      <c r="G57">
        <v>8467.2000000000007</v>
      </c>
      <c r="H57">
        <v>7</v>
      </c>
      <c r="I57">
        <v>9878.4</v>
      </c>
      <c r="J57">
        <v>4</v>
      </c>
      <c r="K57">
        <v>5644.8</v>
      </c>
      <c r="L57">
        <v>4.3671614605610429</v>
      </c>
      <c r="M57">
        <v>6162.9382531437441</v>
      </c>
      <c r="N57">
        <v>6.3319336454218931</v>
      </c>
      <c r="O57">
        <v>8935.6247604193759</v>
      </c>
      <c r="P57">
        <v>8</v>
      </c>
      <c r="Q57">
        <v>11289.6</v>
      </c>
      <c r="R57">
        <v>8.3869493268194475</v>
      </c>
      <c r="S57">
        <v>11835.662890007605</v>
      </c>
      <c r="T57">
        <v>8</v>
      </c>
      <c r="U57">
        <v>11289.6</v>
      </c>
      <c r="V57">
        <v>5.4894116080843869</v>
      </c>
      <c r="W57">
        <v>7746.657661328687</v>
      </c>
      <c r="X57">
        <v>6</v>
      </c>
      <c r="Y57">
        <v>8467.2000000000007</v>
      </c>
      <c r="Z57">
        <v>5.495105334143509</v>
      </c>
      <c r="AA57">
        <v>7754.6926475433202</v>
      </c>
      <c r="AB57">
        <v>7</v>
      </c>
      <c r="AC57">
        <v>9878.4</v>
      </c>
      <c r="AD57">
        <v>4.9443515677917622</v>
      </c>
      <c r="AE57">
        <v>6977.4689324677347</v>
      </c>
      <c r="AF57">
        <v>7.0538743708032561</v>
      </c>
      <c r="AG57">
        <v>9954.4275120775546</v>
      </c>
      <c r="AH57">
        <v>6.074095506544813</v>
      </c>
      <c r="AI57">
        <v>8571.7635788360403</v>
      </c>
      <c r="AJ57">
        <v>5.7265974701079614</v>
      </c>
      <c r="AK57">
        <v>8081.3743498163558</v>
      </c>
      <c r="AL57">
        <v>6.346836208495013</v>
      </c>
      <c r="AM57">
        <v>8956.6552574281632</v>
      </c>
      <c r="AN57">
        <v>8.2355323845931565</v>
      </c>
      <c r="AO57">
        <v>11621.983301137863</v>
      </c>
      <c r="AP57">
        <v>5.3991803281500355</v>
      </c>
      <c r="AQ57">
        <v>7619.3232790853299</v>
      </c>
      <c r="AR57">
        <v>4.3713807625578287</v>
      </c>
      <c r="AS57">
        <v>6168.8925321216084</v>
      </c>
      <c r="AT57">
        <v>6.91970981861797</v>
      </c>
      <c r="AU57">
        <v>9765.0944960336801</v>
      </c>
      <c r="AV57">
        <v>6.298650264551708</v>
      </c>
      <c r="AW57">
        <v>8888.6552533353697</v>
      </c>
      <c r="AX57">
        <v>6.7691016573346277</v>
      </c>
      <c r="AY57">
        <v>9552.5562588306275</v>
      </c>
      <c r="AZ57">
        <v>4.2427190152099215</v>
      </c>
      <c r="BA57">
        <v>5987.3250742642413</v>
      </c>
      <c r="BB57">
        <v>4.4686902256608159</v>
      </c>
      <c r="BC57">
        <v>6306.2156464525433</v>
      </c>
      <c r="BD57">
        <v>5.6316290211841151</v>
      </c>
      <c r="BE57">
        <v>7947.3548746950237</v>
      </c>
      <c r="BF57">
        <v>7.3271699428290189</v>
      </c>
      <c r="BG57">
        <v>10340.102223320311</v>
      </c>
      <c r="BH57">
        <v>7.457991873588627</v>
      </c>
      <c r="BI57">
        <v>10524.718132008271</v>
      </c>
      <c r="BJ57">
        <v>4.5281405165708462</v>
      </c>
      <c r="BK57">
        <v>6390.1118969847785</v>
      </c>
      <c r="BL57">
        <v>5.2692152381254909</v>
      </c>
      <c r="BM57">
        <v>7435.9165440426932</v>
      </c>
      <c r="BN57">
        <v>6.1980520240075316</v>
      </c>
      <c r="BO57">
        <v>8746.6910162794284</v>
      </c>
      <c r="BP57">
        <v>7.3009576438650576</v>
      </c>
      <c r="BQ57">
        <v>10303.11142702237</v>
      </c>
      <c r="BR57">
        <v>5.9493463166147551</v>
      </c>
      <c r="BS57">
        <v>8395.717522006742</v>
      </c>
      <c r="BT57">
        <v>3.3941752121679372</v>
      </c>
      <c r="BU57">
        <v>4789.8600594113932</v>
      </c>
      <c r="BV57">
        <v>5.8694682812510903</v>
      </c>
      <c r="BW57">
        <v>8282.993638501539</v>
      </c>
      <c r="BX57">
        <v>8</v>
      </c>
      <c r="BY57">
        <v>11289.6</v>
      </c>
      <c r="BZ57">
        <v>4.2724372690157395</v>
      </c>
      <c r="CA57">
        <v>6029.2634740350122</v>
      </c>
      <c r="CB57">
        <v>7.3648361079476619</v>
      </c>
      <c r="CC57">
        <v>10393.256715535741</v>
      </c>
      <c r="CD57">
        <v>4.5990806828473572</v>
      </c>
      <c r="CE57">
        <v>6490.2226596341907</v>
      </c>
      <c r="CF57">
        <v>6</v>
      </c>
      <c r="CG57">
        <v>8467.2000000000007</v>
      </c>
      <c r="CH57">
        <v>6.9198822087276888</v>
      </c>
      <c r="CI57">
        <v>9765.3377729565145</v>
      </c>
      <c r="CJ57">
        <v>8.2538340352375332</v>
      </c>
      <c r="CK57">
        <v>11647.810590527208</v>
      </c>
      <c r="CL57">
        <v>5.183757897488551</v>
      </c>
      <c r="CM57">
        <v>7315.3191449358437</v>
      </c>
      <c r="CN57">
        <v>5.9532519688642171</v>
      </c>
      <c r="CO57">
        <v>8401.2291784611843</v>
      </c>
      <c r="CP57">
        <v>6.1698239403465651</v>
      </c>
      <c r="CQ57">
        <v>8706.8555446170722</v>
      </c>
      <c r="CR57">
        <v>6.4591009030414099</v>
      </c>
      <c r="CS57">
        <v>9115.0831943720386</v>
      </c>
      <c r="CT57">
        <v>5.2336715085606542</v>
      </c>
      <c r="CU57">
        <v>7385.7572328807955</v>
      </c>
    </row>
    <row r="58" spans="2:99" x14ac:dyDescent="0.2">
      <c r="C58" s="105" t="s">
        <v>224</v>
      </c>
      <c r="D58">
        <v>7</v>
      </c>
      <c r="E58">
        <v>8240.4</v>
      </c>
      <c r="F58">
        <v>6</v>
      </c>
      <c r="G58">
        <v>7063.2000000000007</v>
      </c>
      <c r="H58">
        <v>8</v>
      </c>
      <c r="I58">
        <v>9417.6</v>
      </c>
      <c r="J58">
        <v>5</v>
      </c>
      <c r="K58">
        <v>5886</v>
      </c>
      <c r="L58">
        <v>5</v>
      </c>
      <c r="M58">
        <v>5886</v>
      </c>
      <c r="N58">
        <v>6</v>
      </c>
      <c r="O58">
        <v>7063.2000000000007</v>
      </c>
      <c r="P58">
        <v>9</v>
      </c>
      <c r="Q58">
        <v>10594.800000000001</v>
      </c>
      <c r="R58">
        <v>9</v>
      </c>
      <c r="S58">
        <v>10594.800000000001</v>
      </c>
      <c r="T58">
        <v>7</v>
      </c>
      <c r="U58">
        <v>8240.4</v>
      </c>
      <c r="V58">
        <v>6</v>
      </c>
      <c r="W58">
        <v>7063.2000000000007</v>
      </c>
      <c r="X58">
        <v>6</v>
      </c>
      <c r="Y58">
        <v>7063.2000000000007</v>
      </c>
      <c r="Z58">
        <v>5</v>
      </c>
      <c r="AA58">
        <v>5886</v>
      </c>
      <c r="AB58">
        <v>6</v>
      </c>
      <c r="AC58">
        <v>7063.2000000000007</v>
      </c>
      <c r="AD58">
        <v>5</v>
      </c>
      <c r="AE58">
        <v>5886</v>
      </c>
      <c r="AF58">
        <v>8</v>
      </c>
      <c r="AG58">
        <v>9417.6</v>
      </c>
      <c r="AH58">
        <v>6</v>
      </c>
      <c r="AI58">
        <v>7063.2000000000007</v>
      </c>
      <c r="AJ58">
        <v>6</v>
      </c>
      <c r="AK58">
        <v>7063.2000000000007</v>
      </c>
      <c r="AL58">
        <v>6</v>
      </c>
      <c r="AM58">
        <v>7063.2000000000007</v>
      </c>
      <c r="AN58">
        <v>8</v>
      </c>
      <c r="AO58">
        <v>9417.6</v>
      </c>
      <c r="AP58">
        <v>5</v>
      </c>
      <c r="AQ58">
        <v>5886</v>
      </c>
      <c r="AR58">
        <v>5</v>
      </c>
      <c r="AS58">
        <v>5886</v>
      </c>
      <c r="AT58">
        <v>8</v>
      </c>
      <c r="AU58">
        <v>9417.6</v>
      </c>
      <c r="AV58">
        <v>8</v>
      </c>
      <c r="AW58">
        <v>9417.6</v>
      </c>
      <c r="AX58">
        <v>9</v>
      </c>
      <c r="AY58">
        <v>10594.800000000001</v>
      </c>
      <c r="AZ58">
        <v>5</v>
      </c>
      <c r="BA58">
        <v>5886</v>
      </c>
      <c r="BB58">
        <v>5</v>
      </c>
      <c r="BC58">
        <v>5886</v>
      </c>
      <c r="BD58">
        <v>7</v>
      </c>
      <c r="BE58">
        <v>8240.4</v>
      </c>
      <c r="BF58">
        <v>6</v>
      </c>
      <c r="BG58">
        <v>7063.2000000000007</v>
      </c>
      <c r="BH58">
        <v>8</v>
      </c>
      <c r="BI58">
        <v>9417.6</v>
      </c>
      <c r="BJ58">
        <v>5</v>
      </c>
      <c r="BK58">
        <v>5886</v>
      </c>
      <c r="BL58">
        <v>6</v>
      </c>
      <c r="BM58">
        <v>7063.2000000000007</v>
      </c>
      <c r="BN58">
        <v>7</v>
      </c>
      <c r="BO58">
        <v>8240.4</v>
      </c>
      <c r="BP58">
        <v>8</v>
      </c>
      <c r="BQ58">
        <v>9417.6</v>
      </c>
      <c r="BR58">
        <v>6</v>
      </c>
      <c r="BS58">
        <v>7063.2000000000007</v>
      </c>
      <c r="BT58">
        <v>5</v>
      </c>
      <c r="BU58">
        <v>5886</v>
      </c>
      <c r="BV58">
        <v>7</v>
      </c>
      <c r="BW58">
        <v>8240.4</v>
      </c>
      <c r="BX58">
        <v>9</v>
      </c>
      <c r="BY58">
        <v>10594.800000000001</v>
      </c>
      <c r="BZ58">
        <v>5</v>
      </c>
      <c r="CA58">
        <v>5886</v>
      </c>
      <c r="CB58">
        <v>7</v>
      </c>
      <c r="CC58">
        <v>8240.4</v>
      </c>
      <c r="CD58">
        <v>5</v>
      </c>
      <c r="CE58">
        <v>5886</v>
      </c>
      <c r="CF58">
        <v>5</v>
      </c>
      <c r="CG58">
        <v>5886</v>
      </c>
      <c r="CH58">
        <v>8</v>
      </c>
      <c r="CI58">
        <v>9417.6</v>
      </c>
      <c r="CJ58">
        <v>8</v>
      </c>
      <c r="CK58">
        <v>9417.6</v>
      </c>
      <c r="CL58">
        <v>5</v>
      </c>
      <c r="CM58">
        <v>5886</v>
      </c>
      <c r="CN58">
        <v>5</v>
      </c>
      <c r="CO58">
        <v>5886</v>
      </c>
      <c r="CP58">
        <v>6</v>
      </c>
      <c r="CQ58">
        <v>7063.2000000000007</v>
      </c>
      <c r="CR58">
        <v>7</v>
      </c>
      <c r="CS58">
        <v>8240.4</v>
      </c>
      <c r="CT58">
        <v>4</v>
      </c>
      <c r="CU58">
        <v>4708.8</v>
      </c>
    </row>
    <row r="59" spans="2:99" x14ac:dyDescent="0.2">
      <c r="C59" s="105" t="s">
        <v>225</v>
      </c>
      <c r="D59">
        <v>8</v>
      </c>
      <c r="E59">
        <v>2428.7999999999997</v>
      </c>
      <c r="F59">
        <v>6</v>
      </c>
      <c r="G59">
        <v>1821.6</v>
      </c>
      <c r="H59">
        <v>8</v>
      </c>
      <c r="I59">
        <v>2428.7999999999997</v>
      </c>
      <c r="J59">
        <v>5</v>
      </c>
      <c r="K59">
        <v>1517.9999999999998</v>
      </c>
      <c r="L59">
        <v>5.4130566431311733</v>
      </c>
      <c r="M59">
        <v>1643.403996854624</v>
      </c>
      <c r="N59">
        <v>6.3319336454218931</v>
      </c>
      <c r="O59">
        <v>1922.3750547500865</v>
      </c>
      <c r="P59">
        <v>9</v>
      </c>
      <c r="Q59">
        <v>2732.3999999999996</v>
      </c>
      <c r="R59">
        <v>10.483686658524309</v>
      </c>
      <c r="S59">
        <v>3182.8472695279802</v>
      </c>
      <c r="T59">
        <v>8</v>
      </c>
      <c r="U59">
        <v>2428.7999999999997</v>
      </c>
      <c r="V59">
        <v>5.4894116080843869</v>
      </c>
      <c r="W59">
        <v>1666.5853642144198</v>
      </c>
      <c r="X59">
        <v>6</v>
      </c>
      <c r="Y59">
        <v>1821.6</v>
      </c>
      <c r="Z59">
        <v>5.495105334143509</v>
      </c>
      <c r="AA59">
        <v>1668.3139794459692</v>
      </c>
      <c r="AB59">
        <v>8</v>
      </c>
      <c r="AC59">
        <v>2428.7999999999997</v>
      </c>
      <c r="AD59">
        <v>5.8799130204344792</v>
      </c>
      <c r="AE59">
        <v>1785.1415930039077</v>
      </c>
      <c r="AF59">
        <v>8.7926769871236452</v>
      </c>
      <c r="AG59">
        <v>2669.4567332907382</v>
      </c>
      <c r="AH59">
        <v>6.074095506544813</v>
      </c>
      <c r="AI59">
        <v>1844.0953957870049</v>
      </c>
      <c r="AJ59">
        <v>6.6810303817926213</v>
      </c>
      <c r="AK59">
        <v>2028.3608239122395</v>
      </c>
      <c r="AL59">
        <v>7.3963842382800147</v>
      </c>
      <c r="AM59">
        <v>2245.542254741812</v>
      </c>
      <c r="AN59">
        <v>9.2698033584215196</v>
      </c>
      <c r="AO59">
        <v>2814.3122996167731</v>
      </c>
      <c r="AP59">
        <v>6.4490778691687902</v>
      </c>
      <c r="AQ59">
        <v>1957.9400410796445</v>
      </c>
      <c r="AR59">
        <v>4.3713807625578287</v>
      </c>
      <c r="AS59">
        <v>1327.1511995125566</v>
      </c>
      <c r="AT59">
        <v>7.0015921638525125</v>
      </c>
      <c r="AU59">
        <v>2125.6833809456225</v>
      </c>
      <c r="AV59">
        <v>7.198457445201953</v>
      </c>
      <c r="AW59">
        <v>2185.4516803633128</v>
      </c>
      <c r="AX59">
        <v>6.7691016573346277</v>
      </c>
      <c r="AY59">
        <v>2055.0992631667928</v>
      </c>
      <c r="AZ59">
        <v>4.2427190152099215</v>
      </c>
      <c r="BA59">
        <v>1288.0894930177319</v>
      </c>
      <c r="BB59">
        <v>5.5775510113953413</v>
      </c>
      <c r="BC59">
        <v>1693.3444870596254</v>
      </c>
      <c r="BD59">
        <v>7.5088386949121535</v>
      </c>
      <c r="BE59">
        <v>2279.6834277753296</v>
      </c>
      <c r="BF59">
        <v>8.2331941969082933</v>
      </c>
      <c r="BG59">
        <v>2499.5977581813577</v>
      </c>
      <c r="BH59">
        <v>8.2866576373206957</v>
      </c>
      <c r="BI59">
        <v>2515.8292586905627</v>
      </c>
      <c r="BJ59">
        <v>5.4163467713814208</v>
      </c>
      <c r="BK59">
        <v>1644.4028797913991</v>
      </c>
      <c r="BL59">
        <v>6.3461338775899163</v>
      </c>
      <c r="BM59">
        <v>1926.6862452362984</v>
      </c>
      <c r="BN59">
        <v>7.2376624288090383</v>
      </c>
      <c r="BO59">
        <v>2197.3543133864237</v>
      </c>
      <c r="BP59">
        <v>8.8504773625790918</v>
      </c>
      <c r="BQ59">
        <v>2687.004927279012</v>
      </c>
      <c r="BR59">
        <v>6.9385078589714277</v>
      </c>
      <c r="BS59">
        <v>2106.5309859837253</v>
      </c>
      <c r="BT59">
        <v>4.2427190152099215</v>
      </c>
      <c r="BU59">
        <v>1288.0894930177319</v>
      </c>
      <c r="BV59">
        <v>7.2478444488496647</v>
      </c>
      <c r="BW59">
        <v>2200.4455746707581</v>
      </c>
      <c r="BX59">
        <v>10</v>
      </c>
      <c r="BY59">
        <v>3035.9999999999995</v>
      </c>
      <c r="BZ59">
        <v>5.331991315533978</v>
      </c>
      <c r="CA59">
        <v>1618.7925633961156</v>
      </c>
      <c r="CB59">
        <v>8.2946339152255479</v>
      </c>
      <c r="CC59">
        <v>2518.2508566624761</v>
      </c>
      <c r="CD59">
        <v>4.7234946103873678</v>
      </c>
      <c r="CE59">
        <v>1434.0529637136046</v>
      </c>
      <c r="CF59">
        <v>5</v>
      </c>
      <c r="CG59">
        <v>1517.9999999999998</v>
      </c>
      <c r="CH59">
        <v>6.9467648568149567</v>
      </c>
      <c r="CI59">
        <v>2109.0378105290206</v>
      </c>
      <c r="CJ59">
        <v>9.2213092599767243</v>
      </c>
      <c r="CK59">
        <v>2799.589491328933</v>
      </c>
      <c r="CL59">
        <v>6.220509476986261</v>
      </c>
      <c r="CM59">
        <v>1888.5466772130287</v>
      </c>
      <c r="CN59">
        <v>5.9873568015844958</v>
      </c>
      <c r="CO59">
        <v>1817.7615249610528</v>
      </c>
      <c r="CP59">
        <v>6.1698239403465651</v>
      </c>
      <c r="CQ59">
        <v>1873.1585482892169</v>
      </c>
      <c r="CR59">
        <v>7.2664885159215862</v>
      </c>
      <c r="CS59">
        <v>2206.1059134337934</v>
      </c>
      <c r="CT59">
        <v>5.2336715085606542</v>
      </c>
      <c r="CU59">
        <v>1588.9426699990145</v>
      </c>
    </row>
    <row r="60" spans="2:99" x14ac:dyDescent="0.2">
      <c r="C60" s="105" t="s">
        <v>226</v>
      </c>
      <c r="D60">
        <v>7</v>
      </c>
      <c r="E60">
        <v>4561.2</v>
      </c>
      <c r="F60">
        <v>7</v>
      </c>
      <c r="G60">
        <v>4561.2</v>
      </c>
      <c r="H60">
        <v>7</v>
      </c>
      <c r="I60">
        <v>4561.2</v>
      </c>
      <c r="J60">
        <v>5</v>
      </c>
      <c r="K60">
        <v>3258</v>
      </c>
      <c r="L60">
        <v>5.3671614605610429</v>
      </c>
      <c r="M60">
        <v>3497.2424077015758</v>
      </c>
      <c r="N60">
        <v>6.3793527376250205</v>
      </c>
      <c r="O60">
        <v>4156.7862438364637</v>
      </c>
      <c r="P60">
        <v>9</v>
      </c>
      <c r="Q60">
        <v>5864.4000000000005</v>
      </c>
      <c r="R60">
        <v>9.4836866585243094</v>
      </c>
      <c r="S60">
        <v>6179.57022669444</v>
      </c>
      <c r="T60">
        <v>9</v>
      </c>
      <c r="U60">
        <v>5864.4000000000005</v>
      </c>
      <c r="V60">
        <v>5.5383527688928256</v>
      </c>
      <c r="W60">
        <v>3608.7906642105654</v>
      </c>
      <c r="X60">
        <v>6</v>
      </c>
      <c r="Y60">
        <v>3909.6000000000004</v>
      </c>
      <c r="Z60">
        <v>5.495105334143509</v>
      </c>
      <c r="AA60">
        <v>3580.6106357279104</v>
      </c>
      <c r="AB60">
        <v>8</v>
      </c>
      <c r="AC60">
        <v>5212.8</v>
      </c>
      <c r="AD60">
        <v>5.8799130204344792</v>
      </c>
      <c r="AE60">
        <v>3831.3513241151068</v>
      </c>
      <c r="AF60">
        <v>8.7926769871236452</v>
      </c>
      <c r="AG60">
        <v>5729.3083248097673</v>
      </c>
      <c r="AH60">
        <v>6.074095506544813</v>
      </c>
      <c r="AI60">
        <v>3957.8806320646004</v>
      </c>
      <c r="AJ60">
        <v>5.7265974701079614</v>
      </c>
      <c r="AK60">
        <v>3731.4509115223477</v>
      </c>
      <c r="AL60">
        <v>6.3963842382800147</v>
      </c>
      <c r="AM60">
        <v>4167.8839696632576</v>
      </c>
      <c r="AN60">
        <v>8.2741677906269047</v>
      </c>
      <c r="AO60">
        <v>5391.4477323724914</v>
      </c>
      <c r="AP60">
        <v>6.3991803281500355</v>
      </c>
      <c r="AQ60">
        <v>4169.7059018225636</v>
      </c>
      <c r="AR60">
        <v>4.3713807625578287</v>
      </c>
      <c r="AS60">
        <v>2848.3917048826811</v>
      </c>
      <c r="AT60">
        <v>7.7437323733279451</v>
      </c>
      <c r="AU60">
        <v>5045.816014460489</v>
      </c>
      <c r="AV60">
        <v>8.0982646258521971</v>
      </c>
      <c r="AW60">
        <v>5276.8292302052914</v>
      </c>
      <c r="AX60">
        <v>6.7691016573346277</v>
      </c>
      <c r="AY60">
        <v>4410.7466399192435</v>
      </c>
      <c r="AZ60">
        <v>4.2427190152099215</v>
      </c>
      <c r="BA60">
        <v>2764.5557103107849</v>
      </c>
      <c r="BB60">
        <v>4.4819890587499032</v>
      </c>
      <c r="BC60">
        <v>2920.4640706814371</v>
      </c>
      <c r="BD60">
        <v>6.5702338580481339</v>
      </c>
      <c r="BE60">
        <v>4281.1643819041637</v>
      </c>
      <c r="BF60">
        <v>6.6139155423422817</v>
      </c>
      <c r="BG60">
        <v>4309.6273673902306</v>
      </c>
      <c r="BH60">
        <v>6.6293261098565575</v>
      </c>
      <c r="BI60">
        <v>4319.6688931825329</v>
      </c>
      <c r="BJ60">
        <v>4.5281405165708462</v>
      </c>
      <c r="BK60">
        <v>2950.5363605975635</v>
      </c>
      <c r="BL60">
        <v>6.3076745578577036</v>
      </c>
      <c r="BM60">
        <v>4110.0807419000794</v>
      </c>
      <c r="BN60">
        <v>6.1980520240075316</v>
      </c>
      <c r="BO60">
        <v>4038.650698843308</v>
      </c>
      <c r="BP60">
        <v>8.3009576438650576</v>
      </c>
      <c r="BQ60">
        <v>5408.9040007424719</v>
      </c>
      <c r="BR60">
        <v>6.1006578631070214</v>
      </c>
      <c r="BS60">
        <v>3975.1886636005352</v>
      </c>
      <c r="BT60">
        <v>4.2427190152099215</v>
      </c>
      <c r="BU60">
        <v>2764.5557103107849</v>
      </c>
      <c r="BV60">
        <v>6.5363830017284492</v>
      </c>
      <c r="BW60">
        <v>4259.1071639262573</v>
      </c>
      <c r="BX60">
        <v>8</v>
      </c>
      <c r="BY60">
        <v>5212.8</v>
      </c>
      <c r="BZ60">
        <v>5.2635491496484148</v>
      </c>
      <c r="CA60">
        <v>3429.7286259109073</v>
      </c>
      <c r="CB60">
        <v>7.3648361079476619</v>
      </c>
      <c r="CC60">
        <v>4798.9272079386965</v>
      </c>
      <c r="CD60">
        <v>4.6050002445762495</v>
      </c>
      <c r="CE60">
        <v>3000.6181593658844</v>
      </c>
      <c r="CF60">
        <v>5</v>
      </c>
      <c r="CG60">
        <v>3258</v>
      </c>
      <c r="CH60">
        <v>7.6678492834073344</v>
      </c>
      <c r="CI60">
        <v>4996.370593068219</v>
      </c>
      <c r="CJ60">
        <v>9.1864290301755549</v>
      </c>
      <c r="CK60">
        <v>5985.8771560623918</v>
      </c>
      <c r="CL60">
        <v>6.183757897488551</v>
      </c>
      <c r="CM60">
        <v>4029.33664600354</v>
      </c>
      <c r="CN60">
        <v>5.9532519688642171</v>
      </c>
      <c r="CO60">
        <v>3879.1389829119239</v>
      </c>
      <c r="CP60">
        <v>6.2902810419190835</v>
      </c>
      <c r="CQ60">
        <v>4098.7471269144753</v>
      </c>
      <c r="CR60">
        <v>7.2664885159215862</v>
      </c>
      <c r="CS60">
        <v>4734.8439169745061</v>
      </c>
      <c r="CT60">
        <v>4.4947966639137</v>
      </c>
      <c r="CU60">
        <v>2928.809506206167</v>
      </c>
    </row>
    <row r="61" spans="2:99" x14ac:dyDescent="0.2">
      <c r="C61" s="105" t="s">
        <v>227</v>
      </c>
      <c r="D61">
        <v>8</v>
      </c>
      <c r="E61">
        <v>7612.7999999999993</v>
      </c>
      <c r="F61">
        <v>6</v>
      </c>
      <c r="G61">
        <v>5709.5999999999995</v>
      </c>
      <c r="H61">
        <v>8</v>
      </c>
      <c r="I61">
        <v>7612.7999999999993</v>
      </c>
      <c r="J61">
        <v>5</v>
      </c>
      <c r="K61">
        <v>4758</v>
      </c>
      <c r="L61">
        <v>5.4130566431311733</v>
      </c>
      <c r="M61">
        <v>5151.0647016036237</v>
      </c>
      <c r="N61">
        <v>6.3793527376250205</v>
      </c>
      <c r="O61">
        <v>6070.5920651239694</v>
      </c>
      <c r="P61">
        <v>8</v>
      </c>
      <c r="Q61">
        <v>7612.7999999999993</v>
      </c>
      <c r="R61">
        <v>9.4353179926718784</v>
      </c>
      <c r="S61">
        <v>8978.6486018265587</v>
      </c>
      <c r="T61">
        <v>8</v>
      </c>
      <c r="U61">
        <v>7612.7999999999993</v>
      </c>
      <c r="V61">
        <v>6.4894116080843869</v>
      </c>
      <c r="W61">
        <v>6175.324086253102</v>
      </c>
      <c r="X61">
        <v>7</v>
      </c>
      <c r="Y61">
        <v>6661.1999999999989</v>
      </c>
      <c r="Z61">
        <v>5.4455948007291584</v>
      </c>
      <c r="AA61">
        <v>5182.0280123738667</v>
      </c>
      <c r="AB61">
        <v>8</v>
      </c>
      <c r="AC61">
        <v>7612.7999999999993</v>
      </c>
      <c r="AD61">
        <v>4.9443515677917622</v>
      </c>
      <c r="AE61">
        <v>4705.0449519106405</v>
      </c>
      <c r="AF61">
        <v>7.0538743708032561</v>
      </c>
      <c r="AG61">
        <v>6712.4668512563776</v>
      </c>
      <c r="AH61">
        <v>6.0381165435874982</v>
      </c>
      <c r="AI61">
        <v>5745.8717028778628</v>
      </c>
      <c r="AJ61">
        <v>6.6810303817926213</v>
      </c>
      <c r="AK61">
        <v>6357.6685113138583</v>
      </c>
      <c r="AL61">
        <v>6.346836208495013</v>
      </c>
      <c r="AM61">
        <v>6039.6493360038539</v>
      </c>
      <c r="AN61">
        <v>9.2311679523877697</v>
      </c>
      <c r="AO61">
        <v>8784.3794234922007</v>
      </c>
      <c r="AP61">
        <v>5.3991803281500355</v>
      </c>
      <c r="AQ61">
        <v>5137.860000267573</v>
      </c>
      <c r="AR61">
        <v>4.3713807625578287</v>
      </c>
      <c r="AS61">
        <v>4159.8059336500291</v>
      </c>
      <c r="AT61">
        <v>7.8256147185624867</v>
      </c>
      <c r="AU61">
        <v>7446.8549661840616</v>
      </c>
      <c r="AV61">
        <v>7.198457445201953</v>
      </c>
      <c r="AW61">
        <v>6850.0521048541777</v>
      </c>
      <c r="AX61">
        <v>7.5798627676165884</v>
      </c>
      <c r="AY61">
        <v>7212.9974096639444</v>
      </c>
      <c r="AZ61">
        <v>4.2427190152099215</v>
      </c>
      <c r="BA61">
        <v>4037.3714148737608</v>
      </c>
      <c r="BB61">
        <v>5.5842004279398845</v>
      </c>
      <c r="BC61">
        <v>5313.9251272275933</v>
      </c>
      <c r="BD61">
        <v>5.6316290211841151</v>
      </c>
      <c r="BE61">
        <v>5359.0581765588031</v>
      </c>
      <c r="BF61">
        <v>7.4913366368747036</v>
      </c>
      <c r="BG61">
        <v>7128.7559436499669</v>
      </c>
      <c r="BH61">
        <v>7.457991873588627</v>
      </c>
      <c r="BI61">
        <v>7097.0250669069364</v>
      </c>
      <c r="BJ61">
        <v>4.5571769307435011</v>
      </c>
      <c r="BK61">
        <v>4336.6095672955153</v>
      </c>
      <c r="BL61">
        <v>5.2692152381254909</v>
      </c>
      <c r="BM61">
        <v>5014.1852206002168</v>
      </c>
      <c r="BN61">
        <v>7.2376624288090383</v>
      </c>
      <c r="BO61">
        <v>6887.3595672546799</v>
      </c>
      <c r="BP61">
        <v>7.3009576438650576</v>
      </c>
      <c r="BQ61">
        <v>6947.5912939019881</v>
      </c>
      <c r="BR61">
        <v>5.9565348478521178</v>
      </c>
      <c r="BS61">
        <v>5668.2385612160751</v>
      </c>
      <c r="BT61">
        <v>3.3941752121679372</v>
      </c>
      <c r="BU61">
        <v>3229.8971318990089</v>
      </c>
      <c r="BV61">
        <v>5.1580068341298757</v>
      </c>
      <c r="BW61">
        <v>4908.3593033579891</v>
      </c>
      <c r="BX61">
        <v>9</v>
      </c>
      <c r="BY61">
        <v>8564.4</v>
      </c>
      <c r="BZ61">
        <v>5.2635491496484148</v>
      </c>
      <c r="CA61">
        <v>5008.7933708054306</v>
      </c>
      <c r="CB61">
        <v>6.4718114758074892</v>
      </c>
      <c r="CC61">
        <v>6158.5758003784058</v>
      </c>
      <c r="CD61">
        <v>4.6050002445762495</v>
      </c>
      <c r="CE61">
        <v>4382.1182327387587</v>
      </c>
      <c r="CF61">
        <v>5</v>
      </c>
      <c r="CG61">
        <v>4758</v>
      </c>
      <c r="CH61">
        <v>7.6947319314946032</v>
      </c>
      <c r="CI61">
        <v>7322.3069060102634</v>
      </c>
      <c r="CJ61">
        <v>8.2887142650387009</v>
      </c>
      <c r="CK61">
        <v>7887.5404946108274</v>
      </c>
      <c r="CL61">
        <v>5.183757897488551</v>
      </c>
      <c r="CM61">
        <v>4932.8640152501048</v>
      </c>
      <c r="CN61">
        <v>5.9191471361439385</v>
      </c>
      <c r="CO61">
        <v>5632.6604147545713</v>
      </c>
      <c r="CP61">
        <v>6.284442319225561</v>
      </c>
      <c r="CQ61">
        <v>5980.2753109750429</v>
      </c>
      <c r="CR61">
        <v>7.2664885159215862</v>
      </c>
      <c r="CS61">
        <v>6914.7904717509809</v>
      </c>
      <c r="CT61">
        <v>4.364223258909437</v>
      </c>
      <c r="CU61">
        <v>4152.9948531782202</v>
      </c>
    </row>
    <row r="62" spans="2:99" x14ac:dyDescent="0.2">
      <c r="C62" s="105" t="s">
        <v>228</v>
      </c>
      <c r="D62">
        <v>6</v>
      </c>
      <c r="E62">
        <v>10231.200000000001</v>
      </c>
      <c r="F62">
        <v>6</v>
      </c>
      <c r="G62">
        <v>10231.200000000001</v>
      </c>
      <c r="H62">
        <v>7</v>
      </c>
      <c r="I62">
        <v>11936.4</v>
      </c>
      <c r="J62">
        <v>4</v>
      </c>
      <c r="K62">
        <v>6820.8</v>
      </c>
      <c r="L62">
        <v>5.3212662779909126</v>
      </c>
      <c r="M62">
        <v>9073.823257230104</v>
      </c>
      <c r="N62">
        <v>6.3319336454218931</v>
      </c>
      <c r="O62">
        <v>10797.213252173413</v>
      </c>
      <c r="P62">
        <v>7</v>
      </c>
      <c r="Q62">
        <v>11936.4</v>
      </c>
      <c r="R62">
        <v>8.4836866585243094</v>
      </c>
      <c r="S62">
        <v>14466.382490115653</v>
      </c>
      <c r="T62">
        <v>7</v>
      </c>
      <c r="U62">
        <v>11936.4</v>
      </c>
      <c r="V62">
        <v>5.4404704472759482</v>
      </c>
      <c r="W62">
        <v>9277.0902066949475</v>
      </c>
      <c r="X62">
        <v>6</v>
      </c>
      <c r="Y62">
        <v>10231.200000000001</v>
      </c>
      <c r="Z62">
        <v>4.495105334143509</v>
      </c>
      <c r="AA62">
        <v>7665.0536157815113</v>
      </c>
      <c r="AB62">
        <v>7</v>
      </c>
      <c r="AC62">
        <v>11936.4</v>
      </c>
      <c r="AD62">
        <v>4.9443515677917622</v>
      </c>
      <c r="AE62">
        <v>8431.1082933985126</v>
      </c>
      <c r="AF62">
        <v>7.0867623393104839</v>
      </c>
      <c r="AG62">
        <v>12084.347140992237</v>
      </c>
      <c r="AH62">
        <v>5.0737392431064494</v>
      </c>
      <c r="AI62">
        <v>8651.740157345117</v>
      </c>
      <c r="AJ62">
        <v>5.7265974701079614</v>
      </c>
      <c r="AK62">
        <v>9764.9940060280969</v>
      </c>
      <c r="AL62">
        <v>5.346836208495013</v>
      </c>
      <c r="AM62">
        <v>9117.425102725696</v>
      </c>
      <c r="AN62">
        <v>7.2398968167985425</v>
      </c>
      <c r="AO62">
        <v>12345.472052004874</v>
      </c>
      <c r="AP62">
        <v>5.3492827871312807</v>
      </c>
      <c r="AQ62">
        <v>9121.5970086162597</v>
      </c>
      <c r="AR62">
        <v>4.3713807625578287</v>
      </c>
      <c r="AS62">
        <v>7454.0784763136098</v>
      </c>
      <c r="AT62">
        <v>6.095687263907994</v>
      </c>
      <c r="AU62">
        <v>10394.365922415911</v>
      </c>
      <c r="AV62">
        <v>7.198457445201953</v>
      </c>
      <c r="AW62">
        <v>12274.809635558371</v>
      </c>
      <c r="AX62">
        <v>6.7691016573346277</v>
      </c>
      <c r="AY62">
        <v>11542.672146087007</v>
      </c>
      <c r="AZ62">
        <v>4.2427190152099215</v>
      </c>
      <c r="BA62">
        <v>7234.6844647359585</v>
      </c>
      <c r="BB62">
        <v>5.3097897286221869</v>
      </c>
      <c r="BC62">
        <v>9054.2534452465534</v>
      </c>
      <c r="BD62">
        <v>5.6316290211841151</v>
      </c>
      <c r="BE62">
        <v>9603.0538069231534</v>
      </c>
      <c r="BF62">
        <v>7.3271699428290189</v>
      </c>
      <c r="BG62">
        <v>12494.290186512044</v>
      </c>
      <c r="BH62">
        <v>6.6293261098565575</v>
      </c>
      <c r="BI62">
        <v>11304.326882527403</v>
      </c>
      <c r="BJ62">
        <v>5.3582739430361102</v>
      </c>
      <c r="BK62">
        <v>9136.9287276651758</v>
      </c>
      <c r="BL62">
        <v>5.3076745578577036</v>
      </c>
      <c r="BM62">
        <v>9050.6466560589561</v>
      </c>
      <c r="BN62">
        <v>6.1980520240075316</v>
      </c>
      <c r="BO62">
        <v>10568.918311337644</v>
      </c>
      <c r="BP62">
        <v>7.2675179056578285</v>
      </c>
      <c r="BQ62">
        <v>12392.57153272773</v>
      </c>
      <c r="BR62">
        <v>5.9493463166147551</v>
      </c>
      <c r="BS62">
        <v>10144.825339091482</v>
      </c>
      <c r="BT62">
        <v>3.3941752121679372</v>
      </c>
      <c r="BU62">
        <v>5787.7475717887664</v>
      </c>
      <c r="BV62">
        <v>6.4148866850010808</v>
      </c>
      <c r="BW62">
        <v>10938.664775263844</v>
      </c>
      <c r="BX62">
        <v>9</v>
      </c>
      <c r="BY62">
        <v>15346.800000000001</v>
      </c>
      <c r="BZ62">
        <v>5.2293280667056328</v>
      </c>
      <c r="CA62">
        <v>8917.0502193464454</v>
      </c>
      <c r="CB62">
        <v>6.4718114758074892</v>
      </c>
      <c r="CC62">
        <v>11035.732928546931</v>
      </c>
      <c r="CD62">
        <v>4.7234946103873678</v>
      </c>
      <c r="CE62">
        <v>8054.5030096325399</v>
      </c>
      <c r="CF62">
        <v>4</v>
      </c>
      <c r="CG62">
        <v>6820.8</v>
      </c>
      <c r="CH62">
        <v>6.1719151340480423</v>
      </c>
      <c r="CI62">
        <v>10524.349686578722</v>
      </c>
      <c r="CJ62">
        <v>7.390999499901846</v>
      </c>
      <c r="CK62">
        <v>12603.132347232628</v>
      </c>
      <c r="CL62">
        <v>5.183757897488551</v>
      </c>
      <c r="CM62">
        <v>8839.3439667974781</v>
      </c>
      <c r="CN62">
        <v>5.9191471361439385</v>
      </c>
      <c r="CO62">
        <v>10093.329696552644</v>
      </c>
      <c r="CP62">
        <v>5.2839994763545839</v>
      </c>
      <c r="CQ62">
        <v>9010.2759070798365</v>
      </c>
      <c r="CR62">
        <v>6.4591009030414099</v>
      </c>
      <c r="CS62">
        <v>11014.058859866213</v>
      </c>
      <c r="CT62">
        <v>5.2336715085606542</v>
      </c>
      <c r="CU62">
        <v>8924.4566563976277</v>
      </c>
    </row>
    <row r="63" spans="2:99" x14ac:dyDescent="0.2">
      <c r="C63" s="105" t="s">
        <v>229</v>
      </c>
      <c r="D63">
        <v>8</v>
      </c>
      <c r="E63">
        <v>6364.8</v>
      </c>
      <c r="F63">
        <v>7</v>
      </c>
      <c r="G63">
        <v>5569.2</v>
      </c>
      <c r="H63">
        <v>8</v>
      </c>
      <c r="I63">
        <v>6364.8</v>
      </c>
      <c r="J63">
        <v>5</v>
      </c>
      <c r="K63">
        <v>3978</v>
      </c>
      <c r="L63">
        <v>5.3671614605610429</v>
      </c>
      <c r="M63">
        <v>4270.1136580223656</v>
      </c>
      <c r="N63">
        <v>6.3793527376250205</v>
      </c>
      <c r="O63">
        <v>5075.4130380544666</v>
      </c>
      <c r="P63">
        <v>8</v>
      </c>
      <c r="Q63">
        <v>6364.8</v>
      </c>
      <c r="R63">
        <v>9.4353179926718784</v>
      </c>
      <c r="S63">
        <v>7506.7389949697463</v>
      </c>
      <c r="T63">
        <v>8</v>
      </c>
      <c r="U63">
        <v>6364.8</v>
      </c>
      <c r="V63">
        <v>5.4404704472759482</v>
      </c>
      <c r="W63">
        <v>4328.4382878527449</v>
      </c>
      <c r="X63">
        <v>6</v>
      </c>
      <c r="Y63">
        <v>4773.6000000000004</v>
      </c>
      <c r="Z63">
        <v>5.4455948007291584</v>
      </c>
      <c r="AA63">
        <v>4332.5152234601182</v>
      </c>
      <c r="AB63">
        <v>7</v>
      </c>
      <c r="AC63">
        <v>5569.2</v>
      </c>
      <c r="AD63">
        <v>5.8799130204344792</v>
      </c>
      <c r="AE63">
        <v>4678.0587990576714</v>
      </c>
      <c r="AF63">
        <v>7.0867623393104839</v>
      </c>
      <c r="AG63">
        <v>5638.2281171554214</v>
      </c>
      <c r="AH63">
        <v>6.074095506544813</v>
      </c>
      <c r="AI63">
        <v>4832.5503850070536</v>
      </c>
      <c r="AJ63">
        <v>5.7265974701079614</v>
      </c>
      <c r="AK63">
        <v>4556.0809472178944</v>
      </c>
      <c r="AL63">
        <v>7.3963842382800147</v>
      </c>
      <c r="AM63">
        <v>5884.5632999755799</v>
      </c>
      <c r="AN63">
        <v>8.2355323845931565</v>
      </c>
      <c r="AO63">
        <v>6552.1895651823152</v>
      </c>
      <c r="AP63">
        <v>5.4490778691687902</v>
      </c>
      <c r="AQ63">
        <v>4335.2863527106892</v>
      </c>
      <c r="AR63">
        <v>4.3713807625578287</v>
      </c>
      <c r="AS63">
        <v>3477.8705346910087</v>
      </c>
      <c r="AT63">
        <v>7.4162029923897732</v>
      </c>
      <c r="AU63">
        <v>5900.331100745304</v>
      </c>
      <c r="AV63">
        <v>8.0982646258521971</v>
      </c>
      <c r="AW63">
        <v>6442.9793363280078</v>
      </c>
      <c r="AX63">
        <v>7.5798627676165884</v>
      </c>
      <c r="AY63">
        <v>6030.538817915758</v>
      </c>
      <c r="AZ63">
        <v>4.2427190152099215</v>
      </c>
      <c r="BA63">
        <v>3375.5072485010137</v>
      </c>
      <c r="BB63">
        <v>5.4503197865533073</v>
      </c>
      <c r="BC63">
        <v>4336.2744221818111</v>
      </c>
      <c r="BD63">
        <v>7.5088386949121535</v>
      </c>
      <c r="BE63">
        <v>5974.0320656721096</v>
      </c>
      <c r="BF63">
        <v>6.6139155423422817</v>
      </c>
      <c r="BG63">
        <v>5262.0312054875194</v>
      </c>
      <c r="BH63">
        <v>6.6293261098565575</v>
      </c>
      <c r="BI63">
        <v>5274.2918530018769</v>
      </c>
      <c r="BJ63">
        <v>5.4163467713814208</v>
      </c>
      <c r="BK63">
        <v>4309.2454913110587</v>
      </c>
      <c r="BL63">
        <v>5.3076745578577036</v>
      </c>
      <c r="BM63">
        <v>4222.7858782315889</v>
      </c>
      <c r="BN63">
        <v>6.2376624288090383</v>
      </c>
      <c r="BO63">
        <v>4962.684228360471</v>
      </c>
      <c r="BP63">
        <v>8.3343973820722859</v>
      </c>
      <c r="BQ63">
        <v>6630.846557176711</v>
      </c>
      <c r="BR63">
        <v>6.7943848437165233</v>
      </c>
      <c r="BS63">
        <v>5405.6125816608665</v>
      </c>
      <c r="BT63">
        <v>4.2427190152099215</v>
      </c>
      <c r="BU63">
        <v>3375.5072485010137</v>
      </c>
      <c r="BV63">
        <v>5.9050236221073646</v>
      </c>
      <c r="BW63">
        <v>4698.0367937486199</v>
      </c>
      <c r="BX63">
        <v>8</v>
      </c>
      <c r="BY63">
        <v>6364.8</v>
      </c>
      <c r="BZ63">
        <v>5.2635491496484148</v>
      </c>
      <c r="CA63">
        <v>4187.6797034602787</v>
      </c>
      <c r="CB63">
        <v>7.3648361079476619</v>
      </c>
      <c r="CC63">
        <v>5859.4636074831596</v>
      </c>
      <c r="CD63">
        <v>4.7234946103873678</v>
      </c>
      <c r="CE63">
        <v>3758.0123120241901</v>
      </c>
      <c r="CF63">
        <v>5</v>
      </c>
      <c r="CG63">
        <v>3978</v>
      </c>
      <c r="CH63">
        <v>6.9198822087276888</v>
      </c>
      <c r="CI63">
        <v>5505.4582852637495</v>
      </c>
      <c r="CJ63">
        <v>8.2887142650387009</v>
      </c>
      <c r="CK63">
        <v>6594.5010692647902</v>
      </c>
      <c r="CL63">
        <v>5.183757897488551</v>
      </c>
      <c r="CM63">
        <v>4124.1977832418916</v>
      </c>
      <c r="CN63">
        <v>5.9191471361439385</v>
      </c>
      <c r="CO63">
        <v>4709.273461516118</v>
      </c>
      <c r="CP63">
        <v>7.049809681645022</v>
      </c>
      <c r="CQ63">
        <v>5608.8285827167792</v>
      </c>
      <c r="CR63">
        <v>6.4591009030414099</v>
      </c>
      <c r="CS63">
        <v>5138.8606784597459</v>
      </c>
      <c r="CT63">
        <v>4.364223258909437</v>
      </c>
      <c r="CU63">
        <v>3472.1760247883481</v>
      </c>
    </row>
    <row r="64" spans="2:99" x14ac:dyDescent="0.2">
      <c r="C64" s="105" t="s">
        <v>230</v>
      </c>
      <c r="D64">
        <v>7</v>
      </c>
      <c r="E64">
        <v>7064.3999999999987</v>
      </c>
      <c r="F64">
        <v>6</v>
      </c>
      <c r="G64">
        <v>6055.1999999999989</v>
      </c>
      <c r="H64">
        <v>7</v>
      </c>
      <c r="I64">
        <v>7064.3999999999987</v>
      </c>
      <c r="J64">
        <v>5</v>
      </c>
      <c r="K64">
        <v>5045.9999999999991</v>
      </c>
      <c r="L64">
        <v>5.3671614605610429</v>
      </c>
      <c r="M64">
        <v>5416.5393459982033</v>
      </c>
      <c r="N64">
        <v>5.3793527376250205</v>
      </c>
      <c r="O64">
        <v>5428.8427828111699</v>
      </c>
      <c r="P64">
        <v>9</v>
      </c>
      <c r="Q64">
        <v>9082.7999999999993</v>
      </c>
      <c r="R64">
        <v>8.4353179926718784</v>
      </c>
      <c r="S64">
        <v>8512.9229182044583</v>
      </c>
      <c r="T64">
        <v>8</v>
      </c>
      <c r="U64">
        <v>8073.5999999999985</v>
      </c>
      <c r="V64">
        <v>6.4894116080843869</v>
      </c>
      <c r="W64">
        <v>6549.1141948787617</v>
      </c>
      <c r="X64">
        <v>6</v>
      </c>
      <c r="Y64">
        <v>6055.1999999999989</v>
      </c>
      <c r="Z64">
        <v>5.495105334143509</v>
      </c>
      <c r="AA64">
        <v>5545.6603032176281</v>
      </c>
      <c r="AB64">
        <v>7</v>
      </c>
      <c r="AC64">
        <v>7064.3999999999987</v>
      </c>
      <c r="AD64">
        <v>4.9443515677917622</v>
      </c>
      <c r="AE64">
        <v>4989.8396022154457</v>
      </c>
      <c r="AF64">
        <v>7.0867623393104839</v>
      </c>
      <c r="AG64">
        <v>7151.960552832139</v>
      </c>
      <c r="AH64">
        <v>6.074095506544813</v>
      </c>
      <c r="AI64">
        <v>6129.9771852050244</v>
      </c>
      <c r="AJ64">
        <v>5.7265974701079614</v>
      </c>
      <c r="AK64">
        <v>5779.2821668329534</v>
      </c>
      <c r="AL64">
        <v>7.3963842382800147</v>
      </c>
      <c r="AM64">
        <v>7464.4309732721895</v>
      </c>
      <c r="AN64">
        <v>8.2355323845931565</v>
      </c>
      <c r="AO64">
        <v>8311.2992825314122</v>
      </c>
      <c r="AP64">
        <v>6.3991803281500355</v>
      </c>
      <c r="AQ64">
        <v>6458.0527871690147</v>
      </c>
      <c r="AR64">
        <v>4.3713807625578287</v>
      </c>
      <c r="AS64">
        <v>4411.5974655733598</v>
      </c>
      <c r="AT64">
        <v>6.9606509912352408</v>
      </c>
      <c r="AU64">
        <v>7024.6889803546037</v>
      </c>
      <c r="AV64">
        <v>8.0982646258521971</v>
      </c>
      <c r="AW64">
        <v>8172.7686604100354</v>
      </c>
      <c r="AX64">
        <v>5.958340547052666</v>
      </c>
      <c r="AY64">
        <v>6013.1572800855492</v>
      </c>
      <c r="AZ64">
        <v>4.2427190152099215</v>
      </c>
      <c r="BA64">
        <v>4281.7520301498516</v>
      </c>
      <c r="BB64">
        <v>5.3097897286221869</v>
      </c>
      <c r="BC64">
        <v>5358.63979412551</v>
      </c>
      <c r="BD64">
        <v>6.5702338580481339</v>
      </c>
      <c r="BE64">
        <v>6630.6800095421759</v>
      </c>
      <c r="BF64">
        <v>7.3349857195158723</v>
      </c>
      <c r="BG64">
        <v>7402.4675881354169</v>
      </c>
      <c r="BH64">
        <v>6.6293261098565575</v>
      </c>
      <c r="BI64">
        <v>6690.3159100672365</v>
      </c>
      <c r="BJ64">
        <v>4.5571769307435011</v>
      </c>
      <c r="BK64">
        <v>4599.1029585063407</v>
      </c>
      <c r="BL64">
        <v>6.3076745578577036</v>
      </c>
      <c r="BM64">
        <v>6365.7051637899931</v>
      </c>
      <c r="BN64">
        <v>7.2376624288090383</v>
      </c>
      <c r="BO64">
        <v>7304.2489231540803</v>
      </c>
      <c r="BP64">
        <v>8.3009576438650576</v>
      </c>
      <c r="BQ64">
        <v>8377.3264541886147</v>
      </c>
      <c r="BR64">
        <v>6.931319327734065</v>
      </c>
      <c r="BS64">
        <v>6995.0874655492171</v>
      </c>
      <c r="BT64">
        <v>3.3941752121679372</v>
      </c>
      <c r="BU64">
        <v>3425.4016241198815</v>
      </c>
      <c r="BV64">
        <v>5.8249215546072346</v>
      </c>
      <c r="BW64">
        <v>5878.5108329096201</v>
      </c>
      <c r="BX64">
        <v>9</v>
      </c>
      <c r="BY64">
        <v>9082.7999999999993</v>
      </c>
      <c r="BZ64">
        <v>5.2977702325911968</v>
      </c>
      <c r="CA64">
        <v>5346.5097187310348</v>
      </c>
      <c r="CB64">
        <v>6.5085846509452026</v>
      </c>
      <c r="CC64">
        <v>6568.4636297338975</v>
      </c>
      <c r="CD64">
        <v>4.7234946103873678</v>
      </c>
      <c r="CE64">
        <v>4766.9507608029307</v>
      </c>
      <c r="CF64">
        <v>5</v>
      </c>
      <c r="CG64">
        <v>5045.9999999999991</v>
      </c>
      <c r="CH64">
        <v>6.9198822087276888</v>
      </c>
      <c r="CI64">
        <v>6983.5451250479819</v>
      </c>
      <c r="CJ64">
        <v>8.2887142650387009</v>
      </c>
      <c r="CK64">
        <v>8364.9704362770553</v>
      </c>
      <c r="CL64">
        <v>5.220509476986261</v>
      </c>
      <c r="CM64">
        <v>5268.5381641745334</v>
      </c>
      <c r="CN64">
        <v>5.9532519688642171</v>
      </c>
      <c r="CO64">
        <v>6008.0218869777673</v>
      </c>
      <c r="CP64">
        <v>6.2902810419190835</v>
      </c>
      <c r="CQ64">
        <v>6348.1516275047379</v>
      </c>
      <c r="CR64">
        <v>7.2664885159215862</v>
      </c>
      <c r="CS64">
        <v>7333.3402102680639</v>
      </c>
      <c r="CT64">
        <v>4.5016626525989656</v>
      </c>
      <c r="CU64">
        <v>4543.0779490028754</v>
      </c>
    </row>
    <row r="65" spans="2:99" x14ac:dyDescent="0.2">
      <c r="C65" s="105" t="s">
        <v>231</v>
      </c>
      <c r="D65">
        <v>8</v>
      </c>
      <c r="E65">
        <v>8208</v>
      </c>
      <c r="F65">
        <v>7</v>
      </c>
      <c r="G65">
        <v>7182</v>
      </c>
      <c r="H65">
        <v>8</v>
      </c>
      <c r="I65">
        <v>8208</v>
      </c>
      <c r="J65">
        <v>5</v>
      </c>
      <c r="K65">
        <v>5130</v>
      </c>
      <c r="L65">
        <v>5.4130566431311733</v>
      </c>
      <c r="M65">
        <v>5553.7961158525841</v>
      </c>
      <c r="N65">
        <v>6.3319336454218931</v>
      </c>
      <c r="O65">
        <v>6496.5639202028624</v>
      </c>
      <c r="P65">
        <v>9</v>
      </c>
      <c r="Q65">
        <v>9234</v>
      </c>
      <c r="R65">
        <v>8.4353179926718784</v>
      </c>
      <c r="S65">
        <v>8654.6362604813476</v>
      </c>
      <c r="T65">
        <v>8</v>
      </c>
      <c r="U65">
        <v>8208</v>
      </c>
      <c r="V65">
        <v>5.4894116080843869</v>
      </c>
      <c r="W65">
        <v>5632.1363098945812</v>
      </c>
      <c r="X65">
        <v>6</v>
      </c>
      <c r="Y65">
        <v>6156</v>
      </c>
      <c r="Z65">
        <v>5.495105334143509</v>
      </c>
      <c r="AA65">
        <v>5637.9780728312398</v>
      </c>
      <c r="AB65">
        <v>7</v>
      </c>
      <c r="AC65">
        <v>7182</v>
      </c>
      <c r="AD65">
        <v>4.9443515677917622</v>
      </c>
      <c r="AE65">
        <v>5072.904708554348</v>
      </c>
      <c r="AF65">
        <v>7.0538743708032561</v>
      </c>
      <c r="AG65">
        <v>7237.2751044441411</v>
      </c>
      <c r="AH65">
        <v>7.03847280702586</v>
      </c>
      <c r="AI65">
        <v>7221.4731000085321</v>
      </c>
      <c r="AJ65">
        <v>5.7265974701079614</v>
      </c>
      <c r="AK65">
        <v>5875.4890043307687</v>
      </c>
      <c r="AL65">
        <v>6.346836208495013</v>
      </c>
      <c r="AM65">
        <v>6511.8539499158833</v>
      </c>
      <c r="AN65">
        <v>8.2355323845931565</v>
      </c>
      <c r="AO65">
        <v>8449.6562265925786</v>
      </c>
      <c r="AP65">
        <v>6.3991803281500355</v>
      </c>
      <c r="AQ65">
        <v>6565.5590166819366</v>
      </c>
      <c r="AR65">
        <v>4.3713807625578287</v>
      </c>
      <c r="AS65">
        <v>4485.036662384332</v>
      </c>
      <c r="AT65">
        <v>6.9606509912352408</v>
      </c>
      <c r="AU65">
        <v>7141.6279170073567</v>
      </c>
      <c r="AV65">
        <v>8.0982646258521971</v>
      </c>
      <c r="AW65">
        <v>8308.819506124355</v>
      </c>
      <c r="AX65">
        <v>6.7691016573346277</v>
      </c>
      <c r="AY65">
        <v>6945.0983004253276</v>
      </c>
      <c r="AZ65">
        <v>4.2427190152099215</v>
      </c>
      <c r="BA65">
        <v>4353.0297096053791</v>
      </c>
      <c r="BB65">
        <v>4.602570867047393</v>
      </c>
      <c r="BC65">
        <v>4722.2377095906249</v>
      </c>
      <c r="BD65">
        <v>6.5702338580481339</v>
      </c>
      <c r="BE65">
        <v>6741.0599383573854</v>
      </c>
      <c r="BF65">
        <v>7.3271699428290189</v>
      </c>
      <c r="BG65">
        <v>7517.6763613425737</v>
      </c>
      <c r="BH65">
        <v>6.6293261098565575</v>
      </c>
      <c r="BI65">
        <v>6801.6885887128283</v>
      </c>
      <c r="BJ65">
        <v>4.5281405165708462</v>
      </c>
      <c r="BK65">
        <v>4645.8721700016886</v>
      </c>
      <c r="BL65">
        <v>5.3076745578577036</v>
      </c>
      <c r="BM65">
        <v>5445.6740963620041</v>
      </c>
      <c r="BN65">
        <v>6.2376624288090383</v>
      </c>
      <c r="BO65">
        <v>6399.8416519580733</v>
      </c>
      <c r="BP65">
        <v>7.3009576438650576</v>
      </c>
      <c r="BQ65">
        <v>7490.7825426055488</v>
      </c>
      <c r="BR65">
        <v>6.0934693318696596</v>
      </c>
      <c r="BS65">
        <v>6251.8995344982704</v>
      </c>
      <c r="BT65">
        <v>4.2427190152099215</v>
      </c>
      <c r="BU65">
        <v>4353.0297096053791</v>
      </c>
      <c r="BV65">
        <v>5.9050236221073646</v>
      </c>
      <c r="BW65">
        <v>6058.5542362821561</v>
      </c>
      <c r="BX65">
        <v>8</v>
      </c>
      <c r="BY65">
        <v>8208</v>
      </c>
      <c r="BZ65">
        <v>5.2977702325911968</v>
      </c>
      <c r="CA65">
        <v>5435.5122586385678</v>
      </c>
      <c r="CB65">
        <v>8.2946339152255479</v>
      </c>
      <c r="CC65">
        <v>8510.2943970214128</v>
      </c>
      <c r="CD65">
        <v>3.9529751868659098</v>
      </c>
      <c r="CE65">
        <v>4055.7525417244233</v>
      </c>
      <c r="CF65">
        <v>5</v>
      </c>
      <c r="CG65">
        <v>5130</v>
      </c>
      <c r="CH65">
        <v>6.1987977821353093</v>
      </c>
      <c r="CI65">
        <v>6359.9665244708276</v>
      </c>
      <c r="CJ65">
        <v>8.2887142650387009</v>
      </c>
      <c r="CK65">
        <v>8504.2208359297074</v>
      </c>
      <c r="CL65">
        <v>5.183757897488551</v>
      </c>
      <c r="CM65">
        <v>5318.5356028232536</v>
      </c>
      <c r="CN65">
        <v>5.0008322788938395</v>
      </c>
      <c r="CO65">
        <v>5130.8539181450797</v>
      </c>
      <c r="CP65">
        <v>6.1639852176530407</v>
      </c>
      <c r="CQ65">
        <v>6324.24883331202</v>
      </c>
      <c r="CR65">
        <v>6.4591009030414099</v>
      </c>
      <c r="CS65">
        <v>6627.0375265204866</v>
      </c>
      <c r="CT65">
        <v>4.364223258909437</v>
      </c>
      <c r="CU65">
        <v>4477.6930636410825</v>
      </c>
    </row>
    <row r="66" spans="2:99" x14ac:dyDescent="0.2">
      <c r="C66" s="105" t="s">
        <v>232</v>
      </c>
      <c r="D66">
        <v>8</v>
      </c>
      <c r="E66">
        <v>9523.1999999999989</v>
      </c>
      <c r="F66">
        <v>6</v>
      </c>
      <c r="G66">
        <v>7142.4</v>
      </c>
      <c r="H66">
        <v>7</v>
      </c>
      <c r="I66">
        <v>8332.7999999999993</v>
      </c>
      <c r="J66">
        <v>4</v>
      </c>
      <c r="K66">
        <v>4761.5999999999995</v>
      </c>
      <c r="L66">
        <v>5.3671614605610429</v>
      </c>
      <c r="M66">
        <v>6389.069002651865</v>
      </c>
      <c r="N66">
        <v>6.3793527376250205</v>
      </c>
      <c r="O66">
        <v>7593.981498868824</v>
      </c>
      <c r="P66">
        <v>9</v>
      </c>
      <c r="Q66">
        <v>10713.599999999999</v>
      </c>
      <c r="R66">
        <v>8.4836866585243094</v>
      </c>
      <c r="S66">
        <v>10098.980598307337</v>
      </c>
      <c r="T66">
        <v>7</v>
      </c>
      <c r="U66">
        <v>8332.7999999999993</v>
      </c>
      <c r="V66">
        <v>5.4404704472759482</v>
      </c>
      <c r="W66">
        <v>6476.3360204372884</v>
      </c>
      <c r="X66">
        <v>6</v>
      </c>
      <c r="Y66">
        <v>7142.4</v>
      </c>
      <c r="Z66">
        <v>5.495105334143509</v>
      </c>
      <c r="AA66">
        <v>6541.3733897644324</v>
      </c>
      <c r="AB66">
        <v>8</v>
      </c>
      <c r="AC66">
        <v>9523.1999999999989</v>
      </c>
      <c r="AD66">
        <v>4.9443515677917622</v>
      </c>
      <c r="AE66">
        <v>5885.7561062993127</v>
      </c>
      <c r="AF66">
        <v>7.0867623393104839</v>
      </c>
      <c r="AG66">
        <v>8436.0818887152</v>
      </c>
      <c r="AH66">
        <v>6.074095506544813</v>
      </c>
      <c r="AI66">
        <v>7230.6032909909445</v>
      </c>
      <c r="AJ66">
        <v>5.7265974701079614</v>
      </c>
      <c r="AK66">
        <v>6816.9416284165163</v>
      </c>
      <c r="AL66">
        <v>6.3963842382800147</v>
      </c>
      <c r="AM66">
        <v>7614.2557972485283</v>
      </c>
      <c r="AN66">
        <v>8.2741677906269047</v>
      </c>
      <c r="AO66">
        <v>9849.5693379622662</v>
      </c>
      <c r="AP66">
        <v>6.3991803281500355</v>
      </c>
      <c r="AQ66">
        <v>7617.5842626298017</v>
      </c>
      <c r="AR66">
        <v>4.3713807625578287</v>
      </c>
      <c r="AS66">
        <v>5203.6916597488389</v>
      </c>
      <c r="AT66">
        <v>6.91970981861797</v>
      </c>
      <c r="AU66">
        <v>8237.2225680828305</v>
      </c>
      <c r="AV66">
        <v>8.0982646258521971</v>
      </c>
      <c r="AW66">
        <v>9640.1742106144538</v>
      </c>
      <c r="AX66">
        <v>5.958340547052666</v>
      </c>
      <c r="AY66">
        <v>7092.8085872114925</v>
      </c>
      <c r="AZ66">
        <v>4.2427190152099215</v>
      </c>
      <c r="BA66">
        <v>5050.53271570589</v>
      </c>
      <c r="BB66">
        <v>5.4436703700087641</v>
      </c>
      <c r="BC66">
        <v>6480.1452084584316</v>
      </c>
      <c r="BD66">
        <v>6.5702338580481339</v>
      </c>
      <c r="BE66">
        <v>7821.2063846204974</v>
      </c>
      <c r="BF66">
        <v>6.6139155423422817</v>
      </c>
      <c r="BG66">
        <v>7873.2050616042516</v>
      </c>
      <c r="BH66">
        <v>7.457991873588627</v>
      </c>
      <c r="BI66">
        <v>8877.9935263199004</v>
      </c>
      <c r="BJ66">
        <v>4.4991041023981904</v>
      </c>
      <c r="BK66">
        <v>5355.733523494805</v>
      </c>
      <c r="BL66">
        <v>5.3076745578577036</v>
      </c>
      <c r="BM66">
        <v>6318.2557936738094</v>
      </c>
      <c r="BN66">
        <v>6.1980520240075316</v>
      </c>
      <c r="BO66">
        <v>7378.1611293785645</v>
      </c>
      <c r="BP66">
        <v>7.3343973820722859</v>
      </c>
      <c r="BQ66">
        <v>8730.8666436188487</v>
      </c>
      <c r="BR66">
        <v>5.9565348478521178</v>
      </c>
      <c r="BS66">
        <v>7090.6590828831604</v>
      </c>
      <c r="BT66">
        <v>3.3941752121679372</v>
      </c>
      <c r="BU66">
        <v>4040.426172564712</v>
      </c>
      <c r="BV66">
        <v>5.8694682812510903</v>
      </c>
      <c r="BW66">
        <v>6987.0150420012969</v>
      </c>
      <c r="BX66">
        <v>8</v>
      </c>
      <c r="BY66">
        <v>9523.1999999999989</v>
      </c>
      <c r="BZ66">
        <v>5.8995536240903244</v>
      </c>
      <c r="CA66">
        <v>7022.8286341171215</v>
      </c>
      <c r="CB66">
        <v>7.3648361079476619</v>
      </c>
      <c r="CC66">
        <v>8767.1009029008965</v>
      </c>
      <c r="CD66">
        <v>3.8344808210547914</v>
      </c>
      <c r="CE66">
        <v>4564.5659693836233</v>
      </c>
      <c r="CF66">
        <v>5</v>
      </c>
      <c r="CG66">
        <v>5951.9999999999991</v>
      </c>
      <c r="CH66">
        <v>6.9467648568149567</v>
      </c>
      <c r="CI66">
        <v>8269.4288855525228</v>
      </c>
      <c r="CJ66">
        <v>7.390999499901846</v>
      </c>
      <c r="CK66">
        <v>8798.2458046831562</v>
      </c>
      <c r="CL66">
        <v>5.183757897488551</v>
      </c>
      <c r="CM66">
        <v>6170.7454011703703</v>
      </c>
      <c r="CN66">
        <v>5.9532519688642171</v>
      </c>
      <c r="CO66">
        <v>7086.7511437359635</v>
      </c>
      <c r="CP66">
        <v>7.1644280605240178</v>
      </c>
      <c r="CQ66">
        <v>8528.5351632477905</v>
      </c>
      <c r="CR66">
        <v>6.4591009030414099</v>
      </c>
      <c r="CS66">
        <v>7688.9137149804938</v>
      </c>
      <c r="CT66">
        <v>5.2268055198753887</v>
      </c>
      <c r="CU66">
        <v>6221.9892908596621</v>
      </c>
    </row>
    <row r="67" spans="2:99" x14ac:dyDescent="0.2">
      <c r="C67" s="105" t="s">
        <v>233</v>
      </c>
      <c r="D67">
        <v>6</v>
      </c>
      <c r="E67">
        <v>6739.2000000000007</v>
      </c>
      <c r="F67">
        <v>6</v>
      </c>
      <c r="G67">
        <v>6739.2000000000007</v>
      </c>
      <c r="H67">
        <v>7</v>
      </c>
      <c r="I67">
        <v>7862.4000000000005</v>
      </c>
      <c r="J67">
        <v>5</v>
      </c>
      <c r="K67">
        <v>5616</v>
      </c>
      <c r="L67">
        <v>5.4130566431311733</v>
      </c>
      <c r="M67">
        <v>6079.9452215649344</v>
      </c>
      <c r="N67">
        <v>6.3319336454218931</v>
      </c>
      <c r="O67">
        <v>7112.0278705378705</v>
      </c>
      <c r="P67">
        <v>8</v>
      </c>
      <c r="Q67">
        <v>8985.6</v>
      </c>
      <c r="R67">
        <v>9.4353179926718784</v>
      </c>
      <c r="S67">
        <v>10597.749169369054</v>
      </c>
      <c r="T67">
        <v>7</v>
      </c>
      <c r="U67">
        <v>7862.4000000000005</v>
      </c>
      <c r="V67">
        <v>6.4894116080843869</v>
      </c>
      <c r="W67">
        <v>7288.9071182003836</v>
      </c>
      <c r="X67">
        <v>6</v>
      </c>
      <c r="Y67">
        <v>6739.2000000000007</v>
      </c>
      <c r="Z67">
        <v>5.4455948007291584</v>
      </c>
      <c r="AA67">
        <v>6116.4920801789913</v>
      </c>
      <c r="AB67">
        <v>8</v>
      </c>
      <c r="AC67">
        <v>8985.6</v>
      </c>
      <c r="AD67">
        <v>4.9062738099948797</v>
      </c>
      <c r="AE67">
        <v>5510.7267433862489</v>
      </c>
      <c r="AF67">
        <v>7.0538743708032561</v>
      </c>
      <c r="AG67">
        <v>7922.911693286218</v>
      </c>
      <c r="AH67">
        <v>6.074095506544813</v>
      </c>
      <c r="AI67">
        <v>6822.4240729511339</v>
      </c>
      <c r="AJ67">
        <v>5.7265974701079614</v>
      </c>
      <c r="AK67">
        <v>6432.1142784252625</v>
      </c>
      <c r="AL67">
        <v>6.346836208495013</v>
      </c>
      <c r="AM67">
        <v>7128.7664293815988</v>
      </c>
      <c r="AN67">
        <v>8.2355323845931565</v>
      </c>
      <c r="AO67">
        <v>9250.1499743750337</v>
      </c>
      <c r="AP67">
        <v>5.3991803281500355</v>
      </c>
      <c r="AQ67">
        <v>6064.3593445781198</v>
      </c>
      <c r="AR67">
        <v>4.3713807625578287</v>
      </c>
      <c r="AS67">
        <v>4909.9348725049531</v>
      </c>
      <c r="AT67">
        <v>7.7437323733279451</v>
      </c>
      <c r="AU67">
        <v>8697.7602017219488</v>
      </c>
      <c r="AV67">
        <v>7.198457445201953</v>
      </c>
      <c r="AW67">
        <v>8085.3074024508342</v>
      </c>
      <c r="AX67">
        <v>5.958340547052666</v>
      </c>
      <c r="AY67">
        <v>6692.4081024495545</v>
      </c>
      <c r="AZ67">
        <v>4.2427190152099215</v>
      </c>
      <c r="BA67">
        <v>4765.4219978837837</v>
      </c>
      <c r="BB67">
        <v>5.3097897286221869</v>
      </c>
      <c r="BC67">
        <v>5963.9558231884403</v>
      </c>
      <c r="BD67">
        <v>6.5702338580481339</v>
      </c>
      <c r="BE67">
        <v>7379.6866693596639</v>
      </c>
      <c r="BF67">
        <v>6.6139155423422817</v>
      </c>
      <c r="BG67">
        <v>7428.749937158851</v>
      </c>
      <c r="BH67">
        <v>7.457991873588627</v>
      </c>
      <c r="BI67">
        <v>8376.8164724147464</v>
      </c>
      <c r="BJ67">
        <v>5.3873103572087659</v>
      </c>
      <c r="BK67">
        <v>6051.0269932168858</v>
      </c>
      <c r="BL67">
        <v>5.3076745578577036</v>
      </c>
      <c r="BM67">
        <v>5961.5800633857725</v>
      </c>
      <c r="BN67">
        <v>6.2376624288090383</v>
      </c>
      <c r="BO67">
        <v>7006.1424400383121</v>
      </c>
      <c r="BP67">
        <v>8.3009576438650576</v>
      </c>
      <c r="BQ67">
        <v>9323.6356255892333</v>
      </c>
      <c r="BR67">
        <v>5.9637233790894788</v>
      </c>
      <c r="BS67">
        <v>6698.4540993933033</v>
      </c>
      <c r="BT67">
        <v>4.2427190152099215</v>
      </c>
      <c r="BU67">
        <v>4765.4219978837837</v>
      </c>
      <c r="BV67">
        <v>5.8249215546072346</v>
      </c>
      <c r="BW67">
        <v>6542.551890134846</v>
      </c>
      <c r="BX67">
        <v>8</v>
      </c>
      <c r="BY67">
        <v>8985.6</v>
      </c>
      <c r="BZ67">
        <v>5.2977702325911968</v>
      </c>
      <c r="CA67">
        <v>5950.4555252464324</v>
      </c>
      <c r="CB67">
        <v>7.3648361079476619</v>
      </c>
      <c r="CC67">
        <v>8272.1839164468147</v>
      </c>
      <c r="CD67">
        <v>4.6050002445762495</v>
      </c>
      <c r="CE67">
        <v>5172.3362747080437</v>
      </c>
      <c r="CF67">
        <v>5</v>
      </c>
      <c r="CG67">
        <v>5616</v>
      </c>
      <c r="CH67">
        <v>6.9198822087276888</v>
      </c>
      <c r="CI67">
        <v>7772.4116968429407</v>
      </c>
      <c r="CJ67">
        <v>7.3561192701006783</v>
      </c>
      <c r="CK67">
        <v>8262.3931641770814</v>
      </c>
      <c r="CL67">
        <v>5.183757897488551</v>
      </c>
      <c r="CM67">
        <v>5822.3968704591407</v>
      </c>
      <c r="CN67">
        <v>5.9191471361439385</v>
      </c>
      <c r="CO67">
        <v>6648.3860633168724</v>
      </c>
      <c r="CP67">
        <v>6.2902810419190835</v>
      </c>
      <c r="CQ67">
        <v>7065.2436662835153</v>
      </c>
      <c r="CR67">
        <v>6.4591009030414099</v>
      </c>
      <c r="CS67">
        <v>7254.8621342961123</v>
      </c>
      <c r="CT67">
        <v>5.2336715085606542</v>
      </c>
      <c r="CU67">
        <v>5878.4598384153269</v>
      </c>
    </row>
    <row r="68" spans="2:99" x14ac:dyDescent="0.2">
      <c r="C68" s="105" t="s">
        <v>234</v>
      </c>
      <c r="D68">
        <v>7</v>
      </c>
      <c r="E68">
        <v>7232.4000000000005</v>
      </c>
      <c r="F68">
        <v>6</v>
      </c>
      <c r="G68">
        <v>6199.2000000000007</v>
      </c>
      <c r="H68">
        <v>7</v>
      </c>
      <c r="I68">
        <v>7232.4000000000005</v>
      </c>
      <c r="J68">
        <v>5</v>
      </c>
      <c r="K68">
        <v>5166</v>
      </c>
      <c r="L68">
        <v>5.4130566431311733</v>
      </c>
      <c r="M68">
        <v>5592.7701236831281</v>
      </c>
      <c r="N68">
        <v>5.3319336454218931</v>
      </c>
      <c r="O68">
        <v>5508.9538424499005</v>
      </c>
      <c r="P68">
        <v>8</v>
      </c>
      <c r="Q68">
        <v>8265.6</v>
      </c>
      <c r="R68">
        <v>9.4836866585243094</v>
      </c>
      <c r="S68">
        <v>9798.5450555873176</v>
      </c>
      <c r="T68">
        <v>8</v>
      </c>
      <c r="U68">
        <v>8265.6</v>
      </c>
      <c r="V68">
        <v>5.4404704472759482</v>
      </c>
      <c r="W68">
        <v>5621.0940661255099</v>
      </c>
      <c r="X68">
        <v>6</v>
      </c>
      <c r="Y68">
        <v>6199.2000000000007</v>
      </c>
      <c r="Z68">
        <v>5.495105334143509</v>
      </c>
      <c r="AA68">
        <v>5677.5428312370741</v>
      </c>
      <c r="AB68">
        <v>7</v>
      </c>
      <c r="AC68">
        <v>7232.4000000000005</v>
      </c>
      <c r="AD68">
        <v>4.9443515677917622</v>
      </c>
      <c r="AE68">
        <v>5108.5040398424489</v>
      </c>
      <c r="AF68">
        <v>7.0867623393104839</v>
      </c>
      <c r="AG68">
        <v>7322.0428489755923</v>
      </c>
      <c r="AH68">
        <v>6.0381165435874982</v>
      </c>
      <c r="AI68">
        <v>6238.5820128346031</v>
      </c>
      <c r="AJ68">
        <v>5.7265974701079614</v>
      </c>
      <c r="AK68">
        <v>5916.7205061155464</v>
      </c>
      <c r="AL68">
        <v>6.3963842382800147</v>
      </c>
      <c r="AM68">
        <v>6608.7441949909116</v>
      </c>
      <c r="AN68">
        <v>8.2355323845931565</v>
      </c>
      <c r="AO68">
        <v>8508.9520597616502</v>
      </c>
      <c r="AP68">
        <v>6.3991803281500355</v>
      </c>
      <c r="AQ68">
        <v>6611.6331150446167</v>
      </c>
      <c r="AR68">
        <v>4.3713807625578287</v>
      </c>
      <c r="AS68">
        <v>4516.510603874749</v>
      </c>
      <c r="AT68">
        <v>6.91970981861797</v>
      </c>
      <c r="AU68">
        <v>7149.4441845960873</v>
      </c>
      <c r="AV68">
        <v>7.198457445201953</v>
      </c>
      <c r="AW68">
        <v>7437.4462323826583</v>
      </c>
      <c r="AX68">
        <v>7.5798627676165884</v>
      </c>
      <c r="AY68">
        <v>7831.5142115014596</v>
      </c>
      <c r="AZ68">
        <v>4.2427190152099215</v>
      </c>
      <c r="BA68">
        <v>4383.5772865148911</v>
      </c>
      <c r="BB68">
        <v>5.4436703700087641</v>
      </c>
      <c r="BC68">
        <v>5624.4002262930553</v>
      </c>
      <c r="BD68">
        <v>6.5702338580481339</v>
      </c>
      <c r="BE68">
        <v>6788.3656221353322</v>
      </c>
      <c r="BF68">
        <v>5.7078912882630073</v>
      </c>
      <c r="BG68">
        <v>5897.3932790333392</v>
      </c>
      <c r="BH68">
        <v>7.457991873588627</v>
      </c>
      <c r="BI68">
        <v>7705.59720379177</v>
      </c>
      <c r="BJ68">
        <v>5.3873103572087659</v>
      </c>
      <c r="BK68">
        <v>5566.1690610680971</v>
      </c>
      <c r="BL68">
        <v>5.2692152381254909</v>
      </c>
      <c r="BM68">
        <v>5444.1531840312573</v>
      </c>
      <c r="BN68">
        <v>6.1980520240075316</v>
      </c>
      <c r="BO68">
        <v>6403.8273512045816</v>
      </c>
      <c r="BP68">
        <v>7.3009576438650576</v>
      </c>
      <c r="BQ68">
        <v>7543.3494376413782</v>
      </c>
      <c r="BR68">
        <v>6.1006578631070214</v>
      </c>
      <c r="BS68">
        <v>6303.1997041621744</v>
      </c>
      <c r="BT68">
        <v>3.3941752121679372</v>
      </c>
      <c r="BU68">
        <v>3506.8618292119127</v>
      </c>
      <c r="BV68">
        <v>5.8694682812510903</v>
      </c>
      <c r="BW68">
        <v>6064.334628188627</v>
      </c>
      <c r="BX68">
        <v>8</v>
      </c>
      <c r="BY68">
        <v>8265.6</v>
      </c>
      <c r="BZ68">
        <v>5.8995536240903244</v>
      </c>
      <c r="CA68">
        <v>6095.4188044101238</v>
      </c>
      <c r="CB68">
        <v>7.4016092830853752</v>
      </c>
      <c r="CC68">
        <v>7647.3427112838099</v>
      </c>
      <c r="CD68">
        <v>3.9529751868659098</v>
      </c>
      <c r="CE68">
        <v>4084.213963069858</v>
      </c>
      <c r="CF68">
        <v>6</v>
      </c>
      <c r="CG68">
        <v>6199.2000000000007</v>
      </c>
      <c r="CH68">
        <v>6.9198822087276888</v>
      </c>
      <c r="CI68">
        <v>7149.6222980574485</v>
      </c>
      <c r="CJ68">
        <v>8.2887142650387009</v>
      </c>
      <c r="CK68">
        <v>8563.8995786379855</v>
      </c>
      <c r="CL68">
        <v>5.220509476986261</v>
      </c>
      <c r="CM68">
        <v>5393.8303916222048</v>
      </c>
      <c r="CN68">
        <v>5.9532519688642171</v>
      </c>
      <c r="CO68">
        <v>6150.8999342305096</v>
      </c>
      <c r="CP68">
        <v>6.2902810419190835</v>
      </c>
      <c r="CQ68">
        <v>6499.1183725107976</v>
      </c>
      <c r="CR68">
        <v>6.4591009030414099</v>
      </c>
      <c r="CS68">
        <v>6673.5430530223848</v>
      </c>
      <c r="CT68">
        <v>5.2336715085606542</v>
      </c>
      <c r="CU68">
        <v>5407.4294026448679</v>
      </c>
    </row>
    <row r="69" spans="2:99" x14ac:dyDescent="0.2">
      <c r="C69" s="105" t="s">
        <v>235</v>
      </c>
      <c r="D69">
        <v>8</v>
      </c>
      <c r="E69">
        <v>6067.2</v>
      </c>
      <c r="F69">
        <v>6</v>
      </c>
      <c r="G69">
        <v>4550.3999999999996</v>
      </c>
      <c r="H69">
        <v>7</v>
      </c>
      <c r="I69">
        <v>5308.8</v>
      </c>
      <c r="J69">
        <v>5</v>
      </c>
      <c r="K69">
        <v>3792</v>
      </c>
      <c r="L69">
        <v>5.4130566431311733</v>
      </c>
      <c r="M69">
        <v>4105.2621581506819</v>
      </c>
      <c r="N69">
        <v>6.3793527376250205</v>
      </c>
      <c r="O69">
        <v>4838.1011162148152</v>
      </c>
      <c r="P69">
        <v>8</v>
      </c>
      <c r="Q69">
        <v>6067.2</v>
      </c>
      <c r="R69">
        <v>10.435317992671878</v>
      </c>
      <c r="S69">
        <v>7914.1451656423524</v>
      </c>
      <c r="T69">
        <v>8</v>
      </c>
      <c r="U69">
        <v>6067.2</v>
      </c>
      <c r="V69">
        <v>5.4894116080843869</v>
      </c>
      <c r="W69">
        <v>4163.1697635711989</v>
      </c>
      <c r="X69">
        <v>6</v>
      </c>
      <c r="Y69">
        <v>4550.3999999999996</v>
      </c>
      <c r="Z69">
        <v>5.495105334143509</v>
      </c>
      <c r="AA69">
        <v>4167.4878854144372</v>
      </c>
      <c r="AB69">
        <v>8</v>
      </c>
      <c r="AC69">
        <v>6067.2</v>
      </c>
      <c r="AD69">
        <v>4.9443515677917622</v>
      </c>
      <c r="AE69">
        <v>3749.7962290132723</v>
      </c>
      <c r="AF69">
        <v>7.9397196632170655</v>
      </c>
      <c r="AG69">
        <v>6021.483392583822</v>
      </c>
      <c r="AH69">
        <v>6.0381165435874982</v>
      </c>
      <c r="AI69">
        <v>4579.3075866567588</v>
      </c>
      <c r="AJ69">
        <v>5.7265974701079614</v>
      </c>
      <c r="AK69">
        <v>4343.0515213298777</v>
      </c>
      <c r="AL69">
        <v>7.346836208495013</v>
      </c>
      <c r="AM69">
        <v>5571.8405805226175</v>
      </c>
      <c r="AN69">
        <v>9.2698033584215196</v>
      </c>
      <c r="AO69">
        <v>7030.2188670268806</v>
      </c>
      <c r="AP69">
        <v>6.3991803281500355</v>
      </c>
      <c r="AQ69">
        <v>4853.1383608689866</v>
      </c>
      <c r="AR69">
        <v>4.3713807625578287</v>
      </c>
      <c r="AS69">
        <v>3315.2551703238573</v>
      </c>
      <c r="AT69">
        <v>7.7437323733279451</v>
      </c>
      <c r="AU69">
        <v>5872.8466319319132</v>
      </c>
      <c r="AV69">
        <v>8.0982646258521971</v>
      </c>
      <c r="AW69">
        <v>6141.7238922463057</v>
      </c>
      <c r="AX69">
        <v>6.7286712608947781</v>
      </c>
      <c r="AY69">
        <v>5103.0242842625994</v>
      </c>
      <c r="AZ69">
        <v>4.2427190152099215</v>
      </c>
      <c r="BA69">
        <v>3217.6781011352045</v>
      </c>
      <c r="BB69">
        <v>5.43702095346422</v>
      </c>
      <c r="BC69">
        <v>4123.4366911072639</v>
      </c>
      <c r="BD69">
        <v>6.5702338580481339</v>
      </c>
      <c r="BE69">
        <v>4982.865357943705</v>
      </c>
      <c r="BF69">
        <v>6.6139155423422817</v>
      </c>
      <c r="BG69">
        <v>5015.993547312386</v>
      </c>
      <c r="BH69">
        <v>7.457991873588627</v>
      </c>
      <c r="BI69">
        <v>5656.1410369296145</v>
      </c>
      <c r="BJ69">
        <v>4.5281405165708462</v>
      </c>
      <c r="BK69">
        <v>3434.1417677673298</v>
      </c>
      <c r="BL69">
        <v>5.3076745578577036</v>
      </c>
      <c r="BM69">
        <v>4025.3403846792821</v>
      </c>
      <c r="BN69">
        <v>7.2376624288090383</v>
      </c>
      <c r="BO69">
        <v>5489.0431860087747</v>
      </c>
      <c r="BP69">
        <v>7.3343973820722859</v>
      </c>
      <c r="BQ69">
        <v>5562.4069745636216</v>
      </c>
      <c r="BR69">
        <v>5.9493463166147551</v>
      </c>
      <c r="BS69">
        <v>4511.9842465206302</v>
      </c>
      <c r="BT69">
        <v>3.3941752121679372</v>
      </c>
      <c r="BU69">
        <v>2574.1424809081636</v>
      </c>
      <c r="BV69">
        <v>5.8694682812510903</v>
      </c>
      <c r="BW69">
        <v>4451.4047445008264</v>
      </c>
      <c r="BX69">
        <v>8</v>
      </c>
      <c r="BY69">
        <v>6067.2</v>
      </c>
      <c r="BZ69">
        <v>5.8995536240903244</v>
      </c>
      <c r="CA69">
        <v>4474.2214685101017</v>
      </c>
      <c r="CB69">
        <v>8.2946339152255479</v>
      </c>
      <c r="CC69">
        <v>6290.6503613070554</v>
      </c>
      <c r="CD69">
        <v>4.7234946103873678</v>
      </c>
      <c r="CE69">
        <v>3582.2983125177798</v>
      </c>
      <c r="CF69">
        <v>5</v>
      </c>
      <c r="CG69">
        <v>3792</v>
      </c>
      <c r="CH69">
        <v>6.9467648568149567</v>
      </c>
      <c r="CI69">
        <v>5268.4264674084634</v>
      </c>
      <c r="CJ69">
        <v>8.3235944948398686</v>
      </c>
      <c r="CK69">
        <v>6312.6140648865558</v>
      </c>
      <c r="CL69">
        <v>5.183757897488551</v>
      </c>
      <c r="CM69">
        <v>3931.3619894553171</v>
      </c>
      <c r="CN69">
        <v>5.9191471361439385</v>
      </c>
      <c r="CO69">
        <v>4489.081188051563</v>
      </c>
      <c r="CP69">
        <v>6.1698239403465651</v>
      </c>
      <c r="CQ69">
        <v>4679.1944763588344</v>
      </c>
      <c r="CR69">
        <v>6.4591009030414099</v>
      </c>
      <c r="CS69">
        <v>4898.5821248666052</v>
      </c>
      <c r="CT69">
        <v>5.2336715085606542</v>
      </c>
      <c r="CU69">
        <v>3969.2164720924002</v>
      </c>
    </row>
    <row r="70" spans="2:99" x14ac:dyDescent="0.2">
      <c r="C70" s="105" t="s">
        <v>236</v>
      </c>
      <c r="D70">
        <v>7</v>
      </c>
      <c r="E70">
        <v>3746.3999999999996</v>
      </c>
      <c r="F70">
        <v>6</v>
      </c>
      <c r="G70">
        <v>3211.2</v>
      </c>
      <c r="H70">
        <v>7</v>
      </c>
      <c r="I70">
        <v>3746.3999999999996</v>
      </c>
      <c r="J70">
        <v>5</v>
      </c>
      <c r="K70">
        <v>2675.9999999999995</v>
      </c>
      <c r="L70">
        <v>5.3671614605610429</v>
      </c>
      <c r="M70">
        <v>2872.5048136922696</v>
      </c>
      <c r="N70">
        <v>6.3319336454218931</v>
      </c>
      <c r="O70">
        <v>3388.8508870297969</v>
      </c>
      <c r="P70">
        <v>9</v>
      </c>
      <c r="Q70">
        <v>4816.7999999999993</v>
      </c>
      <c r="R70">
        <v>9.4353179926718784</v>
      </c>
      <c r="S70">
        <v>5049.7821896779888</v>
      </c>
      <c r="T70">
        <v>9</v>
      </c>
      <c r="U70">
        <v>4816.7999999999993</v>
      </c>
      <c r="V70">
        <v>5.4404704472759482</v>
      </c>
      <c r="W70">
        <v>2911.7397833820869</v>
      </c>
      <c r="X70">
        <v>7</v>
      </c>
      <c r="Y70">
        <v>3746.3999999999996</v>
      </c>
      <c r="Z70">
        <v>5.495105334143509</v>
      </c>
      <c r="AA70">
        <v>2940.9803748336058</v>
      </c>
      <c r="AB70">
        <v>8</v>
      </c>
      <c r="AC70">
        <v>4281.5999999999995</v>
      </c>
      <c r="AD70">
        <v>4.9824293255886438</v>
      </c>
      <c r="AE70">
        <v>2666.5961750550418</v>
      </c>
      <c r="AF70">
        <v>7.9397196632170655</v>
      </c>
      <c r="AG70">
        <v>4249.3379637537728</v>
      </c>
      <c r="AH70">
        <v>6.074095506544813</v>
      </c>
      <c r="AI70">
        <v>3250.8559151027835</v>
      </c>
      <c r="AJ70">
        <v>5.7265974701079614</v>
      </c>
      <c r="AK70">
        <v>3064.8749660017806</v>
      </c>
      <c r="AL70">
        <v>6.346836208495013</v>
      </c>
      <c r="AM70">
        <v>3396.8267387865303</v>
      </c>
      <c r="AN70">
        <v>9.2698033584215196</v>
      </c>
      <c r="AO70">
        <v>4961.1987574271971</v>
      </c>
      <c r="AP70">
        <v>6.3991803281500355</v>
      </c>
      <c r="AQ70">
        <v>3424.8413116258985</v>
      </c>
      <c r="AR70">
        <v>5.2456569150693957</v>
      </c>
      <c r="AS70">
        <v>2807.4755809451403</v>
      </c>
      <c r="AT70">
        <v>7.784673545945215</v>
      </c>
      <c r="AU70">
        <v>4166.3572817898785</v>
      </c>
      <c r="AV70">
        <v>8.0982646258521971</v>
      </c>
      <c r="AW70">
        <v>4334.191227756095</v>
      </c>
      <c r="AX70">
        <v>6.7691016573346277</v>
      </c>
      <c r="AY70">
        <v>3622.8232070054923</v>
      </c>
      <c r="AZ70">
        <v>4.2427190152099215</v>
      </c>
      <c r="BA70">
        <v>2270.7032169403496</v>
      </c>
      <c r="BB70">
        <v>5.3097897286221869</v>
      </c>
      <c r="BC70">
        <v>2841.799462758594</v>
      </c>
      <c r="BD70">
        <v>7.5088386949121535</v>
      </c>
      <c r="BE70">
        <v>4018.7304695169842</v>
      </c>
      <c r="BF70">
        <v>6.6139155423422817</v>
      </c>
      <c r="BG70">
        <v>3539.7675982615888</v>
      </c>
      <c r="BH70">
        <v>8.2866576373206957</v>
      </c>
      <c r="BI70">
        <v>4435.0191674940361</v>
      </c>
      <c r="BJ70">
        <v>5.3873103572087659</v>
      </c>
      <c r="BK70">
        <v>2883.2885031781311</v>
      </c>
      <c r="BL70">
        <v>5.3076745578577036</v>
      </c>
      <c r="BM70">
        <v>2840.6674233654426</v>
      </c>
      <c r="BN70">
        <v>6.2376624288090383</v>
      </c>
      <c r="BO70">
        <v>3338.3969318985969</v>
      </c>
      <c r="BP70">
        <v>8.3343973820722859</v>
      </c>
      <c r="BQ70">
        <v>4460.5694788850869</v>
      </c>
      <c r="BR70">
        <v>6.1078463943443833</v>
      </c>
      <c r="BS70">
        <v>3268.9193902531133</v>
      </c>
      <c r="BT70">
        <v>4.2427190152099215</v>
      </c>
      <c r="BU70">
        <v>2270.7032169403496</v>
      </c>
      <c r="BV70">
        <v>6.5363830017284492</v>
      </c>
      <c r="BW70">
        <v>3498.2721825250655</v>
      </c>
      <c r="BX70">
        <v>8</v>
      </c>
      <c r="BY70">
        <v>4281.5999999999995</v>
      </c>
      <c r="BZ70">
        <v>5.2635491496484148</v>
      </c>
      <c r="CA70">
        <v>2817.0515048918314</v>
      </c>
      <c r="CB70">
        <v>7.4016092830853752</v>
      </c>
      <c r="CC70">
        <v>3961.3412883072924</v>
      </c>
      <c r="CD70">
        <v>4.8419889761984853</v>
      </c>
      <c r="CE70">
        <v>2591.432500061429</v>
      </c>
      <c r="CF70">
        <v>6</v>
      </c>
      <c r="CG70">
        <v>3211.2</v>
      </c>
      <c r="CH70">
        <v>6.9467648568149567</v>
      </c>
      <c r="CI70">
        <v>3717.9085513673645</v>
      </c>
      <c r="CJ70">
        <v>8.3235944948398686</v>
      </c>
      <c r="CK70">
        <v>4454.787773638297</v>
      </c>
      <c r="CL70">
        <v>5.183757897488551</v>
      </c>
      <c r="CM70">
        <v>2774.347226735872</v>
      </c>
      <c r="CN70">
        <v>5.9532519688642171</v>
      </c>
      <c r="CO70">
        <v>3186.1804537361286</v>
      </c>
      <c r="CP70">
        <v>7.1644280605240178</v>
      </c>
      <c r="CQ70">
        <v>3834.401897992454</v>
      </c>
      <c r="CR70">
        <v>7.2664885159215862</v>
      </c>
      <c r="CS70">
        <v>3889.0246537212324</v>
      </c>
      <c r="CT70">
        <v>5.2336715085606542</v>
      </c>
      <c r="CU70">
        <v>2801.060991381662</v>
      </c>
    </row>
    <row r="71" spans="2:99" x14ac:dyDescent="0.2">
      <c r="B71" s="105" t="s">
        <v>130</v>
      </c>
      <c r="C71" s="105" t="s">
        <v>237</v>
      </c>
      <c r="D71">
        <v>7</v>
      </c>
      <c r="E71">
        <v>3948</v>
      </c>
      <c r="F71">
        <v>10</v>
      </c>
      <c r="G71">
        <v>5640</v>
      </c>
      <c r="H71">
        <v>9</v>
      </c>
      <c r="I71">
        <v>5076</v>
      </c>
      <c r="J71">
        <v>8</v>
      </c>
      <c r="K71">
        <v>4512</v>
      </c>
      <c r="L71">
        <v>11</v>
      </c>
      <c r="M71">
        <v>6204</v>
      </c>
      <c r="N71">
        <v>12</v>
      </c>
      <c r="O71">
        <v>6768</v>
      </c>
      <c r="P71">
        <v>8</v>
      </c>
      <c r="Q71">
        <v>4512</v>
      </c>
      <c r="R71">
        <v>11</v>
      </c>
      <c r="S71">
        <v>6204</v>
      </c>
      <c r="T71">
        <v>7</v>
      </c>
      <c r="U71">
        <v>3948</v>
      </c>
      <c r="V71">
        <v>6</v>
      </c>
      <c r="W71">
        <v>3384</v>
      </c>
      <c r="X71">
        <v>7</v>
      </c>
      <c r="Y71">
        <v>3948</v>
      </c>
      <c r="Z71">
        <v>8</v>
      </c>
      <c r="AA71">
        <v>4512</v>
      </c>
      <c r="AB71">
        <v>13</v>
      </c>
      <c r="AC71">
        <v>7332</v>
      </c>
      <c r="AD71">
        <v>8</v>
      </c>
      <c r="AE71">
        <v>4512</v>
      </c>
      <c r="AF71">
        <v>12</v>
      </c>
      <c r="AG71">
        <v>6768</v>
      </c>
      <c r="AH71">
        <v>6</v>
      </c>
      <c r="AI71">
        <v>3384</v>
      </c>
      <c r="AJ71">
        <v>10</v>
      </c>
      <c r="AK71">
        <v>5640</v>
      </c>
      <c r="AL71">
        <v>8</v>
      </c>
      <c r="AM71">
        <v>4512</v>
      </c>
      <c r="AN71">
        <v>14</v>
      </c>
      <c r="AO71">
        <v>7896</v>
      </c>
      <c r="AP71">
        <v>8</v>
      </c>
      <c r="AQ71">
        <v>4512</v>
      </c>
      <c r="AR71">
        <v>13</v>
      </c>
      <c r="AS71">
        <v>7332</v>
      </c>
      <c r="AT71">
        <v>12</v>
      </c>
      <c r="AU71">
        <v>6768</v>
      </c>
      <c r="AV71">
        <v>10</v>
      </c>
      <c r="AW71">
        <v>5640</v>
      </c>
      <c r="AX71">
        <v>15</v>
      </c>
      <c r="AY71">
        <v>8460</v>
      </c>
      <c r="AZ71">
        <v>8</v>
      </c>
      <c r="BA71">
        <v>4512</v>
      </c>
      <c r="BB71">
        <v>12</v>
      </c>
      <c r="BC71">
        <v>6768</v>
      </c>
      <c r="BD71">
        <v>7</v>
      </c>
      <c r="BE71">
        <v>3948</v>
      </c>
      <c r="BF71">
        <v>7</v>
      </c>
      <c r="BG71">
        <v>3948</v>
      </c>
      <c r="BH71">
        <v>8</v>
      </c>
      <c r="BI71">
        <v>4512</v>
      </c>
      <c r="BJ71">
        <v>12</v>
      </c>
      <c r="BK71">
        <v>6768</v>
      </c>
      <c r="BL71">
        <v>12</v>
      </c>
      <c r="BM71">
        <v>6768</v>
      </c>
      <c r="BN71">
        <v>13</v>
      </c>
      <c r="BO71">
        <v>7332</v>
      </c>
      <c r="BP71">
        <v>13</v>
      </c>
      <c r="BQ71">
        <v>7332</v>
      </c>
      <c r="BR71">
        <v>10</v>
      </c>
      <c r="BS71">
        <v>5640</v>
      </c>
      <c r="BT71">
        <v>11</v>
      </c>
      <c r="BU71">
        <v>6204</v>
      </c>
      <c r="BV71">
        <v>8</v>
      </c>
      <c r="BW71">
        <v>4512</v>
      </c>
      <c r="BX71">
        <v>7</v>
      </c>
      <c r="BY71">
        <v>3948</v>
      </c>
      <c r="BZ71">
        <v>11</v>
      </c>
      <c r="CA71">
        <v>6204</v>
      </c>
      <c r="CB71">
        <v>7</v>
      </c>
      <c r="CC71">
        <v>3948</v>
      </c>
      <c r="CD71">
        <v>11</v>
      </c>
      <c r="CE71">
        <v>6204</v>
      </c>
      <c r="CF71">
        <v>7</v>
      </c>
      <c r="CG71">
        <v>3948</v>
      </c>
      <c r="CH71">
        <v>9</v>
      </c>
      <c r="CI71">
        <v>5076</v>
      </c>
      <c r="CJ71">
        <v>10</v>
      </c>
      <c r="CK71">
        <v>5640</v>
      </c>
      <c r="CL71">
        <v>9</v>
      </c>
      <c r="CM71">
        <v>5076</v>
      </c>
      <c r="CN71">
        <v>11</v>
      </c>
      <c r="CO71">
        <v>6204</v>
      </c>
      <c r="CP71">
        <v>13</v>
      </c>
      <c r="CQ71">
        <v>7332</v>
      </c>
      <c r="CR71">
        <v>11</v>
      </c>
      <c r="CS71">
        <v>6204</v>
      </c>
      <c r="CT71">
        <v>10</v>
      </c>
      <c r="CU71">
        <v>5640</v>
      </c>
    </row>
    <row r="72" spans="2:99" x14ac:dyDescent="0.2">
      <c r="C72" s="105" t="s">
        <v>238</v>
      </c>
      <c r="D72">
        <v>8</v>
      </c>
      <c r="E72">
        <v>595.19999999999993</v>
      </c>
      <c r="F72">
        <v>10</v>
      </c>
      <c r="G72">
        <v>743.99999999999989</v>
      </c>
      <c r="H72">
        <v>10</v>
      </c>
      <c r="I72">
        <v>743.99999999999989</v>
      </c>
      <c r="J72">
        <v>9</v>
      </c>
      <c r="K72">
        <v>669.59999999999991</v>
      </c>
      <c r="L72">
        <v>13</v>
      </c>
      <c r="M72">
        <v>967.19999999999993</v>
      </c>
      <c r="N72">
        <v>12</v>
      </c>
      <c r="O72">
        <v>892.8</v>
      </c>
      <c r="P72">
        <v>8</v>
      </c>
      <c r="Q72">
        <v>595.19999999999993</v>
      </c>
      <c r="R72">
        <v>12</v>
      </c>
      <c r="S72">
        <v>892.8</v>
      </c>
      <c r="T72">
        <v>8</v>
      </c>
      <c r="U72">
        <v>595.19999999999993</v>
      </c>
      <c r="V72">
        <v>7</v>
      </c>
      <c r="W72">
        <v>520.79999999999995</v>
      </c>
      <c r="X72">
        <v>7</v>
      </c>
      <c r="Y72">
        <v>520.79999999999995</v>
      </c>
      <c r="Z72">
        <v>7</v>
      </c>
      <c r="AA72">
        <v>520.79999999999995</v>
      </c>
      <c r="AB72">
        <v>15</v>
      </c>
      <c r="AC72">
        <v>1115.9999999999998</v>
      </c>
      <c r="AD72">
        <v>8</v>
      </c>
      <c r="AE72">
        <v>595.19999999999993</v>
      </c>
      <c r="AF72">
        <v>14</v>
      </c>
      <c r="AG72">
        <v>1041.5999999999999</v>
      </c>
      <c r="AH72">
        <v>7</v>
      </c>
      <c r="AI72">
        <v>520.79999999999995</v>
      </c>
      <c r="AJ72">
        <v>13</v>
      </c>
      <c r="AK72">
        <v>967.19999999999993</v>
      </c>
      <c r="AL72">
        <v>9</v>
      </c>
      <c r="AM72">
        <v>669.59999999999991</v>
      </c>
      <c r="AN72">
        <v>14</v>
      </c>
      <c r="AO72">
        <v>1041.5999999999999</v>
      </c>
      <c r="AP72">
        <v>8</v>
      </c>
      <c r="AQ72">
        <v>595.19999999999993</v>
      </c>
      <c r="AR72">
        <v>13</v>
      </c>
      <c r="AS72">
        <v>967.19999999999993</v>
      </c>
      <c r="AT72">
        <v>14</v>
      </c>
      <c r="AU72">
        <v>1041.5999999999999</v>
      </c>
      <c r="AV72">
        <v>11</v>
      </c>
      <c r="AW72">
        <v>818.39999999999986</v>
      </c>
      <c r="AX72">
        <v>14</v>
      </c>
      <c r="AY72">
        <v>1041.5999999999999</v>
      </c>
      <c r="AZ72">
        <v>8</v>
      </c>
      <c r="BA72">
        <v>595.19999999999993</v>
      </c>
      <c r="BB72">
        <v>13</v>
      </c>
      <c r="BC72">
        <v>967.19999999999993</v>
      </c>
      <c r="BD72">
        <v>7</v>
      </c>
      <c r="BE72">
        <v>520.79999999999995</v>
      </c>
      <c r="BF72">
        <v>8</v>
      </c>
      <c r="BG72">
        <v>595.19999999999993</v>
      </c>
      <c r="BH72">
        <v>7</v>
      </c>
      <c r="BI72">
        <v>520.79999999999995</v>
      </c>
      <c r="BJ72">
        <v>12</v>
      </c>
      <c r="BK72">
        <v>892.8</v>
      </c>
      <c r="BL72">
        <v>12</v>
      </c>
      <c r="BM72">
        <v>892.8</v>
      </c>
      <c r="BN72">
        <v>13</v>
      </c>
      <c r="BO72">
        <v>967.19999999999993</v>
      </c>
      <c r="BP72">
        <v>12</v>
      </c>
      <c r="BQ72">
        <v>892.8</v>
      </c>
      <c r="BR72">
        <v>10</v>
      </c>
      <c r="BS72">
        <v>743.99999999999989</v>
      </c>
      <c r="BT72">
        <v>12</v>
      </c>
      <c r="BU72">
        <v>892.8</v>
      </c>
      <c r="BV72">
        <v>7</v>
      </c>
      <c r="BW72">
        <v>520.79999999999995</v>
      </c>
      <c r="BX72">
        <v>7</v>
      </c>
      <c r="BY72">
        <v>520.79999999999995</v>
      </c>
      <c r="BZ72">
        <v>11</v>
      </c>
      <c r="CA72">
        <v>818.39999999999986</v>
      </c>
      <c r="CB72">
        <v>9</v>
      </c>
      <c r="CC72">
        <v>669.59999999999991</v>
      </c>
      <c r="CD72">
        <v>11</v>
      </c>
      <c r="CE72">
        <v>818.39999999999986</v>
      </c>
      <c r="CF72">
        <v>8</v>
      </c>
      <c r="CG72">
        <v>595.19999999999993</v>
      </c>
      <c r="CH72">
        <v>9</v>
      </c>
      <c r="CI72">
        <v>669.59999999999991</v>
      </c>
      <c r="CJ72">
        <v>12</v>
      </c>
      <c r="CK72">
        <v>892.8</v>
      </c>
      <c r="CL72">
        <v>9</v>
      </c>
      <c r="CM72">
        <v>669.59999999999991</v>
      </c>
      <c r="CN72">
        <v>12</v>
      </c>
      <c r="CO72">
        <v>892.8</v>
      </c>
      <c r="CP72">
        <v>14</v>
      </c>
      <c r="CQ72">
        <v>1041.5999999999999</v>
      </c>
      <c r="CR72">
        <v>11</v>
      </c>
      <c r="CS72">
        <v>818.39999999999986</v>
      </c>
      <c r="CT72">
        <v>11</v>
      </c>
      <c r="CU72">
        <v>818.39999999999986</v>
      </c>
    </row>
    <row r="73" spans="2:99" x14ac:dyDescent="0.2">
      <c r="C73" s="105" t="s">
        <v>239</v>
      </c>
      <c r="D73">
        <v>8</v>
      </c>
      <c r="E73">
        <v>4473.5999999999995</v>
      </c>
      <c r="F73">
        <v>10</v>
      </c>
      <c r="G73">
        <v>5591.9999999999991</v>
      </c>
      <c r="H73">
        <v>10</v>
      </c>
      <c r="I73">
        <v>5591.9999999999991</v>
      </c>
      <c r="J73">
        <v>9</v>
      </c>
      <c r="K73">
        <v>5032.7999999999993</v>
      </c>
      <c r="L73">
        <v>13</v>
      </c>
      <c r="M73">
        <v>7269.5999999999995</v>
      </c>
      <c r="N73">
        <v>12</v>
      </c>
      <c r="O73">
        <v>6710.4</v>
      </c>
      <c r="P73">
        <v>7</v>
      </c>
      <c r="Q73">
        <v>3914.3999999999996</v>
      </c>
      <c r="R73">
        <v>11</v>
      </c>
      <c r="S73">
        <v>6151.1999999999989</v>
      </c>
      <c r="T73">
        <v>8</v>
      </c>
      <c r="U73">
        <v>4473.5999999999995</v>
      </c>
      <c r="V73">
        <v>7</v>
      </c>
      <c r="W73">
        <v>3914.3999999999996</v>
      </c>
      <c r="X73">
        <v>6</v>
      </c>
      <c r="Y73">
        <v>3355.2</v>
      </c>
      <c r="Z73">
        <v>8</v>
      </c>
      <c r="AA73">
        <v>4473.5999999999995</v>
      </c>
      <c r="AB73">
        <v>14</v>
      </c>
      <c r="AC73">
        <v>7828.7999999999993</v>
      </c>
      <c r="AD73">
        <v>8</v>
      </c>
      <c r="AE73">
        <v>4473.5999999999995</v>
      </c>
      <c r="AF73">
        <v>14</v>
      </c>
      <c r="AG73">
        <v>7828.7999999999993</v>
      </c>
      <c r="AH73">
        <v>7</v>
      </c>
      <c r="AI73">
        <v>3914.3999999999996</v>
      </c>
      <c r="AJ73">
        <v>11</v>
      </c>
      <c r="AK73">
        <v>6151.1999999999989</v>
      </c>
      <c r="AL73">
        <v>8</v>
      </c>
      <c r="AM73">
        <v>4473.5999999999995</v>
      </c>
      <c r="AN73">
        <v>13</v>
      </c>
      <c r="AO73">
        <v>7269.5999999999995</v>
      </c>
      <c r="AP73">
        <v>8</v>
      </c>
      <c r="AQ73">
        <v>4473.5999999999995</v>
      </c>
      <c r="AR73">
        <v>14</v>
      </c>
      <c r="AS73">
        <v>7828.7999999999993</v>
      </c>
      <c r="AT73">
        <v>13</v>
      </c>
      <c r="AU73">
        <v>7269.5999999999995</v>
      </c>
      <c r="AV73">
        <v>10</v>
      </c>
      <c r="AW73">
        <v>5591.9999999999991</v>
      </c>
      <c r="AX73">
        <v>14</v>
      </c>
      <c r="AY73">
        <v>7828.7999999999993</v>
      </c>
      <c r="AZ73">
        <v>7</v>
      </c>
      <c r="BA73">
        <v>3914.3999999999996</v>
      </c>
      <c r="BB73">
        <v>13</v>
      </c>
      <c r="BC73">
        <v>7269.5999999999995</v>
      </c>
      <c r="BD73">
        <v>7</v>
      </c>
      <c r="BE73">
        <v>3914.3999999999996</v>
      </c>
      <c r="BF73">
        <v>8</v>
      </c>
      <c r="BG73">
        <v>4473.5999999999995</v>
      </c>
      <c r="BH73">
        <v>8</v>
      </c>
      <c r="BI73">
        <v>4473.5999999999995</v>
      </c>
      <c r="BJ73">
        <v>11</v>
      </c>
      <c r="BK73">
        <v>6151.1999999999989</v>
      </c>
      <c r="BL73">
        <v>13</v>
      </c>
      <c r="BM73">
        <v>7269.5999999999995</v>
      </c>
      <c r="BN73">
        <v>12</v>
      </c>
      <c r="BO73">
        <v>6710.4</v>
      </c>
      <c r="BP73">
        <v>12</v>
      </c>
      <c r="BQ73">
        <v>6710.4</v>
      </c>
      <c r="BR73">
        <v>9</v>
      </c>
      <c r="BS73">
        <v>5032.7999999999993</v>
      </c>
      <c r="BT73">
        <v>10</v>
      </c>
      <c r="BU73">
        <v>5591.9999999999991</v>
      </c>
      <c r="BV73">
        <v>8</v>
      </c>
      <c r="BW73">
        <v>4473.5999999999995</v>
      </c>
      <c r="BX73">
        <v>8</v>
      </c>
      <c r="BY73">
        <v>4473.5999999999995</v>
      </c>
      <c r="BZ73">
        <v>11</v>
      </c>
      <c r="CA73">
        <v>6151.1999999999989</v>
      </c>
      <c r="CB73">
        <v>7</v>
      </c>
      <c r="CC73">
        <v>3914.3999999999996</v>
      </c>
      <c r="CD73">
        <v>11</v>
      </c>
      <c r="CE73">
        <v>6151.1999999999989</v>
      </c>
      <c r="CF73">
        <v>7</v>
      </c>
      <c r="CG73">
        <v>3914.3999999999996</v>
      </c>
      <c r="CH73">
        <v>9</v>
      </c>
      <c r="CI73">
        <v>5032.7999999999993</v>
      </c>
      <c r="CJ73">
        <v>11</v>
      </c>
      <c r="CK73">
        <v>6151.1999999999989</v>
      </c>
      <c r="CL73">
        <v>9</v>
      </c>
      <c r="CM73">
        <v>5032.7999999999993</v>
      </c>
      <c r="CN73">
        <v>11</v>
      </c>
      <c r="CO73">
        <v>6151.1999999999989</v>
      </c>
      <c r="CP73">
        <v>14</v>
      </c>
      <c r="CQ73">
        <v>7828.7999999999993</v>
      </c>
      <c r="CR73">
        <v>11</v>
      </c>
      <c r="CS73">
        <v>6151.1999999999989</v>
      </c>
      <c r="CT73">
        <v>11</v>
      </c>
      <c r="CU73">
        <v>6151.1999999999989</v>
      </c>
    </row>
    <row r="74" spans="2:99" x14ac:dyDescent="0.2">
      <c r="C74" s="105" t="s">
        <v>240</v>
      </c>
      <c r="D74">
        <v>7</v>
      </c>
      <c r="E74">
        <v>2822.4</v>
      </c>
      <c r="F74">
        <v>11</v>
      </c>
      <c r="G74">
        <v>4435.2</v>
      </c>
      <c r="H74">
        <v>10</v>
      </c>
      <c r="I74">
        <v>4032</v>
      </c>
      <c r="J74">
        <v>9</v>
      </c>
      <c r="K74">
        <v>3628.7999999999997</v>
      </c>
      <c r="L74">
        <v>14</v>
      </c>
      <c r="M74">
        <v>5644.8</v>
      </c>
      <c r="N74">
        <v>12</v>
      </c>
      <c r="O74">
        <v>4838.3999999999996</v>
      </c>
      <c r="P74">
        <v>8</v>
      </c>
      <c r="Q74">
        <v>3225.6</v>
      </c>
      <c r="R74">
        <v>13</v>
      </c>
      <c r="S74">
        <v>5241.5999999999995</v>
      </c>
      <c r="T74">
        <v>7</v>
      </c>
      <c r="U74">
        <v>2822.4</v>
      </c>
      <c r="V74">
        <v>6</v>
      </c>
      <c r="W74">
        <v>2419.1999999999998</v>
      </c>
      <c r="X74">
        <v>7</v>
      </c>
      <c r="Y74">
        <v>2822.4</v>
      </c>
      <c r="Z74">
        <v>8</v>
      </c>
      <c r="AA74">
        <v>3225.6</v>
      </c>
      <c r="AB74">
        <v>14</v>
      </c>
      <c r="AC74">
        <v>5644.8</v>
      </c>
      <c r="AD74">
        <v>7</v>
      </c>
      <c r="AE74">
        <v>2822.4</v>
      </c>
      <c r="AF74">
        <v>13</v>
      </c>
      <c r="AG74">
        <v>5241.5999999999995</v>
      </c>
      <c r="AH74">
        <v>7</v>
      </c>
      <c r="AI74">
        <v>2822.4</v>
      </c>
      <c r="AJ74">
        <v>11</v>
      </c>
      <c r="AK74">
        <v>4435.2</v>
      </c>
      <c r="AL74">
        <v>9</v>
      </c>
      <c r="AM74">
        <v>3628.7999999999997</v>
      </c>
      <c r="AN74">
        <v>13</v>
      </c>
      <c r="AO74">
        <v>5241.5999999999995</v>
      </c>
      <c r="AP74">
        <v>8</v>
      </c>
      <c r="AQ74">
        <v>3225.6</v>
      </c>
      <c r="AR74">
        <v>13</v>
      </c>
      <c r="AS74">
        <v>5241.5999999999995</v>
      </c>
      <c r="AT74">
        <v>13</v>
      </c>
      <c r="AU74">
        <v>5241.5999999999995</v>
      </c>
      <c r="AV74">
        <v>10</v>
      </c>
      <c r="AW74">
        <v>4032</v>
      </c>
      <c r="AX74">
        <v>13</v>
      </c>
      <c r="AY74">
        <v>5241.5999999999995</v>
      </c>
      <c r="AZ74">
        <v>7</v>
      </c>
      <c r="BA74">
        <v>2822.4</v>
      </c>
      <c r="BB74">
        <v>12</v>
      </c>
      <c r="BC74">
        <v>4838.3999999999996</v>
      </c>
      <c r="BD74">
        <v>7</v>
      </c>
      <c r="BE74">
        <v>2822.4</v>
      </c>
      <c r="BF74">
        <v>7</v>
      </c>
      <c r="BG74">
        <v>2822.4</v>
      </c>
      <c r="BH74">
        <v>8</v>
      </c>
      <c r="BI74">
        <v>3225.6</v>
      </c>
      <c r="BJ74">
        <v>12</v>
      </c>
      <c r="BK74">
        <v>4838.3999999999996</v>
      </c>
      <c r="BL74">
        <v>14</v>
      </c>
      <c r="BM74">
        <v>5644.8</v>
      </c>
      <c r="BN74">
        <v>12</v>
      </c>
      <c r="BO74">
        <v>4838.3999999999996</v>
      </c>
      <c r="BP74">
        <v>12</v>
      </c>
      <c r="BQ74">
        <v>4838.3999999999996</v>
      </c>
      <c r="BR74">
        <v>10</v>
      </c>
      <c r="BS74">
        <v>4032</v>
      </c>
      <c r="BT74">
        <v>10</v>
      </c>
      <c r="BU74">
        <v>4032</v>
      </c>
      <c r="BV74">
        <v>9</v>
      </c>
      <c r="BW74">
        <v>3628.7999999999997</v>
      </c>
      <c r="BX74">
        <v>8</v>
      </c>
      <c r="BY74">
        <v>3225.6</v>
      </c>
      <c r="BZ74">
        <v>11</v>
      </c>
      <c r="CA74">
        <v>4435.2</v>
      </c>
      <c r="CB74">
        <v>7</v>
      </c>
      <c r="CC74">
        <v>2822.4</v>
      </c>
      <c r="CD74">
        <v>11</v>
      </c>
      <c r="CE74">
        <v>4435.2</v>
      </c>
      <c r="CF74">
        <v>7</v>
      </c>
      <c r="CG74">
        <v>2822.4</v>
      </c>
      <c r="CH74">
        <v>9</v>
      </c>
      <c r="CI74">
        <v>3628.7999999999997</v>
      </c>
      <c r="CJ74">
        <v>10</v>
      </c>
      <c r="CK74">
        <v>4032</v>
      </c>
      <c r="CL74">
        <v>9</v>
      </c>
      <c r="CM74">
        <v>3628.7999999999997</v>
      </c>
      <c r="CN74">
        <v>11</v>
      </c>
      <c r="CO74">
        <v>4435.2</v>
      </c>
      <c r="CP74">
        <v>15</v>
      </c>
      <c r="CQ74">
        <v>6048</v>
      </c>
      <c r="CR74">
        <v>11</v>
      </c>
      <c r="CS74">
        <v>4435.2</v>
      </c>
      <c r="CT74">
        <v>12</v>
      </c>
      <c r="CU74">
        <v>4838.3999999999996</v>
      </c>
    </row>
    <row r="75" spans="2:99" x14ac:dyDescent="0.2">
      <c r="C75" s="105" t="s">
        <v>241</v>
      </c>
      <c r="D75">
        <v>7</v>
      </c>
      <c r="E75">
        <v>4502.3999999999996</v>
      </c>
      <c r="F75">
        <v>10</v>
      </c>
      <c r="G75">
        <v>6431.9999999999991</v>
      </c>
      <c r="H75">
        <v>9</v>
      </c>
      <c r="I75">
        <v>5788.7999999999993</v>
      </c>
      <c r="J75">
        <v>9</v>
      </c>
      <c r="K75">
        <v>5788.7999999999993</v>
      </c>
      <c r="L75">
        <v>12</v>
      </c>
      <c r="M75">
        <v>7718.4</v>
      </c>
      <c r="N75">
        <v>12</v>
      </c>
      <c r="O75">
        <v>7718.4</v>
      </c>
      <c r="P75">
        <v>7</v>
      </c>
      <c r="Q75">
        <v>4502.3999999999996</v>
      </c>
      <c r="R75">
        <v>12</v>
      </c>
      <c r="S75">
        <v>7718.4</v>
      </c>
      <c r="T75">
        <v>7</v>
      </c>
      <c r="U75">
        <v>4502.3999999999996</v>
      </c>
      <c r="V75">
        <v>7</v>
      </c>
      <c r="W75">
        <v>4502.3999999999996</v>
      </c>
      <c r="X75">
        <v>7</v>
      </c>
      <c r="Y75">
        <v>4502.3999999999996</v>
      </c>
      <c r="Z75">
        <v>8</v>
      </c>
      <c r="AA75">
        <v>5145.5999999999995</v>
      </c>
      <c r="AB75">
        <v>13</v>
      </c>
      <c r="AC75">
        <v>8361.5999999999985</v>
      </c>
      <c r="AD75">
        <v>7</v>
      </c>
      <c r="AE75">
        <v>4502.3999999999996</v>
      </c>
      <c r="AF75">
        <v>13</v>
      </c>
      <c r="AG75">
        <v>8361.5999999999985</v>
      </c>
      <c r="AH75">
        <v>6</v>
      </c>
      <c r="AI75">
        <v>3859.2</v>
      </c>
      <c r="AJ75">
        <v>10</v>
      </c>
      <c r="AK75">
        <v>6431.9999999999991</v>
      </c>
      <c r="AL75">
        <v>9</v>
      </c>
      <c r="AM75">
        <v>5788.7999999999993</v>
      </c>
      <c r="AN75">
        <v>12</v>
      </c>
      <c r="AO75">
        <v>7718.4</v>
      </c>
      <c r="AP75">
        <v>8</v>
      </c>
      <c r="AQ75">
        <v>5145.5999999999995</v>
      </c>
      <c r="AR75">
        <v>13</v>
      </c>
      <c r="AS75">
        <v>8361.5999999999985</v>
      </c>
      <c r="AT75">
        <v>12</v>
      </c>
      <c r="AU75">
        <v>7718.4</v>
      </c>
      <c r="AV75">
        <v>10</v>
      </c>
      <c r="AW75">
        <v>6431.9999999999991</v>
      </c>
      <c r="AX75">
        <v>14</v>
      </c>
      <c r="AY75">
        <v>9004.7999999999993</v>
      </c>
      <c r="AZ75">
        <v>8</v>
      </c>
      <c r="BA75">
        <v>5145.5999999999995</v>
      </c>
      <c r="BB75">
        <v>13</v>
      </c>
      <c r="BC75">
        <v>8361.5999999999985</v>
      </c>
      <c r="BD75">
        <v>7</v>
      </c>
      <c r="BE75">
        <v>4502.3999999999996</v>
      </c>
      <c r="BF75">
        <v>7</v>
      </c>
      <c r="BG75">
        <v>4502.3999999999996</v>
      </c>
      <c r="BH75">
        <v>8</v>
      </c>
      <c r="BI75">
        <v>5145.5999999999995</v>
      </c>
      <c r="BJ75">
        <v>12</v>
      </c>
      <c r="BK75">
        <v>7718.4</v>
      </c>
      <c r="BL75">
        <v>13</v>
      </c>
      <c r="BM75">
        <v>8361.5999999999985</v>
      </c>
      <c r="BN75">
        <v>13</v>
      </c>
      <c r="BO75">
        <v>8361.5999999999985</v>
      </c>
      <c r="BP75">
        <v>11</v>
      </c>
      <c r="BQ75">
        <v>7075.1999999999989</v>
      </c>
      <c r="BR75">
        <v>9</v>
      </c>
      <c r="BS75">
        <v>5788.7999999999993</v>
      </c>
      <c r="BT75">
        <v>10</v>
      </c>
      <c r="BU75">
        <v>6431.9999999999991</v>
      </c>
      <c r="BV75">
        <v>7</v>
      </c>
      <c r="BW75">
        <v>4502.3999999999996</v>
      </c>
      <c r="BX75">
        <v>8</v>
      </c>
      <c r="BY75">
        <v>5145.5999999999995</v>
      </c>
      <c r="BZ75">
        <v>11</v>
      </c>
      <c r="CA75">
        <v>7075.1999999999989</v>
      </c>
      <c r="CB75">
        <v>8</v>
      </c>
      <c r="CC75">
        <v>5145.5999999999995</v>
      </c>
      <c r="CD75">
        <v>12</v>
      </c>
      <c r="CE75">
        <v>7718.4</v>
      </c>
      <c r="CF75">
        <v>8</v>
      </c>
      <c r="CG75">
        <v>5145.5999999999995</v>
      </c>
      <c r="CH75">
        <v>9</v>
      </c>
      <c r="CI75">
        <v>5788.7999999999993</v>
      </c>
      <c r="CJ75">
        <v>11</v>
      </c>
      <c r="CK75">
        <v>7075.1999999999989</v>
      </c>
      <c r="CL75">
        <v>10</v>
      </c>
      <c r="CM75">
        <v>6431.9999999999991</v>
      </c>
      <c r="CN75">
        <v>10</v>
      </c>
      <c r="CO75">
        <v>6431.9999999999991</v>
      </c>
      <c r="CP75">
        <v>15</v>
      </c>
      <c r="CQ75">
        <v>9647.9999999999982</v>
      </c>
      <c r="CR75">
        <v>11</v>
      </c>
      <c r="CS75">
        <v>7075.1999999999989</v>
      </c>
      <c r="CT75">
        <v>10</v>
      </c>
      <c r="CU75">
        <v>6431.9999999999991</v>
      </c>
    </row>
    <row r="76" spans="2:99" x14ac:dyDescent="0.2">
      <c r="C76" s="105" t="s">
        <v>242</v>
      </c>
      <c r="D76">
        <v>8</v>
      </c>
      <c r="E76">
        <v>6230.4</v>
      </c>
      <c r="F76">
        <v>9</v>
      </c>
      <c r="G76">
        <v>7009.2</v>
      </c>
      <c r="H76">
        <v>9</v>
      </c>
      <c r="I76">
        <v>7009.2</v>
      </c>
      <c r="J76">
        <v>8</v>
      </c>
      <c r="K76">
        <v>6230.4</v>
      </c>
      <c r="L76">
        <v>13</v>
      </c>
      <c r="M76">
        <v>10124.4</v>
      </c>
      <c r="N76">
        <v>11</v>
      </c>
      <c r="O76">
        <v>8566.7999999999993</v>
      </c>
      <c r="P76">
        <v>7</v>
      </c>
      <c r="Q76">
        <v>5451.5999999999995</v>
      </c>
      <c r="R76">
        <v>12</v>
      </c>
      <c r="S76">
        <v>9345.5999999999985</v>
      </c>
      <c r="T76">
        <v>7</v>
      </c>
      <c r="U76">
        <v>5451.5999999999995</v>
      </c>
      <c r="V76">
        <v>7</v>
      </c>
      <c r="W76">
        <v>5451.5999999999995</v>
      </c>
      <c r="X76">
        <v>7</v>
      </c>
      <c r="Y76">
        <v>5451.5999999999995</v>
      </c>
      <c r="Z76">
        <v>8</v>
      </c>
      <c r="AA76">
        <v>6230.4</v>
      </c>
      <c r="AB76">
        <v>12</v>
      </c>
      <c r="AC76">
        <v>9345.5999999999985</v>
      </c>
      <c r="AD76">
        <v>7</v>
      </c>
      <c r="AE76">
        <v>5451.5999999999995</v>
      </c>
      <c r="AF76">
        <v>13</v>
      </c>
      <c r="AG76">
        <v>10124.4</v>
      </c>
      <c r="AH76">
        <v>7</v>
      </c>
      <c r="AI76">
        <v>5451.5999999999995</v>
      </c>
      <c r="AJ76">
        <v>12</v>
      </c>
      <c r="AK76">
        <v>9345.5999999999985</v>
      </c>
      <c r="AL76">
        <v>9</v>
      </c>
      <c r="AM76">
        <v>7009.2</v>
      </c>
      <c r="AN76">
        <v>13</v>
      </c>
      <c r="AO76">
        <v>10124.4</v>
      </c>
      <c r="AP76">
        <v>7</v>
      </c>
      <c r="AQ76">
        <v>5451.5999999999995</v>
      </c>
      <c r="AR76">
        <v>14</v>
      </c>
      <c r="AS76">
        <v>10903.199999999999</v>
      </c>
      <c r="AT76">
        <v>13</v>
      </c>
      <c r="AU76">
        <v>10124.4</v>
      </c>
      <c r="AV76">
        <v>9</v>
      </c>
      <c r="AW76">
        <v>7009.2</v>
      </c>
      <c r="AX76">
        <v>13</v>
      </c>
      <c r="AY76">
        <v>10124.4</v>
      </c>
      <c r="AZ76">
        <v>7</v>
      </c>
      <c r="BA76">
        <v>5451.5999999999995</v>
      </c>
      <c r="BB76">
        <v>13</v>
      </c>
      <c r="BC76">
        <v>10124.4</v>
      </c>
      <c r="BD76">
        <v>8</v>
      </c>
      <c r="BE76">
        <v>6230.4</v>
      </c>
      <c r="BF76">
        <v>8</v>
      </c>
      <c r="BG76">
        <v>6230.4</v>
      </c>
      <c r="BH76">
        <v>7</v>
      </c>
      <c r="BI76">
        <v>5451.5999999999995</v>
      </c>
      <c r="BJ76">
        <v>13</v>
      </c>
      <c r="BK76">
        <v>10124.4</v>
      </c>
      <c r="BL76">
        <v>12</v>
      </c>
      <c r="BM76">
        <v>9345.5999999999985</v>
      </c>
      <c r="BN76">
        <v>13</v>
      </c>
      <c r="BO76">
        <v>10124.4</v>
      </c>
      <c r="BP76">
        <v>13</v>
      </c>
      <c r="BQ76">
        <v>10124.4</v>
      </c>
      <c r="BR76">
        <v>8</v>
      </c>
      <c r="BS76">
        <v>6230.4</v>
      </c>
      <c r="BT76">
        <v>11</v>
      </c>
      <c r="BU76">
        <v>8566.7999999999993</v>
      </c>
      <c r="BV76">
        <v>7</v>
      </c>
      <c r="BW76">
        <v>5451.5999999999995</v>
      </c>
      <c r="BX76">
        <v>7</v>
      </c>
      <c r="BY76">
        <v>5451.5999999999995</v>
      </c>
      <c r="BZ76">
        <v>10</v>
      </c>
      <c r="CA76">
        <v>7788</v>
      </c>
      <c r="CB76">
        <v>7</v>
      </c>
      <c r="CC76">
        <v>5451.5999999999995</v>
      </c>
      <c r="CD76">
        <v>11</v>
      </c>
      <c r="CE76">
        <v>8566.7999999999993</v>
      </c>
      <c r="CF76">
        <v>6</v>
      </c>
      <c r="CG76">
        <v>4672.7999999999993</v>
      </c>
      <c r="CH76">
        <v>8</v>
      </c>
      <c r="CI76">
        <v>6230.4</v>
      </c>
      <c r="CJ76">
        <v>10</v>
      </c>
      <c r="CK76">
        <v>7788</v>
      </c>
      <c r="CL76">
        <v>10</v>
      </c>
      <c r="CM76">
        <v>7788</v>
      </c>
      <c r="CN76">
        <v>9</v>
      </c>
      <c r="CO76">
        <v>7009.2</v>
      </c>
      <c r="CP76">
        <v>14</v>
      </c>
      <c r="CQ76">
        <v>10903.199999999999</v>
      </c>
      <c r="CR76">
        <v>13</v>
      </c>
      <c r="CS76">
        <v>10124.4</v>
      </c>
      <c r="CT76">
        <v>10</v>
      </c>
      <c r="CU76">
        <v>7788</v>
      </c>
    </row>
    <row r="77" spans="2:99" x14ac:dyDescent="0.2">
      <c r="C77" s="105" t="s">
        <v>243</v>
      </c>
      <c r="D77">
        <v>8</v>
      </c>
      <c r="E77">
        <v>2227.1999999999998</v>
      </c>
      <c r="F77">
        <v>10</v>
      </c>
      <c r="G77">
        <v>2784</v>
      </c>
      <c r="H77">
        <v>10</v>
      </c>
      <c r="I77">
        <v>2784</v>
      </c>
      <c r="J77">
        <v>9</v>
      </c>
      <c r="K77">
        <v>2505.6</v>
      </c>
      <c r="L77">
        <v>13</v>
      </c>
      <c r="M77">
        <v>3619.2</v>
      </c>
      <c r="N77">
        <v>13</v>
      </c>
      <c r="O77">
        <v>3619.2</v>
      </c>
      <c r="P77">
        <v>8</v>
      </c>
      <c r="Q77">
        <v>2227.1999999999998</v>
      </c>
      <c r="R77">
        <v>13</v>
      </c>
      <c r="S77">
        <v>3619.2</v>
      </c>
      <c r="T77">
        <v>8</v>
      </c>
      <c r="U77">
        <v>2227.1999999999998</v>
      </c>
      <c r="V77">
        <v>7</v>
      </c>
      <c r="W77">
        <v>1948.7999999999997</v>
      </c>
      <c r="X77">
        <v>7</v>
      </c>
      <c r="Y77">
        <v>1948.7999999999997</v>
      </c>
      <c r="Z77">
        <v>8</v>
      </c>
      <c r="AA77">
        <v>2227.1999999999998</v>
      </c>
      <c r="AB77">
        <v>13</v>
      </c>
      <c r="AC77">
        <v>3619.2</v>
      </c>
      <c r="AD77">
        <v>8</v>
      </c>
      <c r="AE77">
        <v>2227.1999999999998</v>
      </c>
      <c r="AF77">
        <v>13</v>
      </c>
      <c r="AG77">
        <v>3619.2</v>
      </c>
      <c r="AH77">
        <v>7</v>
      </c>
      <c r="AI77">
        <v>1948.7999999999997</v>
      </c>
      <c r="AJ77">
        <v>11</v>
      </c>
      <c r="AK77">
        <v>3062.3999999999996</v>
      </c>
      <c r="AL77">
        <v>9</v>
      </c>
      <c r="AM77">
        <v>2505.6</v>
      </c>
      <c r="AN77">
        <v>14</v>
      </c>
      <c r="AO77">
        <v>3897.5999999999995</v>
      </c>
      <c r="AP77">
        <v>8</v>
      </c>
      <c r="AQ77">
        <v>2227.1999999999998</v>
      </c>
      <c r="AR77">
        <v>15</v>
      </c>
      <c r="AS77">
        <v>4176</v>
      </c>
      <c r="AT77">
        <v>13</v>
      </c>
      <c r="AU77">
        <v>3619.2</v>
      </c>
      <c r="AV77">
        <v>11</v>
      </c>
      <c r="AW77">
        <v>3062.3999999999996</v>
      </c>
      <c r="AX77">
        <v>13</v>
      </c>
      <c r="AY77">
        <v>3619.2</v>
      </c>
      <c r="AZ77">
        <v>8</v>
      </c>
      <c r="BA77">
        <v>2227.1999999999998</v>
      </c>
      <c r="BB77">
        <v>12</v>
      </c>
      <c r="BC77">
        <v>3340.7999999999997</v>
      </c>
      <c r="BD77">
        <v>8</v>
      </c>
      <c r="BE77">
        <v>2227.1999999999998</v>
      </c>
      <c r="BF77">
        <v>8</v>
      </c>
      <c r="BG77">
        <v>2227.1999999999998</v>
      </c>
      <c r="BH77">
        <v>8</v>
      </c>
      <c r="BI77">
        <v>2227.1999999999998</v>
      </c>
      <c r="BJ77">
        <v>13</v>
      </c>
      <c r="BK77">
        <v>3619.2</v>
      </c>
      <c r="BL77">
        <v>12</v>
      </c>
      <c r="BM77">
        <v>3340.7999999999997</v>
      </c>
      <c r="BN77">
        <v>13</v>
      </c>
      <c r="BO77">
        <v>3619.2</v>
      </c>
      <c r="BP77">
        <v>12</v>
      </c>
      <c r="BQ77">
        <v>3340.7999999999997</v>
      </c>
      <c r="BR77">
        <v>10</v>
      </c>
      <c r="BS77">
        <v>2784</v>
      </c>
      <c r="BT77">
        <v>11</v>
      </c>
      <c r="BU77">
        <v>3062.3999999999996</v>
      </c>
      <c r="BV77">
        <v>9</v>
      </c>
      <c r="BW77">
        <v>2505.6</v>
      </c>
      <c r="BX77">
        <v>7</v>
      </c>
      <c r="BY77">
        <v>1948.7999999999997</v>
      </c>
      <c r="BZ77">
        <v>11</v>
      </c>
      <c r="CA77">
        <v>3062.3999999999996</v>
      </c>
      <c r="CB77">
        <v>8</v>
      </c>
      <c r="CC77">
        <v>2227.1999999999998</v>
      </c>
      <c r="CD77">
        <v>13</v>
      </c>
      <c r="CE77">
        <v>3619.2</v>
      </c>
      <c r="CF77">
        <v>7</v>
      </c>
      <c r="CG77">
        <v>1948.7999999999997</v>
      </c>
      <c r="CH77">
        <v>9</v>
      </c>
      <c r="CI77">
        <v>2505.6</v>
      </c>
      <c r="CJ77">
        <v>11</v>
      </c>
      <c r="CK77">
        <v>3062.3999999999996</v>
      </c>
      <c r="CL77">
        <v>9</v>
      </c>
      <c r="CM77">
        <v>2505.6</v>
      </c>
      <c r="CN77">
        <v>11</v>
      </c>
      <c r="CO77">
        <v>3062.3999999999996</v>
      </c>
      <c r="CP77">
        <v>15</v>
      </c>
      <c r="CQ77">
        <v>4176</v>
      </c>
      <c r="CR77">
        <v>11</v>
      </c>
      <c r="CS77">
        <v>3062.3999999999996</v>
      </c>
      <c r="CT77">
        <v>11</v>
      </c>
      <c r="CU77">
        <v>3062.3999999999996</v>
      </c>
    </row>
    <row r="78" spans="2:99" x14ac:dyDescent="0.2">
      <c r="C78" s="105" t="s">
        <v>244</v>
      </c>
      <c r="D78">
        <v>8</v>
      </c>
      <c r="E78">
        <v>4416</v>
      </c>
      <c r="F78">
        <v>10</v>
      </c>
      <c r="G78">
        <v>5520</v>
      </c>
      <c r="H78">
        <v>9</v>
      </c>
      <c r="I78">
        <v>4968</v>
      </c>
      <c r="J78">
        <v>8</v>
      </c>
      <c r="K78">
        <v>4416</v>
      </c>
      <c r="L78">
        <v>11</v>
      </c>
      <c r="M78">
        <v>6072</v>
      </c>
      <c r="N78">
        <v>13</v>
      </c>
      <c r="O78">
        <v>7176</v>
      </c>
      <c r="P78">
        <v>7</v>
      </c>
      <c r="Q78">
        <v>3864</v>
      </c>
      <c r="R78">
        <v>13</v>
      </c>
      <c r="S78">
        <v>7176</v>
      </c>
      <c r="T78">
        <v>6</v>
      </c>
      <c r="U78">
        <v>3312</v>
      </c>
      <c r="V78">
        <v>6</v>
      </c>
      <c r="W78">
        <v>3312</v>
      </c>
      <c r="X78">
        <v>8</v>
      </c>
      <c r="Y78">
        <v>4416</v>
      </c>
      <c r="Z78">
        <v>8</v>
      </c>
      <c r="AA78">
        <v>4416</v>
      </c>
      <c r="AB78">
        <v>13</v>
      </c>
      <c r="AC78">
        <v>7176</v>
      </c>
      <c r="AD78">
        <v>7</v>
      </c>
      <c r="AE78">
        <v>3864</v>
      </c>
      <c r="AF78">
        <v>13</v>
      </c>
      <c r="AG78">
        <v>7176</v>
      </c>
      <c r="AH78">
        <v>7</v>
      </c>
      <c r="AI78">
        <v>3864</v>
      </c>
      <c r="AJ78">
        <v>12</v>
      </c>
      <c r="AK78">
        <v>6624</v>
      </c>
      <c r="AL78">
        <v>8</v>
      </c>
      <c r="AM78">
        <v>4416</v>
      </c>
      <c r="AN78">
        <v>11</v>
      </c>
      <c r="AO78">
        <v>6072</v>
      </c>
      <c r="AP78">
        <v>8</v>
      </c>
      <c r="AQ78">
        <v>4416</v>
      </c>
      <c r="AR78">
        <v>14</v>
      </c>
      <c r="AS78">
        <v>7728</v>
      </c>
      <c r="AT78">
        <v>13</v>
      </c>
      <c r="AU78">
        <v>7176</v>
      </c>
      <c r="AV78">
        <v>11</v>
      </c>
      <c r="AW78">
        <v>6072</v>
      </c>
      <c r="AX78">
        <v>14</v>
      </c>
      <c r="AY78">
        <v>7728</v>
      </c>
      <c r="AZ78">
        <v>7</v>
      </c>
      <c r="BA78">
        <v>3864</v>
      </c>
      <c r="BB78">
        <v>12</v>
      </c>
      <c r="BC78">
        <v>6624</v>
      </c>
      <c r="BD78">
        <v>7</v>
      </c>
      <c r="BE78">
        <v>3864</v>
      </c>
      <c r="BF78">
        <v>7</v>
      </c>
      <c r="BG78">
        <v>3864</v>
      </c>
      <c r="BH78">
        <v>7</v>
      </c>
      <c r="BI78">
        <v>3864</v>
      </c>
      <c r="BJ78">
        <v>11</v>
      </c>
      <c r="BK78">
        <v>6072</v>
      </c>
      <c r="BL78">
        <v>13</v>
      </c>
      <c r="BM78">
        <v>7176</v>
      </c>
      <c r="BN78">
        <v>13</v>
      </c>
      <c r="BO78">
        <v>7176</v>
      </c>
      <c r="BP78">
        <v>13</v>
      </c>
      <c r="BQ78">
        <v>7176</v>
      </c>
      <c r="BR78">
        <v>10</v>
      </c>
      <c r="BS78">
        <v>5520</v>
      </c>
      <c r="BT78">
        <v>11</v>
      </c>
      <c r="BU78">
        <v>6072</v>
      </c>
      <c r="BV78">
        <v>8</v>
      </c>
      <c r="BW78">
        <v>4416</v>
      </c>
      <c r="BX78">
        <v>7</v>
      </c>
      <c r="BY78">
        <v>3864</v>
      </c>
      <c r="BZ78">
        <v>10</v>
      </c>
      <c r="CA78">
        <v>5520</v>
      </c>
      <c r="CB78">
        <v>8</v>
      </c>
      <c r="CC78">
        <v>4416</v>
      </c>
      <c r="CD78">
        <v>11</v>
      </c>
      <c r="CE78">
        <v>6072</v>
      </c>
      <c r="CF78">
        <v>7</v>
      </c>
      <c r="CG78">
        <v>3864</v>
      </c>
      <c r="CH78">
        <v>9</v>
      </c>
      <c r="CI78">
        <v>4968</v>
      </c>
      <c r="CJ78">
        <v>11</v>
      </c>
      <c r="CK78">
        <v>6072</v>
      </c>
      <c r="CL78">
        <v>10</v>
      </c>
      <c r="CM78">
        <v>5520</v>
      </c>
      <c r="CN78">
        <v>11</v>
      </c>
      <c r="CO78">
        <v>6072</v>
      </c>
      <c r="CP78">
        <v>13</v>
      </c>
      <c r="CQ78">
        <v>7176</v>
      </c>
      <c r="CR78">
        <v>12</v>
      </c>
      <c r="CS78">
        <v>6624</v>
      </c>
      <c r="CT78">
        <v>11</v>
      </c>
      <c r="CU78">
        <v>6072</v>
      </c>
    </row>
    <row r="79" spans="2:99" x14ac:dyDescent="0.2">
      <c r="C79" s="105" t="s">
        <v>245</v>
      </c>
      <c r="D79">
        <v>7</v>
      </c>
      <c r="E79">
        <v>5300.4</v>
      </c>
      <c r="F79">
        <v>9</v>
      </c>
      <c r="G79">
        <v>6814.7999999999993</v>
      </c>
      <c r="H79">
        <v>9</v>
      </c>
      <c r="I79">
        <v>6814.7999999999993</v>
      </c>
      <c r="J79">
        <v>8</v>
      </c>
      <c r="K79">
        <v>6057.5999999999995</v>
      </c>
      <c r="L79">
        <v>12</v>
      </c>
      <c r="M79">
        <v>9086.4</v>
      </c>
      <c r="N79">
        <v>12</v>
      </c>
      <c r="O79">
        <v>9086.4</v>
      </c>
      <c r="P79">
        <v>8</v>
      </c>
      <c r="Q79">
        <v>6057.5999999999995</v>
      </c>
      <c r="R79">
        <v>11</v>
      </c>
      <c r="S79">
        <v>8329.1999999999989</v>
      </c>
      <c r="T79">
        <v>7</v>
      </c>
      <c r="U79">
        <v>5300.4</v>
      </c>
      <c r="V79">
        <v>7</v>
      </c>
      <c r="W79">
        <v>5300.4</v>
      </c>
      <c r="X79">
        <v>6</v>
      </c>
      <c r="Y79">
        <v>4543.2</v>
      </c>
      <c r="Z79">
        <v>8</v>
      </c>
      <c r="AA79">
        <v>6057.5999999999995</v>
      </c>
      <c r="AB79">
        <v>13</v>
      </c>
      <c r="AC79">
        <v>9843.5999999999985</v>
      </c>
      <c r="AD79">
        <v>7</v>
      </c>
      <c r="AE79">
        <v>5300.4</v>
      </c>
      <c r="AF79">
        <v>14</v>
      </c>
      <c r="AG79">
        <v>10600.8</v>
      </c>
      <c r="AH79">
        <v>7</v>
      </c>
      <c r="AI79">
        <v>5300.4</v>
      </c>
      <c r="AJ79">
        <v>12</v>
      </c>
      <c r="AK79">
        <v>9086.4</v>
      </c>
      <c r="AL79">
        <v>8</v>
      </c>
      <c r="AM79">
        <v>6057.5999999999995</v>
      </c>
      <c r="AN79">
        <v>12</v>
      </c>
      <c r="AO79">
        <v>9086.4</v>
      </c>
      <c r="AP79">
        <v>8</v>
      </c>
      <c r="AQ79">
        <v>6057.5999999999995</v>
      </c>
      <c r="AR79">
        <v>14</v>
      </c>
      <c r="AS79">
        <v>10600.8</v>
      </c>
      <c r="AT79">
        <v>13</v>
      </c>
      <c r="AU79">
        <v>9843.5999999999985</v>
      </c>
      <c r="AV79">
        <v>11</v>
      </c>
      <c r="AW79">
        <v>8329.1999999999989</v>
      </c>
      <c r="AX79">
        <v>13</v>
      </c>
      <c r="AY79">
        <v>9843.5999999999985</v>
      </c>
      <c r="AZ79">
        <v>7</v>
      </c>
      <c r="BA79">
        <v>5300.4</v>
      </c>
      <c r="BB79">
        <v>11</v>
      </c>
      <c r="BC79">
        <v>8329.1999999999989</v>
      </c>
      <c r="BD79">
        <v>7</v>
      </c>
      <c r="BE79">
        <v>5300.4</v>
      </c>
      <c r="BF79">
        <v>8</v>
      </c>
      <c r="BG79">
        <v>6057.5999999999995</v>
      </c>
      <c r="BH79">
        <v>7</v>
      </c>
      <c r="BI79">
        <v>5300.4</v>
      </c>
      <c r="BJ79">
        <v>12</v>
      </c>
      <c r="BK79">
        <v>9086.4</v>
      </c>
      <c r="BL79">
        <v>11</v>
      </c>
      <c r="BM79">
        <v>8329.1999999999989</v>
      </c>
      <c r="BN79">
        <v>12</v>
      </c>
      <c r="BO79">
        <v>9086.4</v>
      </c>
      <c r="BP79">
        <v>12</v>
      </c>
      <c r="BQ79">
        <v>9086.4</v>
      </c>
      <c r="BR79">
        <v>10</v>
      </c>
      <c r="BS79">
        <v>7571.9999999999991</v>
      </c>
      <c r="BT79">
        <v>11</v>
      </c>
      <c r="BU79">
        <v>8329.1999999999989</v>
      </c>
      <c r="BV79">
        <v>7</v>
      </c>
      <c r="BW79">
        <v>5300.4</v>
      </c>
      <c r="BX79">
        <v>7</v>
      </c>
      <c r="BY79">
        <v>5300.4</v>
      </c>
      <c r="BZ79">
        <v>11</v>
      </c>
      <c r="CA79">
        <v>8329.1999999999989</v>
      </c>
      <c r="CB79">
        <v>7</v>
      </c>
      <c r="CC79">
        <v>5300.4</v>
      </c>
      <c r="CD79">
        <v>12</v>
      </c>
      <c r="CE79">
        <v>9086.4</v>
      </c>
      <c r="CF79">
        <v>7</v>
      </c>
      <c r="CG79">
        <v>5300.4</v>
      </c>
      <c r="CH79">
        <v>9</v>
      </c>
      <c r="CI79">
        <v>6814.7999999999993</v>
      </c>
      <c r="CJ79">
        <v>12</v>
      </c>
      <c r="CK79">
        <v>9086.4</v>
      </c>
      <c r="CL79">
        <v>9</v>
      </c>
      <c r="CM79">
        <v>6814.7999999999993</v>
      </c>
      <c r="CN79">
        <v>11</v>
      </c>
      <c r="CO79">
        <v>8329.1999999999989</v>
      </c>
      <c r="CP79">
        <v>14</v>
      </c>
      <c r="CQ79">
        <v>10600.8</v>
      </c>
      <c r="CR79">
        <v>12</v>
      </c>
      <c r="CS79">
        <v>9086.4</v>
      </c>
      <c r="CT79">
        <v>12</v>
      </c>
      <c r="CU79">
        <v>9086.4</v>
      </c>
    </row>
    <row r="80" spans="2:99" x14ac:dyDescent="0.2">
      <c r="C80" s="105" t="s">
        <v>246</v>
      </c>
      <c r="D80">
        <v>7</v>
      </c>
      <c r="E80">
        <v>5636.4</v>
      </c>
      <c r="F80">
        <v>9</v>
      </c>
      <c r="G80">
        <v>7246.7999999999993</v>
      </c>
      <c r="H80">
        <v>10</v>
      </c>
      <c r="I80">
        <v>8051.9999999999991</v>
      </c>
      <c r="J80">
        <v>8</v>
      </c>
      <c r="K80">
        <v>6441.5999999999995</v>
      </c>
      <c r="L80">
        <v>12</v>
      </c>
      <c r="M80">
        <v>9662.4</v>
      </c>
      <c r="N80">
        <v>12</v>
      </c>
      <c r="O80">
        <v>9662.4</v>
      </c>
      <c r="P80">
        <v>8</v>
      </c>
      <c r="Q80">
        <v>6441.5999999999995</v>
      </c>
      <c r="R80">
        <v>11</v>
      </c>
      <c r="S80">
        <v>8857.1999999999989</v>
      </c>
      <c r="T80">
        <v>7</v>
      </c>
      <c r="U80">
        <v>5636.4</v>
      </c>
      <c r="V80">
        <v>6</v>
      </c>
      <c r="W80">
        <v>4831.2</v>
      </c>
      <c r="X80">
        <v>6</v>
      </c>
      <c r="Y80">
        <v>4831.2</v>
      </c>
      <c r="Z80">
        <v>7</v>
      </c>
      <c r="AA80">
        <v>5636.4</v>
      </c>
      <c r="AB80">
        <v>13</v>
      </c>
      <c r="AC80">
        <v>10467.599999999999</v>
      </c>
      <c r="AD80">
        <v>7</v>
      </c>
      <c r="AE80">
        <v>5636.4</v>
      </c>
      <c r="AF80">
        <v>13</v>
      </c>
      <c r="AG80">
        <v>10467.599999999999</v>
      </c>
      <c r="AH80">
        <v>7</v>
      </c>
      <c r="AI80">
        <v>5636.4</v>
      </c>
      <c r="AJ80">
        <v>10</v>
      </c>
      <c r="AK80">
        <v>8051.9999999999991</v>
      </c>
      <c r="AL80">
        <v>9</v>
      </c>
      <c r="AM80">
        <v>7246.7999999999993</v>
      </c>
      <c r="AN80">
        <v>13</v>
      </c>
      <c r="AO80">
        <v>10467.599999999999</v>
      </c>
      <c r="AP80">
        <v>8</v>
      </c>
      <c r="AQ80">
        <v>6441.5999999999995</v>
      </c>
      <c r="AR80">
        <v>14</v>
      </c>
      <c r="AS80">
        <v>11272.8</v>
      </c>
      <c r="AT80">
        <v>11</v>
      </c>
      <c r="AU80">
        <v>8857.1999999999989</v>
      </c>
      <c r="AV80">
        <v>10</v>
      </c>
      <c r="AW80">
        <v>8051.9999999999991</v>
      </c>
      <c r="AX80">
        <v>14</v>
      </c>
      <c r="AY80">
        <v>11272.8</v>
      </c>
      <c r="AZ80">
        <v>8</v>
      </c>
      <c r="BA80">
        <v>6441.5999999999995</v>
      </c>
      <c r="BB80">
        <v>12</v>
      </c>
      <c r="BC80">
        <v>9662.4</v>
      </c>
      <c r="BD80">
        <v>6</v>
      </c>
      <c r="BE80">
        <v>4831.2</v>
      </c>
      <c r="BF80">
        <v>8</v>
      </c>
      <c r="BG80">
        <v>6441.5999999999995</v>
      </c>
      <c r="BH80">
        <v>8</v>
      </c>
      <c r="BI80">
        <v>6441.5999999999995</v>
      </c>
      <c r="BJ80">
        <v>11</v>
      </c>
      <c r="BK80">
        <v>8857.1999999999989</v>
      </c>
      <c r="BL80">
        <v>13</v>
      </c>
      <c r="BM80">
        <v>10467.599999999999</v>
      </c>
      <c r="BN80">
        <v>12</v>
      </c>
      <c r="BO80">
        <v>9662.4</v>
      </c>
      <c r="BP80">
        <v>11</v>
      </c>
      <c r="BQ80">
        <v>8857.1999999999989</v>
      </c>
      <c r="BR80">
        <v>9</v>
      </c>
      <c r="BS80">
        <v>7246.7999999999993</v>
      </c>
      <c r="BT80">
        <v>10</v>
      </c>
      <c r="BU80">
        <v>8051.9999999999991</v>
      </c>
      <c r="BV80">
        <v>8</v>
      </c>
      <c r="BW80">
        <v>6441.5999999999995</v>
      </c>
      <c r="BX80">
        <v>7</v>
      </c>
      <c r="BY80">
        <v>5636.4</v>
      </c>
      <c r="BZ80">
        <v>10</v>
      </c>
      <c r="CA80">
        <v>8051.9999999999991</v>
      </c>
      <c r="CB80">
        <v>8</v>
      </c>
      <c r="CC80">
        <v>6441.5999999999995</v>
      </c>
      <c r="CD80">
        <v>11</v>
      </c>
      <c r="CE80">
        <v>8857.1999999999989</v>
      </c>
      <c r="CF80">
        <v>7</v>
      </c>
      <c r="CG80">
        <v>5636.4</v>
      </c>
      <c r="CH80">
        <v>9</v>
      </c>
      <c r="CI80">
        <v>7246.7999999999993</v>
      </c>
      <c r="CJ80">
        <v>12</v>
      </c>
      <c r="CK80">
        <v>9662.4</v>
      </c>
      <c r="CL80">
        <v>10</v>
      </c>
      <c r="CM80">
        <v>8051.9999999999991</v>
      </c>
      <c r="CN80">
        <v>11</v>
      </c>
      <c r="CO80">
        <v>8857.1999999999989</v>
      </c>
      <c r="CP80">
        <v>14</v>
      </c>
      <c r="CQ80">
        <v>11272.8</v>
      </c>
      <c r="CR80">
        <v>11</v>
      </c>
      <c r="CS80">
        <v>8857.1999999999989</v>
      </c>
      <c r="CT80">
        <v>11</v>
      </c>
      <c r="CU80">
        <v>8857.1999999999989</v>
      </c>
    </row>
    <row r="81" spans="2:99" x14ac:dyDescent="0.2">
      <c r="C81" s="105" t="s">
        <v>247</v>
      </c>
      <c r="D81">
        <v>8</v>
      </c>
      <c r="E81">
        <v>6028.8</v>
      </c>
      <c r="F81">
        <v>9</v>
      </c>
      <c r="G81">
        <v>6782.4000000000005</v>
      </c>
      <c r="H81">
        <v>10</v>
      </c>
      <c r="I81">
        <v>7536</v>
      </c>
      <c r="J81">
        <v>9</v>
      </c>
      <c r="K81">
        <v>6782.4000000000005</v>
      </c>
      <c r="L81">
        <v>12</v>
      </c>
      <c r="M81">
        <v>9043.2000000000007</v>
      </c>
      <c r="N81">
        <v>11</v>
      </c>
      <c r="O81">
        <v>8289.6</v>
      </c>
      <c r="P81">
        <v>8</v>
      </c>
      <c r="Q81">
        <v>6028.8</v>
      </c>
      <c r="R81">
        <v>12</v>
      </c>
      <c r="S81">
        <v>9043.2000000000007</v>
      </c>
      <c r="T81">
        <v>7</v>
      </c>
      <c r="U81">
        <v>5275.2</v>
      </c>
      <c r="V81">
        <v>7</v>
      </c>
      <c r="W81">
        <v>5275.2</v>
      </c>
      <c r="X81">
        <v>6</v>
      </c>
      <c r="Y81">
        <v>4521.6000000000004</v>
      </c>
      <c r="Z81">
        <v>8</v>
      </c>
      <c r="AA81">
        <v>6028.8</v>
      </c>
      <c r="AB81">
        <v>13</v>
      </c>
      <c r="AC81">
        <v>9796.8000000000011</v>
      </c>
      <c r="AD81">
        <v>8</v>
      </c>
      <c r="AE81">
        <v>6028.8</v>
      </c>
      <c r="AF81">
        <v>12</v>
      </c>
      <c r="AG81">
        <v>9043.2000000000007</v>
      </c>
      <c r="AH81">
        <v>7</v>
      </c>
      <c r="AI81">
        <v>5275.2</v>
      </c>
      <c r="AJ81">
        <v>11</v>
      </c>
      <c r="AK81">
        <v>8289.6</v>
      </c>
      <c r="AL81">
        <v>8</v>
      </c>
      <c r="AM81">
        <v>6028.8</v>
      </c>
      <c r="AN81">
        <v>12</v>
      </c>
      <c r="AO81">
        <v>9043.2000000000007</v>
      </c>
      <c r="AP81">
        <v>8</v>
      </c>
      <c r="AQ81">
        <v>6028.8</v>
      </c>
      <c r="AR81">
        <v>12</v>
      </c>
      <c r="AS81">
        <v>9043.2000000000007</v>
      </c>
      <c r="AT81">
        <v>13</v>
      </c>
      <c r="AU81">
        <v>9796.8000000000011</v>
      </c>
      <c r="AV81">
        <v>10</v>
      </c>
      <c r="AW81">
        <v>7536</v>
      </c>
      <c r="AX81">
        <v>14</v>
      </c>
      <c r="AY81">
        <v>10550.4</v>
      </c>
      <c r="AZ81">
        <v>8</v>
      </c>
      <c r="BA81">
        <v>6028.8</v>
      </c>
      <c r="BB81">
        <v>12</v>
      </c>
      <c r="BC81">
        <v>9043.2000000000007</v>
      </c>
      <c r="BD81">
        <v>8</v>
      </c>
      <c r="BE81">
        <v>6028.8</v>
      </c>
      <c r="BF81">
        <v>8</v>
      </c>
      <c r="BG81">
        <v>6028.8</v>
      </c>
      <c r="BH81">
        <v>7</v>
      </c>
      <c r="BI81">
        <v>5275.2</v>
      </c>
      <c r="BJ81">
        <v>12</v>
      </c>
      <c r="BK81">
        <v>9043.2000000000007</v>
      </c>
      <c r="BL81">
        <v>13</v>
      </c>
      <c r="BM81">
        <v>9796.8000000000011</v>
      </c>
      <c r="BN81">
        <v>11</v>
      </c>
      <c r="BO81">
        <v>8289.6</v>
      </c>
      <c r="BP81">
        <v>12</v>
      </c>
      <c r="BQ81">
        <v>9043.2000000000007</v>
      </c>
      <c r="BR81">
        <v>9</v>
      </c>
      <c r="BS81">
        <v>6782.4000000000005</v>
      </c>
      <c r="BT81">
        <v>10</v>
      </c>
      <c r="BU81">
        <v>7536</v>
      </c>
      <c r="BV81">
        <v>8</v>
      </c>
      <c r="BW81">
        <v>6028.8</v>
      </c>
      <c r="BX81">
        <v>6</v>
      </c>
      <c r="BY81">
        <v>4521.6000000000004</v>
      </c>
      <c r="BZ81">
        <v>11</v>
      </c>
      <c r="CA81">
        <v>8289.6</v>
      </c>
      <c r="CB81">
        <v>7</v>
      </c>
      <c r="CC81">
        <v>5275.2</v>
      </c>
      <c r="CD81">
        <v>10</v>
      </c>
      <c r="CE81">
        <v>7536</v>
      </c>
      <c r="CF81">
        <v>7</v>
      </c>
      <c r="CG81">
        <v>5275.2</v>
      </c>
      <c r="CH81">
        <v>9</v>
      </c>
      <c r="CI81">
        <v>6782.4000000000005</v>
      </c>
      <c r="CJ81">
        <v>12</v>
      </c>
      <c r="CK81">
        <v>9043.2000000000007</v>
      </c>
      <c r="CL81">
        <v>10</v>
      </c>
      <c r="CM81">
        <v>7536</v>
      </c>
      <c r="CN81">
        <v>10</v>
      </c>
      <c r="CO81">
        <v>7536</v>
      </c>
      <c r="CP81">
        <v>14</v>
      </c>
      <c r="CQ81">
        <v>10550.4</v>
      </c>
      <c r="CR81">
        <v>11</v>
      </c>
      <c r="CS81">
        <v>8289.6</v>
      </c>
      <c r="CT81">
        <v>10</v>
      </c>
      <c r="CU81">
        <v>7536</v>
      </c>
    </row>
    <row r="82" spans="2:99" x14ac:dyDescent="0.2">
      <c r="C82" s="105" t="s">
        <v>248</v>
      </c>
      <c r="D82">
        <v>8</v>
      </c>
      <c r="E82">
        <v>4070.3999999999992</v>
      </c>
      <c r="F82">
        <v>11</v>
      </c>
      <c r="G82">
        <v>5596.7999999999993</v>
      </c>
      <c r="H82">
        <v>10</v>
      </c>
      <c r="I82">
        <v>5087.9999999999991</v>
      </c>
      <c r="J82">
        <v>9</v>
      </c>
      <c r="K82">
        <v>4579.1999999999989</v>
      </c>
      <c r="L82">
        <v>13</v>
      </c>
      <c r="M82">
        <v>6614.3999999999987</v>
      </c>
      <c r="N82">
        <v>12</v>
      </c>
      <c r="O82">
        <v>6105.5999999999985</v>
      </c>
      <c r="P82">
        <v>8</v>
      </c>
      <c r="Q82">
        <v>4070.3999999999992</v>
      </c>
      <c r="R82">
        <v>12</v>
      </c>
      <c r="S82">
        <v>6105.5999999999985</v>
      </c>
      <c r="T82">
        <v>7</v>
      </c>
      <c r="U82">
        <v>3561.5999999999995</v>
      </c>
      <c r="V82">
        <v>6</v>
      </c>
      <c r="W82">
        <v>3052.7999999999993</v>
      </c>
      <c r="X82">
        <v>6</v>
      </c>
      <c r="Y82">
        <v>3052.7999999999993</v>
      </c>
      <c r="Z82">
        <v>8</v>
      </c>
      <c r="AA82">
        <v>4070.3999999999992</v>
      </c>
      <c r="AB82">
        <v>13</v>
      </c>
      <c r="AC82">
        <v>6614.3999999999987</v>
      </c>
      <c r="AD82">
        <v>7</v>
      </c>
      <c r="AE82">
        <v>3561.5999999999995</v>
      </c>
      <c r="AF82">
        <v>13</v>
      </c>
      <c r="AG82">
        <v>6614.3999999999987</v>
      </c>
      <c r="AH82">
        <v>7</v>
      </c>
      <c r="AI82">
        <v>3561.5999999999995</v>
      </c>
      <c r="AJ82">
        <v>11</v>
      </c>
      <c r="AK82">
        <v>5596.7999999999993</v>
      </c>
      <c r="AL82">
        <v>9</v>
      </c>
      <c r="AM82">
        <v>4579.1999999999989</v>
      </c>
      <c r="AN82">
        <v>12</v>
      </c>
      <c r="AO82">
        <v>6105.5999999999985</v>
      </c>
      <c r="AP82">
        <v>9</v>
      </c>
      <c r="AQ82">
        <v>4579.1999999999989</v>
      </c>
      <c r="AR82">
        <v>12</v>
      </c>
      <c r="AS82">
        <v>6105.5999999999985</v>
      </c>
      <c r="AT82">
        <v>12</v>
      </c>
      <c r="AU82">
        <v>6105.5999999999985</v>
      </c>
      <c r="AV82">
        <v>11</v>
      </c>
      <c r="AW82">
        <v>5596.7999999999993</v>
      </c>
      <c r="AX82">
        <v>13</v>
      </c>
      <c r="AY82">
        <v>6614.3999999999987</v>
      </c>
      <c r="AZ82">
        <v>8</v>
      </c>
      <c r="BA82">
        <v>4070.3999999999992</v>
      </c>
      <c r="BB82">
        <v>13</v>
      </c>
      <c r="BC82">
        <v>6614.3999999999987</v>
      </c>
      <c r="BD82">
        <v>7</v>
      </c>
      <c r="BE82">
        <v>3561.5999999999995</v>
      </c>
      <c r="BF82">
        <v>8</v>
      </c>
      <c r="BG82">
        <v>4070.3999999999992</v>
      </c>
      <c r="BH82">
        <v>7</v>
      </c>
      <c r="BI82">
        <v>3561.5999999999995</v>
      </c>
      <c r="BJ82">
        <v>12</v>
      </c>
      <c r="BK82">
        <v>6105.5999999999985</v>
      </c>
      <c r="BL82">
        <v>12</v>
      </c>
      <c r="BM82">
        <v>6105.5999999999985</v>
      </c>
      <c r="BN82">
        <v>12</v>
      </c>
      <c r="BO82">
        <v>6105.5999999999985</v>
      </c>
      <c r="BP82">
        <v>13</v>
      </c>
      <c r="BQ82">
        <v>6614.3999999999987</v>
      </c>
      <c r="BR82">
        <v>8</v>
      </c>
      <c r="BS82">
        <v>4070.3999999999992</v>
      </c>
      <c r="BT82">
        <v>12</v>
      </c>
      <c r="BU82">
        <v>6105.5999999999985</v>
      </c>
      <c r="BV82">
        <v>8</v>
      </c>
      <c r="BW82">
        <v>4070.3999999999992</v>
      </c>
      <c r="BX82">
        <v>7</v>
      </c>
      <c r="BY82">
        <v>3561.5999999999995</v>
      </c>
      <c r="BZ82">
        <v>12</v>
      </c>
      <c r="CA82">
        <v>6105.5999999999985</v>
      </c>
      <c r="CB82">
        <v>8</v>
      </c>
      <c r="CC82">
        <v>4070.3999999999992</v>
      </c>
      <c r="CD82">
        <v>12</v>
      </c>
      <c r="CE82">
        <v>6105.5999999999985</v>
      </c>
      <c r="CF82">
        <v>8</v>
      </c>
      <c r="CG82">
        <v>4070.3999999999992</v>
      </c>
      <c r="CH82">
        <v>10</v>
      </c>
      <c r="CI82">
        <v>5087.9999999999991</v>
      </c>
      <c r="CJ82">
        <v>10</v>
      </c>
      <c r="CK82">
        <v>5087.9999999999991</v>
      </c>
      <c r="CL82">
        <v>9</v>
      </c>
      <c r="CM82">
        <v>4579.1999999999989</v>
      </c>
      <c r="CN82">
        <v>11</v>
      </c>
      <c r="CO82">
        <v>5596.7999999999993</v>
      </c>
      <c r="CP82">
        <v>15</v>
      </c>
      <c r="CQ82">
        <v>7631.9999999999982</v>
      </c>
      <c r="CR82">
        <v>12</v>
      </c>
      <c r="CS82">
        <v>6105.5999999999985</v>
      </c>
      <c r="CT82">
        <v>11</v>
      </c>
      <c r="CU82">
        <v>5596.7999999999993</v>
      </c>
    </row>
    <row r="83" spans="2:99" x14ac:dyDescent="0.2">
      <c r="C83" s="105" t="s">
        <v>249</v>
      </c>
      <c r="D83">
        <v>8</v>
      </c>
      <c r="E83">
        <v>6883.2</v>
      </c>
      <c r="F83">
        <v>10</v>
      </c>
      <c r="G83">
        <v>8604</v>
      </c>
      <c r="H83">
        <v>10</v>
      </c>
      <c r="I83">
        <v>8604</v>
      </c>
      <c r="J83">
        <v>9</v>
      </c>
      <c r="K83">
        <v>7743.5999999999995</v>
      </c>
      <c r="L83">
        <v>12</v>
      </c>
      <c r="M83">
        <v>10324.799999999999</v>
      </c>
      <c r="N83">
        <v>13</v>
      </c>
      <c r="O83">
        <v>11185.199999999999</v>
      </c>
      <c r="P83">
        <v>7</v>
      </c>
      <c r="Q83">
        <v>6022.8</v>
      </c>
      <c r="R83">
        <v>11</v>
      </c>
      <c r="S83">
        <v>9464.4</v>
      </c>
      <c r="T83">
        <v>7</v>
      </c>
      <c r="U83">
        <v>6022.8</v>
      </c>
      <c r="V83">
        <v>7</v>
      </c>
      <c r="W83">
        <v>6022.8</v>
      </c>
      <c r="X83">
        <v>6</v>
      </c>
      <c r="Y83">
        <v>5162.3999999999996</v>
      </c>
      <c r="Z83">
        <v>8</v>
      </c>
      <c r="AA83">
        <v>6883.2</v>
      </c>
      <c r="AB83">
        <v>13</v>
      </c>
      <c r="AC83">
        <v>11185.199999999999</v>
      </c>
      <c r="AD83">
        <v>7</v>
      </c>
      <c r="AE83">
        <v>6022.8</v>
      </c>
      <c r="AF83">
        <v>13</v>
      </c>
      <c r="AG83">
        <v>11185.199999999999</v>
      </c>
      <c r="AH83">
        <v>7</v>
      </c>
      <c r="AI83">
        <v>6022.8</v>
      </c>
      <c r="AJ83">
        <v>11</v>
      </c>
      <c r="AK83">
        <v>9464.4</v>
      </c>
      <c r="AL83">
        <v>7</v>
      </c>
      <c r="AM83">
        <v>6022.8</v>
      </c>
      <c r="AN83">
        <v>13</v>
      </c>
      <c r="AO83">
        <v>11185.199999999999</v>
      </c>
      <c r="AP83">
        <v>8</v>
      </c>
      <c r="AQ83">
        <v>6883.2</v>
      </c>
      <c r="AR83">
        <v>12</v>
      </c>
      <c r="AS83">
        <v>10324.799999999999</v>
      </c>
      <c r="AT83">
        <v>13</v>
      </c>
      <c r="AU83">
        <v>11185.199999999999</v>
      </c>
      <c r="AV83">
        <v>9</v>
      </c>
      <c r="AW83">
        <v>7743.5999999999995</v>
      </c>
      <c r="AX83">
        <v>14</v>
      </c>
      <c r="AY83">
        <v>12045.6</v>
      </c>
      <c r="AZ83">
        <v>7</v>
      </c>
      <c r="BA83">
        <v>6022.8</v>
      </c>
      <c r="BB83">
        <v>12</v>
      </c>
      <c r="BC83">
        <v>10324.799999999999</v>
      </c>
      <c r="BD83">
        <v>8</v>
      </c>
      <c r="BE83">
        <v>6883.2</v>
      </c>
      <c r="BF83">
        <v>8</v>
      </c>
      <c r="BG83">
        <v>6883.2</v>
      </c>
      <c r="BH83">
        <v>7</v>
      </c>
      <c r="BI83">
        <v>6022.8</v>
      </c>
      <c r="BJ83">
        <v>12</v>
      </c>
      <c r="BK83">
        <v>10324.799999999999</v>
      </c>
      <c r="BL83">
        <v>11</v>
      </c>
      <c r="BM83">
        <v>9464.4</v>
      </c>
      <c r="BN83">
        <v>11</v>
      </c>
      <c r="BO83">
        <v>9464.4</v>
      </c>
      <c r="BP83">
        <v>12</v>
      </c>
      <c r="BQ83">
        <v>10324.799999999999</v>
      </c>
      <c r="BR83">
        <v>10</v>
      </c>
      <c r="BS83">
        <v>8604</v>
      </c>
      <c r="BT83">
        <v>11</v>
      </c>
      <c r="BU83">
        <v>9464.4</v>
      </c>
      <c r="BV83">
        <v>8</v>
      </c>
      <c r="BW83">
        <v>6883.2</v>
      </c>
      <c r="BX83">
        <v>7</v>
      </c>
      <c r="BY83">
        <v>6022.8</v>
      </c>
      <c r="BZ83">
        <v>10</v>
      </c>
      <c r="CA83">
        <v>8604</v>
      </c>
      <c r="CB83">
        <v>7</v>
      </c>
      <c r="CC83">
        <v>6022.8</v>
      </c>
      <c r="CD83">
        <v>12</v>
      </c>
      <c r="CE83">
        <v>10324.799999999999</v>
      </c>
      <c r="CF83">
        <v>7</v>
      </c>
      <c r="CG83">
        <v>6022.8</v>
      </c>
      <c r="CH83">
        <v>8</v>
      </c>
      <c r="CI83">
        <v>6883.2</v>
      </c>
      <c r="CJ83">
        <v>12</v>
      </c>
      <c r="CK83">
        <v>10324.799999999999</v>
      </c>
      <c r="CL83">
        <v>9</v>
      </c>
      <c r="CM83">
        <v>7743.5999999999995</v>
      </c>
      <c r="CN83">
        <v>11</v>
      </c>
      <c r="CO83">
        <v>9464.4</v>
      </c>
      <c r="CP83">
        <v>13</v>
      </c>
      <c r="CQ83">
        <v>11185.199999999999</v>
      </c>
      <c r="CR83">
        <v>13</v>
      </c>
      <c r="CS83">
        <v>11185.199999999999</v>
      </c>
      <c r="CT83">
        <v>12</v>
      </c>
      <c r="CU83">
        <v>10324.799999999999</v>
      </c>
    </row>
    <row r="84" spans="2:99" x14ac:dyDescent="0.2">
      <c r="C84" s="105" t="s">
        <v>250</v>
      </c>
      <c r="D84">
        <v>7</v>
      </c>
      <c r="E84">
        <v>5468.4</v>
      </c>
      <c r="F84">
        <v>10</v>
      </c>
      <c r="G84">
        <v>7811.9999999999991</v>
      </c>
      <c r="H84">
        <v>10</v>
      </c>
      <c r="I84">
        <v>7811.9999999999991</v>
      </c>
      <c r="J84">
        <v>9</v>
      </c>
      <c r="K84">
        <v>7030.7999999999993</v>
      </c>
      <c r="L84">
        <v>12</v>
      </c>
      <c r="M84">
        <v>9374.4</v>
      </c>
      <c r="N84">
        <v>12</v>
      </c>
      <c r="O84">
        <v>9374.4</v>
      </c>
      <c r="P84">
        <v>7</v>
      </c>
      <c r="Q84">
        <v>5468.4</v>
      </c>
      <c r="R84">
        <v>11</v>
      </c>
      <c r="S84">
        <v>8593.1999999999989</v>
      </c>
      <c r="T84">
        <v>6</v>
      </c>
      <c r="U84">
        <v>4687.2</v>
      </c>
      <c r="V84">
        <v>7</v>
      </c>
      <c r="W84">
        <v>5468.4</v>
      </c>
      <c r="X84">
        <v>7</v>
      </c>
      <c r="Y84">
        <v>5468.4</v>
      </c>
      <c r="Z84">
        <v>8</v>
      </c>
      <c r="AA84">
        <v>6249.5999999999995</v>
      </c>
      <c r="AB84">
        <v>13</v>
      </c>
      <c r="AC84">
        <v>10155.599999999999</v>
      </c>
      <c r="AD84">
        <v>8</v>
      </c>
      <c r="AE84">
        <v>6249.5999999999995</v>
      </c>
      <c r="AF84">
        <v>13</v>
      </c>
      <c r="AG84">
        <v>10155.599999999999</v>
      </c>
      <c r="AH84">
        <v>7</v>
      </c>
      <c r="AI84">
        <v>5468.4</v>
      </c>
      <c r="AJ84">
        <v>11</v>
      </c>
      <c r="AK84">
        <v>8593.1999999999989</v>
      </c>
      <c r="AL84">
        <v>8</v>
      </c>
      <c r="AM84">
        <v>6249.5999999999995</v>
      </c>
      <c r="AN84">
        <v>13</v>
      </c>
      <c r="AO84">
        <v>10155.599999999999</v>
      </c>
      <c r="AP84">
        <v>8</v>
      </c>
      <c r="AQ84">
        <v>6249.5999999999995</v>
      </c>
      <c r="AR84">
        <v>13</v>
      </c>
      <c r="AS84">
        <v>10155.599999999999</v>
      </c>
      <c r="AT84">
        <v>12</v>
      </c>
      <c r="AU84">
        <v>9374.4</v>
      </c>
      <c r="AV84">
        <v>11</v>
      </c>
      <c r="AW84">
        <v>8593.1999999999989</v>
      </c>
      <c r="AX84">
        <v>14</v>
      </c>
      <c r="AY84">
        <v>10936.8</v>
      </c>
      <c r="AZ84">
        <v>7</v>
      </c>
      <c r="BA84">
        <v>5468.4</v>
      </c>
      <c r="BB84">
        <v>11</v>
      </c>
      <c r="BC84">
        <v>8593.1999999999989</v>
      </c>
      <c r="BD84">
        <v>7</v>
      </c>
      <c r="BE84">
        <v>5468.4</v>
      </c>
      <c r="BF84">
        <v>7</v>
      </c>
      <c r="BG84">
        <v>5468.4</v>
      </c>
      <c r="BH84">
        <v>7</v>
      </c>
      <c r="BI84">
        <v>5468.4</v>
      </c>
      <c r="BJ84">
        <v>11</v>
      </c>
      <c r="BK84">
        <v>8593.1999999999989</v>
      </c>
      <c r="BL84">
        <v>11</v>
      </c>
      <c r="BM84">
        <v>8593.1999999999989</v>
      </c>
      <c r="BN84">
        <v>13</v>
      </c>
      <c r="BO84">
        <v>10155.599999999999</v>
      </c>
      <c r="BP84">
        <v>12</v>
      </c>
      <c r="BQ84">
        <v>9374.4</v>
      </c>
      <c r="BR84">
        <v>8</v>
      </c>
      <c r="BS84">
        <v>6249.5999999999995</v>
      </c>
      <c r="BT84">
        <v>11</v>
      </c>
      <c r="BU84">
        <v>8593.1999999999989</v>
      </c>
      <c r="BV84">
        <v>8</v>
      </c>
      <c r="BW84">
        <v>6249.5999999999995</v>
      </c>
      <c r="BX84">
        <v>6</v>
      </c>
      <c r="BY84">
        <v>4687.2</v>
      </c>
      <c r="BZ84">
        <v>10</v>
      </c>
      <c r="CA84">
        <v>7811.9999999999991</v>
      </c>
      <c r="CB84">
        <v>7</v>
      </c>
      <c r="CC84">
        <v>5468.4</v>
      </c>
      <c r="CD84">
        <v>10</v>
      </c>
      <c r="CE84">
        <v>7811.9999999999991</v>
      </c>
      <c r="CF84">
        <v>7</v>
      </c>
      <c r="CG84">
        <v>5468.4</v>
      </c>
      <c r="CH84">
        <v>9</v>
      </c>
      <c r="CI84">
        <v>7030.7999999999993</v>
      </c>
      <c r="CJ84">
        <v>11</v>
      </c>
      <c r="CK84">
        <v>8593.1999999999989</v>
      </c>
      <c r="CL84">
        <v>10</v>
      </c>
      <c r="CM84">
        <v>7811.9999999999991</v>
      </c>
      <c r="CN84">
        <v>11</v>
      </c>
      <c r="CO84">
        <v>8593.1999999999989</v>
      </c>
      <c r="CP84">
        <v>14</v>
      </c>
      <c r="CQ84">
        <v>10936.8</v>
      </c>
      <c r="CR84">
        <v>11</v>
      </c>
      <c r="CS84">
        <v>8593.1999999999989</v>
      </c>
      <c r="CT84">
        <v>11</v>
      </c>
      <c r="CU84">
        <v>8593.1999999999989</v>
      </c>
    </row>
    <row r="85" spans="2:99" x14ac:dyDescent="0.2">
      <c r="C85" s="105" t="s">
        <v>251</v>
      </c>
      <c r="D85">
        <v>8</v>
      </c>
      <c r="E85">
        <v>1200</v>
      </c>
      <c r="F85">
        <v>10</v>
      </c>
      <c r="G85">
        <v>1500</v>
      </c>
      <c r="H85">
        <v>10</v>
      </c>
      <c r="I85">
        <v>1500</v>
      </c>
      <c r="J85">
        <v>10</v>
      </c>
      <c r="K85">
        <v>1500</v>
      </c>
      <c r="L85">
        <v>12</v>
      </c>
      <c r="M85">
        <v>1800</v>
      </c>
      <c r="N85">
        <v>13</v>
      </c>
      <c r="O85">
        <v>1950</v>
      </c>
      <c r="P85">
        <v>8</v>
      </c>
      <c r="Q85">
        <v>1200</v>
      </c>
      <c r="R85">
        <v>12</v>
      </c>
      <c r="S85">
        <v>1800</v>
      </c>
      <c r="T85">
        <v>7</v>
      </c>
      <c r="U85">
        <v>1050</v>
      </c>
      <c r="V85">
        <v>8</v>
      </c>
      <c r="W85">
        <v>1200</v>
      </c>
      <c r="X85">
        <v>7</v>
      </c>
      <c r="Y85">
        <v>1050</v>
      </c>
      <c r="Z85">
        <v>9</v>
      </c>
      <c r="AA85">
        <v>1350</v>
      </c>
      <c r="AB85">
        <v>14</v>
      </c>
      <c r="AC85">
        <v>2100</v>
      </c>
      <c r="AD85">
        <v>8</v>
      </c>
      <c r="AE85">
        <v>1200</v>
      </c>
      <c r="AF85">
        <v>13</v>
      </c>
      <c r="AG85">
        <v>1950</v>
      </c>
      <c r="AH85">
        <v>7</v>
      </c>
      <c r="AI85">
        <v>1050</v>
      </c>
      <c r="AJ85">
        <v>12</v>
      </c>
      <c r="AK85">
        <v>1800</v>
      </c>
      <c r="AL85">
        <v>9</v>
      </c>
      <c r="AM85">
        <v>1350</v>
      </c>
      <c r="AN85">
        <v>14</v>
      </c>
      <c r="AO85">
        <v>2100</v>
      </c>
      <c r="AP85">
        <v>8</v>
      </c>
      <c r="AQ85">
        <v>1200</v>
      </c>
      <c r="AR85">
        <v>13</v>
      </c>
      <c r="AS85">
        <v>1950</v>
      </c>
      <c r="AT85">
        <v>12</v>
      </c>
      <c r="AU85">
        <v>1800</v>
      </c>
      <c r="AV85">
        <v>10</v>
      </c>
      <c r="AW85">
        <v>1500</v>
      </c>
      <c r="AX85">
        <v>15</v>
      </c>
      <c r="AY85">
        <v>2250</v>
      </c>
      <c r="AZ85">
        <v>7</v>
      </c>
      <c r="BA85">
        <v>1050</v>
      </c>
      <c r="BB85">
        <v>13</v>
      </c>
      <c r="BC85">
        <v>1950</v>
      </c>
      <c r="BD85">
        <v>7</v>
      </c>
      <c r="BE85">
        <v>1050</v>
      </c>
      <c r="BF85">
        <v>8</v>
      </c>
      <c r="BG85">
        <v>1200</v>
      </c>
      <c r="BH85">
        <v>8</v>
      </c>
      <c r="BI85">
        <v>1200</v>
      </c>
      <c r="BJ85">
        <v>12</v>
      </c>
      <c r="BK85">
        <v>1800</v>
      </c>
      <c r="BL85">
        <v>12</v>
      </c>
      <c r="BM85">
        <v>1800</v>
      </c>
      <c r="BN85">
        <v>12</v>
      </c>
      <c r="BO85">
        <v>1800</v>
      </c>
      <c r="BP85">
        <v>13</v>
      </c>
      <c r="BQ85">
        <v>1950</v>
      </c>
      <c r="BR85">
        <v>9</v>
      </c>
      <c r="BS85">
        <v>1350</v>
      </c>
      <c r="BT85">
        <v>12</v>
      </c>
      <c r="BU85">
        <v>1800</v>
      </c>
      <c r="BV85">
        <v>9</v>
      </c>
      <c r="BW85">
        <v>1350</v>
      </c>
      <c r="BX85">
        <v>8</v>
      </c>
      <c r="BY85">
        <v>1200</v>
      </c>
      <c r="BZ85">
        <v>11</v>
      </c>
      <c r="CA85">
        <v>1650</v>
      </c>
      <c r="CB85">
        <v>7</v>
      </c>
      <c r="CC85">
        <v>1050</v>
      </c>
      <c r="CD85">
        <v>11</v>
      </c>
      <c r="CE85">
        <v>1650</v>
      </c>
      <c r="CF85">
        <v>8</v>
      </c>
      <c r="CG85">
        <v>1200</v>
      </c>
      <c r="CH85">
        <v>8</v>
      </c>
      <c r="CI85">
        <v>1200</v>
      </c>
      <c r="CJ85">
        <v>12</v>
      </c>
      <c r="CK85">
        <v>1800</v>
      </c>
      <c r="CL85">
        <v>10</v>
      </c>
      <c r="CM85">
        <v>1500</v>
      </c>
      <c r="CN85">
        <v>12</v>
      </c>
      <c r="CO85">
        <v>1800</v>
      </c>
      <c r="CP85">
        <v>13</v>
      </c>
      <c r="CQ85">
        <v>1950</v>
      </c>
      <c r="CR85">
        <v>12</v>
      </c>
      <c r="CS85">
        <v>1800</v>
      </c>
      <c r="CT85">
        <v>12</v>
      </c>
      <c r="CU85">
        <v>1800</v>
      </c>
    </row>
    <row r="86" spans="2:99" x14ac:dyDescent="0.2">
      <c r="C86" s="105" t="s">
        <v>252</v>
      </c>
      <c r="D86">
        <v>8</v>
      </c>
      <c r="E86">
        <v>4320</v>
      </c>
      <c r="F86">
        <v>10</v>
      </c>
      <c r="G86">
        <v>5400</v>
      </c>
      <c r="H86">
        <v>9</v>
      </c>
      <c r="I86">
        <v>4860</v>
      </c>
      <c r="J86">
        <v>9</v>
      </c>
      <c r="K86">
        <v>4860</v>
      </c>
      <c r="L86">
        <v>13</v>
      </c>
      <c r="M86">
        <v>7020</v>
      </c>
      <c r="N86">
        <v>12</v>
      </c>
      <c r="O86">
        <v>6480</v>
      </c>
      <c r="P86">
        <v>8</v>
      </c>
      <c r="Q86">
        <v>4320</v>
      </c>
      <c r="R86">
        <v>13</v>
      </c>
      <c r="S86">
        <v>7020</v>
      </c>
      <c r="T86">
        <v>7</v>
      </c>
      <c r="U86">
        <v>3780</v>
      </c>
      <c r="V86">
        <v>7</v>
      </c>
      <c r="W86">
        <v>3780</v>
      </c>
      <c r="X86">
        <v>7</v>
      </c>
      <c r="Y86">
        <v>3780</v>
      </c>
      <c r="Z86">
        <v>7</v>
      </c>
      <c r="AA86">
        <v>3780</v>
      </c>
      <c r="AB86">
        <v>13</v>
      </c>
      <c r="AC86">
        <v>7020</v>
      </c>
      <c r="AD86">
        <v>8</v>
      </c>
      <c r="AE86">
        <v>4320</v>
      </c>
      <c r="AF86">
        <v>14</v>
      </c>
      <c r="AG86">
        <v>7560</v>
      </c>
      <c r="AH86">
        <v>6</v>
      </c>
      <c r="AI86">
        <v>3240</v>
      </c>
      <c r="AJ86">
        <v>13</v>
      </c>
      <c r="AK86">
        <v>7020</v>
      </c>
      <c r="AL86">
        <v>8</v>
      </c>
      <c r="AM86">
        <v>4320</v>
      </c>
      <c r="AN86">
        <v>12</v>
      </c>
      <c r="AO86">
        <v>6480</v>
      </c>
      <c r="AP86">
        <v>8</v>
      </c>
      <c r="AQ86">
        <v>4320</v>
      </c>
      <c r="AR86">
        <v>13</v>
      </c>
      <c r="AS86">
        <v>7020</v>
      </c>
      <c r="AT86">
        <v>13</v>
      </c>
      <c r="AU86">
        <v>7020</v>
      </c>
      <c r="AV86">
        <v>11</v>
      </c>
      <c r="AW86">
        <v>5940</v>
      </c>
      <c r="AX86">
        <v>14</v>
      </c>
      <c r="AY86">
        <v>7560</v>
      </c>
      <c r="AZ86">
        <v>7</v>
      </c>
      <c r="BA86">
        <v>3780</v>
      </c>
      <c r="BB86">
        <v>13</v>
      </c>
      <c r="BC86">
        <v>7020</v>
      </c>
      <c r="BD86">
        <v>8</v>
      </c>
      <c r="BE86">
        <v>4320</v>
      </c>
      <c r="BF86">
        <v>7</v>
      </c>
      <c r="BG86">
        <v>3780</v>
      </c>
      <c r="BH86">
        <v>8</v>
      </c>
      <c r="BI86">
        <v>4320</v>
      </c>
      <c r="BJ86">
        <v>12</v>
      </c>
      <c r="BK86">
        <v>6480</v>
      </c>
      <c r="BL86">
        <v>12</v>
      </c>
      <c r="BM86">
        <v>6480</v>
      </c>
      <c r="BN86">
        <v>12</v>
      </c>
      <c r="BO86">
        <v>6480</v>
      </c>
      <c r="BP86">
        <v>13</v>
      </c>
      <c r="BQ86">
        <v>7020</v>
      </c>
      <c r="BR86">
        <v>10</v>
      </c>
      <c r="BS86">
        <v>5400</v>
      </c>
      <c r="BT86">
        <v>11</v>
      </c>
      <c r="BU86">
        <v>5940</v>
      </c>
      <c r="BV86">
        <v>8</v>
      </c>
      <c r="BW86">
        <v>4320</v>
      </c>
      <c r="BX86">
        <v>7</v>
      </c>
      <c r="BY86">
        <v>3780</v>
      </c>
      <c r="BZ86">
        <v>11</v>
      </c>
      <c r="CA86">
        <v>5940</v>
      </c>
      <c r="CB86">
        <v>7</v>
      </c>
      <c r="CC86">
        <v>3780</v>
      </c>
      <c r="CD86">
        <v>11</v>
      </c>
      <c r="CE86">
        <v>5940</v>
      </c>
      <c r="CF86">
        <v>7</v>
      </c>
      <c r="CG86">
        <v>3780</v>
      </c>
      <c r="CH86">
        <v>9</v>
      </c>
      <c r="CI86">
        <v>4860</v>
      </c>
      <c r="CJ86">
        <v>11</v>
      </c>
      <c r="CK86">
        <v>5940</v>
      </c>
      <c r="CL86">
        <v>10</v>
      </c>
      <c r="CM86">
        <v>5400</v>
      </c>
      <c r="CN86">
        <v>10</v>
      </c>
      <c r="CO86">
        <v>5400</v>
      </c>
      <c r="CP86">
        <v>14</v>
      </c>
      <c r="CQ86">
        <v>7560</v>
      </c>
      <c r="CR86">
        <v>12</v>
      </c>
      <c r="CS86">
        <v>6480</v>
      </c>
      <c r="CT86">
        <v>11</v>
      </c>
      <c r="CU86">
        <v>5940</v>
      </c>
    </row>
    <row r="87" spans="2:99" x14ac:dyDescent="0.2">
      <c r="B87" s="105" t="s">
        <v>131</v>
      </c>
      <c r="C87" s="105" t="s">
        <v>253</v>
      </c>
      <c r="D87">
        <v>8</v>
      </c>
      <c r="E87">
        <v>15638.4</v>
      </c>
      <c r="F87">
        <v>5</v>
      </c>
      <c r="G87">
        <v>9774</v>
      </c>
      <c r="H87">
        <v>6</v>
      </c>
      <c r="I87">
        <v>11728.8</v>
      </c>
      <c r="J87">
        <v>9</v>
      </c>
      <c r="K87">
        <v>17593.2</v>
      </c>
      <c r="L87">
        <v>6</v>
      </c>
      <c r="M87">
        <v>11728.8</v>
      </c>
      <c r="N87">
        <v>6</v>
      </c>
      <c r="O87">
        <v>11728.8</v>
      </c>
      <c r="P87">
        <v>9</v>
      </c>
      <c r="Q87">
        <v>17593.2</v>
      </c>
      <c r="R87">
        <v>8</v>
      </c>
      <c r="S87">
        <v>15638.4</v>
      </c>
      <c r="T87">
        <v>8</v>
      </c>
      <c r="U87">
        <v>15638.4</v>
      </c>
      <c r="V87">
        <v>10</v>
      </c>
      <c r="W87">
        <v>19548</v>
      </c>
      <c r="X87">
        <v>7</v>
      </c>
      <c r="Y87">
        <v>13683.6</v>
      </c>
      <c r="Z87">
        <v>10</v>
      </c>
      <c r="AA87">
        <v>19548</v>
      </c>
      <c r="AB87">
        <v>5</v>
      </c>
      <c r="AC87">
        <v>9774</v>
      </c>
      <c r="AD87">
        <v>7</v>
      </c>
      <c r="AE87">
        <v>13683.6</v>
      </c>
      <c r="AF87">
        <v>7</v>
      </c>
      <c r="AG87">
        <v>13683.6</v>
      </c>
      <c r="AH87">
        <v>7</v>
      </c>
      <c r="AI87">
        <v>13683.6</v>
      </c>
      <c r="AJ87">
        <v>9</v>
      </c>
      <c r="AK87">
        <v>17593.2</v>
      </c>
      <c r="AL87">
        <v>7</v>
      </c>
      <c r="AM87">
        <v>13683.6</v>
      </c>
      <c r="AN87">
        <v>12</v>
      </c>
      <c r="AO87">
        <v>23457.599999999999</v>
      </c>
      <c r="AP87">
        <v>7</v>
      </c>
      <c r="AQ87">
        <v>13683.6</v>
      </c>
      <c r="AR87">
        <v>6</v>
      </c>
      <c r="AS87">
        <v>11728.8</v>
      </c>
      <c r="AT87">
        <v>11</v>
      </c>
      <c r="AU87">
        <v>21502.799999999999</v>
      </c>
      <c r="AV87">
        <v>10</v>
      </c>
      <c r="AW87">
        <v>19548</v>
      </c>
      <c r="AX87">
        <v>11</v>
      </c>
      <c r="AY87">
        <v>21502.799999999999</v>
      </c>
      <c r="AZ87">
        <v>7</v>
      </c>
      <c r="BA87">
        <v>13683.6</v>
      </c>
      <c r="BB87">
        <v>6</v>
      </c>
      <c r="BC87">
        <v>11728.8</v>
      </c>
      <c r="BD87">
        <v>7</v>
      </c>
      <c r="BE87">
        <v>13683.6</v>
      </c>
      <c r="BF87">
        <v>8</v>
      </c>
      <c r="BG87">
        <v>15638.4</v>
      </c>
      <c r="BH87">
        <v>6</v>
      </c>
      <c r="BI87">
        <v>11728.8</v>
      </c>
      <c r="BJ87">
        <v>9</v>
      </c>
      <c r="BK87">
        <v>17593.2</v>
      </c>
      <c r="BL87">
        <v>7</v>
      </c>
      <c r="BM87">
        <v>13683.6</v>
      </c>
      <c r="BN87">
        <v>10</v>
      </c>
      <c r="BO87">
        <v>19548</v>
      </c>
      <c r="BP87">
        <v>11</v>
      </c>
      <c r="BQ87">
        <v>21502.799999999999</v>
      </c>
      <c r="BR87">
        <v>9</v>
      </c>
      <c r="BS87">
        <v>17593.2</v>
      </c>
      <c r="BT87">
        <v>7</v>
      </c>
      <c r="BU87">
        <v>13683.6</v>
      </c>
      <c r="BV87">
        <v>10</v>
      </c>
      <c r="BW87">
        <v>19548</v>
      </c>
      <c r="BX87">
        <v>11</v>
      </c>
      <c r="BY87">
        <v>21502.799999999999</v>
      </c>
      <c r="BZ87">
        <v>7</v>
      </c>
      <c r="CA87">
        <v>13683.6</v>
      </c>
      <c r="CB87">
        <v>10</v>
      </c>
      <c r="CC87">
        <v>19548</v>
      </c>
      <c r="CD87">
        <v>9</v>
      </c>
      <c r="CE87">
        <v>17593.2</v>
      </c>
      <c r="CF87">
        <v>7</v>
      </c>
      <c r="CG87">
        <v>13683.6</v>
      </c>
      <c r="CH87">
        <v>7</v>
      </c>
      <c r="CI87">
        <v>13683.6</v>
      </c>
      <c r="CJ87">
        <v>8</v>
      </c>
      <c r="CK87">
        <v>15638.4</v>
      </c>
      <c r="CL87">
        <v>6</v>
      </c>
      <c r="CM87">
        <v>11728.8</v>
      </c>
      <c r="CN87">
        <v>10</v>
      </c>
      <c r="CO87">
        <v>19548</v>
      </c>
      <c r="CP87">
        <v>10</v>
      </c>
      <c r="CQ87">
        <v>19548</v>
      </c>
      <c r="CR87">
        <v>8</v>
      </c>
      <c r="CS87">
        <v>15638.4</v>
      </c>
      <c r="CT87">
        <v>7</v>
      </c>
      <c r="CU87">
        <v>13683.6</v>
      </c>
    </row>
    <row r="88" spans="2:99" x14ac:dyDescent="0.2">
      <c r="C88" s="105" t="s">
        <v>254</v>
      </c>
      <c r="D88">
        <v>10</v>
      </c>
      <c r="E88">
        <v>18924</v>
      </c>
      <c r="F88">
        <v>5</v>
      </c>
      <c r="G88">
        <v>9462</v>
      </c>
      <c r="H88">
        <v>6</v>
      </c>
      <c r="I88">
        <v>11354.4</v>
      </c>
      <c r="J88">
        <v>9</v>
      </c>
      <c r="K88">
        <v>17031.599999999999</v>
      </c>
      <c r="L88">
        <v>7</v>
      </c>
      <c r="M88">
        <v>13246.8</v>
      </c>
      <c r="N88">
        <v>7</v>
      </c>
      <c r="O88">
        <v>13246.8</v>
      </c>
      <c r="P88">
        <v>10</v>
      </c>
      <c r="Q88">
        <v>18924</v>
      </c>
      <c r="R88">
        <v>10</v>
      </c>
      <c r="S88">
        <v>18924</v>
      </c>
      <c r="T88">
        <v>8</v>
      </c>
      <c r="U88">
        <v>15139.199999999999</v>
      </c>
      <c r="V88">
        <v>10</v>
      </c>
      <c r="W88">
        <v>18924</v>
      </c>
      <c r="X88">
        <v>6</v>
      </c>
      <c r="Y88">
        <v>11354.4</v>
      </c>
      <c r="Z88">
        <v>9</v>
      </c>
      <c r="AA88">
        <v>17031.599999999999</v>
      </c>
      <c r="AB88">
        <v>6</v>
      </c>
      <c r="AC88">
        <v>11354.4</v>
      </c>
      <c r="AD88">
        <v>6</v>
      </c>
      <c r="AE88">
        <v>11354.4</v>
      </c>
      <c r="AF88">
        <v>6</v>
      </c>
      <c r="AG88">
        <v>11354.4</v>
      </c>
      <c r="AH88">
        <v>6</v>
      </c>
      <c r="AI88">
        <v>11354.4</v>
      </c>
      <c r="AJ88">
        <v>10</v>
      </c>
      <c r="AK88">
        <v>18924</v>
      </c>
      <c r="AL88">
        <v>7</v>
      </c>
      <c r="AM88">
        <v>13246.8</v>
      </c>
      <c r="AN88">
        <v>10</v>
      </c>
      <c r="AO88">
        <v>18924</v>
      </c>
      <c r="AP88">
        <v>8</v>
      </c>
      <c r="AQ88">
        <v>15139.199999999999</v>
      </c>
      <c r="AR88">
        <v>5</v>
      </c>
      <c r="AS88">
        <v>9462</v>
      </c>
      <c r="AT88">
        <v>11</v>
      </c>
      <c r="AU88">
        <v>20816.399999999998</v>
      </c>
      <c r="AV88">
        <v>9</v>
      </c>
      <c r="AW88">
        <v>17031.599999999999</v>
      </c>
      <c r="AX88">
        <v>10</v>
      </c>
      <c r="AY88">
        <v>18924</v>
      </c>
      <c r="AZ88">
        <v>8</v>
      </c>
      <c r="BA88">
        <v>15139.199999999999</v>
      </c>
      <c r="BB88">
        <v>6</v>
      </c>
      <c r="BC88">
        <v>11354.4</v>
      </c>
      <c r="BD88">
        <v>6</v>
      </c>
      <c r="BE88">
        <v>11354.4</v>
      </c>
      <c r="BF88">
        <v>7</v>
      </c>
      <c r="BG88">
        <v>13246.8</v>
      </c>
      <c r="BH88">
        <v>6</v>
      </c>
      <c r="BI88">
        <v>11354.4</v>
      </c>
      <c r="BJ88">
        <v>8</v>
      </c>
      <c r="BK88">
        <v>15139.199999999999</v>
      </c>
      <c r="BL88">
        <v>8</v>
      </c>
      <c r="BM88">
        <v>15139.199999999999</v>
      </c>
      <c r="BN88">
        <v>10</v>
      </c>
      <c r="BO88">
        <v>18924</v>
      </c>
      <c r="BP88">
        <v>10</v>
      </c>
      <c r="BQ88">
        <v>18924</v>
      </c>
      <c r="BR88">
        <v>9</v>
      </c>
      <c r="BS88">
        <v>17031.599999999999</v>
      </c>
      <c r="BT88">
        <v>7</v>
      </c>
      <c r="BU88">
        <v>13246.8</v>
      </c>
      <c r="BV88">
        <v>10</v>
      </c>
      <c r="BW88">
        <v>18924</v>
      </c>
      <c r="BX88">
        <v>11</v>
      </c>
      <c r="BY88">
        <v>20816.399999999998</v>
      </c>
      <c r="BZ88">
        <v>8</v>
      </c>
      <c r="CA88">
        <v>15139.199999999999</v>
      </c>
      <c r="CB88">
        <v>11</v>
      </c>
      <c r="CC88">
        <v>20816.399999999998</v>
      </c>
      <c r="CD88">
        <v>10</v>
      </c>
      <c r="CE88">
        <v>18924</v>
      </c>
      <c r="CF88">
        <v>7</v>
      </c>
      <c r="CG88">
        <v>13246.8</v>
      </c>
      <c r="CH88">
        <v>8</v>
      </c>
      <c r="CI88">
        <v>15139.199999999999</v>
      </c>
      <c r="CJ88">
        <v>8</v>
      </c>
      <c r="CK88">
        <v>15139.199999999999</v>
      </c>
      <c r="CL88">
        <v>7</v>
      </c>
      <c r="CM88">
        <v>13246.8</v>
      </c>
      <c r="CN88">
        <v>10</v>
      </c>
      <c r="CO88">
        <v>18924</v>
      </c>
      <c r="CP88">
        <v>11</v>
      </c>
      <c r="CQ88">
        <v>20816.399999999998</v>
      </c>
      <c r="CR88">
        <v>9</v>
      </c>
      <c r="CS88">
        <v>17031.599999999999</v>
      </c>
      <c r="CT88">
        <v>8</v>
      </c>
      <c r="CU88">
        <v>15139.199999999999</v>
      </c>
    </row>
    <row r="89" spans="2:99" x14ac:dyDescent="0.2">
      <c r="C89" s="105" t="s">
        <v>255</v>
      </c>
      <c r="D89">
        <v>8</v>
      </c>
      <c r="E89">
        <v>19180.8</v>
      </c>
      <c r="F89">
        <v>5</v>
      </c>
      <c r="G89">
        <v>11988</v>
      </c>
      <c r="H89">
        <v>6</v>
      </c>
      <c r="I89">
        <v>14385.599999999999</v>
      </c>
      <c r="J89">
        <v>9</v>
      </c>
      <c r="K89">
        <v>21578.399999999998</v>
      </c>
      <c r="L89">
        <v>5</v>
      </c>
      <c r="M89">
        <v>11988</v>
      </c>
      <c r="N89">
        <v>6</v>
      </c>
      <c r="O89">
        <v>14385.599999999999</v>
      </c>
      <c r="P89">
        <v>8</v>
      </c>
      <c r="Q89">
        <v>19180.8</v>
      </c>
      <c r="R89">
        <v>8</v>
      </c>
      <c r="S89">
        <v>19180.8</v>
      </c>
      <c r="T89">
        <v>8</v>
      </c>
      <c r="U89">
        <v>19180.8</v>
      </c>
      <c r="V89">
        <v>9</v>
      </c>
      <c r="W89">
        <v>21578.399999999998</v>
      </c>
      <c r="X89">
        <v>6</v>
      </c>
      <c r="Y89">
        <v>14385.599999999999</v>
      </c>
      <c r="Z89">
        <v>8</v>
      </c>
      <c r="AA89">
        <v>19180.8</v>
      </c>
      <c r="AB89">
        <v>5</v>
      </c>
      <c r="AC89">
        <v>11988</v>
      </c>
      <c r="AD89">
        <v>6</v>
      </c>
      <c r="AE89">
        <v>14385.599999999999</v>
      </c>
      <c r="AF89">
        <v>6</v>
      </c>
      <c r="AG89">
        <v>14385.599999999999</v>
      </c>
      <c r="AH89">
        <v>6</v>
      </c>
      <c r="AI89">
        <v>14385.599999999999</v>
      </c>
      <c r="AJ89">
        <v>11</v>
      </c>
      <c r="AK89">
        <v>26373.599999999999</v>
      </c>
      <c r="AL89">
        <v>7</v>
      </c>
      <c r="AM89">
        <v>16783.2</v>
      </c>
      <c r="AN89">
        <v>10</v>
      </c>
      <c r="AO89">
        <v>23976</v>
      </c>
      <c r="AP89">
        <v>8</v>
      </c>
      <c r="AQ89">
        <v>19180.8</v>
      </c>
      <c r="AR89">
        <v>6</v>
      </c>
      <c r="AS89">
        <v>14385.599999999999</v>
      </c>
      <c r="AT89">
        <v>11</v>
      </c>
      <c r="AU89">
        <v>26373.599999999999</v>
      </c>
      <c r="AV89">
        <v>9</v>
      </c>
      <c r="AW89">
        <v>21578.399999999998</v>
      </c>
      <c r="AX89">
        <v>10</v>
      </c>
      <c r="AY89">
        <v>23976</v>
      </c>
      <c r="AZ89">
        <v>7</v>
      </c>
      <c r="BA89">
        <v>16783.2</v>
      </c>
      <c r="BB89">
        <v>6</v>
      </c>
      <c r="BC89">
        <v>14385.599999999999</v>
      </c>
      <c r="BD89">
        <v>6</v>
      </c>
      <c r="BE89">
        <v>14385.599999999999</v>
      </c>
      <c r="BF89">
        <v>8</v>
      </c>
      <c r="BG89">
        <v>19180.8</v>
      </c>
      <c r="BH89">
        <v>6</v>
      </c>
      <c r="BI89">
        <v>14385.599999999999</v>
      </c>
      <c r="BJ89">
        <v>8</v>
      </c>
      <c r="BK89">
        <v>19180.8</v>
      </c>
      <c r="BL89">
        <v>7</v>
      </c>
      <c r="BM89">
        <v>16783.2</v>
      </c>
      <c r="BN89">
        <v>9</v>
      </c>
      <c r="BO89">
        <v>21578.399999999998</v>
      </c>
      <c r="BP89">
        <v>9</v>
      </c>
      <c r="BQ89">
        <v>21578.399999999998</v>
      </c>
      <c r="BR89">
        <v>10</v>
      </c>
      <c r="BS89">
        <v>23976</v>
      </c>
      <c r="BT89">
        <v>7</v>
      </c>
      <c r="BU89">
        <v>16783.2</v>
      </c>
      <c r="BV89">
        <v>10</v>
      </c>
      <c r="BW89">
        <v>23976</v>
      </c>
      <c r="BX89">
        <v>10</v>
      </c>
      <c r="BY89">
        <v>23976</v>
      </c>
      <c r="BZ89">
        <v>7</v>
      </c>
      <c r="CA89">
        <v>16783.2</v>
      </c>
      <c r="CB89">
        <v>11</v>
      </c>
      <c r="CC89">
        <v>26373.599999999999</v>
      </c>
      <c r="CD89">
        <v>8</v>
      </c>
      <c r="CE89">
        <v>19180.8</v>
      </c>
      <c r="CF89">
        <v>7</v>
      </c>
      <c r="CG89">
        <v>16783.2</v>
      </c>
      <c r="CH89">
        <v>7</v>
      </c>
      <c r="CI89">
        <v>16783.2</v>
      </c>
      <c r="CJ89">
        <v>9</v>
      </c>
      <c r="CK89">
        <v>21578.399999999998</v>
      </c>
      <c r="CL89">
        <v>6</v>
      </c>
      <c r="CM89">
        <v>14385.599999999999</v>
      </c>
      <c r="CN89">
        <v>9</v>
      </c>
      <c r="CO89">
        <v>21578.399999999998</v>
      </c>
      <c r="CP89">
        <v>10</v>
      </c>
      <c r="CQ89">
        <v>23976</v>
      </c>
      <c r="CR89">
        <v>7</v>
      </c>
      <c r="CS89">
        <v>16783.2</v>
      </c>
      <c r="CT89">
        <v>7</v>
      </c>
      <c r="CU89">
        <v>16783.2</v>
      </c>
    </row>
    <row r="90" spans="2:99" x14ac:dyDescent="0.2">
      <c r="C90" s="105" t="s">
        <v>256</v>
      </c>
      <c r="D90">
        <v>9</v>
      </c>
      <c r="E90">
        <v>19774.8</v>
      </c>
      <c r="F90">
        <v>5</v>
      </c>
      <c r="G90">
        <v>10986</v>
      </c>
      <c r="H90">
        <v>6</v>
      </c>
      <c r="I90">
        <v>13183.199999999999</v>
      </c>
      <c r="J90">
        <v>10</v>
      </c>
      <c r="K90">
        <v>21972</v>
      </c>
      <c r="L90">
        <v>6</v>
      </c>
      <c r="M90">
        <v>13183.199999999999</v>
      </c>
      <c r="N90">
        <v>6</v>
      </c>
      <c r="O90">
        <v>13183.199999999999</v>
      </c>
      <c r="P90">
        <v>8</v>
      </c>
      <c r="Q90">
        <v>17577.599999999999</v>
      </c>
      <c r="R90">
        <v>9</v>
      </c>
      <c r="S90">
        <v>19774.8</v>
      </c>
      <c r="T90">
        <v>7</v>
      </c>
      <c r="U90">
        <v>15380.399999999998</v>
      </c>
      <c r="V90">
        <v>10</v>
      </c>
      <c r="W90">
        <v>21972</v>
      </c>
      <c r="X90">
        <v>7</v>
      </c>
      <c r="Y90">
        <v>15380.399999999998</v>
      </c>
      <c r="Z90">
        <v>10</v>
      </c>
      <c r="AA90">
        <v>21972</v>
      </c>
      <c r="AB90">
        <v>6</v>
      </c>
      <c r="AC90">
        <v>13183.199999999999</v>
      </c>
      <c r="AD90">
        <v>6</v>
      </c>
      <c r="AE90">
        <v>13183.199999999999</v>
      </c>
      <c r="AF90">
        <v>7</v>
      </c>
      <c r="AG90">
        <v>15380.399999999998</v>
      </c>
      <c r="AH90">
        <v>7</v>
      </c>
      <c r="AI90">
        <v>15380.399999999998</v>
      </c>
      <c r="AJ90">
        <v>11</v>
      </c>
      <c r="AK90">
        <v>24169.199999999997</v>
      </c>
      <c r="AL90">
        <v>7</v>
      </c>
      <c r="AM90">
        <v>15380.399999999998</v>
      </c>
      <c r="AN90">
        <v>10</v>
      </c>
      <c r="AO90">
        <v>21972</v>
      </c>
      <c r="AP90">
        <v>7</v>
      </c>
      <c r="AQ90">
        <v>15380.399999999998</v>
      </c>
      <c r="AR90">
        <v>5</v>
      </c>
      <c r="AS90">
        <v>10986</v>
      </c>
      <c r="AT90">
        <v>9</v>
      </c>
      <c r="AU90">
        <v>19774.8</v>
      </c>
      <c r="AV90">
        <v>8</v>
      </c>
      <c r="AW90">
        <v>17577.599999999999</v>
      </c>
      <c r="AX90">
        <v>11</v>
      </c>
      <c r="AY90">
        <v>24169.199999999997</v>
      </c>
      <c r="AZ90">
        <v>8</v>
      </c>
      <c r="BA90">
        <v>17577.599999999999</v>
      </c>
      <c r="BB90">
        <v>6</v>
      </c>
      <c r="BC90">
        <v>13183.199999999999</v>
      </c>
      <c r="BD90">
        <v>6</v>
      </c>
      <c r="BE90">
        <v>13183.199999999999</v>
      </c>
      <c r="BF90">
        <v>7</v>
      </c>
      <c r="BG90">
        <v>15380.399999999998</v>
      </c>
      <c r="BH90">
        <v>6</v>
      </c>
      <c r="BI90">
        <v>13183.199999999999</v>
      </c>
      <c r="BJ90">
        <v>8</v>
      </c>
      <c r="BK90">
        <v>17577.599999999999</v>
      </c>
      <c r="BL90">
        <v>8</v>
      </c>
      <c r="BM90">
        <v>17577.599999999999</v>
      </c>
      <c r="BN90">
        <v>11</v>
      </c>
      <c r="BO90">
        <v>24169.199999999997</v>
      </c>
      <c r="BP90">
        <v>10</v>
      </c>
      <c r="BQ90">
        <v>21972</v>
      </c>
      <c r="BR90">
        <v>9</v>
      </c>
      <c r="BS90">
        <v>19774.8</v>
      </c>
      <c r="BT90">
        <v>8</v>
      </c>
      <c r="BU90">
        <v>17577.599999999999</v>
      </c>
      <c r="BV90">
        <v>11</v>
      </c>
      <c r="BW90">
        <v>24169.199999999997</v>
      </c>
      <c r="BX90">
        <v>11</v>
      </c>
      <c r="BY90">
        <v>24169.199999999997</v>
      </c>
      <c r="BZ90">
        <v>7</v>
      </c>
      <c r="CA90">
        <v>15380.399999999998</v>
      </c>
      <c r="CB90">
        <v>10</v>
      </c>
      <c r="CC90">
        <v>21972</v>
      </c>
      <c r="CD90">
        <v>8</v>
      </c>
      <c r="CE90">
        <v>17577.599999999999</v>
      </c>
      <c r="CF90">
        <v>6</v>
      </c>
      <c r="CG90">
        <v>13183.199999999999</v>
      </c>
      <c r="CH90">
        <v>6</v>
      </c>
      <c r="CI90">
        <v>13183.199999999999</v>
      </c>
      <c r="CJ90">
        <v>8</v>
      </c>
      <c r="CK90">
        <v>17577.599999999999</v>
      </c>
      <c r="CL90">
        <v>6</v>
      </c>
      <c r="CM90">
        <v>13183.199999999999</v>
      </c>
      <c r="CN90">
        <v>10</v>
      </c>
      <c r="CO90">
        <v>21972</v>
      </c>
      <c r="CP90">
        <v>11</v>
      </c>
      <c r="CQ90">
        <v>24169.199999999997</v>
      </c>
      <c r="CR90">
        <v>7</v>
      </c>
      <c r="CS90">
        <v>15380.399999999998</v>
      </c>
      <c r="CT90">
        <v>7</v>
      </c>
      <c r="CU90">
        <v>15380.399999999998</v>
      </c>
    </row>
    <row r="91" spans="2:99" x14ac:dyDescent="0.2">
      <c r="C91" s="105" t="s">
        <v>257</v>
      </c>
      <c r="D91">
        <v>8</v>
      </c>
      <c r="E91">
        <v>18374.399999999998</v>
      </c>
      <c r="F91">
        <v>5</v>
      </c>
      <c r="G91">
        <v>11483.999999999998</v>
      </c>
      <c r="H91">
        <v>6</v>
      </c>
      <c r="I91">
        <v>13780.8</v>
      </c>
      <c r="J91">
        <v>10</v>
      </c>
      <c r="K91">
        <v>22967.999999999996</v>
      </c>
      <c r="L91">
        <v>6</v>
      </c>
      <c r="M91">
        <v>13780.8</v>
      </c>
      <c r="N91">
        <v>6</v>
      </c>
      <c r="O91">
        <v>13780.8</v>
      </c>
      <c r="P91">
        <v>9</v>
      </c>
      <c r="Q91">
        <v>20671.199999999997</v>
      </c>
      <c r="R91">
        <v>9</v>
      </c>
      <c r="S91">
        <v>20671.199999999997</v>
      </c>
      <c r="T91">
        <v>8</v>
      </c>
      <c r="U91">
        <v>18374.399999999998</v>
      </c>
      <c r="V91">
        <v>8</v>
      </c>
      <c r="W91">
        <v>18374.399999999998</v>
      </c>
      <c r="X91">
        <v>6</v>
      </c>
      <c r="Y91">
        <v>13780.8</v>
      </c>
      <c r="Z91">
        <v>9</v>
      </c>
      <c r="AA91">
        <v>20671.199999999997</v>
      </c>
      <c r="AB91">
        <v>6</v>
      </c>
      <c r="AC91">
        <v>13780.8</v>
      </c>
      <c r="AD91">
        <v>6</v>
      </c>
      <c r="AE91">
        <v>13780.8</v>
      </c>
      <c r="AF91">
        <v>7</v>
      </c>
      <c r="AG91">
        <v>16077.599999999999</v>
      </c>
      <c r="AH91">
        <v>7</v>
      </c>
      <c r="AI91">
        <v>16077.599999999999</v>
      </c>
      <c r="AJ91">
        <v>11</v>
      </c>
      <c r="AK91">
        <v>25264.799999999996</v>
      </c>
      <c r="AL91">
        <v>7</v>
      </c>
      <c r="AM91">
        <v>16077.599999999999</v>
      </c>
      <c r="AN91">
        <v>10</v>
      </c>
      <c r="AO91">
        <v>22967.999999999996</v>
      </c>
      <c r="AP91">
        <v>7</v>
      </c>
      <c r="AQ91">
        <v>16077.599999999999</v>
      </c>
      <c r="AR91">
        <v>6</v>
      </c>
      <c r="AS91">
        <v>13780.8</v>
      </c>
      <c r="AT91">
        <v>10</v>
      </c>
      <c r="AU91">
        <v>22967.999999999996</v>
      </c>
      <c r="AV91">
        <v>8</v>
      </c>
      <c r="AW91">
        <v>18374.399999999998</v>
      </c>
      <c r="AX91">
        <v>9</v>
      </c>
      <c r="AY91">
        <v>20671.199999999997</v>
      </c>
      <c r="AZ91">
        <v>8</v>
      </c>
      <c r="BA91">
        <v>18374.399999999998</v>
      </c>
      <c r="BB91">
        <v>7</v>
      </c>
      <c r="BC91">
        <v>16077.599999999999</v>
      </c>
      <c r="BD91">
        <v>6</v>
      </c>
      <c r="BE91">
        <v>13780.8</v>
      </c>
      <c r="BF91">
        <v>8</v>
      </c>
      <c r="BG91">
        <v>18374.399999999998</v>
      </c>
      <c r="BH91">
        <v>6</v>
      </c>
      <c r="BI91">
        <v>13780.8</v>
      </c>
      <c r="BJ91">
        <v>9</v>
      </c>
      <c r="BK91">
        <v>20671.199999999997</v>
      </c>
      <c r="BL91">
        <v>7</v>
      </c>
      <c r="BM91">
        <v>16077.599999999999</v>
      </c>
      <c r="BN91">
        <v>11</v>
      </c>
      <c r="BO91">
        <v>25264.799999999996</v>
      </c>
      <c r="BP91">
        <v>9</v>
      </c>
      <c r="BQ91">
        <v>20671.199999999997</v>
      </c>
      <c r="BR91">
        <v>8</v>
      </c>
      <c r="BS91">
        <v>18374.399999999998</v>
      </c>
      <c r="BT91">
        <v>7</v>
      </c>
      <c r="BU91">
        <v>16077.599999999999</v>
      </c>
      <c r="BV91">
        <v>11</v>
      </c>
      <c r="BW91">
        <v>25264.799999999996</v>
      </c>
      <c r="BX91">
        <v>10</v>
      </c>
      <c r="BY91">
        <v>22967.999999999996</v>
      </c>
      <c r="BZ91">
        <v>7</v>
      </c>
      <c r="CA91">
        <v>16077.599999999999</v>
      </c>
      <c r="CB91">
        <v>10</v>
      </c>
      <c r="CC91">
        <v>22967.999999999996</v>
      </c>
      <c r="CD91">
        <v>10</v>
      </c>
      <c r="CE91">
        <v>22967.999999999996</v>
      </c>
      <c r="CF91">
        <v>7</v>
      </c>
      <c r="CG91">
        <v>16077.599999999999</v>
      </c>
      <c r="CH91">
        <v>6</v>
      </c>
      <c r="CI91">
        <v>13780.8</v>
      </c>
      <c r="CJ91">
        <v>8</v>
      </c>
      <c r="CK91">
        <v>18374.399999999998</v>
      </c>
      <c r="CL91">
        <v>6</v>
      </c>
      <c r="CM91">
        <v>13780.8</v>
      </c>
      <c r="CN91">
        <v>11</v>
      </c>
      <c r="CO91">
        <v>25264.799999999996</v>
      </c>
      <c r="CP91">
        <v>10</v>
      </c>
      <c r="CQ91">
        <v>22967.999999999996</v>
      </c>
      <c r="CR91">
        <v>8</v>
      </c>
      <c r="CS91">
        <v>18374.399999999998</v>
      </c>
      <c r="CT91">
        <v>8</v>
      </c>
      <c r="CU91">
        <v>18374.399999999998</v>
      </c>
    </row>
    <row r="92" spans="2:99" x14ac:dyDescent="0.2">
      <c r="C92" s="105" t="s">
        <v>258</v>
      </c>
      <c r="D92">
        <v>9</v>
      </c>
      <c r="E92">
        <v>12787.199999999999</v>
      </c>
      <c r="F92">
        <v>5</v>
      </c>
      <c r="G92">
        <v>7104</v>
      </c>
      <c r="H92">
        <v>7</v>
      </c>
      <c r="I92">
        <v>9945.6</v>
      </c>
      <c r="J92">
        <v>11</v>
      </c>
      <c r="K92">
        <v>15628.8</v>
      </c>
      <c r="L92">
        <v>6</v>
      </c>
      <c r="M92">
        <v>8524.7999999999993</v>
      </c>
      <c r="N92">
        <v>7</v>
      </c>
      <c r="O92">
        <v>9945.6</v>
      </c>
      <c r="P92">
        <v>10</v>
      </c>
      <c r="Q92">
        <v>14208</v>
      </c>
      <c r="R92">
        <v>9</v>
      </c>
      <c r="S92">
        <v>12787.199999999999</v>
      </c>
      <c r="T92">
        <v>8</v>
      </c>
      <c r="U92">
        <v>11366.4</v>
      </c>
      <c r="V92">
        <v>11</v>
      </c>
      <c r="W92">
        <v>15628.8</v>
      </c>
      <c r="X92">
        <v>7</v>
      </c>
      <c r="Y92">
        <v>9945.6</v>
      </c>
      <c r="Z92">
        <v>10</v>
      </c>
      <c r="AA92">
        <v>14208</v>
      </c>
      <c r="AB92">
        <v>6</v>
      </c>
      <c r="AC92">
        <v>8524.7999999999993</v>
      </c>
      <c r="AD92">
        <v>6</v>
      </c>
      <c r="AE92">
        <v>8524.7999999999993</v>
      </c>
      <c r="AF92">
        <v>8</v>
      </c>
      <c r="AG92">
        <v>11366.4</v>
      </c>
      <c r="AH92">
        <v>8</v>
      </c>
      <c r="AI92">
        <v>11366.4</v>
      </c>
      <c r="AJ92">
        <v>10</v>
      </c>
      <c r="AK92">
        <v>14208</v>
      </c>
      <c r="AL92">
        <v>8</v>
      </c>
      <c r="AM92">
        <v>11366.4</v>
      </c>
      <c r="AN92">
        <v>11</v>
      </c>
      <c r="AO92">
        <v>15628.8</v>
      </c>
      <c r="AP92">
        <v>8</v>
      </c>
      <c r="AQ92">
        <v>11366.4</v>
      </c>
      <c r="AR92">
        <v>6</v>
      </c>
      <c r="AS92">
        <v>8524.7999999999993</v>
      </c>
      <c r="AT92">
        <v>10</v>
      </c>
      <c r="AU92">
        <v>14208</v>
      </c>
      <c r="AV92">
        <v>9</v>
      </c>
      <c r="AW92">
        <v>12787.199999999999</v>
      </c>
      <c r="AX92">
        <v>11</v>
      </c>
      <c r="AY92">
        <v>15628.8</v>
      </c>
      <c r="AZ92">
        <v>8</v>
      </c>
      <c r="BA92">
        <v>11366.4</v>
      </c>
      <c r="BB92">
        <v>6</v>
      </c>
      <c r="BC92">
        <v>8524.7999999999993</v>
      </c>
      <c r="BD92">
        <v>6</v>
      </c>
      <c r="BE92">
        <v>8524.7999999999993</v>
      </c>
      <c r="BF92">
        <v>8</v>
      </c>
      <c r="BG92">
        <v>11366.4</v>
      </c>
      <c r="BH92">
        <v>7</v>
      </c>
      <c r="BI92">
        <v>9945.6</v>
      </c>
      <c r="BJ92">
        <v>9</v>
      </c>
      <c r="BK92">
        <v>12787.199999999999</v>
      </c>
      <c r="BL92">
        <v>8</v>
      </c>
      <c r="BM92">
        <v>11366.4</v>
      </c>
      <c r="BN92">
        <v>12</v>
      </c>
      <c r="BO92">
        <v>17049.599999999999</v>
      </c>
      <c r="BP92">
        <v>10</v>
      </c>
      <c r="BQ92">
        <v>14208</v>
      </c>
      <c r="BR92">
        <v>10</v>
      </c>
      <c r="BS92">
        <v>14208</v>
      </c>
      <c r="BT92">
        <v>8</v>
      </c>
      <c r="BU92">
        <v>11366.4</v>
      </c>
      <c r="BV92">
        <v>11</v>
      </c>
      <c r="BW92">
        <v>15628.8</v>
      </c>
      <c r="BX92">
        <v>12</v>
      </c>
      <c r="BY92">
        <v>17049.599999999999</v>
      </c>
      <c r="BZ92">
        <v>7</v>
      </c>
      <c r="CA92">
        <v>9945.6</v>
      </c>
      <c r="CB92">
        <v>11</v>
      </c>
      <c r="CC92">
        <v>15628.8</v>
      </c>
      <c r="CD92">
        <v>9</v>
      </c>
      <c r="CE92">
        <v>12787.199999999999</v>
      </c>
      <c r="CF92">
        <v>7</v>
      </c>
      <c r="CG92">
        <v>9945.6</v>
      </c>
      <c r="CH92">
        <v>8</v>
      </c>
      <c r="CI92">
        <v>11366.4</v>
      </c>
      <c r="CJ92">
        <v>9</v>
      </c>
      <c r="CK92">
        <v>12787.199999999999</v>
      </c>
      <c r="CL92">
        <v>7</v>
      </c>
      <c r="CM92">
        <v>9945.6</v>
      </c>
      <c r="CN92">
        <v>10</v>
      </c>
      <c r="CO92">
        <v>14208</v>
      </c>
      <c r="CP92">
        <v>13</v>
      </c>
      <c r="CQ92">
        <v>18470.399999999998</v>
      </c>
      <c r="CR92">
        <v>8</v>
      </c>
      <c r="CS92">
        <v>11366.4</v>
      </c>
      <c r="CT92">
        <v>9</v>
      </c>
      <c r="CU92">
        <v>12787.199999999999</v>
      </c>
    </row>
    <row r="93" spans="2:99" x14ac:dyDescent="0.2">
      <c r="C93" s="105" t="s">
        <v>259</v>
      </c>
      <c r="D93">
        <v>10</v>
      </c>
      <c r="E93">
        <v>17724</v>
      </c>
      <c r="F93">
        <v>5</v>
      </c>
      <c r="G93">
        <v>8862</v>
      </c>
      <c r="H93">
        <v>7</v>
      </c>
      <c r="I93">
        <v>12406.8</v>
      </c>
      <c r="J93">
        <v>10</v>
      </c>
      <c r="K93">
        <v>17724</v>
      </c>
      <c r="L93">
        <v>7</v>
      </c>
      <c r="M93">
        <v>12406.8</v>
      </c>
      <c r="N93">
        <v>8</v>
      </c>
      <c r="O93">
        <v>14179.199999999999</v>
      </c>
      <c r="P93">
        <v>9</v>
      </c>
      <c r="Q93">
        <v>15951.599999999999</v>
      </c>
      <c r="R93">
        <v>9</v>
      </c>
      <c r="S93">
        <v>15951.599999999999</v>
      </c>
      <c r="T93">
        <v>8</v>
      </c>
      <c r="U93">
        <v>14179.199999999999</v>
      </c>
      <c r="V93">
        <v>9</v>
      </c>
      <c r="W93">
        <v>15951.599999999999</v>
      </c>
      <c r="X93">
        <v>6</v>
      </c>
      <c r="Y93">
        <v>10634.4</v>
      </c>
      <c r="Z93">
        <v>9</v>
      </c>
      <c r="AA93">
        <v>15951.599999999999</v>
      </c>
      <c r="AB93">
        <v>6</v>
      </c>
      <c r="AC93">
        <v>10634.4</v>
      </c>
      <c r="AD93">
        <v>6</v>
      </c>
      <c r="AE93">
        <v>10634.4</v>
      </c>
      <c r="AF93">
        <v>7</v>
      </c>
      <c r="AG93">
        <v>12406.8</v>
      </c>
      <c r="AH93">
        <v>6</v>
      </c>
      <c r="AI93">
        <v>10634.4</v>
      </c>
      <c r="AJ93">
        <v>11</v>
      </c>
      <c r="AK93">
        <v>19496.399999999998</v>
      </c>
      <c r="AL93">
        <v>7</v>
      </c>
      <c r="AM93">
        <v>12406.8</v>
      </c>
      <c r="AN93">
        <v>10</v>
      </c>
      <c r="AO93">
        <v>17724</v>
      </c>
      <c r="AP93">
        <v>7</v>
      </c>
      <c r="AQ93">
        <v>12406.8</v>
      </c>
      <c r="AR93">
        <v>6</v>
      </c>
      <c r="AS93">
        <v>10634.4</v>
      </c>
      <c r="AT93">
        <v>10</v>
      </c>
      <c r="AU93">
        <v>17724</v>
      </c>
      <c r="AV93">
        <v>9</v>
      </c>
      <c r="AW93">
        <v>15951.599999999999</v>
      </c>
      <c r="AX93">
        <v>10</v>
      </c>
      <c r="AY93">
        <v>17724</v>
      </c>
      <c r="AZ93">
        <v>8</v>
      </c>
      <c r="BA93">
        <v>14179.199999999999</v>
      </c>
      <c r="BB93">
        <v>6</v>
      </c>
      <c r="BC93">
        <v>10634.4</v>
      </c>
      <c r="BD93">
        <v>6</v>
      </c>
      <c r="BE93">
        <v>10634.4</v>
      </c>
      <c r="BF93">
        <v>7</v>
      </c>
      <c r="BG93">
        <v>12406.8</v>
      </c>
      <c r="BH93">
        <v>6</v>
      </c>
      <c r="BI93">
        <v>10634.4</v>
      </c>
      <c r="BJ93">
        <v>9</v>
      </c>
      <c r="BK93">
        <v>15951.599999999999</v>
      </c>
      <c r="BL93">
        <v>8</v>
      </c>
      <c r="BM93">
        <v>14179.199999999999</v>
      </c>
      <c r="BN93">
        <v>11</v>
      </c>
      <c r="BO93">
        <v>19496.399999999998</v>
      </c>
      <c r="BP93">
        <v>11</v>
      </c>
      <c r="BQ93">
        <v>19496.399999999998</v>
      </c>
      <c r="BR93">
        <v>10</v>
      </c>
      <c r="BS93">
        <v>17724</v>
      </c>
      <c r="BT93">
        <v>8</v>
      </c>
      <c r="BU93">
        <v>14179.199999999999</v>
      </c>
      <c r="BV93">
        <v>10</v>
      </c>
      <c r="BW93">
        <v>17724</v>
      </c>
      <c r="BX93">
        <v>12</v>
      </c>
      <c r="BY93">
        <v>21268.799999999999</v>
      </c>
      <c r="BZ93">
        <v>7</v>
      </c>
      <c r="CA93">
        <v>12406.8</v>
      </c>
      <c r="CB93">
        <v>11</v>
      </c>
      <c r="CC93">
        <v>19496.399999999998</v>
      </c>
      <c r="CD93">
        <v>10</v>
      </c>
      <c r="CE93">
        <v>17724</v>
      </c>
      <c r="CF93">
        <v>7</v>
      </c>
      <c r="CG93">
        <v>12406.8</v>
      </c>
      <c r="CH93">
        <v>8</v>
      </c>
      <c r="CI93">
        <v>14179.199999999999</v>
      </c>
      <c r="CJ93">
        <v>9</v>
      </c>
      <c r="CK93">
        <v>15951.599999999999</v>
      </c>
      <c r="CL93">
        <v>6</v>
      </c>
      <c r="CM93">
        <v>10634.4</v>
      </c>
      <c r="CN93">
        <v>11</v>
      </c>
      <c r="CO93">
        <v>19496.399999999998</v>
      </c>
      <c r="CP93">
        <v>12</v>
      </c>
      <c r="CQ93">
        <v>21268.799999999999</v>
      </c>
      <c r="CR93">
        <v>9</v>
      </c>
      <c r="CS93">
        <v>15951.599999999999</v>
      </c>
      <c r="CT93">
        <v>8</v>
      </c>
      <c r="CU93">
        <v>14179.199999999999</v>
      </c>
    </row>
    <row r="94" spans="2:99" x14ac:dyDescent="0.2">
      <c r="C94" s="105" t="s">
        <v>260</v>
      </c>
      <c r="D94">
        <v>8</v>
      </c>
      <c r="E94">
        <v>19161.599999999999</v>
      </c>
      <c r="F94">
        <v>5</v>
      </c>
      <c r="G94">
        <v>11976</v>
      </c>
      <c r="H94">
        <v>6</v>
      </c>
      <c r="I94">
        <v>14371.199999999999</v>
      </c>
      <c r="J94">
        <v>10</v>
      </c>
      <c r="K94">
        <v>23952</v>
      </c>
      <c r="L94">
        <v>5</v>
      </c>
      <c r="M94">
        <v>11976</v>
      </c>
      <c r="N94">
        <v>7</v>
      </c>
      <c r="O94">
        <v>16766.399999999998</v>
      </c>
      <c r="P94">
        <v>9</v>
      </c>
      <c r="Q94">
        <v>21556.799999999999</v>
      </c>
      <c r="R94">
        <v>8</v>
      </c>
      <c r="S94">
        <v>19161.599999999999</v>
      </c>
      <c r="T94">
        <v>8</v>
      </c>
      <c r="U94">
        <v>19161.599999999999</v>
      </c>
      <c r="V94">
        <v>9</v>
      </c>
      <c r="W94">
        <v>21556.799999999999</v>
      </c>
      <c r="X94">
        <v>6</v>
      </c>
      <c r="Y94">
        <v>14371.199999999999</v>
      </c>
      <c r="Z94">
        <v>9</v>
      </c>
      <c r="AA94">
        <v>21556.799999999999</v>
      </c>
      <c r="AB94">
        <v>5</v>
      </c>
      <c r="AC94">
        <v>11976</v>
      </c>
      <c r="AD94">
        <v>6</v>
      </c>
      <c r="AE94">
        <v>14371.199999999999</v>
      </c>
      <c r="AF94">
        <v>7</v>
      </c>
      <c r="AG94">
        <v>16766.399999999998</v>
      </c>
      <c r="AH94">
        <v>6</v>
      </c>
      <c r="AI94">
        <v>14371.199999999999</v>
      </c>
      <c r="AJ94">
        <v>10</v>
      </c>
      <c r="AK94">
        <v>23952</v>
      </c>
      <c r="AL94">
        <v>7</v>
      </c>
      <c r="AM94">
        <v>16766.399999999998</v>
      </c>
      <c r="AN94">
        <v>9</v>
      </c>
      <c r="AO94">
        <v>21556.799999999999</v>
      </c>
      <c r="AP94">
        <v>8</v>
      </c>
      <c r="AQ94">
        <v>19161.599999999999</v>
      </c>
      <c r="AR94">
        <v>5</v>
      </c>
      <c r="AS94">
        <v>11976</v>
      </c>
      <c r="AT94">
        <v>9</v>
      </c>
      <c r="AU94">
        <v>21556.799999999999</v>
      </c>
      <c r="AV94">
        <v>9</v>
      </c>
      <c r="AW94">
        <v>21556.799999999999</v>
      </c>
      <c r="AX94">
        <v>10</v>
      </c>
      <c r="AY94">
        <v>23952</v>
      </c>
      <c r="AZ94">
        <v>8</v>
      </c>
      <c r="BA94">
        <v>19161.599999999999</v>
      </c>
      <c r="BB94">
        <v>6</v>
      </c>
      <c r="BC94">
        <v>14371.199999999999</v>
      </c>
      <c r="BD94">
        <v>6</v>
      </c>
      <c r="BE94">
        <v>14371.199999999999</v>
      </c>
      <c r="BF94">
        <v>8</v>
      </c>
      <c r="BG94">
        <v>19161.599999999999</v>
      </c>
      <c r="BH94">
        <v>6</v>
      </c>
      <c r="BI94">
        <v>14371.199999999999</v>
      </c>
      <c r="BJ94">
        <v>8</v>
      </c>
      <c r="BK94">
        <v>19161.599999999999</v>
      </c>
      <c r="BL94">
        <v>7</v>
      </c>
      <c r="BM94">
        <v>16766.399999999998</v>
      </c>
      <c r="BN94">
        <v>10</v>
      </c>
      <c r="BO94">
        <v>23952</v>
      </c>
      <c r="BP94">
        <v>10</v>
      </c>
      <c r="BQ94">
        <v>23952</v>
      </c>
      <c r="BR94">
        <v>8</v>
      </c>
      <c r="BS94">
        <v>19161.599999999999</v>
      </c>
      <c r="BT94">
        <v>7</v>
      </c>
      <c r="BU94">
        <v>16766.399999999998</v>
      </c>
      <c r="BV94">
        <v>10</v>
      </c>
      <c r="BW94">
        <v>23952</v>
      </c>
      <c r="BX94">
        <v>11</v>
      </c>
      <c r="BY94">
        <v>26347.199999999997</v>
      </c>
      <c r="BZ94">
        <v>6</v>
      </c>
      <c r="CA94">
        <v>14371.199999999999</v>
      </c>
      <c r="CB94">
        <v>11</v>
      </c>
      <c r="CC94">
        <v>26347.199999999997</v>
      </c>
      <c r="CD94">
        <v>9</v>
      </c>
      <c r="CE94">
        <v>21556.799999999999</v>
      </c>
      <c r="CF94">
        <v>6</v>
      </c>
      <c r="CG94">
        <v>14371.199999999999</v>
      </c>
      <c r="CH94">
        <v>8</v>
      </c>
      <c r="CI94">
        <v>19161.599999999999</v>
      </c>
      <c r="CJ94">
        <v>9</v>
      </c>
      <c r="CK94">
        <v>21556.799999999999</v>
      </c>
      <c r="CL94">
        <v>6</v>
      </c>
      <c r="CM94">
        <v>14371.199999999999</v>
      </c>
      <c r="CN94">
        <v>9</v>
      </c>
      <c r="CO94">
        <v>21556.799999999999</v>
      </c>
      <c r="CP94">
        <v>10</v>
      </c>
      <c r="CQ94">
        <v>23952</v>
      </c>
      <c r="CR94">
        <v>8</v>
      </c>
      <c r="CS94">
        <v>19161.599999999999</v>
      </c>
      <c r="CT94">
        <v>8</v>
      </c>
      <c r="CU94">
        <v>19161.599999999999</v>
      </c>
    </row>
    <row r="95" spans="2:99" x14ac:dyDescent="0.2">
      <c r="B95" s="105" t="s">
        <v>132</v>
      </c>
      <c r="C95" s="105" t="s">
        <v>261</v>
      </c>
      <c r="D95">
        <v>12</v>
      </c>
      <c r="E95">
        <v>20793.599999999999</v>
      </c>
      <c r="F95">
        <v>10</v>
      </c>
      <c r="G95">
        <v>17328</v>
      </c>
      <c r="H95">
        <v>9</v>
      </c>
      <c r="I95">
        <v>15595.199999999999</v>
      </c>
      <c r="J95">
        <v>9</v>
      </c>
      <c r="K95">
        <v>15595.199999999999</v>
      </c>
      <c r="L95">
        <v>12</v>
      </c>
      <c r="M95">
        <v>20793.599999999999</v>
      </c>
      <c r="N95">
        <v>10</v>
      </c>
      <c r="O95">
        <v>17328</v>
      </c>
      <c r="P95">
        <v>7</v>
      </c>
      <c r="Q95">
        <v>12129.6</v>
      </c>
      <c r="R95">
        <v>8</v>
      </c>
      <c r="S95">
        <v>13862.4</v>
      </c>
      <c r="T95">
        <v>10</v>
      </c>
      <c r="U95">
        <v>17328</v>
      </c>
      <c r="V95">
        <v>10</v>
      </c>
      <c r="W95">
        <v>17328</v>
      </c>
      <c r="X95">
        <v>12</v>
      </c>
      <c r="Y95">
        <v>20793.599999999999</v>
      </c>
      <c r="Z95">
        <v>8</v>
      </c>
      <c r="AA95">
        <v>13862.4</v>
      </c>
      <c r="AB95">
        <v>10</v>
      </c>
      <c r="AC95">
        <v>17328</v>
      </c>
      <c r="AD95">
        <v>9</v>
      </c>
      <c r="AE95">
        <v>15595.199999999999</v>
      </c>
      <c r="AF95">
        <v>8</v>
      </c>
      <c r="AG95">
        <v>13862.4</v>
      </c>
      <c r="AH95">
        <v>6</v>
      </c>
      <c r="AI95">
        <v>10396.799999999999</v>
      </c>
      <c r="AJ95">
        <v>7</v>
      </c>
      <c r="AK95">
        <v>12129.6</v>
      </c>
      <c r="AL95">
        <v>7</v>
      </c>
      <c r="AM95">
        <v>12129.6</v>
      </c>
      <c r="AN95">
        <v>8</v>
      </c>
      <c r="AO95">
        <v>13862.4</v>
      </c>
      <c r="AP95">
        <v>10</v>
      </c>
      <c r="AQ95">
        <v>17328</v>
      </c>
      <c r="AR95">
        <v>11</v>
      </c>
      <c r="AS95">
        <v>19060.8</v>
      </c>
      <c r="AT95">
        <v>11</v>
      </c>
      <c r="AU95">
        <v>19060.8</v>
      </c>
      <c r="AV95">
        <v>7</v>
      </c>
      <c r="AW95">
        <v>12129.6</v>
      </c>
      <c r="AX95">
        <v>12</v>
      </c>
      <c r="AY95">
        <v>20793.599999999999</v>
      </c>
      <c r="AZ95">
        <v>9</v>
      </c>
      <c r="BA95">
        <v>15595.199999999999</v>
      </c>
      <c r="BB95">
        <v>6</v>
      </c>
      <c r="BC95">
        <v>10396.799999999999</v>
      </c>
      <c r="BD95">
        <v>7</v>
      </c>
      <c r="BE95">
        <v>12129.6</v>
      </c>
      <c r="BF95">
        <v>10</v>
      </c>
      <c r="BG95">
        <v>17328</v>
      </c>
      <c r="BH95">
        <v>8</v>
      </c>
      <c r="BI95">
        <v>13862.4</v>
      </c>
      <c r="BJ95">
        <v>11</v>
      </c>
      <c r="BK95">
        <v>19060.8</v>
      </c>
      <c r="BL95">
        <v>12</v>
      </c>
      <c r="BM95">
        <v>20793.599999999999</v>
      </c>
      <c r="BN95">
        <v>10</v>
      </c>
      <c r="BO95">
        <v>17328</v>
      </c>
      <c r="BP95">
        <v>12</v>
      </c>
      <c r="BQ95">
        <v>20793.599999999999</v>
      </c>
      <c r="BR95">
        <v>10</v>
      </c>
      <c r="BS95">
        <v>17328</v>
      </c>
      <c r="BT95">
        <v>8</v>
      </c>
      <c r="BU95">
        <v>13862.4</v>
      </c>
      <c r="BV95">
        <v>8</v>
      </c>
      <c r="BW95">
        <v>13862.4</v>
      </c>
      <c r="BX95">
        <v>6</v>
      </c>
      <c r="BY95">
        <v>10396.799999999999</v>
      </c>
      <c r="BZ95">
        <v>9</v>
      </c>
      <c r="CA95">
        <v>15595.199999999999</v>
      </c>
      <c r="CB95">
        <v>13</v>
      </c>
      <c r="CC95">
        <v>22526.399999999998</v>
      </c>
      <c r="CD95">
        <v>6</v>
      </c>
      <c r="CE95">
        <v>10396.799999999999</v>
      </c>
      <c r="CF95">
        <v>7</v>
      </c>
      <c r="CG95">
        <v>12129.6</v>
      </c>
      <c r="CH95">
        <v>8</v>
      </c>
      <c r="CI95">
        <v>13862.4</v>
      </c>
      <c r="CJ95">
        <v>10</v>
      </c>
      <c r="CK95">
        <v>17328</v>
      </c>
      <c r="CL95">
        <v>10</v>
      </c>
      <c r="CM95">
        <v>17328</v>
      </c>
      <c r="CN95">
        <v>8</v>
      </c>
      <c r="CO95">
        <v>13862.4</v>
      </c>
      <c r="CP95">
        <v>11</v>
      </c>
      <c r="CQ95">
        <v>19060.8</v>
      </c>
      <c r="CR95">
        <v>10</v>
      </c>
      <c r="CS95">
        <v>17328</v>
      </c>
      <c r="CT95">
        <v>7</v>
      </c>
      <c r="CU95">
        <v>12129.6</v>
      </c>
    </row>
    <row r="96" spans="2:99" x14ac:dyDescent="0.2">
      <c r="C96" s="105" t="s">
        <v>262</v>
      </c>
      <c r="D96">
        <v>12</v>
      </c>
      <c r="E96">
        <v>9878.4</v>
      </c>
      <c r="F96">
        <v>11</v>
      </c>
      <c r="G96">
        <v>9055.1999999999989</v>
      </c>
      <c r="H96">
        <v>9</v>
      </c>
      <c r="I96">
        <v>7408.7999999999993</v>
      </c>
      <c r="J96">
        <v>9</v>
      </c>
      <c r="K96">
        <v>7408.7999999999993</v>
      </c>
      <c r="L96">
        <v>12</v>
      </c>
      <c r="M96">
        <v>9878.4</v>
      </c>
      <c r="N96">
        <v>10</v>
      </c>
      <c r="O96">
        <v>8232</v>
      </c>
      <c r="P96">
        <v>8</v>
      </c>
      <c r="Q96">
        <v>6585.5999999999995</v>
      </c>
      <c r="R96">
        <v>9</v>
      </c>
      <c r="S96">
        <v>7408.7999999999993</v>
      </c>
      <c r="T96">
        <v>11</v>
      </c>
      <c r="U96">
        <v>9055.1999999999989</v>
      </c>
      <c r="V96">
        <v>10</v>
      </c>
      <c r="W96">
        <v>8232</v>
      </c>
      <c r="X96">
        <v>12</v>
      </c>
      <c r="Y96">
        <v>9878.4</v>
      </c>
      <c r="Z96">
        <v>7</v>
      </c>
      <c r="AA96">
        <v>5762.4</v>
      </c>
      <c r="AB96">
        <v>11</v>
      </c>
      <c r="AC96">
        <v>9055.1999999999989</v>
      </c>
      <c r="AD96">
        <v>11</v>
      </c>
      <c r="AE96">
        <v>9055.1999999999989</v>
      </c>
      <c r="AF96">
        <v>9</v>
      </c>
      <c r="AG96">
        <v>7408.7999999999993</v>
      </c>
      <c r="AH96">
        <v>7</v>
      </c>
      <c r="AI96">
        <v>5762.4</v>
      </c>
      <c r="AJ96">
        <v>7</v>
      </c>
      <c r="AK96">
        <v>5762.4</v>
      </c>
      <c r="AL96">
        <v>8</v>
      </c>
      <c r="AM96">
        <v>6585.5999999999995</v>
      </c>
      <c r="AN96">
        <v>10</v>
      </c>
      <c r="AO96">
        <v>8232</v>
      </c>
      <c r="AP96">
        <v>11</v>
      </c>
      <c r="AQ96">
        <v>9055.1999999999989</v>
      </c>
      <c r="AR96">
        <v>12</v>
      </c>
      <c r="AS96">
        <v>9878.4</v>
      </c>
      <c r="AT96">
        <v>11</v>
      </c>
      <c r="AU96">
        <v>9055.1999999999989</v>
      </c>
      <c r="AV96">
        <v>8</v>
      </c>
      <c r="AW96">
        <v>6585.5999999999995</v>
      </c>
      <c r="AX96">
        <v>13</v>
      </c>
      <c r="AY96">
        <v>10701.599999999999</v>
      </c>
      <c r="AZ96">
        <v>9</v>
      </c>
      <c r="BA96">
        <v>7408.7999999999993</v>
      </c>
      <c r="BB96">
        <v>6</v>
      </c>
      <c r="BC96">
        <v>4939.2</v>
      </c>
      <c r="BD96">
        <v>7</v>
      </c>
      <c r="BE96">
        <v>5762.4</v>
      </c>
      <c r="BF96">
        <v>10</v>
      </c>
      <c r="BG96">
        <v>8232</v>
      </c>
      <c r="BH96">
        <v>8</v>
      </c>
      <c r="BI96">
        <v>6585.5999999999995</v>
      </c>
      <c r="BJ96">
        <v>12</v>
      </c>
      <c r="BK96">
        <v>9878.4</v>
      </c>
      <c r="BL96">
        <v>14</v>
      </c>
      <c r="BM96">
        <v>11524.8</v>
      </c>
      <c r="BN96">
        <v>11</v>
      </c>
      <c r="BO96">
        <v>9055.1999999999989</v>
      </c>
      <c r="BP96">
        <v>13</v>
      </c>
      <c r="BQ96">
        <v>10701.599999999999</v>
      </c>
      <c r="BR96">
        <v>10</v>
      </c>
      <c r="BS96">
        <v>8232</v>
      </c>
      <c r="BT96">
        <v>9</v>
      </c>
      <c r="BU96">
        <v>7408.7999999999993</v>
      </c>
      <c r="BV96">
        <v>8</v>
      </c>
      <c r="BW96">
        <v>6585.5999999999995</v>
      </c>
      <c r="BX96">
        <v>7</v>
      </c>
      <c r="BY96">
        <v>5762.4</v>
      </c>
      <c r="BZ96">
        <v>9</v>
      </c>
      <c r="CA96">
        <v>7408.7999999999993</v>
      </c>
      <c r="CB96">
        <v>13</v>
      </c>
      <c r="CC96">
        <v>10701.599999999999</v>
      </c>
      <c r="CD96">
        <v>7</v>
      </c>
      <c r="CE96">
        <v>5762.4</v>
      </c>
      <c r="CF96">
        <v>8</v>
      </c>
      <c r="CG96">
        <v>6585.5999999999995</v>
      </c>
      <c r="CH96">
        <v>9</v>
      </c>
      <c r="CI96">
        <v>7408.7999999999993</v>
      </c>
      <c r="CJ96">
        <v>11</v>
      </c>
      <c r="CK96">
        <v>9055.1999999999989</v>
      </c>
      <c r="CL96">
        <v>12</v>
      </c>
      <c r="CM96">
        <v>9878.4</v>
      </c>
      <c r="CN96">
        <v>10</v>
      </c>
      <c r="CO96">
        <v>8232</v>
      </c>
      <c r="CP96">
        <v>13</v>
      </c>
      <c r="CQ96">
        <v>10701.599999999999</v>
      </c>
      <c r="CR96">
        <v>10</v>
      </c>
      <c r="CS96">
        <v>8232</v>
      </c>
      <c r="CT96">
        <v>6</v>
      </c>
      <c r="CU96">
        <v>4939.2</v>
      </c>
    </row>
    <row r="97" spans="2:99" x14ac:dyDescent="0.2">
      <c r="C97" s="105" t="s">
        <v>263</v>
      </c>
      <c r="D97">
        <v>12</v>
      </c>
      <c r="E97">
        <v>21945.599999999999</v>
      </c>
      <c r="F97">
        <v>9</v>
      </c>
      <c r="G97">
        <v>16459.2</v>
      </c>
      <c r="H97">
        <v>9</v>
      </c>
      <c r="I97">
        <v>16459.2</v>
      </c>
      <c r="J97">
        <v>8</v>
      </c>
      <c r="K97">
        <v>14630.4</v>
      </c>
      <c r="L97">
        <v>12</v>
      </c>
      <c r="M97">
        <v>21945.599999999999</v>
      </c>
      <c r="N97">
        <v>9</v>
      </c>
      <c r="O97">
        <v>16459.2</v>
      </c>
      <c r="P97">
        <v>7</v>
      </c>
      <c r="Q97">
        <v>12801.6</v>
      </c>
      <c r="R97">
        <v>8</v>
      </c>
      <c r="S97">
        <v>14630.4</v>
      </c>
      <c r="T97">
        <v>9</v>
      </c>
      <c r="U97">
        <v>16459.2</v>
      </c>
      <c r="V97">
        <v>9</v>
      </c>
      <c r="W97">
        <v>16459.2</v>
      </c>
      <c r="X97">
        <v>11</v>
      </c>
      <c r="Y97">
        <v>20116.8</v>
      </c>
      <c r="Z97">
        <v>7</v>
      </c>
      <c r="AA97">
        <v>12801.6</v>
      </c>
      <c r="AB97">
        <v>10</v>
      </c>
      <c r="AC97">
        <v>18288</v>
      </c>
      <c r="AD97">
        <v>11</v>
      </c>
      <c r="AE97">
        <v>20116.8</v>
      </c>
      <c r="AF97">
        <v>8</v>
      </c>
      <c r="AG97">
        <v>14630.4</v>
      </c>
      <c r="AH97">
        <v>6</v>
      </c>
      <c r="AI97">
        <v>10972.8</v>
      </c>
      <c r="AJ97">
        <v>6</v>
      </c>
      <c r="AK97">
        <v>10972.8</v>
      </c>
      <c r="AL97">
        <v>8</v>
      </c>
      <c r="AM97">
        <v>14630.4</v>
      </c>
      <c r="AN97">
        <v>9</v>
      </c>
      <c r="AO97">
        <v>16459.2</v>
      </c>
      <c r="AP97">
        <v>11</v>
      </c>
      <c r="AQ97">
        <v>20116.8</v>
      </c>
      <c r="AR97">
        <v>11</v>
      </c>
      <c r="AS97">
        <v>20116.8</v>
      </c>
      <c r="AT97">
        <v>11</v>
      </c>
      <c r="AU97">
        <v>20116.8</v>
      </c>
      <c r="AV97">
        <v>7</v>
      </c>
      <c r="AW97">
        <v>12801.6</v>
      </c>
      <c r="AX97">
        <v>12</v>
      </c>
      <c r="AY97">
        <v>21945.599999999999</v>
      </c>
      <c r="AZ97">
        <v>8</v>
      </c>
      <c r="BA97">
        <v>14630.4</v>
      </c>
      <c r="BB97">
        <v>7</v>
      </c>
      <c r="BC97">
        <v>12801.6</v>
      </c>
      <c r="BD97">
        <v>6</v>
      </c>
      <c r="BE97">
        <v>10972.8</v>
      </c>
      <c r="BF97">
        <v>11</v>
      </c>
      <c r="BG97">
        <v>20116.8</v>
      </c>
      <c r="BH97">
        <v>8</v>
      </c>
      <c r="BI97">
        <v>14630.4</v>
      </c>
      <c r="BJ97">
        <v>11</v>
      </c>
      <c r="BK97">
        <v>20116.8</v>
      </c>
      <c r="BL97">
        <v>13</v>
      </c>
      <c r="BM97">
        <v>23774.399999999998</v>
      </c>
      <c r="BN97">
        <v>10</v>
      </c>
      <c r="BO97">
        <v>18288</v>
      </c>
      <c r="BP97">
        <v>13</v>
      </c>
      <c r="BQ97">
        <v>23774.399999999998</v>
      </c>
      <c r="BR97">
        <v>10</v>
      </c>
      <c r="BS97">
        <v>18288</v>
      </c>
      <c r="BT97">
        <v>8</v>
      </c>
      <c r="BU97">
        <v>14630.4</v>
      </c>
      <c r="BV97">
        <v>7</v>
      </c>
      <c r="BW97">
        <v>12801.6</v>
      </c>
      <c r="BX97">
        <v>6</v>
      </c>
      <c r="BY97">
        <v>10972.8</v>
      </c>
      <c r="BZ97">
        <v>8</v>
      </c>
      <c r="CA97">
        <v>14630.4</v>
      </c>
      <c r="CB97">
        <v>12</v>
      </c>
      <c r="CC97">
        <v>21945.599999999999</v>
      </c>
      <c r="CD97">
        <v>7</v>
      </c>
      <c r="CE97">
        <v>12801.6</v>
      </c>
      <c r="CF97">
        <v>8</v>
      </c>
      <c r="CG97">
        <v>14630.4</v>
      </c>
      <c r="CH97">
        <v>9</v>
      </c>
      <c r="CI97">
        <v>16459.2</v>
      </c>
      <c r="CJ97">
        <v>9</v>
      </c>
      <c r="CK97">
        <v>16459.2</v>
      </c>
      <c r="CL97">
        <v>10</v>
      </c>
      <c r="CM97">
        <v>18288</v>
      </c>
      <c r="CN97">
        <v>8</v>
      </c>
      <c r="CO97">
        <v>14630.4</v>
      </c>
      <c r="CP97">
        <v>11</v>
      </c>
      <c r="CQ97">
        <v>20116.8</v>
      </c>
      <c r="CR97">
        <v>10</v>
      </c>
      <c r="CS97">
        <v>18288</v>
      </c>
      <c r="CT97">
        <v>7</v>
      </c>
      <c r="CU97">
        <v>12801.6</v>
      </c>
    </row>
    <row r="98" spans="2:99" x14ac:dyDescent="0.2">
      <c r="C98" s="105" t="s">
        <v>264</v>
      </c>
      <c r="D98">
        <v>11</v>
      </c>
      <c r="E98">
        <v>13899.599999999999</v>
      </c>
      <c r="F98">
        <v>11</v>
      </c>
      <c r="G98">
        <v>13899.599999999999</v>
      </c>
      <c r="H98">
        <v>9</v>
      </c>
      <c r="I98">
        <v>11372.4</v>
      </c>
      <c r="J98">
        <v>9</v>
      </c>
      <c r="K98">
        <v>11372.4</v>
      </c>
      <c r="L98">
        <v>13</v>
      </c>
      <c r="M98">
        <v>16426.8</v>
      </c>
      <c r="N98">
        <v>10</v>
      </c>
      <c r="O98">
        <v>12636</v>
      </c>
      <c r="P98">
        <v>8</v>
      </c>
      <c r="Q98">
        <v>10108.799999999999</v>
      </c>
      <c r="R98">
        <v>8</v>
      </c>
      <c r="S98">
        <v>10108.799999999999</v>
      </c>
      <c r="T98">
        <v>11</v>
      </c>
      <c r="U98">
        <v>13899.599999999999</v>
      </c>
      <c r="V98">
        <v>10</v>
      </c>
      <c r="W98">
        <v>12636</v>
      </c>
      <c r="X98">
        <v>11</v>
      </c>
      <c r="Y98">
        <v>13899.599999999999</v>
      </c>
      <c r="Z98">
        <v>7</v>
      </c>
      <c r="AA98">
        <v>8845.1999999999989</v>
      </c>
      <c r="AB98">
        <v>10</v>
      </c>
      <c r="AC98">
        <v>12636</v>
      </c>
      <c r="AD98">
        <v>10</v>
      </c>
      <c r="AE98">
        <v>12636</v>
      </c>
      <c r="AF98">
        <v>9</v>
      </c>
      <c r="AG98">
        <v>11372.4</v>
      </c>
      <c r="AH98">
        <v>7</v>
      </c>
      <c r="AI98">
        <v>8845.1999999999989</v>
      </c>
      <c r="AJ98">
        <v>6</v>
      </c>
      <c r="AK98">
        <v>7581.5999999999995</v>
      </c>
      <c r="AL98">
        <v>8</v>
      </c>
      <c r="AM98">
        <v>10108.799999999999</v>
      </c>
      <c r="AN98">
        <v>10</v>
      </c>
      <c r="AO98">
        <v>12636</v>
      </c>
      <c r="AP98">
        <v>11</v>
      </c>
      <c r="AQ98">
        <v>13899.599999999999</v>
      </c>
      <c r="AR98">
        <v>13</v>
      </c>
      <c r="AS98">
        <v>16426.8</v>
      </c>
      <c r="AT98">
        <v>11</v>
      </c>
      <c r="AU98">
        <v>13899.599999999999</v>
      </c>
      <c r="AV98">
        <v>8</v>
      </c>
      <c r="AW98">
        <v>10108.799999999999</v>
      </c>
      <c r="AX98">
        <v>12</v>
      </c>
      <c r="AY98">
        <v>15163.199999999999</v>
      </c>
      <c r="AZ98">
        <v>9</v>
      </c>
      <c r="BA98">
        <v>11372.4</v>
      </c>
      <c r="BB98">
        <v>6</v>
      </c>
      <c r="BC98">
        <v>7581.5999999999995</v>
      </c>
      <c r="BD98">
        <v>7</v>
      </c>
      <c r="BE98">
        <v>8845.1999999999989</v>
      </c>
      <c r="BF98">
        <v>12</v>
      </c>
      <c r="BG98">
        <v>15163.199999999999</v>
      </c>
      <c r="BH98">
        <v>8</v>
      </c>
      <c r="BI98">
        <v>10108.799999999999</v>
      </c>
      <c r="BJ98">
        <v>12</v>
      </c>
      <c r="BK98">
        <v>15163.199999999999</v>
      </c>
      <c r="BL98">
        <v>12</v>
      </c>
      <c r="BM98">
        <v>15163.199999999999</v>
      </c>
      <c r="BN98">
        <v>11</v>
      </c>
      <c r="BO98">
        <v>13899.599999999999</v>
      </c>
      <c r="BP98">
        <v>14</v>
      </c>
      <c r="BQ98">
        <v>17690.399999999998</v>
      </c>
      <c r="BR98">
        <v>11</v>
      </c>
      <c r="BS98">
        <v>13899.599999999999</v>
      </c>
      <c r="BT98">
        <v>9</v>
      </c>
      <c r="BU98">
        <v>11372.4</v>
      </c>
      <c r="BV98">
        <v>8</v>
      </c>
      <c r="BW98">
        <v>10108.799999999999</v>
      </c>
      <c r="BX98">
        <v>6</v>
      </c>
      <c r="BY98">
        <v>7581.5999999999995</v>
      </c>
      <c r="BZ98">
        <v>8</v>
      </c>
      <c r="CA98">
        <v>10108.799999999999</v>
      </c>
      <c r="CB98">
        <v>13</v>
      </c>
      <c r="CC98">
        <v>16426.8</v>
      </c>
      <c r="CD98">
        <v>7</v>
      </c>
      <c r="CE98">
        <v>8845.1999999999989</v>
      </c>
      <c r="CF98">
        <v>9</v>
      </c>
      <c r="CG98">
        <v>11372.4</v>
      </c>
      <c r="CH98">
        <v>9</v>
      </c>
      <c r="CI98">
        <v>11372.4</v>
      </c>
      <c r="CJ98">
        <v>10</v>
      </c>
      <c r="CK98">
        <v>12636</v>
      </c>
      <c r="CL98">
        <v>11</v>
      </c>
      <c r="CM98">
        <v>13899.599999999999</v>
      </c>
      <c r="CN98">
        <v>9</v>
      </c>
      <c r="CO98">
        <v>11372.4</v>
      </c>
      <c r="CP98">
        <v>12</v>
      </c>
      <c r="CQ98">
        <v>15163.199999999999</v>
      </c>
      <c r="CR98">
        <v>10</v>
      </c>
      <c r="CS98">
        <v>12636</v>
      </c>
      <c r="CT98">
        <v>7</v>
      </c>
      <c r="CU98">
        <v>8845.1999999999989</v>
      </c>
    </row>
    <row r="99" spans="2:99" x14ac:dyDescent="0.2">
      <c r="C99" s="105" t="s">
        <v>265</v>
      </c>
      <c r="D99">
        <v>9</v>
      </c>
      <c r="E99">
        <v>49334.399999999994</v>
      </c>
      <c r="F99">
        <v>7</v>
      </c>
      <c r="G99">
        <v>38371.199999999997</v>
      </c>
      <c r="H99">
        <v>6</v>
      </c>
      <c r="I99">
        <v>32889.599999999999</v>
      </c>
      <c r="J99">
        <v>7</v>
      </c>
      <c r="K99">
        <v>38371.199999999997</v>
      </c>
      <c r="L99">
        <v>8</v>
      </c>
      <c r="M99">
        <v>43852.799999999996</v>
      </c>
      <c r="N99">
        <v>7</v>
      </c>
      <c r="O99">
        <v>38371.199999999997</v>
      </c>
      <c r="P99">
        <v>6</v>
      </c>
      <c r="Q99">
        <v>32889.599999999999</v>
      </c>
      <c r="R99">
        <v>6</v>
      </c>
      <c r="S99">
        <v>32889.599999999999</v>
      </c>
      <c r="T99">
        <v>7</v>
      </c>
      <c r="U99">
        <v>38371.199999999997</v>
      </c>
      <c r="V99">
        <v>7</v>
      </c>
      <c r="W99">
        <v>38371.199999999997</v>
      </c>
      <c r="X99">
        <v>8</v>
      </c>
      <c r="Y99">
        <v>43852.799999999996</v>
      </c>
      <c r="Z99">
        <v>5</v>
      </c>
      <c r="AA99">
        <v>27407.999999999996</v>
      </c>
      <c r="AB99">
        <v>7</v>
      </c>
      <c r="AC99">
        <v>38371.199999999997</v>
      </c>
      <c r="AD99">
        <v>8</v>
      </c>
      <c r="AE99">
        <v>43852.799999999996</v>
      </c>
      <c r="AF99">
        <v>7</v>
      </c>
      <c r="AG99">
        <v>38371.199999999997</v>
      </c>
      <c r="AH99">
        <v>5</v>
      </c>
      <c r="AI99">
        <v>27407.999999999996</v>
      </c>
      <c r="AJ99">
        <v>5</v>
      </c>
      <c r="AK99">
        <v>27407.999999999996</v>
      </c>
      <c r="AL99">
        <v>5</v>
      </c>
      <c r="AM99">
        <v>27407.999999999996</v>
      </c>
      <c r="AN99">
        <v>6</v>
      </c>
      <c r="AO99">
        <v>32889.599999999999</v>
      </c>
      <c r="AP99">
        <v>8</v>
      </c>
      <c r="AQ99">
        <v>43852.799999999996</v>
      </c>
      <c r="AR99">
        <v>10</v>
      </c>
      <c r="AS99">
        <v>54815.999999999993</v>
      </c>
      <c r="AT99">
        <v>8</v>
      </c>
      <c r="AU99">
        <v>43852.799999999996</v>
      </c>
      <c r="AV99">
        <v>6</v>
      </c>
      <c r="AW99">
        <v>32889.599999999999</v>
      </c>
      <c r="AX99">
        <v>9</v>
      </c>
      <c r="AY99">
        <v>49334.399999999994</v>
      </c>
      <c r="AZ99">
        <v>7</v>
      </c>
      <c r="BA99">
        <v>38371.199999999997</v>
      </c>
      <c r="BB99">
        <v>5</v>
      </c>
      <c r="BC99">
        <v>27407.999999999996</v>
      </c>
      <c r="BD99">
        <v>4</v>
      </c>
      <c r="BE99">
        <v>21926.399999999998</v>
      </c>
      <c r="BF99">
        <v>7</v>
      </c>
      <c r="BG99">
        <v>38371.199999999997</v>
      </c>
      <c r="BH99">
        <v>6</v>
      </c>
      <c r="BI99">
        <v>32889.599999999999</v>
      </c>
      <c r="BJ99">
        <v>9</v>
      </c>
      <c r="BK99">
        <v>49334.399999999994</v>
      </c>
      <c r="BL99">
        <v>8</v>
      </c>
      <c r="BM99">
        <v>43852.799999999996</v>
      </c>
      <c r="BN99">
        <v>7</v>
      </c>
      <c r="BO99">
        <v>38371.199999999997</v>
      </c>
      <c r="BP99">
        <v>9</v>
      </c>
      <c r="BQ99">
        <v>49334.399999999994</v>
      </c>
      <c r="BR99">
        <v>7</v>
      </c>
      <c r="BS99">
        <v>38371.199999999997</v>
      </c>
      <c r="BT99">
        <v>7</v>
      </c>
      <c r="BU99">
        <v>38371.199999999997</v>
      </c>
      <c r="BV99">
        <v>6</v>
      </c>
      <c r="BW99">
        <v>32889.599999999999</v>
      </c>
      <c r="BX99">
        <v>5</v>
      </c>
      <c r="BY99">
        <v>27407.999999999996</v>
      </c>
      <c r="BZ99">
        <v>6</v>
      </c>
      <c r="CA99">
        <v>32889.599999999999</v>
      </c>
      <c r="CB99">
        <v>8</v>
      </c>
      <c r="CC99">
        <v>43852.799999999996</v>
      </c>
      <c r="CD99">
        <v>5</v>
      </c>
      <c r="CE99">
        <v>27407.999999999996</v>
      </c>
      <c r="CF99">
        <v>6</v>
      </c>
      <c r="CG99">
        <v>32889.599999999999</v>
      </c>
      <c r="CH99">
        <v>7</v>
      </c>
      <c r="CI99">
        <v>38371.199999999997</v>
      </c>
      <c r="CJ99">
        <v>8</v>
      </c>
      <c r="CK99">
        <v>43852.799999999996</v>
      </c>
      <c r="CL99">
        <v>8</v>
      </c>
      <c r="CM99">
        <v>43852.799999999996</v>
      </c>
      <c r="CN99">
        <v>7</v>
      </c>
      <c r="CO99">
        <v>38371.199999999997</v>
      </c>
      <c r="CP99">
        <v>9</v>
      </c>
      <c r="CQ99">
        <v>49334.399999999994</v>
      </c>
      <c r="CR99">
        <v>8</v>
      </c>
      <c r="CS99">
        <v>43852.799999999996</v>
      </c>
      <c r="CT99">
        <v>5</v>
      </c>
      <c r="CU99">
        <v>27407.999999999996</v>
      </c>
    </row>
    <row r="100" spans="2:99" x14ac:dyDescent="0.2">
      <c r="C100" s="105" t="s">
        <v>266</v>
      </c>
      <c r="D100">
        <v>11</v>
      </c>
      <c r="E100">
        <v>17846.399999999998</v>
      </c>
      <c r="F100">
        <v>9</v>
      </c>
      <c r="G100">
        <v>14601.599999999999</v>
      </c>
      <c r="H100">
        <v>8</v>
      </c>
      <c r="I100">
        <v>12979.199999999999</v>
      </c>
      <c r="J100">
        <v>10</v>
      </c>
      <c r="K100">
        <v>16223.999999999998</v>
      </c>
      <c r="L100">
        <v>12</v>
      </c>
      <c r="M100">
        <v>19468.8</v>
      </c>
      <c r="N100">
        <v>10</v>
      </c>
      <c r="O100">
        <v>16223.999999999998</v>
      </c>
      <c r="P100">
        <v>7</v>
      </c>
      <c r="Q100">
        <v>11356.8</v>
      </c>
      <c r="R100">
        <v>9</v>
      </c>
      <c r="S100">
        <v>14601.599999999999</v>
      </c>
      <c r="T100">
        <v>10</v>
      </c>
      <c r="U100">
        <v>16223.999999999998</v>
      </c>
      <c r="V100">
        <v>10</v>
      </c>
      <c r="W100">
        <v>16223.999999999998</v>
      </c>
      <c r="X100">
        <v>12</v>
      </c>
      <c r="Y100">
        <v>19468.8</v>
      </c>
      <c r="Z100">
        <v>8</v>
      </c>
      <c r="AA100">
        <v>12979.199999999999</v>
      </c>
      <c r="AB100">
        <v>9</v>
      </c>
      <c r="AC100">
        <v>14601.599999999999</v>
      </c>
      <c r="AD100">
        <v>10</v>
      </c>
      <c r="AE100">
        <v>16223.999999999998</v>
      </c>
      <c r="AF100">
        <v>9</v>
      </c>
      <c r="AG100">
        <v>14601.599999999999</v>
      </c>
      <c r="AH100">
        <v>7</v>
      </c>
      <c r="AI100">
        <v>11356.8</v>
      </c>
      <c r="AJ100">
        <v>6</v>
      </c>
      <c r="AK100">
        <v>9734.4</v>
      </c>
      <c r="AL100">
        <v>7</v>
      </c>
      <c r="AM100">
        <v>11356.8</v>
      </c>
      <c r="AN100">
        <v>9</v>
      </c>
      <c r="AO100">
        <v>14601.599999999999</v>
      </c>
      <c r="AP100">
        <v>10</v>
      </c>
      <c r="AQ100">
        <v>16223.999999999998</v>
      </c>
      <c r="AR100">
        <v>12</v>
      </c>
      <c r="AS100">
        <v>19468.8</v>
      </c>
      <c r="AT100">
        <v>11</v>
      </c>
      <c r="AU100">
        <v>17846.399999999998</v>
      </c>
      <c r="AV100">
        <v>7</v>
      </c>
      <c r="AW100">
        <v>11356.8</v>
      </c>
      <c r="AX100">
        <v>13</v>
      </c>
      <c r="AY100">
        <v>21091.199999999997</v>
      </c>
      <c r="AZ100">
        <v>10</v>
      </c>
      <c r="BA100">
        <v>16223.999999999998</v>
      </c>
      <c r="BB100">
        <v>7</v>
      </c>
      <c r="BC100">
        <v>11356.8</v>
      </c>
      <c r="BD100">
        <v>6</v>
      </c>
      <c r="BE100">
        <v>9734.4</v>
      </c>
      <c r="BF100">
        <v>10</v>
      </c>
      <c r="BG100">
        <v>16223.999999999998</v>
      </c>
      <c r="BH100">
        <v>8</v>
      </c>
      <c r="BI100">
        <v>12979.199999999999</v>
      </c>
      <c r="BJ100">
        <v>12</v>
      </c>
      <c r="BK100">
        <v>19468.8</v>
      </c>
      <c r="BL100">
        <v>12</v>
      </c>
      <c r="BM100">
        <v>19468.8</v>
      </c>
      <c r="BN100">
        <v>10</v>
      </c>
      <c r="BO100">
        <v>16223.999999999998</v>
      </c>
      <c r="BP100">
        <v>12</v>
      </c>
      <c r="BQ100">
        <v>19468.8</v>
      </c>
      <c r="BR100">
        <v>10</v>
      </c>
      <c r="BS100">
        <v>16223.999999999998</v>
      </c>
      <c r="BT100">
        <v>8</v>
      </c>
      <c r="BU100">
        <v>12979.199999999999</v>
      </c>
      <c r="BV100">
        <v>7</v>
      </c>
      <c r="BW100">
        <v>11356.8</v>
      </c>
      <c r="BX100">
        <v>6</v>
      </c>
      <c r="BY100">
        <v>9734.4</v>
      </c>
      <c r="BZ100">
        <v>8</v>
      </c>
      <c r="CA100">
        <v>12979.199999999999</v>
      </c>
      <c r="CB100">
        <v>12</v>
      </c>
      <c r="CC100">
        <v>19468.8</v>
      </c>
      <c r="CD100">
        <v>6</v>
      </c>
      <c r="CE100">
        <v>9734.4</v>
      </c>
      <c r="CF100">
        <v>7</v>
      </c>
      <c r="CG100">
        <v>11356.8</v>
      </c>
      <c r="CH100">
        <v>8</v>
      </c>
      <c r="CI100">
        <v>12979.199999999999</v>
      </c>
      <c r="CJ100">
        <v>9</v>
      </c>
      <c r="CK100">
        <v>14601.599999999999</v>
      </c>
      <c r="CL100">
        <v>11</v>
      </c>
      <c r="CM100">
        <v>17846.399999999998</v>
      </c>
      <c r="CN100">
        <v>8</v>
      </c>
      <c r="CO100">
        <v>12979.199999999999</v>
      </c>
      <c r="CP100">
        <v>11</v>
      </c>
      <c r="CQ100">
        <v>17846.399999999998</v>
      </c>
      <c r="CR100">
        <v>10</v>
      </c>
      <c r="CS100">
        <v>16223.999999999998</v>
      </c>
      <c r="CT100">
        <v>6</v>
      </c>
      <c r="CU100">
        <v>9734.4</v>
      </c>
    </row>
    <row r="101" spans="2:99" x14ac:dyDescent="0.2">
      <c r="C101" s="105" t="s">
        <v>267</v>
      </c>
      <c r="D101">
        <v>13</v>
      </c>
      <c r="E101">
        <v>15475.199999999999</v>
      </c>
      <c r="F101">
        <v>11</v>
      </c>
      <c r="G101">
        <v>13094.399999999998</v>
      </c>
      <c r="H101">
        <v>8</v>
      </c>
      <c r="I101">
        <v>9523.1999999999989</v>
      </c>
      <c r="J101">
        <v>10</v>
      </c>
      <c r="K101">
        <v>11903.999999999998</v>
      </c>
      <c r="L101">
        <v>11</v>
      </c>
      <c r="M101">
        <v>13094.399999999998</v>
      </c>
      <c r="N101">
        <v>10</v>
      </c>
      <c r="O101">
        <v>11903.999999999998</v>
      </c>
      <c r="P101">
        <v>9</v>
      </c>
      <c r="Q101">
        <v>10713.599999999999</v>
      </c>
      <c r="R101">
        <v>8</v>
      </c>
      <c r="S101">
        <v>9523.1999999999989</v>
      </c>
      <c r="T101">
        <v>9</v>
      </c>
      <c r="U101">
        <v>10713.599999999999</v>
      </c>
      <c r="V101">
        <v>11</v>
      </c>
      <c r="W101">
        <v>13094.399999999998</v>
      </c>
      <c r="X101">
        <v>12</v>
      </c>
      <c r="Y101">
        <v>14284.8</v>
      </c>
      <c r="Z101">
        <v>7</v>
      </c>
      <c r="AA101">
        <v>8332.7999999999993</v>
      </c>
      <c r="AB101">
        <v>11</v>
      </c>
      <c r="AC101">
        <v>13094.399999999998</v>
      </c>
      <c r="AD101">
        <v>11</v>
      </c>
      <c r="AE101">
        <v>13094.399999999998</v>
      </c>
      <c r="AF101">
        <v>9</v>
      </c>
      <c r="AG101">
        <v>10713.599999999999</v>
      </c>
      <c r="AH101">
        <v>6</v>
      </c>
      <c r="AI101">
        <v>7142.4</v>
      </c>
      <c r="AJ101">
        <v>7</v>
      </c>
      <c r="AK101">
        <v>8332.7999999999993</v>
      </c>
      <c r="AL101">
        <v>7</v>
      </c>
      <c r="AM101">
        <v>8332.7999999999993</v>
      </c>
      <c r="AN101">
        <v>9</v>
      </c>
      <c r="AO101">
        <v>10713.599999999999</v>
      </c>
      <c r="AP101">
        <v>12</v>
      </c>
      <c r="AQ101">
        <v>14284.8</v>
      </c>
      <c r="AR101">
        <v>14</v>
      </c>
      <c r="AS101">
        <v>16665.599999999999</v>
      </c>
      <c r="AT101">
        <v>11</v>
      </c>
      <c r="AU101">
        <v>13094.399999999998</v>
      </c>
      <c r="AV101">
        <v>7</v>
      </c>
      <c r="AW101">
        <v>8332.7999999999993</v>
      </c>
      <c r="AX101">
        <v>12</v>
      </c>
      <c r="AY101">
        <v>14284.8</v>
      </c>
      <c r="AZ101">
        <v>9</v>
      </c>
      <c r="BA101">
        <v>10713.599999999999</v>
      </c>
      <c r="BB101">
        <v>7</v>
      </c>
      <c r="BC101">
        <v>8332.7999999999993</v>
      </c>
      <c r="BD101">
        <v>7</v>
      </c>
      <c r="BE101">
        <v>8332.7999999999993</v>
      </c>
      <c r="BF101">
        <v>11</v>
      </c>
      <c r="BG101">
        <v>13094.399999999998</v>
      </c>
      <c r="BH101">
        <v>8</v>
      </c>
      <c r="BI101">
        <v>9523.1999999999989</v>
      </c>
      <c r="BJ101">
        <v>12</v>
      </c>
      <c r="BK101">
        <v>14284.8</v>
      </c>
      <c r="BL101">
        <v>12</v>
      </c>
      <c r="BM101">
        <v>14284.8</v>
      </c>
      <c r="BN101">
        <v>9</v>
      </c>
      <c r="BO101">
        <v>10713.599999999999</v>
      </c>
      <c r="BP101">
        <v>13</v>
      </c>
      <c r="BQ101">
        <v>15475.199999999999</v>
      </c>
      <c r="BR101">
        <v>11</v>
      </c>
      <c r="BS101">
        <v>13094.399999999998</v>
      </c>
      <c r="BT101">
        <v>8</v>
      </c>
      <c r="BU101">
        <v>9523.1999999999989</v>
      </c>
      <c r="BV101">
        <v>8</v>
      </c>
      <c r="BW101">
        <v>9523.1999999999989</v>
      </c>
      <c r="BX101">
        <v>7</v>
      </c>
      <c r="BY101">
        <v>8332.7999999999993</v>
      </c>
      <c r="BZ101">
        <v>9</v>
      </c>
      <c r="CA101">
        <v>10713.599999999999</v>
      </c>
      <c r="CB101">
        <v>12</v>
      </c>
      <c r="CC101">
        <v>14284.8</v>
      </c>
      <c r="CD101">
        <v>7</v>
      </c>
      <c r="CE101">
        <v>8332.7999999999993</v>
      </c>
      <c r="CF101">
        <v>9</v>
      </c>
      <c r="CG101">
        <v>10713.599999999999</v>
      </c>
      <c r="CH101">
        <v>9</v>
      </c>
      <c r="CI101">
        <v>10713.599999999999</v>
      </c>
      <c r="CJ101">
        <v>10</v>
      </c>
      <c r="CK101">
        <v>11903.999999999998</v>
      </c>
      <c r="CL101">
        <v>10</v>
      </c>
      <c r="CM101">
        <v>11903.999999999998</v>
      </c>
      <c r="CN101">
        <v>9</v>
      </c>
      <c r="CO101">
        <v>10713.599999999999</v>
      </c>
      <c r="CP101">
        <v>12</v>
      </c>
      <c r="CQ101">
        <v>14284.8</v>
      </c>
      <c r="CR101">
        <v>9</v>
      </c>
      <c r="CS101">
        <v>10713.599999999999</v>
      </c>
      <c r="CT101">
        <v>7</v>
      </c>
      <c r="CU101">
        <v>8332.7999999999993</v>
      </c>
    </row>
    <row r="102" spans="2:99" x14ac:dyDescent="0.2">
      <c r="C102" s="105" t="s">
        <v>268</v>
      </c>
      <c r="D102">
        <v>12</v>
      </c>
      <c r="E102">
        <v>23270.399999999998</v>
      </c>
      <c r="F102">
        <v>9</v>
      </c>
      <c r="G102">
        <v>17452.8</v>
      </c>
      <c r="H102">
        <v>8</v>
      </c>
      <c r="I102">
        <v>15513.599999999999</v>
      </c>
      <c r="J102">
        <v>9</v>
      </c>
      <c r="K102">
        <v>17452.8</v>
      </c>
      <c r="L102">
        <v>13</v>
      </c>
      <c r="M102">
        <v>25209.599999999999</v>
      </c>
      <c r="N102">
        <v>9</v>
      </c>
      <c r="O102">
        <v>17452.8</v>
      </c>
      <c r="P102">
        <v>7</v>
      </c>
      <c r="Q102">
        <v>13574.399999999998</v>
      </c>
      <c r="R102">
        <v>9</v>
      </c>
      <c r="S102">
        <v>17452.8</v>
      </c>
      <c r="T102">
        <v>9</v>
      </c>
      <c r="U102">
        <v>17452.8</v>
      </c>
      <c r="V102">
        <v>10</v>
      </c>
      <c r="W102">
        <v>19392</v>
      </c>
      <c r="X102">
        <v>11</v>
      </c>
      <c r="Y102">
        <v>21331.199999999997</v>
      </c>
      <c r="Z102">
        <v>8</v>
      </c>
      <c r="AA102">
        <v>15513.599999999999</v>
      </c>
      <c r="AB102">
        <v>9</v>
      </c>
      <c r="AC102">
        <v>17452.8</v>
      </c>
      <c r="AD102">
        <v>10</v>
      </c>
      <c r="AE102">
        <v>19392</v>
      </c>
      <c r="AF102">
        <v>9</v>
      </c>
      <c r="AG102">
        <v>17452.8</v>
      </c>
      <c r="AH102">
        <v>7</v>
      </c>
      <c r="AI102">
        <v>13574.399999999998</v>
      </c>
      <c r="AJ102">
        <v>6</v>
      </c>
      <c r="AK102">
        <v>11635.199999999999</v>
      </c>
      <c r="AL102">
        <v>8</v>
      </c>
      <c r="AM102">
        <v>15513.599999999999</v>
      </c>
      <c r="AN102">
        <v>9</v>
      </c>
      <c r="AO102">
        <v>17452.8</v>
      </c>
      <c r="AP102">
        <v>10</v>
      </c>
      <c r="AQ102">
        <v>19392</v>
      </c>
      <c r="AR102">
        <v>11</v>
      </c>
      <c r="AS102">
        <v>21331.199999999997</v>
      </c>
      <c r="AT102">
        <v>11</v>
      </c>
      <c r="AU102">
        <v>21331.199999999997</v>
      </c>
      <c r="AV102">
        <v>7</v>
      </c>
      <c r="AW102">
        <v>13574.399999999998</v>
      </c>
      <c r="AX102">
        <v>11</v>
      </c>
      <c r="AY102">
        <v>21331.199999999997</v>
      </c>
      <c r="AZ102">
        <v>9</v>
      </c>
      <c r="BA102">
        <v>17452.8</v>
      </c>
      <c r="BB102">
        <v>6</v>
      </c>
      <c r="BC102">
        <v>11635.199999999999</v>
      </c>
      <c r="BD102">
        <v>6</v>
      </c>
      <c r="BE102">
        <v>11635.199999999999</v>
      </c>
      <c r="BF102">
        <v>10</v>
      </c>
      <c r="BG102">
        <v>19392</v>
      </c>
      <c r="BH102">
        <v>7</v>
      </c>
      <c r="BI102">
        <v>13574.399999999998</v>
      </c>
      <c r="BJ102">
        <v>11</v>
      </c>
      <c r="BK102">
        <v>21331.199999999997</v>
      </c>
      <c r="BL102">
        <v>12</v>
      </c>
      <c r="BM102">
        <v>23270.399999999998</v>
      </c>
      <c r="BN102">
        <v>9</v>
      </c>
      <c r="BO102">
        <v>17452.8</v>
      </c>
      <c r="BP102">
        <v>12</v>
      </c>
      <c r="BQ102">
        <v>23270.399999999998</v>
      </c>
      <c r="BR102">
        <v>10</v>
      </c>
      <c r="BS102">
        <v>19392</v>
      </c>
      <c r="BT102">
        <v>8</v>
      </c>
      <c r="BU102">
        <v>15513.599999999999</v>
      </c>
      <c r="BV102">
        <v>8</v>
      </c>
      <c r="BW102">
        <v>15513.599999999999</v>
      </c>
      <c r="BX102">
        <v>6</v>
      </c>
      <c r="BY102">
        <v>11635.199999999999</v>
      </c>
      <c r="BZ102">
        <v>9</v>
      </c>
      <c r="CA102">
        <v>17452.8</v>
      </c>
      <c r="CB102">
        <v>13</v>
      </c>
      <c r="CC102">
        <v>25209.599999999999</v>
      </c>
      <c r="CD102">
        <v>6</v>
      </c>
      <c r="CE102">
        <v>11635.199999999999</v>
      </c>
      <c r="CF102">
        <v>8</v>
      </c>
      <c r="CG102">
        <v>15513.599999999999</v>
      </c>
      <c r="CH102">
        <v>9</v>
      </c>
      <c r="CI102">
        <v>17452.8</v>
      </c>
      <c r="CJ102">
        <v>9</v>
      </c>
      <c r="CK102">
        <v>17452.8</v>
      </c>
      <c r="CL102">
        <v>10</v>
      </c>
      <c r="CM102">
        <v>19392</v>
      </c>
      <c r="CN102">
        <v>8</v>
      </c>
      <c r="CO102">
        <v>15513.599999999999</v>
      </c>
      <c r="CP102">
        <v>11</v>
      </c>
      <c r="CQ102">
        <v>21331.199999999997</v>
      </c>
      <c r="CR102">
        <v>9</v>
      </c>
      <c r="CS102">
        <v>17452.8</v>
      </c>
      <c r="CT102">
        <v>7</v>
      </c>
      <c r="CU102">
        <v>13574.399999999998</v>
      </c>
    </row>
    <row r="103" spans="2:99" x14ac:dyDescent="0.2">
      <c r="C103" s="105" t="s">
        <v>269</v>
      </c>
      <c r="D103">
        <v>10</v>
      </c>
      <c r="E103">
        <v>20280</v>
      </c>
      <c r="F103">
        <v>10</v>
      </c>
      <c r="G103">
        <v>20280</v>
      </c>
      <c r="H103">
        <v>9</v>
      </c>
      <c r="I103">
        <v>18252</v>
      </c>
      <c r="J103">
        <v>9</v>
      </c>
      <c r="K103">
        <v>18252</v>
      </c>
      <c r="L103">
        <v>11</v>
      </c>
      <c r="M103">
        <v>22308</v>
      </c>
      <c r="N103">
        <v>8</v>
      </c>
      <c r="O103">
        <v>16224</v>
      </c>
      <c r="P103">
        <v>7</v>
      </c>
      <c r="Q103">
        <v>14196</v>
      </c>
      <c r="R103">
        <v>8</v>
      </c>
      <c r="S103">
        <v>16224</v>
      </c>
      <c r="T103">
        <v>9</v>
      </c>
      <c r="U103">
        <v>18252</v>
      </c>
      <c r="V103">
        <v>9</v>
      </c>
      <c r="W103">
        <v>18252</v>
      </c>
      <c r="X103">
        <v>12</v>
      </c>
      <c r="Y103">
        <v>24336</v>
      </c>
      <c r="Z103">
        <v>6</v>
      </c>
      <c r="AA103">
        <v>12168</v>
      </c>
      <c r="AB103">
        <v>9</v>
      </c>
      <c r="AC103">
        <v>18252</v>
      </c>
      <c r="AD103">
        <v>10</v>
      </c>
      <c r="AE103">
        <v>20280</v>
      </c>
      <c r="AF103">
        <v>8</v>
      </c>
      <c r="AG103">
        <v>16224</v>
      </c>
      <c r="AH103">
        <v>7</v>
      </c>
      <c r="AI103">
        <v>14196</v>
      </c>
      <c r="AJ103">
        <v>7</v>
      </c>
      <c r="AK103">
        <v>14196</v>
      </c>
      <c r="AL103">
        <v>7</v>
      </c>
      <c r="AM103">
        <v>14196</v>
      </c>
      <c r="AN103">
        <v>8</v>
      </c>
      <c r="AO103">
        <v>16224</v>
      </c>
      <c r="AP103">
        <v>10</v>
      </c>
      <c r="AQ103">
        <v>20280</v>
      </c>
      <c r="AR103">
        <v>12</v>
      </c>
      <c r="AS103">
        <v>24336</v>
      </c>
      <c r="AT103">
        <v>12</v>
      </c>
      <c r="AU103">
        <v>24336</v>
      </c>
      <c r="AV103">
        <v>7</v>
      </c>
      <c r="AW103">
        <v>14196</v>
      </c>
      <c r="AX103">
        <v>12</v>
      </c>
      <c r="AY103">
        <v>24336</v>
      </c>
      <c r="AZ103">
        <v>8</v>
      </c>
      <c r="BA103">
        <v>16224</v>
      </c>
      <c r="BB103">
        <v>6</v>
      </c>
      <c r="BC103">
        <v>12168</v>
      </c>
      <c r="BD103">
        <v>7</v>
      </c>
      <c r="BE103">
        <v>14196</v>
      </c>
      <c r="BF103">
        <v>10</v>
      </c>
      <c r="BG103">
        <v>20280</v>
      </c>
      <c r="BH103">
        <v>8</v>
      </c>
      <c r="BI103">
        <v>16224</v>
      </c>
      <c r="BJ103">
        <v>11</v>
      </c>
      <c r="BK103">
        <v>22308</v>
      </c>
      <c r="BL103">
        <v>12</v>
      </c>
      <c r="BM103">
        <v>24336</v>
      </c>
      <c r="BN103">
        <v>10</v>
      </c>
      <c r="BO103">
        <v>20280</v>
      </c>
      <c r="BP103">
        <v>11</v>
      </c>
      <c r="BQ103">
        <v>22308</v>
      </c>
      <c r="BR103">
        <v>10</v>
      </c>
      <c r="BS103">
        <v>20280</v>
      </c>
      <c r="BT103">
        <v>8</v>
      </c>
      <c r="BU103">
        <v>16224</v>
      </c>
      <c r="BV103">
        <v>7</v>
      </c>
      <c r="BW103">
        <v>14196</v>
      </c>
      <c r="BX103">
        <v>6</v>
      </c>
      <c r="BY103">
        <v>12168</v>
      </c>
      <c r="BZ103">
        <v>9</v>
      </c>
      <c r="CA103">
        <v>18252</v>
      </c>
      <c r="CB103">
        <v>10</v>
      </c>
      <c r="CC103">
        <v>20280</v>
      </c>
      <c r="CD103">
        <v>6</v>
      </c>
      <c r="CE103">
        <v>12168</v>
      </c>
      <c r="CF103">
        <v>7</v>
      </c>
      <c r="CG103">
        <v>14196</v>
      </c>
      <c r="CH103">
        <v>9</v>
      </c>
      <c r="CI103">
        <v>18252</v>
      </c>
      <c r="CJ103">
        <v>9</v>
      </c>
      <c r="CK103">
        <v>18252</v>
      </c>
      <c r="CL103">
        <v>10</v>
      </c>
      <c r="CM103">
        <v>20280</v>
      </c>
      <c r="CN103">
        <v>8</v>
      </c>
      <c r="CO103">
        <v>16224</v>
      </c>
      <c r="CP103">
        <v>12</v>
      </c>
      <c r="CQ103">
        <v>24336</v>
      </c>
      <c r="CR103">
        <v>9</v>
      </c>
      <c r="CS103">
        <v>18252</v>
      </c>
      <c r="CT103">
        <v>6</v>
      </c>
      <c r="CU103">
        <v>12168</v>
      </c>
    </row>
    <row r="104" spans="2:99" x14ac:dyDescent="0.2">
      <c r="C104" s="105" t="s">
        <v>270</v>
      </c>
      <c r="D104">
        <v>12</v>
      </c>
      <c r="E104">
        <v>24868.800000000003</v>
      </c>
      <c r="F104">
        <v>9</v>
      </c>
      <c r="G104">
        <v>18651.600000000002</v>
      </c>
      <c r="H104">
        <v>8</v>
      </c>
      <c r="I104">
        <v>16579.2</v>
      </c>
      <c r="J104">
        <v>9</v>
      </c>
      <c r="K104">
        <v>18651.600000000002</v>
      </c>
      <c r="L104">
        <v>12</v>
      </c>
      <c r="M104">
        <v>24868.800000000003</v>
      </c>
      <c r="N104">
        <v>8</v>
      </c>
      <c r="O104">
        <v>16579.2</v>
      </c>
      <c r="P104">
        <v>7</v>
      </c>
      <c r="Q104">
        <v>14506.800000000001</v>
      </c>
      <c r="R104">
        <v>7</v>
      </c>
      <c r="S104">
        <v>14506.800000000001</v>
      </c>
      <c r="T104">
        <v>9</v>
      </c>
      <c r="U104">
        <v>18651.600000000002</v>
      </c>
      <c r="V104">
        <v>9</v>
      </c>
      <c r="W104">
        <v>18651.600000000002</v>
      </c>
      <c r="X104">
        <v>11</v>
      </c>
      <c r="Y104">
        <v>22796.400000000001</v>
      </c>
      <c r="Z104">
        <v>7</v>
      </c>
      <c r="AA104">
        <v>14506.800000000001</v>
      </c>
      <c r="AB104">
        <v>10</v>
      </c>
      <c r="AC104">
        <v>20724</v>
      </c>
      <c r="AD104">
        <v>11</v>
      </c>
      <c r="AE104">
        <v>22796.400000000001</v>
      </c>
      <c r="AF104">
        <v>9</v>
      </c>
      <c r="AG104">
        <v>18651.600000000002</v>
      </c>
      <c r="AH104">
        <v>6</v>
      </c>
      <c r="AI104">
        <v>12434.400000000001</v>
      </c>
      <c r="AJ104">
        <v>7</v>
      </c>
      <c r="AK104">
        <v>14506.800000000001</v>
      </c>
      <c r="AL104">
        <v>7</v>
      </c>
      <c r="AM104">
        <v>14506.800000000001</v>
      </c>
      <c r="AN104">
        <v>8</v>
      </c>
      <c r="AO104">
        <v>16579.2</v>
      </c>
      <c r="AP104">
        <v>11</v>
      </c>
      <c r="AQ104">
        <v>22796.400000000001</v>
      </c>
      <c r="AR104">
        <v>13</v>
      </c>
      <c r="AS104">
        <v>26941.200000000001</v>
      </c>
      <c r="AT104">
        <v>10</v>
      </c>
      <c r="AU104">
        <v>20724</v>
      </c>
      <c r="AV104">
        <v>8</v>
      </c>
      <c r="AW104">
        <v>16579.2</v>
      </c>
      <c r="AX104">
        <v>11</v>
      </c>
      <c r="AY104">
        <v>22796.400000000001</v>
      </c>
      <c r="AZ104">
        <v>9</v>
      </c>
      <c r="BA104">
        <v>18651.600000000002</v>
      </c>
      <c r="BB104">
        <v>6</v>
      </c>
      <c r="BC104">
        <v>12434.400000000001</v>
      </c>
      <c r="BD104">
        <v>6</v>
      </c>
      <c r="BE104">
        <v>12434.400000000001</v>
      </c>
      <c r="BF104">
        <v>10</v>
      </c>
      <c r="BG104">
        <v>20724</v>
      </c>
      <c r="BH104">
        <v>8</v>
      </c>
      <c r="BI104">
        <v>16579.2</v>
      </c>
      <c r="BJ104">
        <v>11</v>
      </c>
      <c r="BK104">
        <v>22796.400000000001</v>
      </c>
      <c r="BL104">
        <v>11</v>
      </c>
      <c r="BM104">
        <v>22796.400000000001</v>
      </c>
      <c r="BN104">
        <v>9</v>
      </c>
      <c r="BO104">
        <v>18651.600000000002</v>
      </c>
      <c r="BP104">
        <v>13</v>
      </c>
      <c r="BQ104">
        <v>26941.200000000001</v>
      </c>
      <c r="BR104">
        <v>9</v>
      </c>
      <c r="BS104">
        <v>18651.600000000002</v>
      </c>
      <c r="BT104">
        <v>8</v>
      </c>
      <c r="BU104">
        <v>16579.2</v>
      </c>
      <c r="BV104">
        <v>7</v>
      </c>
      <c r="BW104">
        <v>14506.800000000001</v>
      </c>
      <c r="BX104">
        <v>6</v>
      </c>
      <c r="BY104">
        <v>12434.400000000001</v>
      </c>
      <c r="BZ104">
        <v>9</v>
      </c>
      <c r="CA104">
        <v>18651.600000000002</v>
      </c>
      <c r="CB104">
        <v>11</v>
      </c>
      <c r="CC104">
        <v>22796.400000000001</v>
      </c>
      <c r="CD104">
        <v>6</v>
      </c>
      <c r="CE104">
        <v>12434.400000000001</v>
      </c>
      <c r="CF104">
        <v>8</v>
      </c>
      <c r="CG104">
        <v>16579.2</v>
      </c>
      <c r="CH104">
        <v>8</v>
      </c>
      <c r="CI104">
        <v>16579.2</v>
      </c>
      <c r="CJ104">
        <v>10</v>
      </c>
      <c r="CK104">
        <v>20724</v>
      </c>
      <c r="CL104">
        <v>10</v>
      </c>
      <c r="CM104">
        <v>20724</v>
      </c>
      <c r="CN104">
        <v>8</v>
      </c>
      <c r="CO104">
        <v>16579.2</v>
      </c>
      <c r="CP104">
        <v>12</v>
      </c>
      <c r="CQ104">
        <v>24868.800000000003</v>
      </c>
      <c r="CR104">
        <v>9</v>
      </c>
      <c r="CS104">
        <v>18651.600000000002</v>
      </c>
      <c r="CT104">
        <v>6</v>
      </c>
      <c r="CU104">
        <v>12434.400000000001</v>
      </c>
    </row>
    <row r="105" spans="2:99" x14ac:dyDescent="0.2">
      <c r="C105" s="105" t="s">
        <v>271</v>
      </c>
      <c r="D105">
        <v>12</v>
      </c>
      <c r="E105">
        <v>23976</v>
      </c>
      <c r="F105">
        <v>10</v>
      </c>
      <c r="G105">
        <v>19980</v>
      </c>
      <c r="H105">
        <v>8</v>
      </c>
      <c r="I105">
        <v>15984</v>
      </c>
      <c r="J105">
        <v>9</v>
      </c>
      <c r="K105">
        <v>17982</v>
      </c>
      <c r="L105">
        <v>11</v>
      </c>
      <c r="M105">
        <v>21978</v>
      </c>
      <c r="N105">
        <v>8</v>
      </c>
      <c r="O105">
        <v>15984</v>
      </c>
      <c r="P105">
        <v>7</v>
      </c>
      <c r="Q105">
        <v>13986</v>
      </c>
      <c r="R105">
        <v>8</v>
      </c>
      <c r="S105">
        <v>15984</v>
      </c>
      <c r="T105">
        <v>10</v>
      </c>
      <c r="U105">
        <v>19980</v>
      </c>
      <c r="V105">
        <v>9</v>
      </c>
      <c r="W105">
        <v>17982</v>
      </c>
      <c r="X105">
        <v>11</v>
      </c>
      <c r="Y105">
        <v>21978</v>
      </c>
      <c r="Z105">
        <v>8</v>
      </c>
      <c r="AA105">
        <v>15984</v>
      </c>
      <c r="AB105">
        <v>10</v>
      </c>
      <c r="AC105">
        <v>19980</v>
      </c>
      <c r="AD105">
        <v>11</v>
      </c>
      <c r="AE105">
        <v>21978</v>
      </c>
      <c r="AF105">
        <v>9</v>
      </c>
      <c r="AG105">
        <v>17982</v>
      </c>
      <c r="AH105">
        <v>7</v>
      </c>
      <c r="AI105">
        <v>13986</v>
      </c>
      <c r="AJ105">
        <v>6</v>
      </c>
      <c r="AK105">
        <v>11988</v>
      </c>
      <c r="AL105">
        <v>7</v>
      </c>
      <c r="AM105">
        <v>13986</v>
      </c>
      <c r="AN105">
        <v>8</v>
      </c>
      <c r="AO105">
        <v>15984</v>
      </c>
      <c r="AP105">
        <v>9</v>
      </c>
      <c r="AQ105">
        <v>17982</v>
      </c>
      <c r="AR105">
        <v>13</v>
      </c>
      <c r="AS105">
        <v>25974</v>
      </c>
      <c r="AT105">
        <v>11</v>
      </c>
      <c r="AU105">
        <v>21978</v>
      </c>
      <c r="AV105">
        <v>7</v>
      </c>
      <c r="AW105">
        <v>13986</v>
      </c>
      <c r="AX105">
        <v>13</v>
      </c>
      <c r="AY105">
        <v>25974</v>
      </c>
      <c r="AZ105">
        <v>8</v>
      </c>
      <c r="BA105">
        <v>15984</v>
      </c>
      <c r="BB105">
        <v>6</v>
      </c>
      <c r="BC105">
        <v>11988</v>
      </c>
      <c r="BD105">
        <v>6</v>
      </c>
      <c r="BE105">
        <v>11988</v>
      </c>
      <c r="BF105">
        <v>11</v>
      </c>
      <c r="BG105">
        <v>21978</v>
      </c>
      <c r="BH105">
        <v>7</v>
      </c>
      <c r="BI105">
        <v>13986</v>
      </c>
      <c r="BJ105">
        <v>11</v>
      </c>
      <c r="BK105">
        <v>21978</v>
      </c>
      <c r="BL105">
        <v>12</v>
      </c>
      <c r="BM105">
        <v>23976</v>
      </c>
      <c r="BN105">
        <v>9</v>
      </c>
      <c r="BO105">
        <v>17982</v>
      </c>
      <c r="BP105">
        <v>12</v>
      </c>
      <c r="BQ105">
        <v>23976</v>
      </c>
      <c r="BR105">
        <v>9</v>
      </c>
      <c r="BS105">
        <v>17982</v>
      </c>
      <c r="BT105">
        <v>8</v>
      </c>
      <c r="BU105">
        <v>15984</v>
      </c>
      <c r="BV105">
        <v>7</v>
      </c>
      <c r="BW105">
        <v>13986</v>
      </c>
      <c r="BX105">
        <v>7</v>
      </c>
      <c r="BY105">
        <v>13986</v>
      </c>
      <c r="BZ105">
        <v>8</v>
      </c>
      <c r="CA105">
        <v>15984</v>
      </c>
      <c r="CB105">
        <v>13</v>
      </c>
      <c r="CC105">
        <v>25974</v>
      </c>
      <c r="CD105">
        <v>7</v>
      </c>
      <c r="CE105">
        <v>13986</v>
      </c>
      <c r="CF105">
        <v>7</v>
      </c>
      <c r="CG105">
        <v>13986</v>
      </c>
      <c r="CH105">
        <v>9</v>
      </c>
      <c r="CI105">
        <v>17982</v>
      </c>
      <c r="CJ105">
        <v>9</v>
      </c>
      <c r="CK105">
        <v>17982</v>
      </c>
      <c r="CL105">
        <v>11</v>
      </c>
      <c r="CM105">
        <v>21978</v>
      </c>
      <c r="CN105">
        <v>8</v>
      </c>
      <c r="CO105">
        <v>15984</v>
      </c>
      <c r="CP105">
        <v>12</v>
      </c>
      <c r="CQ105">
        <v>23976</v>
      </c>
      <c r="CR105">
        <v>10</v>
      </c>
      <c r="CS105">
        <v>19980</v>
      </c>
      <c r="CT105">
        <v>6</v>
      </c>
      <c r="CU105">
        <v>11988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549</v>
      </c>
      <c r="E109">
        <f>SUM(L$6:L$19)+SUM(N$6:N$19)+SUM(P$6:P$19)+SUM(R$6:R$19)</f>
        <v>615.42634984750111</v>
      </c>
      <c r="F109">
        <f>SUM(T$6:T$19)+SUM(V$6:V$19)+SUM(X$6:X$19)+SUM(Z$6:Z$19)</f>
        <v>532.25947911073945</v>
      </c>
      <c r="G109">
        <f>SUM(AB$6:AB$19)+SUM(AD$6:AD$19)+SUM(AF$6:AF$19)+SUM(AH$6:AH$19)</f>
        <v>639.41719834256708</v>
      </c>
      <c r="H109">
        <f>SUM(AJ$6:AJ$19)+SUM(AL$6:AL$19)+SUM(AN$6:AN$19)+SUM(AP$6:AP$19)</f>
        <v>597.02144430322414</v>
      </c>
      <c r="I109">
        <f>SUM(AR$6:AR$19)+SUM(AT$6:AT$19)+SUM(AV$6:AV$19)+SUM(AX$6:AX$19)</f>
        <v>641.92955022656713</v>
      </c>
      <c r="J109">
        <f>SUM(AZ$6:AZ$19)+SUM(BB$6:BB$19)+SUM(BD$6:BD$19)+SUM(BF$6:BF$19)</f>
        <v>636.93404096645554</v>
      </c>
      <c r="K109">
        <f>SUM(BH$6:BH$19)+SUM(BJ$6:BJ$19)+SUM(BL$6:BL$19)+SUM(BN$6:BN$19)</f>
        <v>599.21601303697685</v>
      </c>
      <c r="L109">
        <f>SUM(BP$6:BP$19)+SUM(BR$6:BR$19)+SUM(BT$6:BT$19)+SUM(BV$6:BV$19)</f>
        <v>554.57940716797964</v>
      </c>
      <c r="M109">
        <f>SUM(BX$6:BX$19)+SUM(BZ$6:BZ$19)+SUM(CB$6:CB$19)+SUM(CD$6:CD$19)</f>
        <v>595.94280156111472</v>
      </c>
      <c r="N109">
        <f>SUM(CF$6:CF$19)+SUM(CH$6:CH$19)+SUM(CJ$6:CJ$19)+SUM(CL$6:CL$19)</f>
        <v>598.95494250519357</v>
      </c>
      <c r="O109">
        <f>SUM(CN$6:CN$19)+SUM(CP$6:CP$19)+SUM(CR$6:CR$19)+SUM(CT$6:CT$19)</f>
        <v>692.73681830774001</v>
      </c>
    </row>
    <row r="110" spans="2:99" x14ac:dyDescent="0.2">
      <c r="C110" s="105" t="s">
        <v>127</v>
      </c>
      <c r="D110">
        <f>SUM(D$20:D$36)+SUM(F$20:F$36)+SUM(H$20:H$36)+SUM(J$20:J$36)</f>
        <v>406</v>
      </c>
      <c r="E110">
        <f>SUM(L$20:L$36)+SUM(N$20:N$36)+SUM(P$20:P$36)+SUM(R$20:R$36)</f>
        <v>597.56261195802404</v>
      </c>
      <c r="F110">
        <f>SUM(T$20:T$36)+SUM(V$20:V$36)+SUM(X$20:X$36)+SUM(Z$20:Z$36)</f>
        <v>530.77160486094738</v>
      </c>
      <c r="G110">
        <f>SUM(AB$20:AB$36)+SUM(AD$20:AD$36)+SUM(AF$20:AF$36)+SUM(AH$20:AH$36)</f>
        <v>535.16264169973203</v>
      </c>
      <c r="H110">
        <f>SUM(AJ$20:AJ$36)+SUM(AL$20:AL$36)+SUM(AN$20:AN$36)+SUM(AP$20:AP$36)</f>
        <v>500.40171169008158</v>
      </c>
      <c r="I110">
        <f>SUM(AR$20:AR$36)+SUM(AT$20:AT$36)+SUM(AV$20:AV$36)+SUM(AX$20:AX$36)</f>
        <v>469.85134679824415</v>
      </c>
      <c r="J110">
        <f>SUM(AZ$20:AZ$36)+SUM(BB$20:BB$36)+SUM(BD$20:BD$36)+SUM(BF$20:BF$36)</f>
        <v>525.59798727810244</v>
      </c>
      <c r="K110">
        <f>SUM(BH$20:BH$36)+SUM(BJ$20:BJ$36)+SUM(BL$20:BL$36)+SUM(BN$20:BN$36)</f>
        <v>472.36344177210742</v>
      </c>
      <c r="L110">
        <f>SUM(BP$20:BP$36)+SUM(BR$20:BR$36)+SUM(BT$20:BT$36)+SUM(BV$20:BV$36)</f>
        <v>590.82378004265786</v>
      </c>
      <c r="M110">
        <f>SUM(BX$20:BX$36)+SUM(BZ$20:BZ$36)+SUM(CB$20:CB$36)+SUM(CD$20:CD$36)</f>
        <v>557.63614697792661</v>
      </c>
      <c r="N110">
        <f>SUM(CF$20:CF$36)+SUM(CH$20:CH$36)+SUM(CJ$20:CJ$36)+SUM(CL$20:CL$36)</f>
        <v>535.02414359896409</v>
      </c>
      <c r="O110">
        <f>SUM(CN$20:CN$36)+SUM(CP$20:CP$36)+SUM(CR$20:CR$36)+SUM(CT$20:CT$36)</f>
        <v>539.36536768117116</v>
      </c>
    </row>
    <row r="111" spans="2:99" x14ac:dyDescent="0.2">
      <c r="C111" s="105" t="s">
        <v>128</v>
      </c>
      <c r="D111">
        <f>SUM(D$37:D$48)+SUM(F$37:F$48)+SUM(H$37:H$48)+SUM(J$37:J$48)</f>
        <v>626</v>
      </c>
      <c r="E111">
        <f>SUM(L$37:L$48)+SUM(N$37:N$48)+SUM(P$37:P$48)+SUM(R$37:R$48)</f>
        <v>774.40461527101445</v>
      </c>
      <c r="F111">
        <f>SUM(T$37:T$48)+SUM(V$37:V$48)+SUM(X$37:X$48)+SUM(Z$37:Z$48)</f>
        <v>610.35084795780983</v>
      </c>
      <c r="G111">
        <f>SUM(AB$37:AB$48)+SUM(AD$37:AD$48)+SUM(AF$37:AF$48)+SUM(AH$37:AH$48)</f>
        <v>635.10352916937541</v>
      </c>
      <c r="H111">
        <f>SUM(AJ$37:AJ$48)+SUM(AL$37:AL$48)+SUM(AN$37:AN$48)+SUM(AP$37:AP$48)</f>
        <v>635.82092618152114</v>
      </c>
      <c r="I111">
        <f>SUM(AR$37:AR$48)+SUM(AT$37:AT$48)+SUM(AV$37:AV$48)+SUM(AX$37:AX$48)</f>
        <v>652.75997979779891</v>
      </c>
      <c r="J111">
        <f>SUM(AZ$37:AZ$48)+SUM(BB$37:BB$48)+SUM(BD$37:BD$48)+SUM(BF$37:BF$48)</f>
        <v>644.06603822888724</v>
      </c>
      <c r="K111">
        <f>SUM(BH$37:BH$48)+SUM(BJ$37:BJ$48)+SUM(BL$37:BL$48)+SUM(BN$37:BN$48)</f>
        <v>653.02464319024193</v>
      </c>
      <c r="L111">
        <f>SUM(BP$37:BP$48)+SUM(BR$37:BR$48)+SUM(BT$37:BT$48)+SUM(BV$37:BV$48)</f>
        <v>670.32159125529154</v>
      </c>
      <c r="M111">
        <f>SUM(BX$37:BX$48)+SUM(BZ$37:BZ$48)+SUM(CB$37:CB$48)+SUM(CD$37:CD$48)</f>
        <v>608.07543808645119</v>
      </c>
      <c r="N111">
        <f>SUM(CF$37:CF$48)+SUM(CH$37:CH$48)+SUM(CJ$37:CJ$48)+SUM(CL$37:CL$48)</f>
        <v>590.98569076407284</v>
      </c>
      <c r="O111">
        <f>SUM(CN$37:CN$48)+SUM(CP$37:CP$48)+SUM(CR$37:CR$48)+SUM(CT$37:CT$48)</f>
        <v>556.87809553786803</v>
      </c>
    </row>
    <row r="112" spans="2:99" x14ac:dyDescent="0.2">
      <c r="C112" s="105" t="s">
        <v>129</v>
      </c>
      <c r="D112">
        <f>SUM(D$49:D$70)+SUM(F$49:F$70)+SUM(H$49:H$70)+SUM(J$49:J$70)</f>
        <v>573</v>
      </c>
      <c r="E112">
        <f>SUM(L$49:L$70)+SUM(N$49:N$70)+SUM(P$49:P$70)+SUM(R$49:R$70)</f>
        <v>639.73320758201714</v>
      </c>
      <c r="F112">
        <f>SUM(T$49:T$70)+SUM(V$49:V$70)+SUM(X$49:X$70)+SUM(Z$49:Z$70)</f>
        <v>556.31315387065058</v>
      </c>
      <c r="G112">
        <f>SUM(AB$49:AB$70)+SUM(AD$49:AD$70)+SUM(AF$49:AF$70)+SUM(AH$49:AH$70)</f>
        <v>579.38393658679433</v>
      </c>
      <c r="H112">
        <f>SUM(AJ$49:AJ$70)+SUM(AL$49:AL$70)+SUM(AN$49:AN$70)+SUM(AP$49:AP$70)</f>
        <v>598.13427592212076</v>
      </c>
      <c r="I112">
        <f>SUM(AR$49:AR$70)+SUM(AT$49:AT$70)+SUM(AV$49:AV$70)+SUM(AX$49:AX$70)</f>
        <v>589.58758415121133</v>
      </c>
      <c r="J112">
        <f>SUM(AZ$49:AZ$70)+SUM(BB$49:BB$70)+SUM(BD$49:BD$70)+SUM(BF$49:BF$70)</f>
        <v>512.15522861938757</v>
      </c>
      <c r="K112">
        <f>SUM(BH$49:BH$70)+SUM(BJ$49:BJ$70)+SUM(BL$49:BL$70)+SUM(BN$49:BN$70)</f>
        <v>546.1797857359096</v>
      </c>
      <c r="L112">
        <f>SUM(BP$49:BP$70)+SUM(BR$49:BR$70)+SUM(BT$49:BT$70)+SUM(BV$49:BV$70)</f>
        <v>535.59216365530733</v>
      </c>
      <c r="M112">
        <f>SUM(BX$49:BX$70)+SUM(BZ$49:BZ$70)+SUM(CB$49:CB$70)+SUM(CD$49:CD$70)</f>
        <v>566.23536926048723</v>
      </c>
      <c r="N112">
        <f>SUM(CF$49:CF$70)+SUM(CH$49:CH$70)+SUM(CJ$49:CJ$70)+SUM(CL$49:CL$70)</f>
        <v>580.17771538640534</v>
      </c>
      <c r="O112">
        <f>SUM(CN$49:CN$70)+SUM(CP$49:CP$70)+SUM(CR$49:CR$70)+SUM(CT$49:CT$70)</f>
        <v>529.60539749822635</v>
      </c>
    </row>
    <row r="113" spans="2:15" x14ac:dyDescent="0.2">
      <c r="C113" s="105" t="s">
        <v>130</v>
      </c>
      <c r="D113">
        <f>SUM(D$71:D$86)+SUM(F$71:F$86)+SUM(H$71:H$86)+SUM(J$71:J$86)</f>
        <v>574</v>
      </c>
      <c r="E113">
        <f>SUM(L$71:L$86)+SUM(N$71:N$86)+SUM(P$71:P$86)+SUM(R$71:R$86)</f>
        <v>704</v>
      </c>
      <c r="F113">
        <f>SUM(T$71:T$86)+SUM(V$71:V$86)+SUM(X$71:X$86)+SUM(Z$71:Z$86)</f>
        <v>454</v>
      </c>
      <c r="G113">
        <f>SUM(AB$71:AB$86)+SUM(AD$71:AD$86)+SUM(AF$71:AF$86)+SUM(AH$71:AH$86)</f>
        <v>651</v>
      </c>
      <c r="H113">
        <f>SUM(AJ$71:AJ$86)+SUM(AL$71:AL$86)+SUM(AN$71:AN$86)+SUM(AP$71:AP$86)</f>
        <v>649</v>
      </c>
      <c r="I113">
        <f>SUM(AR$71:AR$86)+SUM(AT$71:AT$86)+SUM(AV$71:AV$86)+SUM(AX$71:AX$86)</f>
        <v>800</v>
      </c>
      <c r="J113">
        <f>SUM(AZ$71:AZ$86)+SUM(BB$71:BB$86)+SUM(BD$71:BD$86)+SUM(BF$71:BF$86)</f>
        <v>554</v>
      </c>
      <c r="K113">
        <f>SUM(BH$71:BH$86)+SUM(BJ$71:BJ$86)+SUM(BL$71:BL$86)+SUM(BN$71:BN$86)</f>
        <v>703</v>
      </c>
      <c r="L113">
        <f>SUM(BP$71:BP$86)+SUM(BR$71:BR$86)+SUM(BT$71:BT$86)+SUM(BV$71:BV$86)</f>
        <v>646</v>
      </c>
      <c r="M113">
        <f>SUM(BX$71:BX$86)+SUM(BZ$71:BZ$86)+SUM(CB$71:CB$86)+SUM(CD$71:CD$86)</f>
        <v>585</v>
      </c>
      <c r="N113">
        <f>SUM(CF$71:CF$86)+SUM(CH$71:CH$86)+SUM(CJ$71:CJ$86)+SUM(CL$71:CL$86)</f>
        <v>587</v>
      </c>
      <c r="O113">
        <f>SUM(CN$71:CN$86)+SUM(CP$71:CP$86)+SUM(CR$71:CR$86)+SUM(CT$71:CT$86)</f>
        <v>758</v>
      </c>
    </row>
    <row r="114" spans="2:15" x14ac:dyDescent="0.2">
      <c r="C114" s="105" t="s">
        <v>131</v>
      </c>
      <c r="D114">
        <f>SUM(D$87:D$94)+SUM(F$87:F$94)+SUM(H$87:H$94)+SUM(J$87:J$94)</f>
        <v>238</v>
      </c>
      <c r="E114">
        <f>SUM(L$87:L$94)+SUM(N$87:N$94)+SUM(P$87:P$94)+SUM(R$87:R$94)</f>
        <v>243</v>
      </c>
      <c r="F114">
        <f>SUM(T$87:T$94)+SUM(V$87:V$94)+SUM(X$87:X$94)+SUM(Z$87:Z$94)</f>
        <v>264</v>
      </c>
      <c r="G114">
        <f>SUM(AB$87:AB$94)+SUM(AD$87:AD$94)+SUM(AF$87:AF$94)+SUM(AH$87:AH$94)</f>
        <v>202</v>
      </c>
      <c r="H114">
        <f>SUM(AJ$87:AJ$94)+SUM(AL$87:AL$94)+SUM(AN$87:AN$94)+SUM(AP$87:AP$94)</f>
        <v>282</v>
      </c>
      <c r="I114">
        <f>SUM(AR$87:AR$94)+SUM(AT$87:AT$94)+SUM(AV$87:AV$94)+SUM(AX$87:AX$94)</f>
        <v>279</v>
      </c>
      <c r="J114">
        <f>SUM(AZ$87:AZ$94)+SUM(BB$87:BB$94)+SUM(BD$87:BD$94)+SUM(BF$87:BF$94)</f>
        <v>221</v>
      </c>
      <c r="K114">
        <f>SUM(BH$87:BH$94)+SUM(BJ$87:BJ$94)+SUM(BL$87:BL$94)+SUM(BN$87:BN$94)</f>
        <v>261</v>
      </c>
      <c r="L114">
        <f>SUM(BP$87:BP$94)+SUM(BR$87:BR$94)+SUM(BT$87:BT$94)+SUM(BV$87:BV$94)</f>
        <v>295</v>
      </c>
      <c r="M114">
        <f>SUM(BX$87:BX$94)+SUM(BZ$87:BZ$94)+SUM(CB$87:CB$94)+SUM(CD$87:CD$94)</f>
        <v>302</v>
      </c>
      <c r="N114">
        <f>SUM(CF$87:CF$94)+SUM(CH$87:CH$94)+SUM(CJ$87:CJ$94)+SUM(CL$87:CL$94)</f>
        <v>230</v>
      </c>
      <c r="O114">
        <f>SUM(CN$87:CN$94)+SUM(CP$87:CP$94)+SUM(CR$87:CR$94)+SUM(CT$87:CT$94)</f>
        <v>293</v>
      </c>
    </row>
    <row r="115" spans="2:15" x14ac:dyDescent="0.2">
      <c r="C115" s="105" t="s">
        <v>132</v>
      </c>
      <c r="D115">
        <f>SUM(D$95:D$105)+SUM(F$95:F$105)+SUM(H$95:H$105)+SUM(J$95:J$105)</f>
        <v>421</v>
      </c>
      <c r="E115">
        <f>SUM(L$95:L$105)+SUM(N$95:N$105)+SUM(P$95:P$105)+SUM(R$95:R$105)</f>
        <v>394</v>
      </c>
      <c r="F115">
        <f>SUM(T$95:T$105)+SUM(V$95:V$105)+SUM(X$95:X$105)+SUM(Z$95:Z$105)</f>
        <v>409</v>
      </c>
      <c r="G115">
        <f>SUM(AB$95:AB$105)+SUM(AD$95:AD$105)+SUM(AF$95:AF$105)+SUM(AH$95:AH$105)</f>
        <v>383</v>
      </c>
      <c r="H115">
        <f>SUM(AJ$95:AJ$105)+SUM(AL$95:AL$105)+SUM(AN$95:AN$105)+SUM(AP$95:AP$105)</f>
        <v>356</v>
      </c>
      <c r="I115">
        <f>SUM(AR$95:AR$105)+SUM(AT$95:AT$105)+SUM(AV$95:AV$105)+SUM(AX$95:AX$105)</f>
        <v>459</v>
      </c>
      <c r="J115">
        <f>SUM(AZ$95:AZ$105)+SUM(BB$95:BB$105)+SUM(BD$95:BD$105)+SUM(BF$95:BF$105)</f>
        <v>344</v>
      </c>
      <c r="K115">
        <f>SUM(BH$95:BH$105)+SUM(BJ$95:BJ$105)+SUM(BL$95:BL$105)+SUM(BN$95:BN$105)</f>
        <v>442</v>
      </c>
      <c r="L115">
        <f>SUM(BP$95:BP$105)+SUM(BR$95:BR$105)+SUM(BT$95:BT$105)+SUM(BV$95:BV$105)</f>
        <v>411</v>
      </c>
      <c r="M115">
        <f>SUM(BX$95:BX$105)+SUM(BZ$95:BZ$105)+SUM(CB$95:CB$105)+SUM(CD$95:CD$105)</f>
        <v>360</v>
      </c>
      <c r="N115">
        <f>SUM(CF$95:CF$105)+SUM(CH$95:CH$105)+SUM(CJ$95:CJ$105)+SUM(CL$95:CL$105)</f>
        <v>395</v>
      </c>
      <c r="O115">
        <f>SUM(CN$95:CN$105)+SUM(CP$95:CP$105)+SUM(CR$95:CR$105)+SUM(CT$95:CT$105)</f>
        <v>391</v>
      </c>
    </row>
    <row r="116" spans="2:15" x14ac:dyDescent="0.2">
      <c r="C116" s="105" t="s">
        <v>278</v>
      </c>
      <c r="D116">
        <f t="shared" ref="D116:O116" si="0">SUM(D$109:D$115)</f>
        <v>3387</v>
      </c>
      <c r="E116">
        <f t="shared" si="0"/>
        <v>3968.126784658557</v>
      </c>
      <c r="F116">
        <f t="shared" si="0"/>
        <v>3356.6950858001474</v>
      </c>
      <c r="G116">
        <f t="shared" si="0"/>
        <v>3625.0673057984686</v>
      </c>
      <c r="H116">
        <f t="shared" si="0"/>
        <v>3618.3783580969475</v>
      </c>
      <c r="I116">
        <f t="shared" si="0"/>
        <v>3892.1284609738213</v>
      </c>
      <c r="J116">
        <f t="shared" si="0"/>
        <v>3437.7532950928326</v>
      </c>
      <c r="K116">
        <f t="shared" si="0"/>
        <v>3676.783883735236</v>
      </c>
      <c r="L116">
        <f t="shared" si="0"/>
        <v>3703.316942121236</v>
      </c>
      <c r="M116">
        <f t="shared" si="0"/>
        <v>3574.8897558859799</v>
      </c>
      <c r="N116">
        <f t="shared" si="0"/>
        <v>3517.1424922546357</v>
      </c>
      <c r="O116">
        <f t="shared" si="0"/>
        <v>3760.5856790250054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D109*pricing!D33*2000</f>
        <v>2663614.0116482144</v>
      </c>
      <c r="E120">
        <f>E109*pricing!E33*2000</f>
        <v>2985898.4491645168</v>
      </c>
      <c r="F120">
        <f>F109*pricing!F33*2000</f>
        <v>2582393.0899671139</v>
      </c>
      <c r="G120">
        <f>G109*pricing!G33*2000</f>
        <v>3102296.190881798</v>
      </c>
      <c r="H120">
        <f>H109*pricing!H33*2000</f>
        <v>2896602.339345213</v>
      </c>
      <c r="I120">
        <f>I109*pricing!I33*2000</f>
        <v>3114485.5090610571</v>
      </c>
      <c r="J120">
        <f>J109*pricing!J33*2000</f>
        <v>3090248.5173296332</v>
      </c>
      <c r="K120">
        <f>K109*pricing!K33*2000</f>
        <v>2907249.8512372873</v>
      </c>
      <c r="L120">
        <f>L109*pricing!L33*2000</f>
        <v>2690683.9335231162</v>
      </c>
      <c r="M120">
        <f>M109*pricing!M33*2000</f>
        <v>2891369.0280128899</v>
      </c>
      <c r="N120">
        <f>N109*pricing!N33*2000</f>
        <v>2905983.2007336691</v>
      </c>
      <c r="O120">
        <f>O109*pricing!O33*2000</f>
        <v>3360989.9738234961</v>
      </c>
    </row>
    <row r="121" spans="2:15" x14ac:dyDescent="0.2">
      <c r="C121" s="105" t="s">
        <v>127</v>
      </c>
      <c r="D121">
        <f>D110*pricing!D34*2000</f>
        <v>2146970.9142</v>
      </c>
      <c r="E121">
        <f>E110*pricing!E34*2000</f>
        <v>3159974.2544021155</v>
      </c>
      <c r="F121">
        <f>F110*pricing!F34*2000</f>
        <v>2806776.3490633243</v>
      </c>
      <c r="G121">
        <f>G110*pricing!G34*2000</f>
        <v>2829996.6159994109</v>
      </c>
      <c r="H121">
        <f>H110*pricing!H34*2000</f>
        <v>2646177.1438780776</v>
      </c>
      <c r="I121">
        <f>I110*pricing!I34*2000</f>
        <v>2484623.5851564719</v>
      </c>
      <c r="J121">
        <f>J110*pricing!J34*2000</f>
        <v>2779417.7124338616</v>
      </c>
      <c r="K121">
        <f>K110*pricing!K34*2000</f>
        <v>2497907.8089066995</v>
      </c>
      <c r="L121">
        <f>L110*pricing!L34*2000</f>
        <v>3124338.5989391259</v>
      </c>
      <c r="M121">
        <f>M110*pricing!M34*2000</f>
        <v>2948838.8873600122</v>
      </c>
      <c r="N121">
        <f>N110*pricing!N34*2000</f>
        <v>2829264.2234033011</v>
      </c>
      <c r="O121">
        <f>O110*pricing!O34*2000</f>
        <v>2852221.0752173974</v>
      </c>
    </row>
    <row r="122" spans="2:15" x14ac:dyDescent="0.2">
      <c r="C122" s="105" t="s">
        <v>128</v>
      </c>
      <c r="D122">
        <f>D111*pricing!D35*2000</f>
        <v>3114475.9707625001</v>
      </c>
      <c r="E122">
        <f>E111*pricing!E35*2000</f>
        <v>3852818.7953820336</v>
      </c>
      <c r="F122">
        <f>F111*pricing!F35*2000</f>
        <v>3036618.2902541766</v>
      </c>
      <c r="G122">
        <f>G111*pricing!G35*2000</f>
        <v>3159767.8602946969</v>
      </c>
      <c r="H122">
        <f>H111*pricing!H35*2000</f>
        <v>3163337.0547928195</v>
      </c>
      <c r="I122">
        <f>I111*pricing!I35*2000</f>
        <v>3247612.2552007339</v>
      </c>
      <c r="J122">
        <f>J111*pricing!J35*2000</f>
        <v>3204358.1464026691</v>
      </c>
      <c r="K122">
        <f>K111*pricing!K35*2000</f>
        <v>3248929.0088366834</v>
      </c>
      <c r="L122">
        <f>L111*pricing!L35*2000</f>
        <v>3334984.8061467856</v>
      </c>
      <c r="M122">
        <f>M111*pricing!M35*2000</f>
        <v>3025297.6682605948</v>
      </c>
      <c r="N122">
        <f>N111*pricing!N35*2000</f>
        <v>2940272.736340547</v>
      </c>
      <c r="O122">
        <f>O111*pricing!O35*2000</f>
        <v>2770580.5865761563</v>
      </c>
    </row>
    <row r="123" spans="2:15" x14ac:dyDescent="0.2">
      <c r="C123" s="105" t="s">
        <v>129</v>
      </c>
      <c r="D123">
        <f>D112*pricing!D36*2000</f>
        <v>3335859.6317079542</v>
      </c>
      <c r="E123">
        <f>E112*pricing!E36*2000</f>
        <v>3724363.3197834133</v>
      </c>
      <c r="F123">
        <f>F112*pricing!F36*2000</f>
        <v>3238713.0760649894</v>
      </c>
      <c r="G123">
        <f>G112*pricing!G36*2000</f>
        <v>3373025.2797904508</v>
      </c>
      <c r="H123">
        <f>H112*pricing!H36*2000</f>
        <v>3482184.9657756882</v>
      </c>
      <c r="I123">
        <f>I112*pricing!I36*2000</f>
        <v>3432428.3094698815</v>
      </c>
      <c r="J123">
        <f>J112*pricing!J36*2000</f>
        <v>2981636.9150428856</v>
      </c>
      <c r="K123">
        <f>K112*pricing!K36*2000</f>
        <v>3179719.1952728108</v>
      </c>
      <c r="L123">
        <f>L112*pricing!L36*2000</f>
        <v>3118080.7640433856</v>
      </c>
      <c r="M123">
        <f>M112*pricing!M36*2000</f>
        <v>3296477.6795136235</v>
      </c>
      <c r="N123">
        <f>N112*pricing!N36*2000</f>
        <v>3377646.4571973062</v>
      </c>
      <c r="O123">
        <f>O112*pricing!O36*2000</f>
        <v>3083227.3407486528</v>
      </c>
    </row>
    <row r="124" spans="2:15" x14ac:dyDescent="0.2">
      <c r="C124" s="105" t="s">
        <v>130</v>
      </c>
      <c r="D124">
        <f>D113*pricing!D37*2000</f>
        <v>2737533.5607375</v>
      </c>
      <c r="E124">
        <f>E113*pricing!E37*2000</f>
        <v>3357532.4507999998</v>
      </c>
      <c r="F124">
        <f>F113*pricing!F37*2000</f>
        <v>2165226.8929874999</v>
      </c>
      <c r="G124">
        <f>G113*pricing!G37*2000</f>
        <v>3104763.6725437497</v>
      </c>
      <c r="H124">
        <f>H113*pricing!H37*2000</f>
        <v>3095225.2280812501</v>
      </c>
      <c r="I124">
        <f>I113*pricing!I37*2000</f>
        <v>3815377.7849999997</v>
      </c>
      <c r="J124">
        <f>J113*pricing!J37*2000</f>
        <v>2642149.1161125</v>
      </c>
      <c r="K124">
        <f>K113*pricing!K37*2000</f>
        <v>3352763.2285687495</v>
      </c>
      <c r="L124">
        <f>L113*pricing!L37*2000</f>
        <v>3080917.5613874998</v>
      </c>
      <c r="M124">
        <f>M113*pricing!M37*2000</f>
        <v>2789995.0052812495</v>
      </c>
      <c r="N124">
        <f>N113*pricing!N37*2000</f>
        <v>2799533.4497437496</v>
      </c>
      <c r="O124">
        <f>O113*pricing!O37*2000</f>
        <v>3615070.4512875001</v>
      </c>
    </row>
    <row r="125" spans="2:15" x14ac:dyDescent="0.2">
      <c r="C125" s="105" t="s">
        <v>131</v>
      </c>
      <c r="D125">
        <f>D114*pricing!D38*2000</f>
        <v>1249293.6160687499</v>
      </c>
      <c r="E125">
        <f>E114*pricing!E38*2000</f>
        <v>1275539.280271875</v>
      </c>
      <c r="F125">
        <f>F114*pricing!F38*2000</f>
        <v>1385771.0699250002</v>
      </c>
      <c r="G125">
        <f>G114*pricing!G38*2000</f>
        <v>1060324.83380625</v>
      </c>
      <c r="H125">
        <f>H114*pricing!H38*2000</f>
        <v>1480255.4610562499</v>
      </c>
      <c r="I125">
        <f>I114*pricing!I38*2000</f>
        <v>1464508.0625343751</v>
      </c>
      <c r="J125">
        <f>J114*pricing!J38*2000</f>
        <v>1160058.3577781252</v>
      </c>
      <c r="K125">
        <f>K114*pricing!K38*2000</f>
        <v>1370023.6714031249</v>
      </c>
      <c r="L125">
        <f>L114*pricing!L38*2000</f>
        <v>1548494.1879843751</v>
      </c>
      <c r="M125">
        <f>M114*pricing!M38*2000</f>
        <v>1585238.1178687501</v>
      </c>
      <c r="N125">
        <f>N114*pricing!N38*2000</f>
        <v>1207300.5533437501</v>
      </c>
      <c r="O125">
        <f>O114*pricing!O38*2000</f>
        <v>1537995.922303125</v>
      </c>
    </row>
    <row r="126" spans="2:15" x14ac:dyDescent="0.2">
      <c r="C126" s="105" t="s">
        <v>132</v>
      </c>
      <c r="D126">
        <f>D115*pricing!D39*2000</f>
        <v>2257722.6263673981</v>
      </c>
      <c r="E126">
        <f>E115*pricing!E39*2000</f>
        <v>2112928.0636312463</v>
      </c>
      <c r="F126">
        <f>F115*pricing!F39*2000</f>
        <v>2193369.4873735528</v>
      </c>
      <c r="G126">
        <f>G115*pricing!G39*2000</f>
        <v>2053937.6862202217</v>
      </c>
      <c r="H126">
        <f>H115*pricing!H39*2000</f>
        <v>1909143.1234840702</v>
      </c>
      <c r="I126">
        <f>I115*pricing!I39*2000</f>
        <v>2461507.5665145735</v>
      </c>
      <c r="J126">
        <f>J115*pricing!J39*2000</f>
        <v>1844789.9844902251</v>
      </c>
      <c r="K126">
        <f>K115*pricing!K39*2000</f>
        <v>2370340.6196066267</v>
      </c>
      <c r="L126">
        <f>L115*pricing!L39*2000</f>
        <v>2204095.0105391936</v>
      </c>
      <c r="M126">
        <f>M115*pricing!M39*2000</f>
        <v>1930594.169815352</v>
      </c>
      <c r="N126">
        <f>N115*pricing!N39*2000</f>
        <v>2118290.825214067</v>
      </c>
      <c r="O126">
        <f>O115*pricing!O39*2000</f>
        <v>2096839.7788827852</v>
      </c>
    </row>
    <row r="127" spans="2:15" x14ac:dyDescent="0.2">
      <c r="C127" s="105" t="s">
        <v>278</v>
      </c>
      <c r="D127">
        <f>SUM(D$120:D$126)</f>
        <v>17505470.33149232</v>
      </c>
      <c r="E127">
        <f t="shared" ref="E127:O127" si="1">SUM(E$120:E$126)</f>
        <v>20469054.613435201</v>
      </c>
      <c r="F127">
        <f t="shared" si="1"/>
        <v>17408868.255635656</v>
      </c>
      <c r="G127">
        <f t="shared" si="1"/>
        <v>18684112.139536578</v>
      </c>
      <c r="H127">
        <f t="shared" si="1"/>
        <v>18672925.316413369</v>
      </c>
      <c r="I127">
        <f t="shared" si="1"/>
        <v>20020543.072937094</v>
      </c>
      <c r="J127">
        <f t="shared" si="1"/>
        <v>17702658.749589898</v>
      </c>
      <c r="K127">
        <f t="shared" si="1"/>
        <v>18926933.383831982</v>
      </c>
      <c r="L127">
        <f t="shared" si="1"/>
        <v>19101594.86256348</v>
      </c>
      <c r="M127">
        <f t="shared" si="1"/>
        <v>18467810.556112472</v>
      </c>
      <c r="N127">
        <f t="shared" si="1"/>
        <v>18178291.445976391</v>
      </c>
      <c r="O127">
        <f t="shared" si="1"/>
        <v>19316925.128839113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275692.79999999993</v>
      </c>
      <c r="E131" s="110">
        <f>SUM(M$6:M$19)+SUM(O$6:O$19)+SUM(Q$6:Q$19)+SUM(S$6:S$19)</f>
        <v>310198.38317776396</v>
      </c>
      <c r="F131" s="110">
        <f>SUM(U$6:U$19)+SUM(W$6:W$19)+SUM(Y$6:Y$19)+SUM(AA$6:AA$19)</f>
        <v>268988.3825669639</v>
      </c>
      <c r="G131" s="110">
        <f>SUM(AC$6:AC$19)+SUM(AE$6:AE$19)+SUM(AG$6:AG$19)+SUM(AI$6:AI$19)</f>
        <v>321376.99579432898</v>
      </c>
      <c r="H131" s="110">
        <f>SUM(AK$6:AK$19)+SUM(AM$6:AM$19)+SUM(AO$6:AO$19)+SUM(AQ$6:AQ$19)</f>
        <v>301273.2549861825</v>
      </c>
      <c r="I131" s="110">
        <f>SUM(AS$6:AS$19)+SUM(AU$6:AU$19)+SUM(AW$6:AW$19)+SUM(AY$6:AY$19)</f>
        <v>324379.53514445445</v>
      </c>
      <c r="J131" s="110">
        <f>SUM(BA$6:BA$19)+SUM(BC$6:BC$19)+SUM(BE$6:BE$19)+SUM(BG$6:BG$19)</f>
        <v>321156.02425779763</v>
      </c>
      <c r="K131" s="110">
        <f>SUM(BI$6:BI$19)+SUM(BK$6:BK$19)+SUM(BM$6:BM$19)+SUM(BO$6:BO$19)</f>
        <v>299100.68713426928</v>
      </c>
      <c r="L131" s="110">
        <f>SUM(BQ$6:BQ$19)+SUM(BS$6:BS$19)+SUM(BU$6:BU$19)+SUM(BW$6:BW$19)</f>
        <v>279173.45136658812</v>
      </c>
      <c r="M131" s="110">
        <f>SUM(BY$6:BY$19)+SUM(CA$6:CA$19)+SUM(CC$6:CC$19)+SUM(CE$6:CE$19)</f>
        <v>301088.53685442859</v>
      </c>
      <c r="N131" s="110">
        <f>SUM(CG$6:CG$19)+SUM(CI$6:CI$19)+SUM(CK$6:CK$19)+SUM(CM$6:CM$19)</f>
        <v>301812.3600533373</v>
      </c>
      <c r="O131" s="110">
        <f>SUM(CO$6:CO$19)+SUM(CQ$6:CQ$19)+SUM(CS$6:CS$19)+SUM(CU$6:CU$19)</f>
        <v>347826.5255597033</v>
      </c>
    </row>
    <row r="132" spans="2:15" x14ac:dyDescent="0.2">
      <c r="C132" s="109" t="s">
        <v>127</v>
      </c>
      <c r="D132" s="110">
        <f>SUM(E$20:E$36)+SUM(G$20:G$36)+SUM(I$20:I$36)+SUM(K$20:K$36)</f>
        <v>173746.80000000002</v>
      </c>
      <c r="E132" s="110">
        <f>SUM(M$20:M$36)+SUM(O$20:O$36)+SUM(Q$20:Q$36)+SUM(S$20:S$36)</f>
        <v>254073.93386649911</v>
      </c>
      <c r="F132" s="110">
        <f>SUM(U$20:U$36)+SUM(W$20:W$36)+SUM(Y$20:Y$36)+SUM(AA$20:AA$36)</f>
        <v>228050.40969560223</v>
      </c>
      <c r="G132" s="110">
        <f>SUM(AC$20:AC$36)+SUM(AE$20:AE$36)+SUM(AG$20:AG$36)+SUM(AI$20:AI$36)</f>
        <v>227570.76233285072</v>
      </c>
      <c r="H132" s="110">
        <f>SUM(AK$20:AK$36)+SUM(AM$20:AM$36)+SUM(AO$20:AO$36)+SUM(AQ$20:AQ$36)</f>
        <v>212325.85283203088</v>
      </c>
      <c r="I132" s="110">
        <f>SUM(AS$20:AS$36)+SUM(AU$20:AU$36)+SUM(AW$20:AW$36)+SUM(AY$20:AY$36)</f>
        <v>199887.4747928007</v>
      </c>
      <c r="J132" s="110">
        <f>SUM(BA$20:BA$36)+SUM(BC$20:BC$36)+SUM(BE$20:BE$36)+SUM(BG$20:BG$36)</f>
        <v>225066.52421913276</v>
      </c>
      <c r="K132" s="110">
        <f>SUM(BI$20:BI$36)+SUM(BK$20:BK$36)+SUM(BM$20:BM$36)+SUM(BO$20:BO$36)</f>
        <v>200365.41550568352</v>
      </c>
      <c r="L132" s="110">
        <f>SUM(BQ$20:BQ$36)+SUM(BS$20:BS$36)+SUM(BU$20:BU$36)+SUM(BW$20:BW$36)</f>
        <v>251321.83407287466</v>
      </c>
      <c r="M132" s="110">
        <f>SUM(BY$20:BY$36)+SUM(CA$20:CA$36)+SUM(CC$20:CC$36)+SUM(CE$20:CE$36)</f>
        <v>238057.02750175586</v>
      </c>
      <c r="N132" s="110">
        <f>SUM(CG$20:CG$36)+SUM(CI$20:CI$36)+SUM(CK$20:CK$36)+SUM(CM$20:CM$36)</f>
        <v>228472.49955940383</v>
      </c>
      <c r="O132" s="110">
        <f>SUM(CO$20:CO$36)+SUM(CQ$20:CQ$36)+SUM(CS$20:CS$36)+SUM(CU$20:CU$36)</f>
        <v>230223.65322368778</v>
      </c>
    </row>
    <row r="133" spans="2:15" x14ac:dyDescent="0.2">
      <c r="C133" s="109" t="s">
        <v>128</v>
      </c>
      <c r="D133" s="110">
        <f>SUM(E$37:E$48)+SUM(G$37:G$48)+SUM(I$37:I$48)+SUM(K$37:K$48)</f>
        <v>652803.6</v>
      </c>
      <c r="E133" s="110">
        <f>SUM(M$37:M$48)+SUM(O$37:O$48)+SUM(Q$37:Q$48)+SUM(S$37:S$48)</f>
        <v>811612.36129392823</v>
      </c>
      <c r="F133" s="110">
        <f>SUM(U$37:U$48)+SUM(W$37:W$48)+SUM(Y$37:Y$48)+SUM(AA$37:AA$48)</f>
        <v>640101.37479062483</v>
      </c>
      <c r="G133" s="110">
        <f>SUM(AC$37:AC$48)+SUM(AE$37:AE$48)+SUM(AG$37:AG$48)+SUM(AI$37:AI$48)</f>
        <v>665422.61730471498</v>
      </c>
      <c r="H133" s="110">
        <f>SUM(AK$37:AK$48)+SUM(AM$37:AM$48)+SUM(AO$37:AO$48)+SUM(AQ$37:AQ$48)</f>
        <v>666105.23159545148</v>
      </c>
      <c r="I133" s="110">
        <f>SUM(AS$37:AS$48)+SUM(AU$37:AU$48)+SUM(AW$37:AW$48)+SUM(AY$37:AY$48)</f>
        <v>689510.88529967982</v>
      </c>
      <c r="J133" s="110">
        <f>SUM(BA$37:BA$48)+SUM(BC$37:BC$48)+SUM(BE$37:BE$48)+SUM(BG$37:BG$48)</f>
        <v>675729.07547645399</v>
      </c>
      <c r="K133" s="110">
        <f>SUM(BI$37:BI$48)+SUM(BK$37:BK$48)+SUM(BM$37:BM$48)+SUM(BO$37:BO$48)</f>
        <v>684522.92138771468</v>
      </c>
      <c r="L133" s="110">
        <f>SUM(BQ$37:BQ$48)+SUM(BS$37:BS$48)+SUM(BU$37:BU$48)+SUM(BW$37:BW$48)</f>
        <v>702384.90857754066</v>
      </c>
      <c r="M133" s="110">
        <f>SUM(BY$37:BY$48)+SUM(CA$37:CA$48)+SUM(CC$37:CC$48)+SUM(CE$37:CE$48)</f>
        <v>637784.99973010411</v>
      </c>
      <c r="N133" s="110">
        <f>SUM(CG$37:CG$48)+SUM(CI$37:CI$48)+SUM(CK$37:CK$48)+SUM(CM$37:CM$48)</f>
        <v>622320.37908473285</v>
      </c>
      <c r="O133" s="110">
        <f>SUM(CO$37:CO$48)+SUM(CQ$37:CQ$48)+SUM(CS$37:CS$48)+SUM(CU$37:CU$48)</f>
        <v>584143.66760736064</v>
      </c>
    </row>
    <row r="134" spans="2:15" x14ac:dyDescent="0.2">
      <c r="C134" s="109" t="s">
        <v>129</v>
      </c>
      <c r="D134" s="110">
        <f>SUM(E$49:E$70)+SUM(G$49:G$70)+SUM(I$49:I$70)+SUM(K$49:K$70)</f>
        <v>485962.79999999993</v>
      </c>
      <c r="E134" s="110">
        <f>SUM(M$49:M$70)+SUM(O$49:O$70)+SUM(Q$49:Q$70)+SUM(S$49:S$70)</f>
        <v>542140.91569129564</v>
      </c>
      <c r="F134" s="110">
        <f>SUM(U$49:U$70)+SUM(W$49:W$70)+SUM(Y$49:Y$70)+SUM(AA$49:AA$70)</f>
        <v>471147.83561588998</v>
      </c>
      <c r="G134" s="110">
        <f>SUM(AC$49:AC$70)+SUM(AE$49:AE$70)+SUM(AG$49:AG$70)+SUM(AI$49:AI$70)</f>
        <v>490252.73459679238</v>
      </c>
      <c r="H134" s="110">
        <f>SUM(AK$49:AK$70)+SUM(AM$49:AM$70)+SUM(AO$49:AO$70)+SUM(AQ$49:AQ$70)</f>
        <v>504458.83316058922</v>
      </c>
      <c r="I134" s="110">
        <f>SUM(AS$49:AS$70)+SUM(AU$49:AU$70)+SUM(AW$49:AW$70)+SUM(AY$49:AY$70)</f>
        <v>504327.35231418104</v>
      </c>
      <c r="J134" s="110">
        <f>SUM(BA$49:BA$70)+SUM(BC$49:BC$70)+SUM(BE$49:BE$70)+SUM(BG$49:BG$70)</f>
        <v>434831.96857509064</v>
      </c>
      <c r="K134" s="110">
        <f>SUM(BI$49:BI$70)+SUM(BK$49:BK$70)+SUM(BM$49:BM$70)+SUM(BO$49:BO$70)</f>
        <v>464430.12558461539</v>
      </c>
      <c r="L134" s="110">
        <f>SUM(BQ$49:BQ$70)+SUM(BS$49:BS$70)+SUM(BU$49:BU$70)+SUM(BW$49:BW$70)</f>
        <v>453845.69651521166</v>
      </c>
      <c r="M134" s="110">
        <f>SUM(BY$49:BY$70)+SUM(CA$49:CA$70)+SUM(CC$49:CC$70)+SUM(CE$49:CE$70)</f>
        <v>482826.55310925451</v>
      </c>
      <c r="N134" s="110">
        <f>SUM(CG$49:CG$70)+SUM(CI$49:CI$70)+SUM(CK$49:CK$70)+SUM(CM$49:CM$70)</f>
        <v>490543.04713365284</v>
      </c>
      <c r="O134" s="110">
        <f>SUM(CO$49:CO$70)+SUM(CQ$49:CQ$70)+SUM(CS$49:CS$70)+SUM(CU$49:CU$70)</f>
        <v>450925.24530266179</v>
      </c>
    </row>
    <row r="135" spans="2:15" x14ac:dyDescent="0.2">
      <c r="C135" s="109" t="s">
        <v>130</v>
      </c>
      <c r="D135" s="110">
        <f>SUM(E$71:E$86)+SUM(G$71:G$86)+SUM(I$71:I$86)+SUM(K$71:K$86)</f>
        <v>320076</v>
      </c>
      <c r="E135" s="110">
        <f>SUM(M$71:M$86)+SUM(O$71:O$86)+SUM(Q$71:Q$86)+SUM(S$71:S$86)</f>
        <v>392432.39999999997</v>
      </c>
      <c r="F135" s="110">
        <f>SUM(U$71:U$86)+SUM(W$71:W$86)+SUM(Y$71:Y$86)+SUM(AA$71:AA$86)</f>
        <v>253212</v>
      </c>
      <c r="G135" s="110">
        <f>SUM(AC$71:AC$86)+SUM(AE$71:AE$86)+SUM(AG$71:AG$86)+SUM(AI$71:AI$86)</f>
        <v>363433.19999999995</v>
      </c>
      <c r="H135" s="110">
        <f>SUM(AK$71:AK$86)+SUM(AM$71:AM$86)+SUM(AO$71:AO$86)+SUM(AQ$71:AQ$86)</f>
        <v>361110</v>
      </c>
      <c r="I135" s="110">
        <f>SUM(AS$71:AS$86)+SUM(AU$71:AU$86)+SUM(AW$71:AW$86)+SUM(AY$71:AY$86)</f>
        <v>448023.6</v>
      </c>
      <c r="J135" s="110">
        <f>SUM(BA$71:BA$86)+SUM(BC$71:BC$86)+SUM(BE$71:BE$86)+SUM(BG$71:BG$86)</f>
        <v>310592.40000000002</v>
      </c>
      <c r="K135" s="110">
        <f>SUM(BI$71:BI$86)+SUM(BK$71:BK$86)+SUM(BM$71:BM$86)+SUM(BO$71:BO$86)</f>
        <v>393494.39999999997</v>
      </c>
      <c r="L135" s="110">
        <f>SUM(BQ$71:BQ$86)+SUM(BS$71:BS$86)+SUM(BU$71:BU$86)+SUM(BW$71:BW$86)</f>
        <v>360136.8</v>
      </c>
      <c r="M135" s="110">
        <f>SUM(BY$71:BY$86)+SUM(CA$71:CA$86)+SUM(CC$71:CC$86)+SUM(CE$71:CE$86)</f>
        <v>326025.59999999998</v>
      </c>
      <c r="N135" s="110">
        <f>SUM(CG$71:CG$86)+SUM(CI$71:CI$86)+SUM(CK$71:CK$86)+SUM(CM$71:CM$86)</f>
        <v>329812.80000000005</v>
      </c>
      <c r="O135" s="110">
        <f>SUM(CO$71:CO$86)+SUM(CQ$71:CQ$86)+SUM(CS$71:CS$86)+SUM(CU$71:CU$86)</f>
        <v>425105.99999999994</v>
      </c>
    </row>
    <row r="136" spans="2:15" x14ac:dyDescent="0.2">
      <c r="C136" s="109" t="s">
        <v>131</v>
      </c>
      <c r="D136" s="110">
        <f>SUM(E$87:E$94)+SUM(G$87:G$94)+SUM(I$87:I$94)+SUM(K$87:K$94)</f>
        <v>482805.6</v>
      </c>
      <c r="E136" s="110">
        <f>SUM(M$87:M$94)+SUM(O$87:O$94)+SUM(Q$87:Q$94)+SUM(S$87:S$94)</f>
        <v>491804.39999999991</v>
      </c>
      <c r="F136" s="110">
        <f>SUM(U$87:U$94)+SUM(W$87:W$94)+SUM(Y$87:Y$94)+SUM(AA$87:AA$94)</f>
        <v>535610.39999999991</v>
      </c>
      <c r="G136" s="110">
        <f>SUM(AC$87:AC$94)+SUM(AE$87:AE$94)+SUM(AG$87:AG$94)+SUM(AI$87:AI$94)</f>
        <v>409808.39999999997</v>
      </c>
      <c r="H136" s="110">
        <f>SUM(AK$87:AK$94)+SUM(AM$87:AM$94)+SUM(AO$87:AO$94)+SUM(AQ$87:AQ$94)</f>
        <v>574296</v>
      </c>
      <c r="I136" s="110">
        <f>SUM(AS$87:AS$94)+SUM(AU$87:AU$94)+SUM(AW$87:AW$94)+SUM(AY$87:AY$94)</f>
        <v>567356.39999999991</v>
      </c>
      <c r="J136" s="110">
        <f>SUM(BA$87:BA$94)+SUM(BC$87:BC$94)+SUM(BE$87:BE$94)+SUM(BG$87:BG$94)</f>
        <v>451198.79999999993</v>
      </c>
      <c r="K136" s="110">
        <f>SUM(BI$87:BI$94)+SUM(BK$87:BK$94)+SUM(BM$87:BM$94)+SUM(BO$87:BO$94)</f>
        <v>529002</v>
      </c>
      <c r="L136" s="110">
        <f>SUM(BQ$87:BQ$94)+SUM(BS$87:BS$94)+SUM(BU$87:BU$94)+SUM(BW$87:BW$94)</f>
        <v>599016</v>
      </c>
      <c r="M136" s="110">
        <f>SUM(BY$87:BY$94)+SUM(CA$87:CA$94)+SUM(CC$87:CC$94)+SUM(CE$87:CE$94)</f>
        <v>613347.6</v>
      </c>
      <c r="N136" s="110">
        <f>SUM(CG$87:CG$94)+SUM(CI$87:CI$94)+SUM(CK$87:CK$94)+SUM(CM$87:CM$94)</f>
        <v>466855.19999999995</v>
      </c>
      <c r="O136" s="110">
        <f>SUM(CO$87:CO$94)+SUM(CQ$87:CQ$94)+SUM(CS$87:CS$94)+SUM(CU$87:CU$94)</f>
        <v>592893.59999999986</v>
      </c>
    </row>
    <row r="137" spans="2:15" x14ac:dyDescent="0.2">
      <c r="C137" s="109" t="s">
        <v>132</v>
      </c>
      <c r="D137" s="110">
        <f>SUM(E$95:E$105)+SUM(G$95:G$105)+SUM(I$95:I$105)+SUM(K$95:K$105)</f>
        <v>801142.8</v>
      </c>
      <c r="E137" s="110">
        <f>SUM(M$95:M$105)+SUM(O$95:O$105)+SUM(Q$95:Q$105)+SUM(S$95:S$105)</f>
        <v>747260.4</v>
      </c>
      <c r="F137" s="110">
        <f>SUM(U$95:U$105)+SUM(W$95:W$105)+SUM(Y$95:Y$105)+SUM(AA$95:AA$105)</f>
        <v>773910</v>
      </c>
      <c r="G137" s="110">
        <f>SUM(AC$95:AC$105)+SUM(AE$95:AE$105)+SUM(AG$95:AG$105)+SUM(AI$95:AI$105)</f>
        <v>732150</v>
      </c>
      <c r="H137" s="110">
        <f>SUM(AK$95:AK$105)+SUM(AM$95:AM$105)+SUM(AO$95:AO$105)+SUM(AQ$95:AQ$105)</f>
        <v>673848</v>
      </c>
      <c r="I137" s="110">
        <f>SUM(AS$95:AS$105)+SUM(AU$95:AU$105)+SUM(AW$95:AW$105)+SUM(AY$95:AY$105)</f>
        <v>880603.2</v>
      </c>
      <c r="J137" s="110">
        <f>SUM(BA$95:BA$105)+SUM(BC$95:BC$105)+SUM(BE$95:BE$105)+SUM(BG$95:BG$105)</f>
        <v>652531.19999999995</v>
      </c>
      <c r="K137" s="110">
        <f>SUM(BI$95:BI$105)+SUM(BK$95:BK$105)+SUM(BM$95:BM$105)+SUM(BO$95:BO$105)</f>
        <v>838150.79999999993</v>
      </c>
      <c r="L137" s="110">
        <f>SUM(BQ$95:BQ$105)+SUM(BS$95:BS$105)+SUM(BU$95:BU$105)+SUM(BW$95:BW$105)</f>
        <v>783255.6</v>
      </c>
      <c r="M137" s="110">
        <f>SUM(BY$95:BY$105)+SUM(CA$95:CA$105)+SUM(CC$95:CC$105)+SUM(CE$95:CE$105)</f>
        <v>682050</v>
      </c>
      <c r="N137" s="110">
        <f>SUM(CG$95:CG$105)+SUM(CI$95:CI$105)+SUM(CK$95:CK$105)+SUM(CM$95:CM$105)</f>
        <v>757004.39999999991</v>
      </c>
      <c r="O137" s="110">
        <f>SUM(CO$95:CO$105)+SUM(CQ$95:CQ$105)+SUM(CS$95:CS$105)+SUM(CU$95:CU$105)</f>
        <v>751448.39999999991</v>
      </c>
    </row>
    <row r="138" spans="2:15" x14ac:dyDescent="0.2">
      <c r="C138" s="109" t="s">
        <v>278</v>
      </c>
      <c r="D138">
        <f t="shared" ref="D138:O138" si="2">SUM(D$131:D$137)</f>
        <v>3192230.4000000004</v>
      </c>
      <c r="E138">
        <f t="shared" si="2"/>
        <v>3549522.7940294868</v>
      </c>
      <c r="F138">
        <f t="shared" si="2"/>
        <v>3171020.402669081</v>
      </c>
      <c r="G138">
        <f t="shared" si="2"/>
        <v>3210014.710028687</v>
      </c>
      <c r="H138">
        <f t="shared" si="2"/>
        <v>3293417.1725742538</v>
      </c>
      <c r="I138">
        <f t="shared" si="2"/>
        <v>3614088.4475511163</v>
      </c>
      <c r="J138">
        <f t="shared" si="2"/>
        <v>3071105.9925284749</v>
      </c>
      <c r="K138">
        <f t="shared" si="2"/>
        <v>3409066.3496122826</v>
      </c>
      <c r="L138">
        <f t="shared" si="2"/>
        <v>3429134.290532215</v>
      </c>
      <c r="M138">
        <f t="shared" si="2"/>
        <v>3281180.3171955431</v>
      </c>
      <c r="N138">
        <f t="shared" si="2"/>
        <v>3196820.6858311268</v>
      </c>
      <c r="O138">
        <f t="shared" si="2"/>
        <v>3382567.091693413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t="s">
        <v>59</v>
      </c>
      <c r="D2">
        <v>482</v>
      </c>
      <c r="E2">
        <v>578.4</v>
      </c>
    </row>
    <row r="3" spans="1:5" x14ac:dyDescent="0.2">
      <c r="B3" s="105" t="s">
        <v>173</v>
      </c>
      <c r="C3" t="s">
        <v>59</v>
      </c>
      <c r="D3">
        <v>657</v>
      </c>
      <c r="E3">
        <v>788.4</v>
      </c>
    </row>
    <row r="4" spans="1:5" x14ac:dyDescent="0.2">
      <c r="B4" s="105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05" t="s">
        <v>175</v>
      </c>
      <c r="C5" t="s">
        <v>59</v>
      </c>
      <c r="D5">
        <v>585</v>
      </c>
      <c r="E5">
        <v>702</v>
      </c>
    </row>
    <row r="6" spans="1:5" x14ac:dyDescent="0.2">
      <c r="B6" s="105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05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05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05" t="s">
        <v>179</v>
      </c>
      <c r="C9" t="s">
        <v>59</v>
      </c>
      <c r="D9">
        <v>71</v>
      </c>
      <c r="E9">
        <v>85.2</v>
      </c>
    </row>
    <row r="10" spans="1:5" x14ac:dyDescent="0.2">
      <c r="B10" s="105" t="s">
        <v>180</v>
      </c>
      <c r="C10" t="s">
        <v>59</v>
      </c>
      <c r="D10">
        <v>407</v>
      </c>
      <c r="E10">
        <v>488.4</v>
      </c>
    </row>
    <row r="11" spans="1:5" x14ac:dyDescent="0.2">
      <c r="B11" s="105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05" t="s">
        <v>182</v>
      </c>
      <c r="C12" t="s">
        <v>59</v>
      </c>
      <c r="D12">
        <v>284</v>
      </c>
      <c r="E12">
        <v>340.8</v>
      </c>
    </row>
    <row r="13" spans="1:5" x14ac:dyDescent="0.2">
      <c r="B13" s="105" t="s">
        <v>183</v>
      </c>
      <c r="C13" t="s">
        <v>59</v>
      </c>
      <c r="D13">
        <v>352</v>
      </c>
      <c r="E13">
        <v>422.4</v>
      </c>
    </row>
    <row r="14" spans="1:5" x14ac:dyDescent="0.2">
      <c r="B14" s="105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05" t="s">
        <v>185</v>
      </c>
      <c r="C15" t="s">
        <v>59</v>
      </c>
      <c r="D15">
        <v>275</v>
      </c>
      <c r="E15">
        <v>330</v>
      </c>
    </row>
    <row r="16" spans="1:5" x14ac:dyDescent="0.2">
      <c r="A16" s="105" t="s">
        <v>127</v>
      </c>
      <c r="B16" s="105" t="s">
        <v>186</v>
      </c>
      <c r="C16" t="s">
        <v>59</v>
      </c>
      <c r="D16">
        <v>239</v>
      </c>
      <c r="E16">
        <v>286.8</v>
      </c>
    </row>
    <row r="17" spans="2:5" x14ac:dyDescent="0.2">
      <c r="B17" s="105" t="s">
        <v>187</v>
      </c>
      <c r="C17" t="s">
        <v>59</v>
      </c>
      <c r="D17">
        <v>52</v>
      </c>
      <c r="E17">
        <v>62.4</v>
      </c>
    </row>
    <row r="18" spans="2:5" x14ac:dyDescent="0.2">
      <c r="B18" s="105" t="s">
        <v>188</v>
      </c>
      <c r="C18" t="s">
        <v>59</v>
      </c>
      <c r="D18">
        <v>156</v>
      </c>
      <c r="E18">
        <v>187.2</v>
      </c>
    </row>
    <row r="19" spans="2:5" x14ac:dyDescent="0.2">
      <c r="B19" s="105" t="s">
        <v>189</v>
      </c>
      <c r="C19" t="s">
        <v>59</v>
      </c>
      <c r="D19">
        <v>245</v>
      </c>
      <c r="E19">
        <v>294</v>
      </c>
    </row>
    <row r="20" spans="2:5" x14ac:dyDescent="0.2">
      <c r="B20" s="105" t="s">
        <v>190</v>
      </c>
      <c r="C20" t="s">
        <v>59</v>
      </c>
      <c r="D20">
        <v>306</v>
      </c>
      <c r="E20">
        <v>367.2</v>
      </c>
    </row>
    <row r="21" spans="2:5" x14ac:dyDescent="0.2">
      <c r="B21" s="105" t="s">
        <v>191</v>
      </c>
      <c r="C21" t="s">
        <v>59</v>
      </c>
      <c r="D21">
        <v>442</v>
      </c>
      <c r="E21">
        <v>530.4</v>
      </c>
    </row>
    <row r="22" spans="2:5" x14ac:dyDescent="0.2">
      <c r="B22" s="105" t="s">
        <v>192</v>
      </c>
      <c r="C22" t="s">
        <v>59</v>
      </c>
      <c r="D22">
        <v>405</v>
      </c>
      <c r="E22">
        <v>486</v>
      </c>
    </row>
    <row r="23" spans="2:5" x14ac:dyDescent="0.2">
      <c r="B23" s="105" t="s">
        <v>193</v>
      </c>
      <c r="C23" t="s">
        <v>59</v>
      </c>
      <c r="D23">
        <v>356</v>
      </c>
      <c r="E23">
        <v>427.2</v>
      </c>
    </row>
    <row r="24" spans="2:5" x14ac:dyDescent="0.2">
      <c r="B24" s="105" t="s">
        <v>194</v>
      </c>
      <c r="C24" t="s">
        <v>59</v>
      </c>
      <c r="D24">
        <v>615</v>
      </c>
      <c r="E24">
        <v>738</v>
      </c>
    </row>
    <row r="25" spans="2:5" x14ac:dyDescent="0.2">
      <c r="B25" s="105" t="s">
        <v>195</v>
      </c>
      <c r="C25" t="s">
        <v>59</v>
      </c>
      <c r="D25">
        <v>282</v>
      </c>
      <c r="E25">
        <v>338.4</v>
      </c>
    </row>
    <row r="26" spans="2:5" x14ac:dyDescent="0.2">
      <c r="B26" s="105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05" t="s">
        <v>197</v>
      </c>
      <c r="C27" t="s">
        <v>59</v>
      </c>
      <c r="D27">
        <v>284</v>
      </c>
      <c r="E27">
        <v>340.8</v>
      </c>
    </row>
    <row r="28" spans="2:5" x14ac:dyDescent="0.2">
      <c r="B28" s="105" t="s">
        <v>198</v>
      </c>
      <c r="C28" t="s">
        <v>59</v>
      </c>
      <c r="D28">
        <v>700</v>
      </c>
      <c r="E28">
        <v>840</v>
      </c>
    </row>
    <row r="29" spans="2:5" x14ac:dyDescent="0.2">
      <c r="B29" s="105" t="s">
        <v>199</v>
      </c>
      <c r="C29" t="s">
        <v>59</v>
      </c>
      <c r="D29">
        <v>395</v>
      </c>
      <c r="E29">
        <v>474</v>
      </c>
    </row>
    <row r="30" spans="2:5" x14ac:dyDescent="0.2">
      <c r="B30" s="105" t="s">
        <v>200</v>
      </c>
      <c r="C30" t="s">
        <v>59</v>
      </c>
      <c r="D30">
        <v>457</v>
      </c>
      <c r="E30">
        <v>548.4</v>
      </c>
    </row>
    <row r="31" spans="2:5" x14ac:dyDescent="0.2">
      <c r="B31" s="105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05" t="s">
        <v>202</v>
      </c>
      <c r="C32" t="s">
        <v>59</v>
      </c>
      <c r="D32">
        <v>634</v>
      </c>
      <c r="E32">
        <v>760.8</v>
      </c>
    </row>
    <row r="33" spans="1:5" x14ac:dyDescent="0.2">
      <c r="A33" s="105" t="s">
        <v>128</v>
      </c>
      <c r="B33" s="105" t="s">
        <v>203</v>
      </c>
      <c r="C33" t="s">
        <v>59</v>
      </c>
      <c r="D33">
        <v>717</v>
      </c>
      <c r="E33">
        <v>860.4</v>
      </c>
    </row>
    <row r="34" spans="1:5" x14ac:dyDescent="0.2">
      <c r="B34" s="105" t="s">
        <v>204</v>
      </c>
      <c r="C34" t="s">
        <v>59</v>
      </c>
      <c r="D34">
        <v>1035</v>
      </c>
      <c r="E34">
        <v>1242</v>
      </c>
    </row>
    <row r="35" spans="1:5" x14ac:dyDescent="0.2">
      <c r="B35" s="105" t="s">
        <v>205</v>
      </c>
      <c r="C35" t="s">
        <v>59</v>
      </c>
      <c r="D35">
        <v>1186</v>
      </c>
      <c r="E35">
        <v>1423.2</v>
      </c>
    </row>
    <row r="36" spans="1:5" x14ac:dyDescent="0.2">
      <c r="B36" s="105" t="s">
        <v>206</v>
      </c>
      <c r="C36" t="s">
        <v>59</v>
      </c>
      <c r="D36">
        <v>604</v>
      </c>
      <c r="E36">
        <v>724.8</v>
      </c>
    </row>
    <row r="37" spans="1:5" x14ac:dyDescent="0.2">
      <c r="B37" s="105" t="s">
        <v>207</v>
      </c>
      <c r="C37" t="s">
        <v>59</v>
      </c>
      <c r="D37">
        <v>550</v>
      </c>
      <c r="E37">
        <v>660</v>
      </c>
    </row>
    <row r="38" spans="1:5" x14ac:dyDescent="0.2">
      <c r="B38" s="105" t="s">
        <v>208</v>
      </c>
      <c r="C38" t="s">
        <v>59</v>
      </c>
      <c r="D38">
        <v>705</v>
      </c>
      <c r="E38">
        <v>846</v>
      </c>
    </row>
    <row r="39" spans="1:5" x14ac:dyDescent="0.2">
      <c r="B39" s="105" t="s">
        <v>209</v>
      </c>
      <c r="C39" t="s">
        <v>59</v>
      </c>
      <c r="D39">
        <v>852</v>
      </c>
      <c r="E39">
        <v>1022.4</v>
      </c>
    </row>
    <row r="40" spans="1:5" x14ac:dyDescent="0.2">
      <c r="B40" s="105" t="s">
        <v>210</v>
      </c>
      <c r="C40" t="s">
        <v>59</v>
      </c>
      <c r="D40">
        <v>852</v>
      </c>
      <c r="E40">
        <v>1022.4</v>
      </c>
    </row>
    <row r="41" spans="1:5" x14ac:dyDescent="0.2">
      <c r="B41" s="105" t="s">
        <v>211</v>
      </c>
      <c r="C41" t="s">
        <v>59</v>
      </c>
      <c r="D41">
        <v>1041</v>
      </c>
      <c r="E41">
        <v>1249.2</v>
      </c>
    </row>
    <row r="42" spans="1:5" x14ac:dyDescent="0.2">
      <c r="B42" s="105" t="s">
        <v>212</v>
      </c>
      <c r="C42" t="s">
        <v>59</v>
      </c>
      <c r="D42">
        <v>1010</v>
      </c>
      <c r="E42">
        <v>1212</v>
      </c>
    </row>
    <row r="43" spans="1:5" x14ac:dyDescent="0.2">
      <c r="B43" s="105" t="s">
        <v>213</v>
      </c>
      <c r="C43" t="s">
        <v>59</v>
      </c>
      <c r="D43">
        <v>1273</v>
      </c>
      <c r="E43">
        <v>1527.6</v>
      </c>
    </row>
    <row r="44" spans="1:5" x14ac:dyDescent="0.2">
      <c r="B44" s="105" t="s">
        <v>214</v>
      </c>
      <c r="C44" t="s">
        <v>59</v>
      </c>
      <c r="D44">
        <v>723</v>
      </c>
      <c r="E44">
        <v>867.6</v>
      </c>
    </row>
    <row r="45" spans="1:5" x14ac:dyDescent="0.2">
      <c r="A45" s="105" t="s">
        <v>129</v>
      </c>
      <c r="B45" s="105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05" t="s">
        <v>216</v>
      </c>
      <c r="C46" t="s">
        <v>59</v>
      </c>
      <c r="D46">
        <v>235</v>
      </c>
      <c r="E46">
        <v>282</v>
      </c>
    </row>
    <row r="47" spans="1:5" x14ac:dyDescent="0.2">
      <c r="B47" s="105" t="s">
        <v>217</v>
      </c>
      <c r="C47" t="s">
        <v>59</v>
      </c>
      <c r="D47">
        <v>712</v>
      </c>
      <c r="E47">
        <v>854.4</v>
      </c>
    </row>
    <row r="48" spans="1:5" x14ac:dyDescent="0.2">
      <c r="B48" s="105" t="s">
        <v>218</v>
      </c>
      <c r="C48" t="s">
        <v>59</v>
      </c>
      <c r="D48">
        <v>450</v>
      </c>
      <c r="E48">
        <v>540</v>
      </c>
    </row>
    <row r="49" spans="2:5" x14ac:dyDescent="0.2">
      <c r="B49" s="105" t="s">
        <v>219</v>
      </c>
      <c r="C49" t="s">
        <v>59</v>
      </c>
      <c r="D49">
        <v>339</v>
      </c>
      <c r="E49">
        <v>406.8</v>
      </c>
    </row>
    <row r="50" spans="2:5" x14ac:dyDescent="0.2">
      <c r="B50" s="105" t="s">
        <v>220</v>
      </c>
      <c r="C50" t="s">
        <v>59</v>
      </c>
      <c r="D50">
        <v>279</v>
      </c>
      <c r="E50">
        <v>334.8</v>
      </c>
    </row>
    <row r="51" spans="2:5" x14ac:dyDescent="0.2">
      <c r="B51" s="105" t="s">
        <v>221</v>
      </c>
      <c r="C51" t="s">
        <v>59</v>
      </c>
      <c r="D51">
        <v>553</v>
      </c>
      <c r="E51">
        <v>663.6</v>
      </c>
    </row>
    <row r="52" spans="2:5" x14ac:dyDescent="0.2">
      <c r="B52" s="105" t="s">
        <v>222</v>
      </c>
      <c r="C52" t="s">
        <v>22</v>
      </c>
      <c r="D52">
        <v>959</v>
      </c>
      <c r="E52">
        <v>1150.8</v>
      </c>
    </row>
    <row r="53" spans="2:5" x14ac:dyDescent="0.2">
      <c r="B53" s="105" t="s">
        <v>223</v>
      </c>
      <c r="C53" t="s">
        <v>59</v>
      </c>
      <c r="D53">
        <v>1176</v>
      </c>
      <c r="E53">
        <v>1411.2</v>
      </c>
    </row>
    <row r="54" spans="2:5" x14ac:dyDescent="0.2">
      <c r="B54" s="105" t="s">
        <v>224</v>
      </c>
      <c r="C54" t="s">
        <v>22</v>
      </c>
      <c r="D54">
        <v>981</v>
      </c>
      <c r="E54">
        <v>1177.2</v>
      </c>
    </row>
    <row r="55" spans="2:5" x14ac:dyDescent="0.2">
      <c r="B55" s="105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05" t="s">
        <v>226</v>
      </c>
      <c r="C56" t="s">
        <v>59</v>
      </c>
      <c r="D56">
        <v>543</v>
      </c>
      <c r="E56">
        <v>651.6</v>
      </c>
    </row>
    <row r="57" spans="2:5" x14ac:dyDescent="0.2">
      <c r="B57" s="105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05" t="s">
        <v>228</v>
      </c>
      <c r="C58" t="s">
        <v>59</v>
      </c>
      <c r="D58">
        <v>1421</v>
      </c>
      <c r="E58">
        <v>1705.2</v>
      </c>
    </row>
    <row r="59" spans="2:5" x14ac:dyDescent="0.2">
      <c r="B59" s="105" t="s">
        <v>229</v>
      </c>
      <c r="C59" t="s">
        <v>59</v>
      </c>
      <c r="D59">
        <v>663</v>
      </c>
      <c r="E59">
        <v>795.6</v>
      </c>
    </row>
    <row r="60" spans="2:5" x14ac:dyDescent="0.2">
      <c r="B60" s="105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05" t="s">
        <v>231</v>
      </c>
      <c r="C61" t="s">
        <v>59</v>
      </c>
      <c r="D61">
        <v>855</v>
      </c>
      <c r="E61">
        <v>1026</v>
      </c>
    </row>
    <row r="62" spans="2:5" x14ac:dyDescent="0.2">
      <c r="B62" s="105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05" t="s">
        <v>233</v>
      </c>
      <c r="C63" t="s">
        <v>59</v>
      </c>
      <c r="D63">
        <v>936</v>
      </c>
      <c r="E63">
        <v>1123.2</v>
      </c>
    </row>
    <row r="64" spans="2:5" x14ac:dyDescent="0.2">
      <c r="B64" s="105" t="s">
        <v>234</v>
      </c>
      <c r="C64" t="s">
        <v>59</v>
      </c>
      <c r="D64">
        <v>861</v>
      </c>
      <c r="E64">
        <v>1033.2</v>
      </c>
    </row>
    <row r="65" spans="1:5" x14ac:dyDescent="0.2">
      <c r="B65" s="105" t="s">
        <v>235</v>
      </c>
      <c r="C65" t="s">
        <v>59</v>
      </c>
      <c r="D65">
        <v>632</v>
      </c>
      <c r="E65">
        <v>758.4</v>
      </c>
    </row>
    <row r="66" spans="1:5" x14ac:dyDescent="0.2">
      <c r="B66" s="105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05" t="s">
        <v>130</v>
      </c>
      <c r="B67" s="105" t="s">
        <v>237</v>
      </c>
      <c r="C67" t="s">
        <v>22</v>
      </c>
      <c r="D67">
        <v>470</v>
      </c>
      <c r="E67">
        <v>564</v>
      </c>
    </row>
    <row r="68" spans="1:5" x14ac:dyDescent="0.2">
      <c r="B68" s="105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05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05" t="s">
        <v>240</v>
      </c>
      <c r="C70" t="s">
        <v>22</v>
      </c>
      <c r="D70">
        <v>336</v>
      </c>
      <c r="E70">
        <v>403.2</v>
      </c>
    </row>
    <row r="71" spans="1:5" x14ac:dyDescent="0.2">
      <c r="B71" s="105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05" t="s">
        <v>242</v>
      </c>
      <c r="C72" t="s">
        <v>22</v>
      </c>
      <c r="D72">
        <v>649</v>
      </c>
      <c r="E72">
        <v>778.8</v>
      </c>
    </row>
    <row r="73" spans="1:5" x14ac:dyDescent="0.2">
      <c r="B73" s="105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05" t="s">
        <v>244</v>
      </c>
      <c r="C74" t="s">
        <v>22</v>
      </c>
      <c r="D74">
        <v>460</v>
      </c>
      <c r="E74">
        <v>552</v>
      </c>
    </row>
    <row r="75" spans="1:5" x14ac:dyDescent="0.2">
      <c r="B75" s="105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05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05" t="s">
        <v>247</v>
      </c>
      <c r="C77" t="s">
        <v>22</v>
      </c>
      <c r="D77">
        <v>628</v>
      </c>
      <c r="E77">
        <v>753.6</v>
      </c>
    </row>
    <row r="78" spans="1:5" x14ac:dyDescent="0.2">
      <c r="B78" s="105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05" t="s">
        <v>249</v>
      </c>
      <c r="C79" t="s">
        <v>22</v>
      </c>
      <c r="D79">
        <v>717</v>
      </c>
      <c r="E79">
        <v>860.4</v>
      </c>
    </row>
    <row r="80" spans="1:5" x14ac:dyDescent="0.2">
      <c r="B80" s="105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05" t="s">
        <v>251</v>
      </c>
      <c r="C81" t="s">
        <v>22</v>
      </c>
      <c r="D81">
        <v>125</v>
      </c>
      <c r="E81">
        <v>150</v>
      </c>
    </row>
    <row r="82" spans="1:5" x14ac:dyDescent="0.2">
      <c r="B82" s="105" t="s">
        <v>252</v>
      </c>
      <c r="C82" t="s">
        <v>22</v>
      </c>
      <c r="D82">
        <v>450</v>
      </c>
      <c r="E82">
        <v>540</v>
      </c>
    </row>
    <row r="83" spans="1:5" x14ac:dyDescent="0.2">
      <c r="A83" s="105" t="s">
        <v>131</v>
      </c>
      <c r="B83" s="105" t="s">
        <v>253</v>
      </c>
      <c r="C83" t="s">
        <v>22</v>
      </c>
      <c r="D83">
        <v>1629</v>
      </c>
      <c r="E83">
        <v>1954.8</v>
      </c>
    </row>
    <row r="84" spans="1:5" x14ac:dyDescent="0.2">
      <c r="B84" s="105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05" t="s">
        <v>255</v>
      </c>
      <c r="C85" t="s">
        <v>22</v>
      </c>
      <c r="D85">
        <v>1998</v>
      </c>
      <c r="E85">
        <v>2397.6</v>
      </c>
    </row>
    <row r="86" spans="1:5" x14ac:dyDescent="0.2">
      <c r="B86" s="105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05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05" t="s">
        <v>258</v>
      </c>
      <c r="C88" t="s">
        <v>22</v>
      </c>
      <c r="D88">
        <v>1184</v>
      </c>
      <c r="E88">
        <v>1420.8</v>
      </c>
    </row>
    <row r="89" spans="1:5" x14ac:dyDescent="0.2">
      <c r="B89" s="105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05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05" t="s">
        <v>132</v>
      </c>
      <c r="B91" s="105" t="s">
        <v>261</v>
      </c>
      <c r="C91" t="s">
        <v>22</v>
      </c>
      <c r="D91">
        <v>1444</v>
      </c>
      <c r="E91">
        <v>1732.8</v>
      </c>
    </row>
    <row r="92" spans="1:5" x14ac:dyDescent="0.2">
      <c r="B92" s="105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05" t="s">
        <v>263</v>
      </c>
      <c r="C93" t="s">
        <v>22</v>
      </c>
      <c r="D93">
        <v>1524</v>
      </c>
      <c r="E93">
        <v>1828.8</v>
      </c>
    </row>
    <row r="94" spans="1:5" x14ac:dyDescent="0.2">
      <c r="B94" s="105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05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05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05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05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05" t="s">
        <v>269</v>
      </c>
      <c r="C99" t="s">
        <v>22</v>
      </c>
      <c r="D99">
        <v>1690</v>
      </c>
      <c r="E99">
        <v>2028</v>
      </c>
    </row>
    <row r="100" spans="2:5" x14ac:dyDescent="0.2">
      <c r="B100" s="105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05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2015-09-29T20:26:43Z</dcterms:modified>
</cp:coreProperties>
</file>